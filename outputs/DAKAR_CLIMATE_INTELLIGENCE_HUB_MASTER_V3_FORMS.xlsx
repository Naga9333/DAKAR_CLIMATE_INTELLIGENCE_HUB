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tables/table32.xml" ContentType="application/vnd.openxmlformats-officedocument.spreadsheetml.table+xml"/>
  <Override PartName="/xl/worksheets/sheet35.xml" ContentType="application/vnd.openxmlformats-officedocument.spreadsheetml.worksheet+xml"/>
  <Override PartName="/xl/tables/table33.xml" ContentType="application/vnd.openxmlformats-officedocument.spreadsheetml.table+xml"/>
  <Override PartName="/xl/worksheets/sheet36.xml" ContentType="application/vnd.openxmlformats-officedocument.spreadsheetml.worksheet+xml"/>
  <Override PartName="/xl/tables/table34.xml" ContentType="application/vnd.openxmlformats-officedocument.spreadsheetml.table+xml"/>
  <Override PartName="/xl/worksheets/sheet37.xml" ContentType="application/vnd.openxmlformats-officedocument.spreadsheetml.worksheet+xml"/>
  <Override PartName="/xl/tables/table35.xml" ContentType="application/vnd.openxmlformats-officedocument.spreadsheetml.table+xml"/>
  <Override PartName="/xl/worksheets/sheet38.xml" ContentType="application/vnd.openxmlformats-officedocument.spreadsheetml.worksheet+xml"/>
  <Override PartName="/xl/tables/table36.xml" ContentType="application/vnd.openxmlformats-officedocument.spreadsheetml.table+xml"/>
  <Override PartName="/xl/worksheets/sheet39.xml" ContentType="application/vnd.openxmlformats-officedocument.spreadsheetml.worksheet+xml"/>
  <Override PartName="/xl/tables/table37.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sheets/sheet49.xml" ContentType="application/vnd.openxmlformats-officedocument.spreadsheetml.worksheet+xml"/>
  <Override PartName="/xl/tables/table46.xml" ContentType="application/vnd.openxmlformats-officedocument.spreadsheetml.table+xml"/>
  <Override PartName="/xl/worksheets/sheet50.xml" ContentType="application/vnd.openxmlformats-officedocument.spreadsheetml.worksheet+xml"/>
  <Override PartName="/xl/tables/table47.xml" ContentType="application/vnd.openxmlformats-officedocument.spreadsheetml.table+xml"/>
  <Override PartName="/xl/worksheets/sheet51.xml" ContentType="application/vnd.openxmlformats-officedocument.spreadsheetml.worksheet+xml"/>
  <Override PartName="/xl/tables/table48.xml" ContentType="application/vnd.openxmlformats-officedocument.spreadsheetml.table+xml"/>
  <Override PartName="/xl/worksheets/sheet52.xml" ContentType="application/vnd.openxmlformats-officedocument.spreadsheetml.worksheet+xml"/>
  <Override PartName="/xl/tables/table49.xml" ContentType="application/vnd.openxmlformats-officedocument.spreadsheetml.table+xml"/>
  <Override PartName="/xl/worksheets/sheet53.xml" ContentType="application/vnd.openxmlformats-officedocument.spreadsheetml.worksheet+xml"/>
  <Override PartName="/xl/tables/table50.xml" ContentType="application/vnd.openxmlformats-officedocument.spreadsheetml.table+xml"/>
  <Override PartName="/xl/worksheets/sheet54.xml" ContentType="application/vnd.openxmlformats-officedocument.spreadsheetml.worksheet+xml"/>
  <Override PartName="/xl/tables/table51.xml" ContentType="application/vnd.openxmlformats-officedocument.spreadsheetml.table+xml"/>
  <Override PartName="/xl/worksheets/sheet55.xml" ContentType="application/vnd.openxmlformats-officedocument.spreadsheetml.worksheet+xml"/>
  <Override PartName="/xl/tables/table52.xml" ContentType="application/vnd.openxmlformats-officedocument.spreadsheetml.table+xml"/>
  <Override PartName="/xl/worksheets/sheet56.xml" ContentType="application/vnd.openxmlformats-officedocument.spreadsheetml.worksheet+xml"/>
  <Override PartName="/xl/tables/table53.xml" ContentType="application/vnd.openxmlformats-officedocument.spreadsheetml.table+xml"/>
  <Override PartName="/xl/worksheets/sheet57.xml" ContentType="application/vnd.openxmlformats-officedocument.spreadsheetml.worksheet+xml"/>
  <Override PartName="/xl/tables/table54.xml" ContentType="application/vnd.openxmlformats-officedocument.spreadsheetml.table+xml"/>
  <Override PartName="/xl/worksheets/sheet58.xml" ContentType="application/vnd.openxmlformats-officedocument.spreadsheetml.worksheet+xml"/>
  <Override PartName="/xl/tables/table55.xml" ContentType="application/vnd.openxmlformats-officedocument.spreadsheetml.table+xml"/>
  <Override PartName="/xl/worksheets/sheet59.xml" ContentType="application/vnd.openxmlformats-officedocument.spreadsheetml.worksheet+xml"/>
  <Override PartName="/xl/tables/table56.xml" ContentType="application/vnd.openxmlformats-officedocument.spreadsheetml.table+xml"/>
  <Override PartName="/xl/worksheets/sheet60.xml" ContentType="application/vnd.openxmlformats-officedocument.spreadsheetml.worksheet+xml"/>
  <Override PartName="/xl/tables/table57.xml" ContentType="application/vnd.openxmlformats-officedocument.spreadsheetml.table+xml"/>
  <Override PartName="/xl/worksheets/sheet61.xml" ContentType="application/vnd.openxmlformats-officedocument.spreadsheetml.worksheet+xml"/>
  <Override PartName="/xl/tables/table58.xml" ContentType="application/vnd.openxmlformats-officedocument.spreadsheetml.table+xml"/>
  <Override PartName="/xl/worksheets/sheet62.xml" ContentType="application/vnd.openxmlformats-officedocument.spreadsheetml.worksheet+xml"/>
  <Override PartName="/xl/tables/table59.xml" ContentType="application/vnd.openxmlformats-officedocument.spreadsheetml.table+xml"/>
  <Override PartName="/xl/worksheets/sheet63.xml" ContentType="application/vnd.openxmlformats-officedocument.spreadsheetml.worksheet+xml"/>
  <Override PartName="/xl/tables/table60.xml" ContentType="application/vnd.openxmlformats-officedocument.spreadsheetml.table+xml"/>
  <Override PartName="/xl/worksheets/sheet64.xml" ContentType="application/vnd.openxmlformats-officedocument.spreadsheetml.worksheet+xml"/>
  <Override PartName="/xl/tables/table61.xml" ContentType="application/vnd.openxmlformats-officedocument.spreadsheetml.table+xml"/>
  <Override PartName="/xl/worksheets/sheet65.xml" ContentType="application/vnd.openxmlformats-officedocument.spreadsheetml.worksheet+xml"/>
  <Override PartName="/xl/tables/table62.xml" ContentType="application/vnd.openxmlformats-officedocument.spreadsheetml.table+xml"/>
  <Override PartName="/xl/worksheets/sheet66.xml" ContentType="application/vnd.openxmlformats-officedocument.spreadsheetml.worksheet+xml"/>
  <Override PartName="/xl/tables/table63.xml" ContentType="application/vnd.openxmlformats-officedocument.spreadsheetml.table+xml"/>
  <Override PartName="/xl/worksheets/sheet67.xml" ContentType="application/vnd.openxmlformats-officedocument.spreadsheetml.worksheet+xml"/>
  <Override PartName="/xl/tables/table64.xml" ContentType="application/vnd.openxmlformats-officedocument.spreadsheetml.table+xml"/>
  <Override PartName="/xl/worksheets/sheet68.xml" ContentType="application/vnd.openxmlformats-officedocument.spreadsheetml.worksheet+xml"/>
  <Override PartName="/xl/tables/table65.xml" ContentType="application/vnd.openxmlformats-officedocument.spreadsheetml.table+xml"/>
  <Override PartName="/xl/worksheets/sheet69.xml" ContentType="application/vnd.openxmlformats-officedocument.spreadsheetml.worksheet+xml"/>
  <Override PartName="/xl/tables/table66.xml" ContentType="application/vnd.openxmlformats-officedocument.spreadsheetml.table+xml"/>
  <Override PartName="/xl/worksheets/sheet70.xml" ContentType="application/vnd.openxmlformats-officedocument.spreadsheetml.worksheet+xml"/>
  <Override PartName="/xl/tables/table67.xml" ContentType="application/vnd.openxmlformats-officedocument.spreadsheetml.table+xml"/>
  <Override PartName="/xl/worksheets/sheet71.xml" ContentType="application/vnd.openxmlformats-officedocument.spreadsheetml.worksheet+xml"/>
  <Override PartName="/xl/tables/table68.xml" ContentType="application/vnd.openxmlformats-officedocument.spreadsheetml.table+xml"/>
  <Override PartName="/xl/worksheets/sheet72.xml" ContentType="application/vnd.openxmlformats-officedocument.spreadsheetml.worksheet+xml"/>
  <Override PartName="/xl/tables/table69.xml" ContentType="application/vnd.openxmlformats-officedocument.spreadsheetml.table+xml"/>
  <Override PartName="/xl/worksheets/sheet73.xml" ContentType="application/vnd.openxmlformats-officedocument.spreadsheetml.worksheet+xml"/>
  <Override PartName="/xl/tables/table70.xml" ContentType="application/vnd.openxmlformats-officedocument.spreadsheetml.table+xml"/>
  <Override PartName="/xl/worksheets/sheet74.xml" ContentType="application/vnd.openxmlformats-officedocument.spreadsheetml.worksheet+xml"/>
  <Override PartName="/xl/tables/table71.xml" ContentType="application/vnd.openxmlformats-officedocument.spreadsheetml.table+xml"/>
  <Override PartName="/xl/worksheets/sheet75.xml" ContentType="application/vnd.openxmlformats-officedocument.spreadsheetml.worksheet+xml"/>
  <Override PartName="/xl/tables/table72.xml" ContentType="application/vnd.openxmlformats-officedocument.spreadsheetml.table+xml"/>
  <Override PartName="/xl/worksheets/sheet76.xml" ContentType="application/vnd.openxmlformats-officedocument.spreadsheetml.worksheet+xml"/>
  <Override PartName="/xl/tables/table73.xml" ContentType="application/vnd.openxmlformats-officedocument.spreadsheetml.table+xml"/>
  <Override PartName="/xl/worksheets/sheet77.xml" ContentType="application/vnd.openxmlformats-officedocument.spreadsheetml.worksheet+xml"/>
  <Override PartName="/xl/tables/table74.xml" ContentType="application/vnd.openxmlformats-officedocument.spreadsheetml.table+xml"/>
  <Override PartName="/xl/worksheets/sheet78.xml" ContentType="application/vnd.openxmlformats-officedocument.spreadsheetml.worksheet+xml"/>
  <Override PartName="/xl/tables/table75.xml" ContentType="application/vnd.openxmlformats-officedocument.spreadsheetml.table+xml"/>
  <Override PartName="/xl/worksheets/sheet7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29134692b1344b4" /></Relationships>
</file>

<file path=xl/workbook.xml><?xml version="1.0" encoding="utf-8"?>
<x:workbook xmlns:x="http://schemas.openxmlformats.org/spreadsheetml/2006/main">
  <x:sheets>
    <x:sheet xmlns:r="http://schemas.openxmlformats.org/officeDocument/2006/relationships" name="00_ACCUEIL" sheetId="1" r:id="Rbf5f402cdacc4e79"/>
    <x:sheet xmlns:r="http://schemas.openxmlformats.org/officeDocument/2006/relationships" name="01_PARAMETRES" sheetId="2" r:id="R964cce89653040bd"/>
    <x:sheet xmlns:r="http://schemas.openxmlformats.org/officeDocument/2006/relationships" name="02_REFERENTIELS" sheetId="3" r:id="R61be27ff9ad443a3"/>
    <x:sheet xmlns:r="http://schemas.openxmlformats.org/officeDocument/2006/relationships" name="03_SOURCES_DONNEES" sheetId="4" r:id="R48fced80cea2461c"/>
    <x:sheet xmlns:r="http://schemas.openxmlformats.org/officeDocument/2006/relationships" name="04_TABLEAU_BORD" sheetId="5" r:id="R8247295caa544555"/>
    <x:sheet xmlns:r="http://schemas.openxmlformats.org/officeDocument/2006/relationships" name="05_PROJETS_CLIMAT" sheetId="6" r:id="Rb9461e4a0b2c44ad"/>
    <x:sheet xmlns:r="http://schemas.openxmlformats.org/officeDocument/2006/relationships" name="06_INDICATEURS_MRV" sheetId="7" r:id="R079efdcb21444b2f"/>
    <x:sheet xmlns:r="http://schemas.openxmlformats.org/officeDocument/2006/relationships" name="07_ACTIONS_CLIMAT" sheetId="8" r:id="R80f41f4b8ac64d01"/>
    <x:sheet xmlns:r="http://schemas.openxmlformats.org/officeDocument/2006/relationships" name="08_INVENTAIRE_GES" sheetId="9" r:id="R9803b400f59941cb"/>
    <x:sheet xmlns:r="http://schemas.openxmlformats.org/officeDocument/2006/relationships" name="09_DONNEES_GES_ACTIVITE" sheetId="10" r:id="R403b7b2eb27f4d7f"/>
    <x:sheet xmlns:r="http://schemas.openxmlformats.org/officeDocument/2006/relationships" name="10_FACTEURS_EMISSION" sheetId="11" r:id="Re9e56d2c827e4f49"/>
    <x:sheet xmlns:r="http://schemas.openxmlformats.org/officeDocument/2006/relationships" name="11_QUALITE_AIR" sheetId="12" r:id="R812e84c1eb974b26"/>
    <x:sheet xmlns:r="http://schemas.openxmlformats.org/officeDocument/2006/relationships" name="12_MOBILITE" sheetId="13" r:id="R2f39937ac0794e8a"/>
    <x:sheet xmlns:r="http://schemas.openxmlformats.org/officeDocument/2006/relationships" name="13_ENERGIE" sheetId="14" r:id="Rd200dfcc739e4b6e"/>
    <x:sheet xmlns:r="http://schemas.openxmlformats.org/officeDocument/2006/relationships" name="14_DECHETS" sheetId="15" r:id="R097744d28fa946c7"/>
    <x:sheet xmlns:r="http://schemas.openxmlformats.org/officeDocument/2006/relationships" name="15_PARTIES_PRENANTES" sheetId="16" r:id="Rc96480378e2346ff"/>
    <x:sheet xmlns:r="http://schemas.openxmlformats.org/officeDocument/2006/relationships" name="16_BUDGETS" sheetId="17" r:id="Rfbae3025b14e44e2"/>
    <x:sheet xmlns:r="http://schemas.openxmlformats.org/officeDocument/2006/relationships" name="17_FINANCEMENTS" sheetId="18" r:id="Rfd15cddb657a4a8c"/>
    <x:sheet xmlns:r="http://schemas.openxmlformats.org/officeDocument/2006/relationships" name="18_RISQUES_HYPOTHESES" sheetId="19" r:id="Re031416fb809418d"/>
    <x:sheet xmlns:r="http://schemas.openxmlformats.org/officeDocument/2006/relationships" name="19_QA_QC" sheetId="20" r:id="Raaf1ba43e5864ea3"/>
    <x:sheet xmlns:r="http://schemas.openxmlformats.org/officeDocument/2006/relationships" name="20_MAPPING_REPORTING" sheetId="21" r:id="Ra02ee8435d20441f"/>
    <x:sheet xmlns:r="http://schemas.openxmlformats.org/officeDocument/2006/relationships" name="21_RAPPORT_CDP_ICLEI" sheetId="22" r:id="Radedd12d7ccd4ad6"/>
    <x:sheet xmlns:r="http://schemas.openxmlformats.org/officeDocument/2006/relationships" name="22_RAPPORT_C40" sheetId="23" r:id="R09c86346d7ef472f"/>
    <x:sheet xmlns:r="http://schemas.openxmlformats.org/officeDocument/2006/relationships" name="23_RAPPORT_COMSSA" sheetId="24" r:id="Re0b86677e816429e"/>
    <x:sheet xmlns:r="http://schemas.openxmlformats.org/officeDocument/2006/relationships" name="24_RAPPORT_CDN" sheetId="25" r:id="Rf98b5b5c445c48c7"/>
    <x:sheet xmlns:r="http://schemas.openxmlformats.org/officeDocument/2006/relationships" name="25_JOURNAL_MODIFS" sheetId="26" r:id="R90271c3044384a98"/>
    <x:sheet xmlns:r="http://schemas.openxmlformats.org/officeDocument/2006/relationships" name="26_AUDIT_EXPERT" sheetId="27" r:id="Ra2daa57b479a4c56"/>
    <x:sheet xmlns:r="http://schemas.openxmlformats.org/officeDocument/2006/relationships" name="27_CONFORMITE_CADRES" sheetId="28" r:id="R18c41446fad94787"/>
    <x:sheet xmlns:r="http://schemas.openxmlformats.org/officeDocument/2006/relationships" name="28_TRAJECTOIRES_CIBLES" sheetId="29" r:id="R352293f67c7d4c20"/>
    <x:sheet xmlns:r="http://schemas.openxmlformats.org/officeDocument/2006/relationships" name="29_RISQUES_CLIMATIQUES" sheetId="30" r:id="R89410b847455460d"/>
    <x:sheet xmlns:r="http://schemas.openxmlformats.org/officeDocument/2006/relationships" name="30_ACTIFS_EXPOSITION" sheetId="31" r:id="Rb4eac72bcba641ec"/>
    <x:sheet xmlns:r="http://schemas.openxmlformats.org/officeDocument/2006/relationships" name="31_PIPELINE_BANCABLE" sheetId="32" r:id="Radefb66e78854106"/>
    <x:sheet xmlns:r="http://schemas.openxmlformats.org/officeDocument/2006/relationships" name="32_READINESS_FINANCE" sheetId="33" r:id="Ra05d8aeecf4948e9"/>
    <x:sheet xmlns:r="http://schemas.openxmlformats.org/officeDocument/2006/relationships" name="33_COBENEFICES_JUSTICE" sheetId="34" r:id="Ra934951d328a442f"/>
    <x:sheet xmlns:r="http://schemas.openxmlformats.org/officeDocument/2006/relationships" name="34_REGISTRE_PREUVES_MRV" sheetId="35" r:id="R4be8da92a9fe432c"/>
    <x:sheet xmlns:r="http://schemas.openxmlformats.org/officeDocument/2006/relationships" name="35_PLAN_DONNEES" sheetId="36" r:id="R77f056b5db5c4362"/>
    <x:sheet xmlns:r="http://schemas.openxmlformats.org/officeDocument/2006/relationships" name="36_PASSATION_MARCHES" sheetId="37" r:id="Raf858f2bc90348ed"/>
    <x:sheet xmlns:r="http://schemas.openxmlformats.org/officeDocument/2006/relationships" name="37_ACCES_ENERGIE_SEACAP" sheetId="38" r:id="R57db8f8bbee047c8"/>
    <x:sheet xmlns:r="http://schemas.openxmlformats.org/officeDocument/2006/relationships" name="38_INDICATEURS_INTL" sheetId="39" r:id="R15a6f15b2fd34c02"/>
    <x:sheet xmlns:r="http://schemas.openxmlformats.org/officeDocument/2006/relationships" name="39_DASHBOARD_V2" sheetId="40" r:id="Re8eefee883554c47"/>
    <x:sheet xmlns:r="http://schemas.openxmlformats.org/officeDocument/2006/relationships" name="40_SOURCES_INTL" sheetId="41" r:id="R226f8d31ea414579"/>
    <x:sheet xmlns:r="http://schemas.openxmlformats.org/officeDocument/2006/relationships" name="00_Formulaire_Saisie" sheetId="42" r:id="R19648df8c4584517"/>
    <x:sheet xmlns:r="http://schemas.openxmlformats.org/officeDocument/2006/relationships" name="01_Form_Temperature" sheetId="43" r:id="R15062236ed7d45aa"/>
    <x:sheet xmlns:r="http://schemas.openxmlformats.org/officeDocument/2006/relationships" name="02_Form_Pluviometrie" sheetId="44" r:id="R9656653ef3fa4bd6"/>
    <x:sheet xmlns:r="http://schemas.openxmlformats.org/officeDocument/2006/relationships" name="03_Form_Electricite" sheetId="45" r:id="Reb90a3db6b2c4278"/>
    <x:sheet xmlns:r="http://schemas.openxmlformats.org/officeDocument/2006/relationships" name="04_Form_Dechets" sheetId="46" r:id="R6c9ab559178a4fe6"/>
    <x:sheet xmlns:r="http://schemas.openxmlformats.org/officeDocument/2006/relationships" name="05_Form_Qualite_Air" sheetId="47" r:id="Ref00d52f13a444fc"/>
    <x:sheet xmlns:r="http://schemas.openxmlformats.org/officeDocument/2006/relationships" name="06_Form_Emissions_GES" sheetId="48" r:id="R08593c93598a4e98"/>
    <x:sheet xmlns:r="http://schemas.openxmlformats.org/officeDocument/2006/relationships" name="07_Form_Mobilite" sheetId="49" r:id="R67306ce5fef446f5"/>
    <x:sheet xmlns:r="http://schemas.openxmlformats.org/officeDocument/2006/relationships" name="08_Form_Erosion_Cotiere" sheetId="50" r:id="R892aa1eb3d9b4d32"/>
    <x:sheet xmlns:r="http://schemas.openxmlformats.org/officeDocument/2006/relationships" name="09_Form_Projets_Climat" sheetId="51" r:id="Rcd777a5b41244bd0"/>
    <x:sheet xmlns:r="http://schemas.openxmlformats.org/officeDocument/2006/relationships" name="10_Form_Finance_Climat" sheetId="52" r:id="Re8af2c0033c94aa9"/>
    <x:sheet xmlns:r="http://schemas.openxmlformats.org/officeDocument/2006/relationships" name="Data_Formulaire_Central" sheetId="53" r:id="R3802e62f6a4d4f00"/>
    <x:sheet xmlns:r="http://schemas.openxmlformats.org/officeDocument/2006/relationships" name="Data_Temperature" sheetId="54" r:id="Raeab8d4df0e64951"/>
    <x:sheet xmlns:r="http://schemas.openxmlformats.org/officeDocument/2006/relationships" name="Data_Pluviometrie" sheetId="55" r:id="R6f1f7c82b8cd4f73"/>
    <x:sheet xmlns:r="http://schemas.openxmlformats.org/officeDocument/2006/relationships" name="Data_Electricite" sheetId="56" r:id="R1c93b29e17034045"/>
    <x:sheet xmlns:r="http://schemas.openxmlformats.org/officeDocument/2006/relationships" name="Data_Dechets" sheetId="57" r:id="R40b40a02aac34db2"/>
    <x:sheet xmlns:r="http://schemas.openxmlformats.org/officeDocument/2006/relationships" name="Data_Qualite_Air" sheetId="58" r:id="R3f8ddbd5bf004861"/>
    <x:sheet xmlns:r="http://schemas.openxmlformats.org/officeDocument/2006/relationships" name="Data_Emissions_GES" sheetId="59" r:id="Rf67d1da998ed41a1"/>
    <x:sheet xmlns:r="http://schemas.openxmlformats.org/officeDocument/2006/relationships" name="Data_Mobilite" sheetId="60" r:id="R4a213cb57c554e4f"/>
    <x:sheet xmlns:r="http://schemas.openxmlformats.org/officeDocument/2006/relationships" name="Data_Erosion_Cotiere" sheetId="61" r:id="Rafecdd26bc6546a2"/>
    <x:sheet xmlns:r="http://schemas.openxmlformats.org/officeDocument/2006/relationships" name="Data_Projets_Climat" sheetId="62" r:id="R0a2a48f7c30e407c"/>
    <x:sheet xmlns:r="http://schemas.openxmlformats.org/officeDocument/2006/relationships" name="Data_Finance_Climat" sheetId="63" r:id="R64532eedd047484d"/>
    <x:sheet xmlns:r="http://schemas.openxmlformats.org/officeDocument/2006/relationships" name="Tableau_de_bord" sheetId="64" r:id="R33bde9abc6ed4be2"/>
    <x:sheet xmlns:r="http://schemas.openxmlformats.org/officeDocument/2006/relationships" name="Inventaire_GES" sheetId="65" r:id="Rc3a813d44a344a14"/>
    <x:sheet xmlns:r="http://schemas.openxmlformats.org/officeDocument/2006/relationships" name="Donnees_Climatiques" sheetId="66" r:id="R53a31cc5dd2d4da7"/>
    <x:sheet xmlns:r="http://schemas.openxmlformats.org/officeDocument/2006/relationships" name="Qualite_Air" sheetId="67" r:id="Rd500aaee7cd9425c"/>
    <x:sheet xmlns:r="http://schemas.openxmlformats.org/officeDocument/2006/relationships" name="Energie" sheetId="68" r:id="Rc9916f91bbd54642"/>
    <x:sheet xmlns:r="http://schemas.openxmlformats.org/officeDocument/2006/relationships" name="Dechets" sheetId="69" r:id="R1ab95ad033af48b6"/>
    <x:sheet xmlns:r="http://schemas.openxmlformats.org/officeDocument/2006/relationships" name="Mobilite" sheetId="70" r:id="Ra8008be443a84456"/>
    <x:sheet xmlns:r="http://schemas.openxmlformats.org/officeDocument/2006/relationships" name="Risques_Climatiques" sheetId="71" r:id="R4af74381245d4a03"/>
    <x:sheet xmlns:r="http://schemas.openxmlformats.org/officeDocument/2006/relationships" name="Reporting_CDP_C40_ICLEI" sheetId="72" r:id="R0658a2c546594de0"/>
    <x:sheet xmlns:r="http://schemas.openxmlformats.org/officeDocument/2006/relationships" name="Contribution_CDN_2_0" sheetId="73" r:id="Re14a2b143e044f85"/>
    <x:sheet xmlns:r="http://schemas.openxmlformats.org/officeDocument/2006/relationships" name="41_DASHBOARD_FORMS" sheetId="74" r:id="Rcaadcf74ee95413d"/>
    <x:sheet xmlns:r="http://schemas.openxmlformats.org/officeDocument/2006/relationships" name="42_CONTROLE_QUALITE" sheetId="75" r:id="Rbffc638657fb47fe"/>
    <x:sheet xmlns:r="http://schemas.openxmlformats.org/officeDocument/2006/relationships" name="43_MODE_EMPLOI" sheetId="76" r:id="R5574ecc9928849c7"/>
    <x:sheet xmlns:r="http://schemas.openxmlformats.org/officeDocument/2006/relationships" name="44_FLUX_DONNEES" sheetId="77" r:id="R6873235ef5694bac"/>
    <x:sheet xmlns:r="http://schemas.openxmlformats.org/officeDocument/2006/relationships" name="45_DONNEES_PRIORITAIRES" sheetId="78" r:id="Rdcdc58c94df44f80"/>
    <x:sheet xmlns:r="http://schemas.openxmlformats.org/officeDocument/2006/relationships" name="46_GRAPHIQUES_AUTO" sheetId="79" r:id="Re7f2b2cb65c34f12"/>
  </x:sheets>
</x:workbook>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yyyy-mm-dd"/>
    <x:numFmt numFmtId="201" formatCode="0%"/>
    <x:numFmt numFmtId="202" formatCode="#,##0 [$XOF]"/>
    <x:numFmt numFmtId="203" formatCode="#,##0"/>
    <x:numFmt numFmtId="204" formatCode="0.00"/>
    <x:numFmt numFmtId="205" formatCode="#,##0.00"/>
    <x:numFmt numFmtId="206" formatCode="0.000000"/>
    <x:numFmt numFmtId="207" formatCode="0.000"/>
    <x:numFmt numFmtId="208" formatCode="0.0"/>
    <x:numFmt numFmtId="209" formatCode="#,##0.0"/>
    <x:numFmt numFmtId="210" formatCode="0"/>
    <x:numFmt numFmtId="211" formatCode="0.0000"/>
    <x:numFmt numFmtId="212" formatCode="#,##0.0000"/>
  </x:numFmts>
  <x:fonts count="11">
    <x:font>
      <x:sz val="11"/>
      <x:name val="Carlito"/>
    </x:font>
    <x:font>
      <x:b/>
      <x:sz val="15"/>
      <x:color rgb="FFFFFFFF"/>
      <x:name val="Carlito"/>
    </x:font>
    <x:font>
      <x:i/>
      <x:sz val="11"/>
      <x:color rgb="FF334155"/>
      <x:name val="Carlito"/>
    </x:font>
    <x:font>
      <x:b/>
      <x:sz val="11"/>
      <x:color rgb="FFFFFFFF"/>
      <x:name val="Carlito"/>
    </x:font>
    <x:font>
      <x:sz val="11"/>
      <x:color rgb="FF334155"/>
      <x:name val="Carlito"/>
    </x:font>
    <x:font>
      <x:sz val="11"/>
      <x:color rgb="FF111827"/>
      <x:name val="Carlito"/>
    </x:font>
    <x:font>
      <x:b/>
      <x:sz val="11"/>
      <x:color rgb="FF334155"/>
      <x:name val="Carlito"/>
    </x:font>
    <x:font>
      <x:b/>
      <x:sz val="14"/>
      <x:color rgb="FF0B1F33"/>
      <x:name val="Carlito"/>
    </x:font>
    <x:font>
      <x:b/>
      <x:sz val="11"/>
      <x:color rgb="FF0B1F33"/>
      <x:name val="Carlito"/>
    </x:font>
    <x:font>
      <x:b/>
      <x:sz val="13"/>
      <x:color rgb="FFFFFFFF"/>
      <x:name val="Carlito"/>
    </x:font>
    <x:font>
      <x:b/>
      <x:sz val="11"/>
      <x:color rgb="FF92400E"/>
      <x:name val="Carlito"/>
    </x:font>
  </x:fonts>
  <x:fills count="21">
    <x:fill>
      <x:patternFill patternType="none"/>
    </x:fill>
    <x:fill>
      <x:patternFill patternType="gray125"/>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FFF7E6"/>
      </x:patternFill>
    </x:fill>
    <x:fill>
      <x:patternFill patternType="solid">
        <x:fgColor rgb="FFEAF2FF"/>
      </x:patternFill>
    </x:fill>
    <x:fill>
      <x:patternFill patternType="solid">
        <x:fgColor rgb="FFEAF2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166534"/>
      </x:patternFill>
    </x:fill>
    <x:fill>
      <x:patternFill patternType="solid">
        <x:fgColor rgb="FFF8FAFC"/>
      </x:patternFill>
    </x:fill>
    <x:fill>
      <x:patternFill patternType="solid">
        <x:fgColor rgb="FFEAF2FF"/>
      </x:patternFill>
    </x:fill>
    <x:fill>
      <x:patternFill patternType="solid">
        <x:fgColor rgb="FFFFF7E6"/>
      </x:patternFill>
    </x:fill>
  </x:fills>
  <x:borders count="1">
    <x:border/>
  </x:borders>
  <x:cellStyleXfs count="1">
    <x:xf numFmtId="0" fontId="0" fillId="0" borderId="0"/>
  </x:cellStyleXfs>
  <x:cellXfs count="10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3" fillId="2" borderId="0" xfId="0" applyNumberFormat="1" applyFont="1" applyFill="1" applyBorder="1"/>
    <x:xf numFmtId="0" fontId="3" fillId="4"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200" fontId="5" fillId="5" borderId="0" xfId="0" applyNumberFormat="1" applyFont="1" applyFill="1" applyBorder="1" applyAlignment="1">
      <x:alignment wrapText="1"/>
    </x:xf>
    <x:xf numFmtId="201" fontId="5" fillId="5" borderId="0" xfId="0" applyNumberFormat="1" applyFont="1" applyFill="1" applyBorder="1" applyAlignment="1">
      <x:alignment wrapText="1"/>
    </x:xf>
    <x:xf numFmtId="202" fontId="5" fillId="5" borderId="0" xfId="0" applyNumberFormat="1" applyFont="1" applyFill="1" applyBorder="1" applyAlignment="1">
      <x:alignment wrapText="1"/>
    </x:xf>
    <x:xf numFmtId="203" fontId="5" fillId="5" borderId="0" xfId="0" applyNumberFormat="1" applyFont="1" applyFill="1" applyBorder="1" applyAlignment="1">
      <x:alignment wrapText="1"/>
    </x:xf>
    <x:xf numFmtId="204" fontId="5" fillId="5" borderId="0" xfId="0" applyNumberFormat="1" applyFont="1" applyFill="1" applyBorder="1" applyAlignment="1">
      <x:alignment wrapText="1"/>
    </x:xf>
    <x:xf numFmtId="205" fontId="5" fillId="5" borderId="0" xfId="0" applyNumberFormat="1" applyFont="1" applyFill="1" applyBorder="1" applyAlignment="1">
      <x:alignment wrapText="1"/>
    </x:xf>
    <x:xf numFmtId="206" fontId="5" fillId="5" borderId="0" xfId="0" applyNumberFormat="1" applyFont="1" applyFill="1" applyBorder="1" applyAlignment="1">
      <x:alignment wrapText="1"/>
    </x:xf>
    <x:xf numFmtId="207" fontId="5" fillId="5" borderId="0" xfId="0" applyNumberFormat="1" applyFont="1" applyFill="1" applyBorder="1" applyAlignment="1">
      <x:alignment wrapText="1"/>
    </x:xf>
    <x:xf numFmtId="208" fontId="5" fillId="5" borderId="0" xfId="0" applyNumberFormat="1" applyFont="1" applyFill="1" applyBorder="1" applyAlignment="1">
      <x:alignment wrapText="1"/>
    </x:xf>
    <x:xf numFmtId="209" fontId="5" fillId="5" borderId="0" xfId="0" applyNumberFormat="1" applyFont="1" applyFill="1" applyBorder="1" applyAlignment="1">
      <x:alignment wrapText="1"/>
    </x:xf>
    <x:xf numFmtId="0" fontId="6" fillId="5" borderId="0" xfId="0" applyNumberFormat="1" applyFont="1" applyFill="1" applyBorder="1"/>
    <x:xf numFmtId="0" fontId="7" fillId="5" borderId="0" xfId="0" applyNumberFormat="1" applyFont="1" applyFill="1" applyBorder="1"/>
    <x:xf numFmtId="0" fontId="7" fillId="0" borderId="0" xfId="0" applyNumberFormat="1" applyFont="1" applyFill="1" applyBorder="1"/>
    <x:xf numFmtId="202" fontId="7" fillId="5" borderId="0" xfId="0" applyNumberFormat="1" applyFont="1" applyFill="1" applyBorder="1"/>
    <x:xf numFmtId="203" fontId="7" fillId="5" borderId="0" xfId="0" applyNumberFormat="1" applyFont="1" applyFill="1" applyBorder="1"/>
    <x:xf numFmtId="0" fontId="0" fillId="4" borderId="0" xfId="0" applyNumberFormat="1" applyFont="1" applyFill="1" applyBorder="1" applyAlignment="1">
      <x:alignment wrapText="1"/>
    </x:xf>
    <x:xf numFmtId="203" fontId="0" fillId="5" borderId="0" xfId="0" applyNumberFormat="1" applyFont="1" applyFill="1" applyBorder="1" applyAlignment="1">
      <x:alignment wrapText="1"/>
    </x:xf>
    <x:xf numFmtId="202" fontId="0" fillId="5" borderId="0" xfId="0" applyNumberFormat="1" applyFont="1" applyFill="1" applyBorder="1" applyAlignment="1">
      <x:alignment wrapText="1"/>
    </x:xf>
    <x:xf numFmtId="0" fontId="0" fillId="5" borderId="0" xfId="0" applyNumberFormat="1" applyFont="1" applyFill="1" applyBorder="1" applyAlignment="1">
      <x:alignment wrapText="0"/>
    </x:xf>
    <x:xf numFmtId="203" fontId="0" fillId="5" borderId="0" xfId="0" applyNumberFormat="1" applyFont="1" applyFill="1" applyBorder="1" applyAlignment="1">
      <x:alignment wrapText="0"/>
    </x:xf>
    <x:xf numFmtId="201" fontId="0" fillId="5" borderId="0" xfId="0" applyNumberFormat="1" applyFont="1" applyFill="1" applyBorder="1" applyAlignment="1">
      <x:alignment wrapText="0"/>
    </x:xf>
    <x:xf numFmtId="202" fontId="0" fillId="5" borderId="0" xfId="0" applyNumberFormat="1" applyFont="1" applyFill="1" applyBorder="1" applyAlignment="1">
      <x:alignment wrapText="0"/>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8"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0" fillId="12" borderId="0" xfId="0" applyNumberFormat="1" applyFont="1" applyFill="1" applyBorder="1" applyAlignment="1">
      <x:alignment wrapText="1"/>
    </x:xf>
    <x:xf numFmtId="200" fontId="0" fillId="12" borderId="0" xfId="0" applyNumberFormat="1" applyFont="1" applyFill="1" applyBorder="1" applyAlignment="1">
      <x:alignment wrapText="1"/>
    </x:xf>
    <x:xf numFmtId="203" fontId="0" fillId="12" borderId="0" xfId="0" applyNumberFormat="1" applyFont="1" applyFill="1" applyBorder="1" applyAlignment="1">
      <x:alignment wrapText="1"/>
    </x:xf>
    <x:xf numFmtId="201" fontId="0" fillId="12" borderId="0" xfId="0" applyNumberFormat="1" applyFont="1" applyFill="1" applyBorder="1" applyAlignment="1">
      <x:alignment wrapText="1"/>
    </x:xf>
    <x:xf numFmtId="207" fontId="0" fillId="12" borderId="0" xfId="0" applyNumberFormat="1" applyFont="1" applyFill="1" applyBorder="1" applyAlignment="1">
      <x:alignment wrapText="1"/>
    </x:xf>
    <x:xf numFmtId="202" fontId="0" fillId="12" borderId="0" xfId="0" applyNumberFormat="1" applyFont="1" applyFill="1" applyBorder="1" applyAlignment="1">
      <x:alignment wrapText="1"/>
    </x:xf>
    <x:xf numFmtId="210" fontId="0" fillId="12" borderId="0" xfId="0" applyNumberFormat="1" applyFont="1" applyFill="1" applyBorder="1" applyAlignment="1">
      <x:alignment wrapText="1"/>
    </x:xf>
    <x:xf numFmtId="201" fontId="0" fillId="0" borderId="0" xfId="0" applyNumberFormat="1" applyFont="1" applyFill="1" applyBorder="1"/>
    <x:xf numFmtId="201" fontId="0" fillId="12" borderId="0" xfId="0" applyNumberFormat="1" applyFont="1" applyFill="1" applyBorder="1"/>
    <x:xf numFmtId="0" fontId="8" fillId="12" borderId="0" xfId="0" applyNumberFormat="1" applyFont="1" applyFill="1" applyBorder="1"/>
    <x:xf numFmtId="201" fontId="8"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0" fillId="16" borderId="0" xfId="0" applyNumberFormat="1" applyFont="1" applyFill="1" applyBorder="1"/>
    <x:xf numFmtId="0" fontId="0" fillId="16" borderId="0" xfId="0" applyNumberFormat="1" applyFont="1" applyFill="1" applyBorder="1" applyAlignment="1">
      <x:alignment wrapText="1"/>
    </x:xf>
    <x:xf numFmtId="205" fontId="0" fillId="16" borderId="0" xfId="0" applyNumberFormat="1" applyFont="1" applyFill="1" applyBorder="1" applyAlignment="1">
      <x:alignment wrapText="1"/>
    </x:xf>
    <x:xf numFmtId="200" fontId="0" fillId="16" borderId="0" xfId="0" applyNumberFormat="1" applyFont="1" applyFill="1" applyBorder="1" applyAlignment="1">
      <x:alignment wrapText="1"/>
    </x:xf>
    <x:xf numFmtId="208" fontId="0" fillId="16" borderId="0" xfId="0" applyNumberFormat="1" applyFont="1" applyFill="1" applyBorder="1" applyAlignment="1">
      <x:alignment wrapText="1"/>
    </x:xf>
    <x:xf numFmtId="209" fontId="0" fillId="16" borderId="0" xfId="0" applyNumberFormat="1" applyFont="1" applyFill="1" applyBorder="1" applyAlignment="1">
      <x:alignment wrapText="1"/>
    </x:xf>
    <x:xf numFmtId="203" fontId="0" fillId="16" borderId="0" xfId="0" applyNumberFormat="1" applyFont="1" applyFill="1" applyBorder="1" applyAlignment="1">
      <x:alignment wrapText="1"/>
    </x:xf>
    <x:xf numFmtId="211" fontId="0" fillId="16" borderId="0" xfId="0" applyNumberFormat="1" applyFont="1" applyFill="1" applyBorder="1" applyAlignment="1">
      <x:alignment wrapText="1"/>
    </x:xf>
    <x:xf numFmtId="212" fontId="0" fillId="16" borderId="0" xfId="0" applyNumberFormat="1" applyFont="1" applyFill="1" applyBorder="1" applyAlignment="1">
      <x:alignment wrapText="1"/>
    </x:xf>
    <x:xf numFmtId="201" fontId="0"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3" borderId="0" xfId="0" applyNumberFormat="1" applyFont="1" applyFill="1" applyBorder="1"/>
    <x:xf numFmtId="0" fontId="3" fillId="13" borderId="0" xfId="0" applyNumberFormat="1" applyFont="1" applyFill="1" applyBorder="1" applyAlignment="1">
      <x:alignment wrapText="1"/>
    </x:xf>
    <x:xf numFmtId="0" fontId="0" fillId="18" borderId="0" xfId="0" applyNumberFormat="1" applyFont="1" applyFill="1" applyBorder="1"/>
    <x:xf numFmtId="0" fontId="0" fillId="18" borderId="0" xfId="0" applyNumberFormat="1" applyFont="1" applyFill="1" applyBorder="1" applyAlignment="1">
      <x:alignment wrapText="1"/>
    </x:xf>
    <x:xf numFmtId="0" fontId="0" fillId="13" borderId="0" xfId="0" applyNumberFormat="1" applyFont="1" applyFill="1" applyBorder="1" applyAlignment="1">
      <x:alignment wrapText="1"/>
    </x:xf>
    <x:xf numFmtId="0" fontId="9" fillId="13" borderId="0" xfId="0" applyNumberFormat="1" applyFont="1" applyFill="1" applyBorder="1" applyAlignment="1">
      <x:alignment wrapText="1"/>
    </x:xf>
    <x:xf numFmtId="0" fontId="0" fillId="19" borderId="0" xfId="0" applyNumberFormat="1" applyFont="1" applyFill="1" applyBorder="1" applyAlignment="1">
      <x:alignment wrapText="1"/>
    </x:xf>
    <x:xf numFmtId="0" fontId="0" fillId="19" borderId="0" xfId="0" applyNumberFormat="1" applyFont="1" applyFill="1" applyBorder="1"/>
    <x:xf numFmtId="0" fontId="8" fillId="19" borderId="0" xfId="0" applyNumberFormat="1" applyFont="1" applyFill="1" applyBorder="1" applyAlignment="1">
      <x:alignment wrapText="1"/>
    </x:xf>
    <x:xf numFmtId="0" fontId="8" fillId="19" borderId="0" xfId="0" applyNumberFormat="1" applyFont="1" applyFill="1" applyBorder="1"/>
    <x:xf numFmtId="0" fontId="8" fillId="16" borderId="0" xfId="0" applyNumberFormat="1" applyFont="1" applyFill="1" applyBorder="1" applyAlignment="1">
      <x:alignment wrapText="1"/>
    </x:xf>
    <x:xf numFmtId="0" fontId="6" fillId="16" borderId="0" xfId="0" applyNumberFormat="1" applyFont="1" applyFill="1" applyBorder="1" applyAlignment="1">
      <x:alignment wrapText="1"/>
    </x:xf>
    <x:xf numFmtId="0" fontId="0" fillId="20" borderId="0" xfId="0" applyNumberFormat="1" applyFont="1" applyFill="1" applyBorder="1" applyAlignment="1">
      <x:alignment wrapText="1"/>
    </x:xf>
    <x:xf numFmtId="0" fontId="0" fillId="20" borderId="0" xfId="0" applyNumberFormat="1" applyFont="1" applyFill="1" applyBorder="1"/>
    <x:xf numFmtId="0" fontId="10" fillId="20" borderId="0" xfId="0" applyNumberFormat="1" applyFont="1" applyFill="1" applyBorder="1" applyAlignment="1">
      <x:alignment wrapText="1"/>
    </x:xf>
    <x:xf numFmtId="0" fontId="10" fillId="20" borderId="0" xfId="0" applyNumberFormat="1" applyFont="1" applyFill="1" applyBorder="1"/>
  </x:cellXfs>
  <x:cellStyles count="1">
    <x:cellStyle name="Normal" xfId="0"/>
  </x:cellStyles>
  <x:dxfs count="277">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5d79c5effc45bd" /><Relationship Type="http://schemas.openxmlformats.org/officeDocument/2006/relationships/theme" Target="/xl/theme/theme1.xml" Id="R3ee3c00afda0445a" /><Relationship Type="http://schemas.openxmlformats.org/officeDocument/2006/relationships/sharedStrings" Target="/xl/sharedStrings.xml" Id="Raa2f8ac33c2c4721" /><Relationship Type="http://schemas.openxmlformats.org/officeDocument/2006/relationships/worksheet" Target="/xl/worksheets/sheet1.xml" Id="Rbf5f402cdacc4e79" /><Relationship Type="http://schemas.openxmlformats.org/officeDocument/2006/relationships/worksheet" Target="/xl/worksheets/sheet2.xml" Id="R964cce89653040bd" /><Relationship Type="http://schemas.openxmlformats.org/officeDocument/2006/relationships/worksheet" Target="/xl/worksheets/sheet3.xml" Id="R61be27ff9ad443a3" /><Relationship Type="http://schemas.openxmlformats.org/officeDocument/2006/relationships/worksheet" Target="/xl/worksheets/sheet4.xml" Id="R48fced80cea2461c" /><Relationship Type="http://schemas.openxmlformats.org/officeDocument/2006/relationships/worksheet" Target="/xl/worksheets/sheet5.xml" Id="R8247295caa544555" /><Relationship Type="http://schemas.openxmlformats.org/officeDocument/2006/relationships/worksheet" Target="/xl/worksheets/sheet6.xml" Id="Rb9461e4a0b2c44ad" /><Relationship Type="http://schemas.openxmlformats.org/officeDocument/2006/relationships/worksheet" Target="/xl/worksheets/sheet7.xml" Id="R079efdcb21444b2f" /><Relationship Type="http://schemas.openxmlformats.org/officeDocument/2006/relationships/worksheet" Target="/xl/worksheets/sheet8.xml" Id="R80f41f4b8ac64d01" /><Relationship Type="http://schemas.openxmlformats.org/officeDocument/2006/relationships/worksheet" Target="/xl/worksheets/sheet9.xml" Id="R9803b400f59941cb" /><Relationship Type="http://schemas.openxmlformats.org/officeDocument/2006/relationships/worksheet" Target="/xl/worksheets/sheet10.xml" Id="R403b7b2eb27f4d7f" /><Relationship Type="http://schemas.openxmlformats.org/officeDocument/2006/relationships/worksheet" Target="/xl/worksheets/sheet11.xml" Id="Re9e56d2c827e4f49" /><Relationship Type="http://schemas.openxmlformats.org/officeDocument/2006/relationships/worksheet" Target="/xl/worksheets/sheet12.xml" Id="R812e84c1eb974b26" /><Relationship Type="http://schemas.openxmlformats.org/officeDocument/2006/relationships/worksheet" Target="/xl/worksheets/sheet13.xml" Id="R2f39937ac0794e8a" /><Relationship Type="http://schemas.openxmlformats.org/officeDocument/2006/relationships/worksheet" Target="/xl/worksheets/sheet14.xml" Id="Rd200dfcc739e4b6e" /><Relationship Type="http://schemas.openxmlformats.org/officeDocument/2006/relationships/worksheet" Target="/xl/worksheets/sheet15.xml" Id="R097744d28fa946c7" /><Relationship Type="http://schemas.openxmlformats.org/officeDocument/2006/relationships/worksheet" Target="/xl/worksheets/sheet16.xml" Id="Rc96480378e2346ff" /><Relationship Type="http://schemas.openxmlformats.org/officeDocument/2006/relationships/worksheet" Target="/xl/worksheets/sheet17.xml" Id="Rfbae3025b14e44e2" /><Relationship Type="http://schemas.openxmlformats.org/officeDocument/2006/relationships/worksheet" Target="/xl/worksheets/sheet18.xml" Id="Rfd15cddb657a4a8c" /><Relationship Type="http://schemas.openxmlformats.org/officeDocument/2006/relationships/worksheet" Target="/xl/worksheets/sheet19.xml" Id="Re031416fb809418d" /><Relationship Type="http://schemas.openxmlformats.org/officeDocument/2006/relationships/worksheet" Target="/xl/worksheets/sheet20.xml" Id="Raaf1ba43e5864ea3" /><Relationship Type="http://schemas.openxmlformats.org/officeDocument/2006/relationships/worksheet" Target="/xl/worksheets/sheet21.xml" Id="Ra02ee8435d20441f" /><Relationship Type="http://schemas.openxmlformats.org/officeDocument/2006/relationships/worksheet" Target="/xl/worksheets/sheet22.xml" Id="Radedd12d7ccd4ad6" /><Relationship Type="http://schemas.openxmlformats.org/officeDocument/2006/relationships/worksheet" Target="/xl/worksheets/sheet23.xml" Id="R09c86346d7ef472f" /><Relationship Type="http://schemas.openxmlformats.org/officeDocument/2006/relationships/worksheet" Target="/xl/worksheets/sheet24.xml" Id="Re0b86677e816429e" /><Relationship Type="http://schemas.openxmlformats.org/officeDocument/2006/relationships/worksheet" Target="/xl/worksheets/sheet25.xml" Id="Rf98b5b5c445c48c7" /><Relationship Type="http://schemas.openxmlformats.org/officeDocument/2006/relationships/worksheet" Target="/xl/worksheets/sheet26.xml" Id="R90271c3044384a98" /><Relationship Type="http://schemas.openxmlformats.org/officeDocument/2006/relationships/worksheet" Target="/xl/worksheets/sheet27.xml" Id="Ra2daa57b479a4c56" /><Relationship Type="http://schemas.openxmlformats.org/officeDocument/2006/relationships/worksheet" Target="/xl/worksheets/sheet28.xml" Id="R18c41446fad94787" /><Relationship Type="http://schemas.openxmlformats.org/officeDocument/2006/relationships/worksheet" Target="/xl/worksheets/sheet29.xml" Id="R352293f67c7d4c20" /><Relationship Type="http://schemas.openxmlformats.org/officeDocument/2006/relationships/worksheet" Target="/xl/worksheets/sheet30.xml" Id="R89410b847455460d" /><Relationship Type="http://schemas.openxmlformats.org/officeDocument/2006/relationships/worksheet" Target="/xl/worksheets/sheet31.xml" Id="Rb4eac72bcba641ec" /><Relationship Type="http://schemas.openxmlformats.org/officeDocument/2006/relationships/worksheet" Target="/xl/worksheets/sheet32.xml" Id="Radefb66e78854106" /><Relationship Type="http://schemas.openxmlformats.org/officeDocument/2006/relationships/worksheet" Target="/xl/worksheets/sheet33.xml" Id="Ra05d8aeecf4948e9" /><Relationship Type="http://schemas.openxmlformats.org/officeDocument/2006/relationships/worksheet" Target="/xl/worksheets/sheet34.xml" Id="Ra934951d328a442f" /><Relationship Type="http://schemas.openxmlformats.org/officeDocument/2006/relationships/worksheet" Target="/xl/worksheets/sheet35.xml" Id="R4be8da92a9fe432c" /><Relationship Type="http://schemas.openxmlformats.org/officeDocument/2006/relationships/worksheet" Target="/xl/worksheets/sheet36.xml" Id="R77f056b5db5c4362" /><Relationship Type="http://schemas.openxmlformats.org/officeDocument/2006/relationships/worksheet" Target="/xl/worksheets/sheet37.xml" Id="Raf858f2bc90348ed" /><Relationship Type="http://schemas.openxmlformats.org/officeDocument/2006/relationships/worksheet" Target="/xl/worksheets/sheet38.xml" Id="R57db8f8bbee047c8" /><Relationship Type="http://schemas.openxmlformats.org/officeDocument/2006/relationships/worksheet" Target="/xl/worksheets/sheet39.xml" Id="R15a6f15b2fd34c02" /><Relationship Type="http://schemas.openxmlformats.org/officeDocument/2006/relationships/worksheet" Target="/xl/worksheets/sheet40.xml" Id="Re8eefee883554c47" /><Relationship Type="http://schemas.openxmlformats.org/officeDocument/2006/relationships/worksheet" Target="/xl/worksheets/sheet41.xml" Id="R226f8d31ea414579" /><Relationship Type="http://schemas.openxmlformats.org/officeDocument/2006/relationships/worksheet" Target="/xl/worksheets/sheet42.xml" Id="R19648df8c4584517" /><Relationship Type="http://schemas.openxmlformats.org/officeDocument/2006/relationships/worksheet" Target="/xl/worksheets/sheet43.xml" Id="R15062236ed7d45aa" /><Relationship Type="http://schemas.openxmlformats.org/officeDocument/2006/relationships/worksheet" Target="/xl/worksheets/sheet44.xml" Id="R9656653ef3fa4bd6" /><Relationship Type="http://schemas.openxmlformats.org/officeDocument/2006/relationships/worksheet" Target="/xl/worksheets/sheet45.xml" Id="Reb90a3db6b2c4278" /><Relationship Type="http://schemas.openxmlformats.org/officeDocument/2006/relationships/worksheet" Target="/xl/worksheets/sheet46.xml" Id="R6c9ab559178a4fe6" /><Relationship Type="http://schemas.openxmlformats.org/officeDocument/2006/relationships/worksheet" Target="/xl/worksheets/sheet47.xml" Id="Ref00d52f13a444fc" /><Relationship Type="http://schemas.openxmlformats.org/officeDocument/2006/relationships/worksheet" Target="/xl/worksheets/sheet48.xml" Id="R08593c93598a4e98" /><Relationship Type="http://schemas.openxmlformats.org/officeDocument/2006/relationships/worksheet" Target="/xl/worksheets/sheet49.xml" Id="R67306ce5fef446f5" /><Relationship Type="http://schemas.openxmlformats.org/officeDocument/2006/relationships/worksheet" Target="/xl/worksheets/sheet50.xml" Id="R892aa1eb3d9b4d32" /><Relationship Type="http://schemas.openxmlformats.org/officeDocument/2006/relationships/worksheet" Target="/xl/worksheets/sheet51.xml" Id="Rcd777a5b41244bd0" /><Relationship Type="http://schemas.openxmlformats.org/officeDocument/2006/relationships/worksheet" Target="/xl/worksheets/sheet52.xml" Id="Re8af2c0033c94aa9" /><Relationship Type="http://schemas.openxmlformats.org/officeDocument/2006/relationships/worksheet" Target="/xl/worksheets/sheet53.xml" Id="R3802e62f6a4d4f00" /><Relationship Type="http://schemas.openxmlformats.org/officeDocument/2006/relationships/worksheet" Target="/xl/worksheets/sheet54.xml" Id="Raeab8d4df0e64951" /><Relationship Type="http://schemas.openxmlformats.org/officeDocument/2006/relationships/worksheet" Target="/xl/worksheets/sheet55.xml" Id="R6f1f7c82b8cd4f73" /><Relationship Type="http://schemas.openxmlformats.org/officeDocument/2006/relationships/worksheet" Target="/xl/worksheets/sheet56.xml" Id="R1c93b29e17034045" /><Relationship Type="http://schemas.openxmlformats.org/officeDocument/2006/relationships/worksheet" Target="/xl/worksheets/sheet57.xml" Id="R40b40a02aac34db2" /><Relationship Type="http://schemas.openxmlformats.org/officeDocument/2006/relationships/worksheet" Target="/xl/worksheets/sheet58.xml" Id="R3f8ddbd5bf004861" /><Relationship Type="http://schemas.openxmlformats.org/officeDocument/2006/relationships/worksheet" Target="/xl/worksheets/sheet59.xml" Id="Rf67d1da998ed41a1" /><Relationship Type="http://schemas.openxmlformats.org/officeDocument/2006/relationships/worksheet" Target="/xl/worksheets/sheet60.xml" Id="R4a213cb57c554e4f" /><Relationship Type="http://schemas.openxmlformats.org/officeDocument/2006/relationships/worksheet" Target="/xl/worksheets/sheet61.xml" Id="Rafecdd26bc6546a2" /><Relationship Type="http://schemas.openxmlformats.org/officeDocument/2006/relationships/worksheet" Target="/xl/worksheets/sheet62.xml" Id="R0a2a48f7c30e407c" /><Relationship Type="http://schemas.openxmlformats.org/officeDocument/2006/relationships/worksheet" Target="/xl/worksheets/sheet63.xml" Id="R64532eedd047484d" /><Relationship Type="http://schemas.openxmlformats.org/officeDocument/2006/relationships/worksheet" Target="/xl/worksheets/sheet64.xml" Id="R33bde9abc6ed4be2" /><Relationship Type="http://schemas.openxmlformats.org/officeDocument/2006/relationships/worksheet" Target="/xl/worksheets/sheet65.xml" Id="Rc3a813d44a344a14" /><Relationship Type="http://schemas.openxmlformats.org/officeDocument/2006/relationships/worksheet" Target="/xl/worksheets/sheet66.xml" Id="R53a31cc5dd2d4da7" /><Relationship Type="http://schemas.openxmlformats.org/officeDocument/2006/relationships/worksheet" Target="/xl/worksheets/sheet67.xml" Id="Rd500aaee7cd9425c" /><Relationship Type="http://schemas.openxmlformats.org/officeDocument/2006/relationships/worksheet" Target="/xl/worksheets/sheet68.xml" Id="Rc9916f91bbd54642" /><Relationship Type="http://schemas.openxmlformats.org/officeDocument/2006/relationships/worksheet" Target="/xl/worksheets/sheet69.xml" Id="R1ab95ad033af48b6" /><Relationship Type="http://schemas.openxmlformats.org/officeDocument/2006/relationships/worksheet" Target="/xl/worksheets/sheet70.xml" Id="Ra8008be443a84456" /><Relationship Type="http://schemas.openxmlformats.org/officeDocument/2006/relationships/worksheet" Target="/xl/worksheets/sheet71.xml" Id="R4af74381245d4a03" /><Relationship Type="http://schemas.openxmlformats.org/officeDocument/2006/relationships/worksheet" Target="/xl/worksheets/sheet72.xml" Id="R0658a2c546594de0" /><Relationship Type="http://schemas.openxmlformats.org/officeDocument/2006/relationships/worksheet" Target="/xl/worksheets/sheet73.xml" Id="Re14a2b143e044f85" /><Relationship Type="http://schemas.openxmlformats.org/officeDocument/2006/relationships/worksheet" Target="/xl/worksheets/sheet74.xml" Id="Rcaadcf74ee95413d" /><Relationship Type="http://schemas.openxmlformats.org/officeDocument/2006/relationships/worksheet" Target="/xl/worksheets/sheet75.xml" Id="Rbffc638657fb47fe" /><Relationship Type="http://schemas.openxmlformats.org/officeDocument/2006/relationships/worksheet" Target="/xl/worksheets/sheet76.xml" Id="R5574ecc9928849c7" /><Relationship Type="http://schemas.openxmlformats.org/officeDocument/2006/relationships/worksheet" Target="/xl/worksheets/sheet77.xml" Id="R6873235ef5694bac" /><Relationship Type="http://schemas.openxmlformats.org/officeDocument/2006/relationships/worksheet" Target="/xl/worksheets/sheet78.xml" Id="Rdcdc58c94df44f80" /><Relationship Type="http://schemas.openxmlformats.org/officeDocument/2006/relationships/worksheet" Target="/xl/worksheets/sheet79.xml" Id="Re7f2b2cb65c34f12" /><Relationship Type="http://schemas.microsoft.com/office/2017/10/relationships/person" Target="/xl/persons/person.xml" Id="Rf7016d58f1d041ca" /></Relationships>
</file>

<file path=xl/drawings/_rels/drawing1.xml.rels>&#65279;<?xml version="1.0" encoding="utf-8"?><Relationships xmlns="http://schemas.openxmlformats.org/package/2006/relationships"><Relationship Type="http://schemas.openxmlformats.org/officeDocument/2006/relationships/chart" Target="/xl/drawings/charts/chart1.xml" Id="R53cace3e6720425a" /><Relationship Type="http://schemas.openxmlformats.org/officeDocument/2006/relationships/chart" Target="/xl/drawings/charts/chart2.xml" Id="R1629d7d009e04a02" /><Relationship Type="http://schemas.openxmlformats.org/officeDocument/2006/relationships/chart" Target="/xl/drawings/charts/chart3.xml" Id="R691b4b643c0949cf" /><Relationship Type="http://schemas.openxmlformats.org/officeDocument/2006/relationships/chart" Target="/xl/drawings/charts/chart4.xml" Id="R9bf10e4176eb4534" /><Relationship Type="http://schemas.openxmlformats.org/officeDocument/2006/relationships/chart" Target="/xl/drawings/charts/chart5.xml" Id="Ra9efb60d7eed48cd" /><Relationship Type="http://schemas.openxmlformats.org/officeDocument/2006/relationships/chart" Target="/xl/drawings/charts/chart6.xml" Id="R06125dfe7a0c4904" /><Relationship Type="http://schemas.openxmlformats.org/officeDocument/2006/relationships/chart" Target="/xl/drawings/charts/chart7.xml" Id="Re636f03855f4428f" /><Relationship Type="http://schemas.openxmlformats.org/officeDocument/2006/relationships/chart" Target="/xl/drawings/charts/chart8.xml" Id="R327cbc4815c24e3b" /><Relationship Type="http://schemas.openxmlformats.org/officeDocument/2006/relationships/chart" Target="/xl/drawings/charts/chart9.xml" Id="Rebbf236d1b68439e" /><Relationship Type="http://schemas.openxmlformats.org/officeDocument/2006/relationships/chart" Target="/xl/drawings/charts/chart10.xml" Id="Rbab49560fd0440b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Température moyenne mensuelle</a:t>
            </a:r>
          </a:p>
        </c:rich>
      </c:tx>
      <c:overlay val="0"/>
    </c:title>
    <c:autoTitleDeleted val="0"/>
    <c:plotArea>
      <c:layout/>
      <c:lineChart>
        <c:grouping val="standard"/>
        <c:ser>
          <c:idx val="0"/>
          <c:order val="0"/>
          <c:tx>
            <c:v>Température °C</c:v>
          </c:tx>
          <c:cat>
            <c:strRef>
              <c:f>'46_GRAPHIQUES_AUTO'!$A$6:$A$17</c:f>
              <c:strCache>
                <c:ptCount val="0"/>
              </c:strCache>
            </c:strRef>
          </c:cat>
          <c:val>
            <c:numRef>
              <c:f>'46_GRAPHIQUES_AUTO'!$B$6:$B$17</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Pluviométrie mensuelle</a:t>
            </a:r>
          </a:p>
        </c:rich>
      </c:tx>
      <c:overlay val="0"/>
    </c:title>
    <c:autoTitleDeleted val="0"/>
    <c:plotArea>
      <c:layout/>
      <c:lineChart>
        <c:grouping val="standard"/>
        <c:ser>
          <c:idx val="0"/>
          <c:order val="0"/>
          <c:tx>
            <c:v>Pluie mm</c:v>
          </c:tx>
          <c:cat>
            <c:strRef>
              <c:f>'46_GRAPHIQUES_AUTO'!$A$22:$A$33</c:f>
              <c:strCache>
                <c:ptCount val="0"/>
              </c:strCache>
            </c:strRef>
          </c:cat>
          <c:val>
            <c:numRef>
              <c:f>'46_GRAPHIQUES_AUTO'!$B$22:$B$33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Consommation électrique</a:t>
            </a:r>
          </a:p>
        </c:rich>
      </c:tx>
      <c:overlay val="0"/>
    </c:title>
    <c:autoTitleDeleted val="0"/>
    <c:plotArea>
      <c:layout/>
      <c:lineChart>
        <c:grouping val="standard"/>
        <c:ser>
          <c:idx val="0"/>
          <c:order val="0"/>
          <c:tx>
            <c:v>kWh</c:v>
          </c:tx>
          <c:cat>
            <c:strRef>
              <c:f>'46_GRAPHIQUES_AUTO'!$A$38:$A$49</c:f>
              <c:strCache>
                <c:ptCount val="0"/>
              </c:strCache>
            </c:strRef>
          </c:cat>
          <c:val>
            <c:numRef>
              <c:f>'46_GRAPHIQUES_AUTO'!$B$38:$B$49</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Émissions GES annuelles</a:t>
            </a:r>
          </a:p>
        </c:rich>
      </c:tx>
      <c:overlay val="0"/>
    </c:title>
    <c:autoTitleDeleted val="0"/>
    <c:plotArea>
      <c:layout/>
      <c:barChart>
        <c:barDir val="col"/>
        <c:varyColors val="0"/>
        <c:ser>
          <c:idx val="0"/>
          <c:order val="0"/>
          <c:tx>
            <c:v>tCO2e</c:v>
          </c:tx>
          <c:cat>
            <c:strRef>
              <c:f>'46_GRAPHIQUES_AUTO'!$A$54:$A$60</c:f>
              <c:strCache>
                <c:ptCount val="0"/>
              </c:strCache>
            </c:strRef>
          </c:cat>
          <c:val>
            <c:numRef>
              <c:f>'46_GRAPHIQUES_AUTO'!$B$54:$B$60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Déchets collectés</a:t>
            </a:r>
          </a:p>
        </c:rich>
      </c:tx>
      <c:overlay val="0"/>
    </c:title>
    <c:autoTitleDeleted val="0"/>
    <c:plotArea>
      <c:layout/>
      <c:barChart>
        <c:barDir val="col"/>
        <c:varyColors val="0"/>
        <c:ser>
          <c:idx val="0"/>
          <c:order val="0"/>
          <c:tx>
            <c:v>tonnes</c:v>
          </c:tx>
          <c:cat>
            <c:strRef>
              <c:f>'46_GRAPHIQUES_AUTO'!$L$6:$L$17</c:f>
              <c:strCache>
                <c:ptCount val="0"/>
              </c:strCache>
            </c:strRef>
          </c:cat>
          <c:val>
            <c:numRef>
              <c:f>'46_GRAPHIQUES_AUTO'!$M$6:$M$17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Déchets valorisés</a:t>
            </a:r>
          </a:p>
        </c:rich>
      </c:tx>
      <c:overlay val="0"/>
    </c:title>
    <c:autoTitleDeleted val="0"/>
    <c:plotArea>
      <c:layout/>
      <c:barChart>
        <c:barDir val="col"/>
        <c:varyColors val="0"/>
        <c:ser>
          <c:idx val="0"/>
          <c:order val="0"/>
          <c:tx>
            <c:v>tonnes</c:v>
          </c:tx>
          <c:cat>
            <c:strRef>
              <c:f>'46_GRAPHIQUES_AUTO'!$L$22:$L$33</c:f>
              <c:strCache>
                <c:ptCount val="0"/>
              </c:strCache>
            </c:strRef>
          </c:cat>
          <c:val>
            <c:numRef>
              <c:f>'46_GRAPHIQUES_AUTO'!$M$22:$M$33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Indice qualité de l'air</a:t>
            </a:r>
          </a:p>
        </c:rich>
      </c:tx>
      <c:overlay val="0"/>
    </c:title>
    <c:autoTitleDeleted val="0"/>
    <c:plotArea>
      <c:layout/>
      <c:lineChart>
        <c:grouping val="standard"/>
        <c:ser>
          <c:idx val="0"/>
          <c:order val="0"/>
          <c:tx>
            <c:v>indice</c:v>
          </c:tx>
          <c:cat>
            <c:strRef>
              <c:f>'46_GRAPHIQUES_AUTO'!$L$38:$L$49</c:f>
              <c:strCache>
                <c:ptCount val="0"/>
              </c:strCache>
            </c:strRef>
          </c:cat>
          <c:val>
            <c:numRef>
              <c:f>'46_GRAPHIQUES_AUTO'!$M$38:$M$49</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Recul du trait de côte</a:t>
            </a:r>
          </a:p>
        </c:rich>
      </c:tx>
      <c:overlay val="0"/>
    </c:title>
    <c:autoTitleDeleted val="0"/>
    <c:plotArea>
      <c:layout/>
      <c:lineChart>
        <c:grouping val="standard"/>
        <c:ser>
          <c:idx val="0"/>
          <c:order val="0"/>
          <c:tx>
            <c:v>m</c:v>
          </c:tx>
          <c:cat>
            <c:strRef>
              <c:f>'46_GRAPHIQUES_AUTO'!$L$54:$L$65</c:f>
              <c:strCache>
                <c:ptCount val="0"/>
              </c:strCache>
            </c:strRef>
          </c:cat>
          <c:val>
            <c:numRef>
              <c:f>'46_GRAPHIQUES_AUTO'!$M$54:$M$65</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Budget climat mobilisé</a:t>
            </a:r>
          </a:p>
        </c:rich>
      </c:tx>
      <c:overlay val="0"/>
    </c:title>
    <c:autoTitleDeleted val="0"/>
    <c:plotArea>
      <c:layout/>
      <c:barChart>
        <c:barDir val="col"/>
        <c:varyColors val="0"/>
        <c:ser>
          <c:idx val="0"/>
          <c:order val="0"/>
          <c:tx>
            <c:v>FCFA approuvés</c:v>
          </c:tx>
          <c:cat>
            <c:strRef>
              <c:f>'46_GRAPHIQUES_AUTO'!$A$70:$A$81</c:f>
              <c:strCache>
                <c:ptCount val="0"/>
              </c:strCache>
            </c:strRef>
          </c:cat>
          <c:val>
            <c:numRef>
              <c:f>'46_GRAPHIQUES_AUTO'!$B$70:$B$81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Avancement projets climat</a:t>
            </a:r>
          </a:p>
        </c:rich>
      </c:tx>
      <c:overlay val="0"/>
    </c:title>
    <c:autoTitleDeleted val="0"/>
    <c:plotArea>
      <c:layout/>
      <c:barChart>
        <c:barDir val="col"/>
        <c:varyColors val="0"/>
        <c:ser>
          <c:idx val="0"/>
          <c:order val="0"/>
          <c:tx>
            <c:v>Avancement</c:v>
          </c:tx>
          <c:cat>
            <c:strRef>
              <c:f>'46_GRAPHIQUES_AUTO'!$L$70:$L$74</c:f>
              <c:strCache>
                <c:ptCount val="0"/>
              </c:strCache>
            </c:strRef>
          </c:cat>
          <c:val>
            <c:numRef>
              <c:f>'46_GRAPHIQUES_AUTO'!$M$70:$M$74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cace3e6720425a"/>
        </a:graphicData>
      </a:graphic>
    </xdr:graphicFrame>
    <xdr:clientData/>
  </xdr:twoCellAnchor>
  <xdr:twoCellAnchor>
    <xdr:from>
      <xdr:col>5</xdr:col>
      <xdr:colOff>0</xdr:colOff>
      <xdr:row>19</xdr:row>
      <xdr:rowOff>0</xdr:rowOff>
    </xdr:from>
    <xdr:to>
      <xdr:col>11</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629d7d009e04a02"/>
        </a:graphicData>
      </a:graphic>
    </xdr:graphicFrame>
    <xdr:clientData/>
  </xdr:twoCellAnchor>
  <xdr:twoCellAnchor>
    <xdr:from>
      <xdr:col>5</xdr:col>
      <xdr:colOff>0</xdr:colOff>
      <xdr:row>35</xdr:row>
      <xdr:rowOff>0</xdr:rowOff>
    </xdr:from>
    <xdr:to>
      <xdr:col>11</xdr:col>
      <xdr:colOff>0</xdr:colOff>
      <xdr:row>50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1b4b643c0949cf"/>
        </a:graphicData>
      </a:graphic>
    </xdr:graphicFrame>
    <xdr:clientData/>
  </xdr:twoCellAnchor>
  <xdr:twoCellAnchor>
    <xdr:from>
      <xdr:col>5</xdr:col>
      <xdr:colOff>0</xdr:colOff>
      <xdr:row>51</xdr:row>
      <xdr:rowOff>0</xdr:rowOff>
    </xdr:from>
    <xdr:to>
      <xdr:col>11</xdr:col>
      <xdr:colOff>0</xdr:colOff>
      <xdr:row>66</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f10e4176eb4534"/>
        </a:graphicData>
      </a:graphic>
    </xdr:graphicFrame>
    <xdr:clientData/>
  </xdr:twoCellAnchor>
  <xdr:twoCellAnchor>
    <xdr:from>
      <xdr:col>16</xdr:col>
      <xdr:colOff>0</xdr:colOff>
      <xdr:row>3</xdr:row>
      <xdr:rowOff>0</xdr:rowOff>
    </xdr:from>
    <xdr:to>
      <xdr:col>22</xdr:col>
      <xdr:colOff>0</xdr:colOff>
      <xdr:row>18</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9efb60d7eed48cd"/>
        </a:graphicData>
      </a:graphic>
    </xdr:graphicFrame>
    <xdr:clientData/>
  </xdr:twoCellAnchor>
  <xdr:twoCellAnchor>
    <xdr:from>
      <xdr:col>16</xdr:col>
      <xdr:colOff>0</xdr:colOff>
      <xdr:row>19</xdr:row>
      <xdr:rowOff>0</xdr:rowOff>
    </xdr:from>
    <xdr:to>
      <xdr:col>22</xdr:col>
      <xdr:colOff>0</xdr:colOff>
      <xdr:row>34</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125dfe7a0c4904"/>
        </a:graphicData>
      </a:graphic>
    </xdr:graphicFrame>
    <xdr:clientData/>
  </xdr:twoCellAnchor>
  <xdr:twoCellAnchor>
    <xdr:from>
      <xdr:col>16</xdr:col>
      <xdr:colOff>0</xdr:colOff>
      <xdr:row>35</xdr:row>
      <xdr:rowOff>0</xdr:rowOff>
    </xdr:from>
    <xdr:to>
      <xdr:col>22</xdr:col>
      <xdr:colOff>0</xdr:colOff>
      <xdr:row>50</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36f03855f4428f"/>
        </a:graphicData>
      </a:graphic>
    </xdr:graphicFrame>
    <xdr:clientData/>
  </xdr:twoCellAnchor>
  <xdr:twoCellAnchor>
    <xdr:from>
      <xdr:col>16</xdr:col>
      <xdr:colOff>0</xdr:colOff>
      <xdr:row>51</xdr:row>
      <xdr:rowOff>0</xdr:rowOff>
    </xdr:from>
    <xdr:to>
      <xdr:col>22</xdr:col>
      <xdr:colOff>0</xdr:colOff>
      <xdr:row>66</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27cbc4815c24e3b"/>
        </a:graphicData>
      </a:graphic>
    </xdr:graphicFrame>
    <xdr:clientData/>
  </xdr:twoCellAnchor>
  <xdr:twoCellAnchor>
    <xdr:from>
      <xdr:col>5</xdr:col>
      <xdr:colOff>0</xdr:colOff>
      <xdr:row>67</xdr:row>
      <xdr:rowOff>0</xdr:rowOff>
    </xdr:from>
    <xdr:to>
      <xdr:col>11</xdr:col>
      <xdr:colOff>0</xdr:colOff>
      <xdr:row>82</xdr:row>
      <xdr:rowOff>0</xdr:rowOff>
    </xdr:to>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bf236d1b68439e"/>
        </a:graphicData>
      </a:graphic>
    </xdr:graphicFrame>
    <xdr:clientData/>
  </xdr:twoCellAnchor>
  <xdr:twoCellAnchor>
    <xdr:from>
      <xdr:col>16</xdr:col>
      <xdr:colOff>0</xdr:colOff>
      <xdr:row>67</xdr:row>
      <xdr:rowOff>0</xdr:rowOff>
    </xdr:from>
    <xdr:to>
      <xdr:col>22</xdr:col>
      <xdr:colOff>0</xdr:colOff>
      <xdr:row>82</xdr:row>
      <xdr:rowOff>0</xdr:rowOff>
    </xdr:to>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ab49560fd0440b1"/>
        </a:graphicData>
      </a:graphic>
    </xdr:graphicFrame>
    <xdr:clientData/>
  </xdr:twoCellAnchor>
</xdr:wsDr>
</file>

<file path=xl/persons/person.xml><?xml version="1.0" encoding="utf-8"?>
<xltc:personList xmlns:xltc="http://schemas.microsoft.com/office/spreadsheetml/2018/threadedcomments">
  <xltc:person displayName="ChatGPT" id="{923386CD-EBD1-414F-9240-3CF8F51DB654}"/>
</xltc:personList>
</file>

<file path=xl/tables/table1.xml><?xml version="1.0" encoding="utf-8"?>
<x:table xmlns:x="http://schemas.openxmlformats.org/spreadsheetml/2006/main" id="1" name="tblParametres" displayName="tblParametres" ref="A4:N15" headerRowCount="1">
  <x:tableColumns count="14">
    <x:tableColumn id="1" name="Secteurs"/>
    <x:tableColumn id="2" name="Axes climat"/>
    <x:tableColumn id="3" name="Statuts"/>
    <x:tableColumn id="4" name="Niveaux maturite"/>
    <x:tableColumn id="5" name="Priorites"/>
    <x:tableColumn id="6" name="Qualite donnees"/>
    <x:tableColumn id="7" name="Frequences"/>
    <x:tableColumn id="8" name="Cadres reporting"/>
    <x:tableColumn id="9" name="Scopes GES"/>
    <x:tableColumn id="10" name="Gaz"/>
    <x:tableColumn id="11" name="Oui/Non"/>
    <x:tableColumn id="12" name="Statut reporting"/>
    <x:tableColumn id="13" name="Quartiers/Zones"/>
    <x:tableColumn id="14" name="Services municipaux"/>
  </x:tableColumns>
  <x:tableStyleInfo name="TableStyleMedium2" showRowStripes="1"/>
</x:table>
</file>

<file path=xl/tables/table2.xml><?xml version="1.0" encoding="utf-8"?>
<x:table xmlns:x="http://schemas.openxmlformats.org/spreadsheetml/2006/main" id="2" name="tblReferentiels" displayName="tblReferentiels" ref="A4:I44" headerRowCount="1">
  <x:autoFilter ref="A4:I44"/>
  <x:tableColumns count="9">
    <x:tableColumn id="1" name="Ref_ID"/>
    <x:tableColumn id="2" name="Type_referentiel"/>
    <x:tableColumn id="3" name="Code"/>
    <x:tableColumn id="4" name="Libelle"/>
    <x:tableColumn id="5" name="Description"/>
    <x:tableColumn id="6" name="Actif"/>
    <x:tableColumn id="7" name="Source"/>
    <x:tableColumn id="8" name="Derniere_revision"/>
    <x:tableColumn id="9" name="Commentaires"/>
  </x:tableColumns>
  <x:tableStyleInfo name="TableStyleMedium2" showRowStripes="1"/>
</x:table>
</file>

<file path=xl/tables/table3.xml><?xml version="1.0" encoding="utf-8"?>
<x:table xmlns:x="http://schemas.openxmlformats.org/spreadsheetml/2006/main" id="3" name="tblSourcesDonnees" displayName="tblSourcesDonnees" ref="A4:N44" headerRowCount="1">
  <x:autoFilter ref="A4:N44"/>
  <x:tableColumns count="14">
    <x:tableColumn id="1" name="Source_ID"/>
    <x:tableColumn id="2" name="Nom_source"/>
    <x:tableColumn id="3" name="Domaine"/>
    <x:tableColumn id="4" name="Proprietaire"/>
    <x:tableColumn id="5" name="Contact"/>
    <x:tableColumn id="6" name="Frequence"/>
    <x:tableColumn id="7" name="Format"/>
    <x:tableColumn id="8" name="Localisation_fichier"/>
    <x:tableColumn id="9" name="Niveau_qualite"/>
    <x:tableColumn id="10" name="Derniere_MAJ"/>
    <x:tableColumn id="11" name="Prochaine_MAJ"/>
    <x:tableColumn id="12" name="Statut_source"/>
    <x:tableColumn id="13" name="Commentaires"/>
    <x:tableColumn id="14" name="Alerte_MAJ"/>
  </x:tableColumns>
  <x:tableStyleInfo name="TableStyleMedium2" showRowStripes="1"/>
</x:table>
</file>

<file path=xl/tables/table4.xml><?xml version="1.0" encoding="utf-8"?>
<x:table xmlns:x="http://schemas.openxmlformats.org/spreadsheetml/2006/main" id="4" name="tblProjetsClimat" displayName="tblProjetsClimat" ref="A4:AH64" headerRowCount="1">
  <x:autoFilter ref="A4:AH64"/>
  <x:tableColumns count="34">
    <x:tableColumn id="1" name="Project_ID"/>
    <x:tableColumn id="2" name="Nom_projet"/>
    <x:tableColumn id="3" name="Axe_climat"/>
    <x:tableColumn id="4" name="Secteur"/>
    <x:tableColumn id="5" name="Sous_secteur"/>
    <x:tableColumn id="6" name="Type_action"/>
    <x:tableColumn id="7" name="Quartier_zone"/>
    <x:tableColumn id="8" name="Service_responsable"/>
    <x:tableColumn id="9" name="Partenaire_principal"/>
    <x:tableColumn id="10" name="Statut"/>
    <x:tableColumn id="11" name="Niveau_maturite"/>
    <x:tableColumn id="12" name="Priorite"/>
    <x:tableColumn id="13" name="Date_debut"/>
    <x:tableColumn id="14" name="Date_fin_prevue"/>
    <x:tableColumn id="15" name="Avancement_pct"/>
    <x:tableColumn id="16" name="Budget_total_XOF"/>
    <x:tableColumn id="17" name="Budget_engage_XOF"/>
    <x:tableColumn id="18" name="Budget_execute_XOF"/>
    <x:tableColumn id="19" name="Financement_securise_XOF"/>
    <x:tableColumn id="20" name="Besoin_financement_XOF"/>
    <x:tableColumn id="21" name="Emissions_evitees_tCO2e_an"/>
    <x:tableColumn id="22" name="Beneficiaires"/>
    <x:tableColumn id="23" name="Lien_CDN"/>
    <x:tableColumn id="24" name="Lien_CDP"/>
    <x:tableColumn id="25" name="Lien_C40"/>
    <x:tableColumn id="26" name="Lien_ICLEI"/>
    <x:tableColumn id="27" name="Lien_COMSSA"/>
    <x:tableColumn id="28" name="Risque_principal"/>
    <x:tableColumn id="29" name="Prochaine_etape"/>
    <x:tableColumn id="30" name="Date_prochaine_revue"/>
    <x:tableColumn id="31" name="Alerte_retard"/>
    <x:tableColumn id="32" name="Alerte_financement"/>
    <x:tableColumn id="33" name="Alerte_donnees"/>
    <x:tableColumn id="34" name="Commentaires"/>
  </x:tableColumns>
  <x:tableStyleInfo name="TableStyleMedium2" showRowStripes="1"/>
</x:table>
</file>

<file path=xl/tables/table5.xml><?xml version="1.0" encoding="utf-8"?>
<x:table xmlns:x="http://schemas.openxmlformats.org/spreadsheetml/2006/main" id="5" name="tblIndicateursMRV" displayName="tblIndicateursMRV" ref="A4:T44" headerRowCount="1">
  <x:autoFilter ref="A4:T44"/>
  <x:tableColumns count="20">
    <x:tableColumn id="1" name="Indicator_ID"/>
    <x:tableColumn id="2" name="Project_ID"/>
    <x:tableColumn id="3" name="Cadre"/>
    <x:tableColumn id="4" name="Pilier"/>
    <x:tableColumn id="5" name="Secteur"/>
    <x:tableColumn id="6" name="Indicateur"/>
    <x:tableColumn id="7" name="Unite"/>
    <x:tableColumn id="8" name="Baseline_annee"/>
    <x:tableColumn id="9" name="Baseline_valeur"/>
    <x:tableColumn id="10" name="Cible_annee"/>
    <x:tableColumn id="11" name="Cible_valeur"/>
    <x:tableColumn id="12" name="Valeur_actuelle"/>
    <x:tableColumn id="13" name="Date_valeur"/>
    <x:tableColumn id="14" name="Frequence"/>
    <x:tableColumn id="15" name="Responsable"/>
    <x:tableColumn id="16" name="Statut_donnees"/>
    <x:tableColumn id="17" name="Progres_pct"/>
    <x:tableColumn id="18" name="Ecart_cible"/>
    <x:tableColumn id="19" name="Alerte_donnees"/>
    <x:tableColumn id="20" name="Commentaires"/>
  </x:tableColumns>
  <x:tableStyleInfo name="TableStyleMedium2" showRowStripes="1"/>
</x:table>
</file>

<file path=xl/tables/table6.xml><?xml version="1.0" encoding="utf-8"?>
<x:table xmlns:x="http://schemas.openxmlformats.org/spreadsheetml/2006/main" id="6" name="tblActionsClimat" displayName="tblActionsClimat" ref="A4:R44" headerRowCount="1">
  <x:autoFilter ref="A4:R44"/>
  <x:tableColumns count="18">
    <x:tableColumn id="1" name="Action_ID"/>
    <x:tableColumn id="2" name="Project_ID"/>
    <x:tableColumn id="3" name="Action"/>
    <x:tableColumn id="4" name="Type_action"/>
    <x:tableColumn id="5" name="Secteur"/>
    <x:tableColumn id="6" name="Responsable"/>
    <x:tableColumn id="7" name="Statut"/>
    <x:tableColumn id="8" name="Maturite"/>
    <x:tableColumn id="9" name="Priorite"/>
    <x:tableColumn id="10" name="Date_debut"/>
    <x:tableColumn id="11" name="Date_echeance"/>
    <x:tableColumn id="12" name="Realisation_pct"/>
    <x:tableColumn id="13" name="Dependance"/>
    <x:tableColumn id="14" name="Co_benefices"/>
    <x:tableColumn id="15" name="Population_cible"/>
    <x:tableColumn id="16" name="Alerte_retard"/>
    <x:tableColumn id="17" name="Alerte_maturite"/>
    <x:tableColumn id="18" name="Commentaires"/>
  </x:tableColumns>
  <x:tableStyleInfo name="TableStyleMedium2" showRowStripes="1"/>
</x:table>
</file>

<file path=xl/tables/table7.xml><?xml version="1.0" encoding="utf-8"?>
<x:table xmlns:x="http://schemas.openxmlformats.org/spreadsheetml/2006/main" id="7" name="tblInventaireGES" displayName="tblInventaireGES" ref="A4:P44" headerRowCount="1">
  <x:autoFilter ref="A4:P44"/>
  <x:tableColumns count="16">
    <x:tableColumn id="1" name="Inventory_ID"/>
    <x:tableColumn id="2" name="Annee"/>
    <x:tableColumn id="3" name="Perimetre"/>
    <x:tableColumn id="4" name="Secteur_GPC"/>
    <x:tableColumn id="5" name="Sous_secteur_GPC"/>
    <x:tableColumn id="6" name="Scope"/>
    <x:tableColumn id="7" name="Gaz"/>
    <x:tableColumn id="8" name="Emissions_tCO2e"/>
    <x:tableColumn id="9" name="Methode"/>
    <x:tableColumn id="10" name="Niveau_qualite"/>
    <x:tableColumn id="11" name="Source_ID"/>
    <x:tableColumn id="12" name="Responsable"/>
    <x:tableColumn id="13" name="Date_validation"/>
    <x:tableColumn id="14" name="Cadre_inventaire"/>
    <x:tableColumn id="15" name="Commentaires"/>
    <x:tableColumn id="16" name="Alerte_donnees"/>
  </x:tableColumns>
  <x:tableStyleInfo name="TableStyleMedium2" showRowStripes="1"/>
</x:table>
</file>

<file path=xl/tables/table8.xml><?xml version="1.0" encoding="utf-8"?>
<x:table xmlns:x="http://schemas.openxmlformats.org/spreadsheetml/2006/main" id="8" name="tblDonneesActiviteGES" displayName="tblDonneesActiviteGES" ref="A4:Q44" headerRowCount="1">
  <x:autoFilter ref="A4:Q44"/>
  <x:tableColumns count="17">
    <x:tableColumn id="1" name="Activity_ID"/>
    <x:tableColumn id="2" name="Annee"/>
    <x:tableColumn id="3" name="Secteur_GPC"/>
    <x:tableColumn id="4" name="Sous_secteur"/>
    <x:tableColumn id="5" name="Activite"/>
    <x:tableColumn id="6" name="Quantite"/>
    <x:tableColumn id="7" name="Unite"/>
    <x:tableColumn id="8" name="Facteur_ID"/>
    <x:tableColumn id="9" name="Facteur_emission"/>
    <x:tableColumn id="10" name="Unite_facteur"/>
    <x:tableColumn id="11" name="PRG_GWP"/>
    <x:tableColumn id="12" name="Emissions_tCO2e"/>
    <x:tableColumn id="13" name="Source_ID"/>
    <x:tableColumn id="14" name="Qualite"/>
    <x:tableColumn id="15" name="Incertitude_pct"/>
    <x:tableColumn id="16" name="Commentaires"/>
    <x:tableColumn id="17" name="Alerte_donnees"/>
  </x:tableColumns>
  <x:tableStyleInfo name="TableStyleMedium2" showRowStripes="1"/>
</x:table>
</file>

<file path=xl/tables/table9.xml><?xml version="1.0" encoding="utf-8"?>
<x:table xmlns:x="http://schemas.openxmlformats.org/spreadsheetml/2006/main" id="9" name="tblFacteursEmission" displayName="tblFacteursEmission" ref="A4:K104" headerRowCount="1">
  <x:autoFilter ref="A4:K104"/>
  <x:tableColumns count="11">
    <x:tableColumn id="1" name="Facteur_ID"/>
    <x:tableColumn id="2" name="Domaine"/>
    <x:tableColumn id="3" name="Secteur_GPC_IPCC"/>
    <x:tableColumn id="4" name="Source_energie_matiere"/>
    <x:tableColumn id="5" name="Gaz"/>
    <x:tableColumn id="6" name="Facteur_emission"/>
    <x:tableColumn id="7" name="Unite_facteur"/>
    <x:tableColumn id="8" name="PRG_GWP"/>
    <x:tableColumn id="9" name="Source_officielle"/>
    <x:tableColumn id="10" name="Annee"/>
    <x:tableColumn id="11" name="Commentaires"/>
  </x:tableColumns>
  <x:tableStyleInfo name="TableStyleMedium2" showRowStripes="1"/>
</x:table>
</file>

<file path=xl/tables/table10.xml><?xml version="1.0" encoding="utf-8"?>
<x:table xmlns:x="http://schemas.openxmlformats.org/spreadsheetml/2006/main" id="10" name="tblQualiteAir" displayName="tblQualiteAir" ref="A4:P44" headerRowCount="1">
  <x:autoFilter ref="A4:P44"/>
  <x:tableColumns count="16">
    <x:tableColumn id="1" name="Air_ID"/>
    <x:tableColumn id="2" name="Station"/>
    <x:tableColumn id="3" name="Quartier"/>
    <x:tableColumn id="4" name="Latitude"/>
    <x:tableColumn id="5" name="Longitude"/>
    <x:tableColumn id="6" name="Date"/>
    <x:tableColumn id="7" name="Heure"/>
    <x:tableColumn id="8" name="Polluant"/>
    <x:tableColumn id="9" name="Concentration"/>
    <x:tableColumn id="10" name="Unite"/>
    <x:tableColumn id="11" name="Seuil_reference"/>
    <x:tableColumn id="12" name="Source_ID"/>
    <x:tableColumn id="13" name="Qualite_donnee"/>
    <x:tableColumn id="14" name="Depassement"/>
    <x:tableColumn id="15" name="Alerte_donnee"/>
    <x:tableColumn id="16" name="Commentaires"/>
  </x:tableColumns>
  <x:tableStyleInfo name="TableStyleMedium2" showRowStripes="1"/>
</x:table>
</file>

<file path=xl/tables/table11.xml><?xml version="1.0" encoding="utf-8"?>
<x:table xmlns:x="http://schemas.openxmlformats.org/spreadsheetml/2006/main" id="11" name="tblMobilite" displayName="tblMobilite" ref="A4:Q44" headerRowCount="1">
  <x:autoFilter ref="A4:Q44"/>
  <x:tableColumns count="17">
    <x:tableColumn id="1" name="Mobilite_ID"/>
    <x:tableColumn id="2" name="Annee"/>
    <x:tableColumn id="3" name="Mode"/>
    <x:tableColumn id="4" name="Segment"/>
    <x:tableColumn id="5" name="Carburant_energie"/>
    <x:tableColumn id="6" name="Vehicules"/>
    <x:tableColumn id="7" name="Distance_km"/>
    <x:tableColumn id="8" name="Passagers"/>
    <x:tableColumn id="9" name="Voyages"/>
    <x:tableColumn id="10" name="Consommation"/>
    <x:tableColumn id="11" name="Unite_conso"/>
    <x:tableColumn id="12" name="Facteur_ID"/>
    <x:tableColumn id="13" name="Emissions_tCO2e"/>
    <x:tableColumn id="14" name="Part_modale_pct"/>
    <x:tableColumn id="15" name="Source_ID"/>
    <x:tableColumn id="16" name="Qualite"/>
    <x:tableColumn id="17" name="Alerte_donnees"/>
  </x:tableColumns>
  <x:tableStyleInfo name="TableStyleMedium2" showRowStripes="1"/>
</x:table>
</file>

<file path=xl/tables/table12.xml><?xml version="1.0" encoding="utf-8"?>
<x:table xmlns:x="http://schemas.openxmlformats.org/spreadsheetml/2006/main" id="12" name="tblEnergie" displayName="tblEnergie" ref="A4:P44" headerRowCount="1">
  <x:autoFilter ref="A4:P44"/>
  <x:tableColumns count="16">
    <x:tableColumn id="1" name="Energie_ID"/>
    <x:tableColumn id="2" name="Annee"/>
    <x:tableColumn id="3" name="Site_zone"/>
    <x:tableColumn id="4" name="Type_patrimoine"/>
    <x:tableColumn id="5" name="Usage"/>
    <x:tableColumn id="6" name="Source_energie"/>
    <x:tableColumn id="7" name="Consommation"/>
    <x:tableColumn id="8" name="Unite"/>
    <x:tableColumn id="9" name="Cout_XOF"/>
    <x:tableColumn id="10" name="Facteur_ID"/>
    <x:tableColumn id="11" name="Emissions_tCO2e"/>
    <x:tableColumn id="12" name="Part_renouvelable_pct"/>
    <x:tableColumn id="13" name="Responsable"/>
    <x:tableColumn id="14" name="Source_ID"/>
    <x:tableColumn id="15" name="Qualite"/>
    <x:tableColumn id="16" name="Alerte_donnees"/>
  </x:tableColumns>
  <x:tableStyleInfo name="TableStyleMedium2" showRowStripes="1"/>
</x:table>
</file>

<file path=xl/tables/table13.xml><?xml version="1.0" encoding="utf-8"?>
<x:table xmlns:x="http://schemas.openxmlformats.org/spreadsheetml/2006/main" id="13" name="tblDechets" displayName="tblDechets" ref="A4:Q44" headerRowCount="1">
  <x:autoFilter ref="A4:Q44"/>
  <x:tableColumns count="17">
    <x:tableColumn id="1" name="Dechet_ID"/>
    <x:tableColumn id="2" name="Annee"/>
    <x:tableColumn id="3" name="Flux"/>
    <x:tableColumn id="4" name="Quartier_zone"/>
    <x:tableColumn id="5" name="Tonnes_generees"/>
    <x:tableColumn id="6" name="Tonnes_collectees"/>
    <x:tableColumn id="7" name="Tonnes_recyclees"/>
    <x:tableColumn id="8" name="Tonnes_compostees"/>
    <x:tableColumn id="9" name="Tonnes_enfouies"/>
    <x:tableColumn id="10" name="Tonnes_brulees"/>
    <x:tableColumn id="11" name="Taux_collecte"/>
    <x:tableColumn id="12" name="Taux_valorisation"/>
    <x:tableColumn id="13" name="Facteur_ID"/>
    <x:tableColumn id="14" name="Emissions_tCO2e"/>
    <x:tableColumn id="15" name="Source_ID"/>
    <x:tableColumn id="16" name="Qualite"/>
    <x:tableColumn id="17" name="Alerte_donnees"/>
  </x:tableColumns>
  <x:tableStyleInfo name="TableStyleMedium2" showRowStripes="1"/>
</x:table>
</file>

<file path=xl/tables/table14.xml><?xml version="1.0" encoding="utf-8"?>
<x:table xmlns:x="http://schemas.openxmlformats.org/spreadsheetml/2006/main" id="14" name="tblPartiesPrenantes" displayName="tblPartiesPrenantes" ref="A4:P44" headerRowCount="1">
  <x:autoFilter ref="A4:P44"/>
  <x:tableColumns count="16">
    <x:tableColumn id="1" name="Stakeholder_ID"/>
    <x:tableColumn id="2" name="Organisation"/>
    <x:tableColumn id="3" name="Type"/>
    <x:tableColumn id="4" name="Contact"/>
    <x:tableColumn id="5" name="Fonction"/>
    <x:tableColumn id="6" name="Email_Tel"/>
    <x:tableColumn id="7" name="Domaine"/>
    <x:tableColumn id="8" name="Role_MRV"/>
    <x:tableColumn id="9" name="Niveau_influence"/>
    <x:tableColumn id="10" name="Niveau_engagement"/>
    <x:tableColumn id="11" name="Projets_lies"/>
    <x:tableColumn id="12" name="Frequence_coordination"/>
    <x:tableColumn id="13" name="Derniere_reunion"/>
    <x:tableColumn id="14" name="Prochaine_action"/>
    <x:tableColumn id="15" name="Commentaires"/>
    <x:tableColumn id="16" name="Alerte_engagement"/>
  </x:tableColumns>
  <x:tableStyleInfo name="TableStyleMedium2" showRowStripes="1"/>
</x:table>
</file>

<file path=xl/tables/table15.xml><?xml version="1.0" encoding="utf-8"?>
<x:table xmlns:x="http://schemas.openxmlformats.org/spreadsheetml/2006/main" id="15" name="tblBudgets" displayName="tblBudgets" ref="A4:N44" headerRowCount="1">
  <x:autoFilter ref="A4:N44"/>
  <x:tableColumns count="14">
    <x:tableColumn id="1" name="Budget_ID"/>
    <x:tableColumn id="2" name="Project_ID"/>
    <x:tableColumn id="3" name="Annee"/>
    <x:tableColumn id="4" name="Ligne_budgetaire"/>
    <x:tableColumn id="5" name="Source_budgetaire"/>
    <x:tableColumn id="6" name="Budget_prevu_XOF"/>
    <x:tableColumn id="7" name="Budget_vote_XOF"/>
    <x:tableColumn id="8" name="Budget_engage_XOF"/>
    <x:tableColumn id="9" name="Budget_execute_XOF"/>
    <x:tableColumn id="10" name="Reste_a_executer_XOF"/>
    <x:tableColumn id="11" name="Taux_execution"/>
    <x:tableColumn id="12" name="Ecart_budget_XOF"/>
    <x:tableColumn id="13" name="Alerte_execution"/>
    <x:tableColumn id="14" name="Commentaires"/>
  </x:tableColumns>
  <x:tableStyleInfo name="TableStyleMedium2" showRowStripes="1"/>
</x:table>
</file>

<file path=xl/tables/table16.xml><?xml version="1.0" encoding="utf-8"?>
<x:table xmlns:x="http://schemas.openxmlformats.org/spreadsheetml/2006/main" id="16" name="tblFinancements" displayName="tblFinancements" ref="A4:O44" headerRowCount="1">
  <x:autoFilter ref="A4:O44"/>
  <x:tableColumns count="15">
    <x:tableColumn id="1" name="Finance_ID"/>
    <x:tableColumn id="2" name="Project_ID"/>
    <x:tableColumn id="3" name="Bailleur"/>
    <x:tableColumn id="4" name="Instrument"/>
    <x:tableColumn id="5" name="Devise"/>
    <x:tableColumn id="6" name="Montant_demande"/>
    <x:tableColumn id="7" name="Montant_approuve"/>
    <x:tableColumn id="8" name="Montant_decaisse"/>
    <x:tableColumn id="9" name="Taux_decaissement"/>
    <x:tableColumn id="10" name="Statut_financement"/>
    <x:tableColumn id="11" name="Date_soumission"/>
    <x:tableColumn id="12" name="Date_decision"/>
    <x:tableColumn id="13" name="Prochaine_echeance"/>
    <x:tableColumn id="14" name="Conditionnalites"/>
    <x:tableColumn id="15" name="Alerte_financement"/>
  </x:tableColumns>
  <x:tableStyleInfo name="TableStyleMedium2" showRowStripes="1"/>
</x:table>
</file>

<file path=xl/tables/table17.xml><?xml version="1.0" encoding="utf-8"?>
<x:table xmlns:x="http://schemas.openxmlformats.org/spreadsheetml/2006/main" id="17" name="tblRisques" displayName="tblRisques" ref="A4:M44" headerRowCount="1">
  <x:autoFilter ref="A4:M44"/>
  <x:tableColumns count="13">
    <x:tableColumn id="1" name="Risque_ID"/>
    <x:tableColumn id="2" name="Project_ID"/>
    <x:tableColumn id="3" name="Domaine"/>
    <x:tableColumn id="4" name="Risque"/>
    <x:tableColumn id="5" name="Probabilite"/>
    <x:tableColumn id="6" name="Impact"/>
    <x:tableColumn id="7" name="Score"/>
    <x:tableColumn id="8" name="Niveau_criticite"/>
    <x:tableColumn id="9" name="Mesure_mitigation"/>
    <x:tableColumn id="10" name="Responsable"/>
    <x:tableColumn id="11" name="Echeance"/>
    <x:tableColumn id="12" name="Statut"/>
    <x:tableColumn id="13" name="Alerte"/>
  </x:tableColumns>
  <x:tableStyleInfo name="TableStyleMedium2" showRowStripes="1"/>
</x:table>
</file>

<file path=xl/tables/table18.xml><?xml version="1.0" encoding="utf-8"?>
<x:table xmlns:x="http://schemas.openxmlformats.org/spreadsheetml/2006/main" id="18" name="tblQAQC" displayName="tblQAQC" ref="A4:N44" headerRowCount="1">
  <x:autoFilter ref="A4:N44"/>
  <x:tableColumns count="14">
    <x:tableColumn id="1" name="Check_ID"/>
    <x:tableColumn id="2" name="Domaine"/>
    <x:tableColumn id="3" name="Table_source"/>
    <x:tableColumn id="4" name="Controle"/>
    <x:tableColumn id="5" name="Regle"/>
    <x:tableColumn id="6" name="Responsable"/>
    <x:tableColumn id="7" name="Frequence"/>
    <x:tableColumn id="8" name="Date_dernier_controle"/>
    <x:tableColumn id="9" name="Resultat"/>
    <x:tableColumn id="10" name="Nombre_anomalies"/>
    <x:tableColumn id="11" name="Action_corrective"/>
    <x:tableColumn id="12" name="Echeance_correction"/>
    <x:tableColumn id="13" name="Statut"/>
    <x:tableColumn id="14" name="Alerte_QA"/>
  </x:tableColumns>
  <x:tableStyleInfo name="TableStyleMedium2" showRowStripes="1"/>
</x:table>
</file>

<file path=xl/tables/table19.xml><?xml version="1.0" encoding="utf-8"?>
<x:table xmlns:x="http://schemas.openxmlformats.org/spreadsheetml/2006/main" id="19" name="tblMappingReporting" displayName="tblMappingReporting" ref="A4:N44" headerRowCount="1">
  <x:autoFilter ref="A4:N44"/>
  <x:tableColumns count="14">
    <x:tableColumn id="1" name="Mapping_ID"/>
    <x:tableColumn id="2" name="Indicateur_interne"/>
    <x:tableColumn id="3" name="Source_donnee"/>
    <x:tableColumn id="4" name="CDP_ICLEI_Module"/>
    <x:tableColumn id="5" name="C40_Exigence"/>
    <x:tableColumn id="6" name="ICLEI_GPC"/>
    <x:tableColumn id="7" name="COMSSA_SEACAP"/>
    <x:tableColumn id="8" name="CDN_Senegal"/>
    <x:tableColumn id="9" name="Frequence"/>
    <x:tableColumn id="10" name="Responsable"/>
    <x:tableColumn id="11" name="Niveau_preparation"/>
    <x:tableColumn id="12" name="Donnee_obligatoire"/>
    <x:tableColumn id="13" name="Statut_reporting"/>
    <x:tableColumn id="14" name="Alerte"/>
  </x:tableColumns>
  <x:tableStyleInfo name="TableStyleMedium2" showRowStripes="1"/>
</x:table>
</file>

<file path=xl/tables/table20.xml><?xml version="1.0" encoding="utf-8"?>
<x:table xmlns:x="http://schemas.openxmlformats.org/spreadsheetml/2006/main" id="20" name="tblRapportCDPICLEI" displayName="tblRapportCDPICLEI" ref="A4:K44" headerRowCount="1">
  <x:autoFilter ref="A4:K44"/>
  <x:tableColumns count="11">
    <x:tableColumn id="1" name="Champ_ID"/>
    <x:tableColumn id="2" name="Section_CDP_ICLEI"/>
    <x:tableColumn id="3" name="Question_indicative"/>
    <x:tableColumn id="4" name="Donnee_interne"/>
    <x:tableColumn id="5" name="Onglet_source"/>
    <x:tableColumn id="6" name="Champ_source"/>
    <x:tableColumn id="7" name="Valeur_pre_remplie"/>
    <x:tableColumn id="8" name="Statut"/>
    <x:tableColumn id="9" name="Responsable"/>
    <x:tableColumn id="10" name="Commentaires"/>
    <x:tableColumn id="11" name="Alerte"/>
  </x:tableColumns>
  <x:tableStyleInfo name="TableStyleMedium2" showRowStripes="1"/>
</x:table>
</file>

<file path=xl/tables/table21.xml><?xml version="1.0" encoding="utf-8"?>
<x:table xmlns:x="http://schemas.openxmlformats.org/spreadsheetml/2006/main" id="21" name="tblRapportC40" displayName="tblRapportC40" ref="A4:K44" headerRowCount="1">
  <x:autoFilter ref="A4:K44"/>
  <x:tableColumns count="11">
    <x:tableColumn id="1" name="C40_ID"/>
    <x:tableColumn id="2" name="Axe_C40"/>
    <x:tableColumn id="3" name="Engagement_indicatif"/>
    <x:tableColumn id="4" name="Indicateur_Dakar"/>
    <x:tableColumn id="5" name="Onglet_source"/>
    <x:tableColumn id="6" name="Valeur"/>
    <x:tableColumn id="7" name="Unite"/>
    <x:tableColumn id="8" name="Annee"/>
    <x:tableColumn id="9" name="Statut"/>
    <x:tableColumn id="10" name="Responsable"/>
    <x:tableColumn id="11" name="Alerte"/>
  </x:tableColumns>
  <x:tableStyleInfo name="TableStyleMedium2" showRowStripes="1"/>
</x:table>
</file>

<file path=xl/tables/table22.xml><?xml version="1.0" encoding="utf-8"?>
<x:table xmlns:x="http://schemas.openxmlformats.org/spreadsheetml/2006/main" id="22" name="tblRapportCOMSSA" displayName="tblRapportCOMSSA" ref="A4:J44" headerRowCount="1">
  <x:autoFilter ref="A4:J44"/>
  <x:tableColumns count="10">
    <x:tableColumn id="1" name="COMSSA_ID"/>
    <x:tableColumn id="2" name="Pilier_SEACAP"/>
    <x:tableColumn id="3" name="Exigence_indicative"/>
    <x:tableColumn id="4" name="Indicateur_Dakar"/>
    <x:tableColumn id="5" name="Onglet_source"/>
    <x:tableColumn id="6" name="Valeur"/>
    <x:tableColumn id="7" name="Unite"/>
    <x:tableColumn id="8" name="Statut"/>
    <x:tableColumn id="9" name="Responsable"/>
    <x:tableColumn id="10" name="Alerte"/>
  </x:tableColumns>
  <x:tableStyleInfo name="TableStyleMedium2" showRowStripes="1"/>
</x:table>
</file>

<file path=xl/tables/table23.xml><?xml version="1.0" encoding="utf-8"?>
<x:table xmlns:x="http://schemas.openxmlformats.org/spreadsheetml/2006/main" id="23" name="tblRapportCDN" displayName="tblRapportCDN" ref="A4:L44" headerRowCount="1">
  <x:autoFilter ref="A4:L44"/>
  <x:tableColumns count="12">
    <x:tableColumn id="1" name="CDN_ID"/>
    <x:tableColumn id="2" name="Secteur_CDN"/>
    <x:tableColumn id="3" name="Action_CDN_indicative"/>
    <x:tableColumn id="4" name="Projet_Dakar"/>
    <x:tableColumn id="5" name="Project_ID"/>
    <x:tableColumn id="6" name="Contribution"/>
    <x:tableColumn id="7" name="Emissions_evitees_tCO2e_an"/>
    <x:tableColumn id="8" name="Budget_total_XOF"/>
    <x:tableColumn id="9" name="Financement_securise_XOF"/>
    <x:tableColumn id="10" name="Besoin_financement_XOF"/>
    <x:tableColumn id="11" name="Statut"/>
    <x:tableColumn id="12" name="Alerte"/>
  </x:tableColumns>
  <x:tableStyleInfo name="TableStyleMedium2" showRowStripes="1"/>
</x:table>
</file>

<file path=xl/tables/table24.xml><?xml version="1.0" encoding="utf-8"?>
<x:table xmlns:x="http://schemas.openxmlformats.org/spreadsheetml/2006/main" id="24" name="tblJournalModifs" displayName="tblJournalModifs" ref="A4:J34" headerRowCount="1">
  <x:autoFilter ref="A4:J34"/>
  <x:tableColumns count="10">
    <x:tableColumn id="1" name="Change_ID"/>
    <x:tableColumn id="2" name="Date_modification"/>
    <x:tableColumn id="3" name="Auteur"/>
    <x:tableColumn id="4" name="Onglet"/>
    <x:tableColumn id="5" name="Element_modifie"/>
    <x:tableColumn id="6" name="Type_modification"/>
    <x:tableColumn id="7" name="Raison"/>
    <x:tableColumn id="8" name="Impact_reporting"/>
    <x:tableColumn id="9" name="Validation"/>
    <x:tableColumn id="10" name="Commentaires"/>
  </x:tableColumns>
  <x:tableStyleInfo name="TableStyleMedium2" showRowStripes="1"/>
</x:table>
</file>

<file path=xl/tables/table25.xml><?xml version="1.0" encoding="utf-8"?>
<x:table xmlns:x="http://schemas.openxmlformats.org/spreadsheetml/2006/main" id="25" name="tblAuditExpertV2" displayName="tblAuditExpertV2" ref="A4:I34" headerRowCount="1">
  <x:autoFilter ref="A4:I34"/>
  <x:tableColumns count="9">
    <x:tableColumn id="1" name="Audit_ID"/>
    <x:tableColumn id="2" name="Categorie"/>
    <x:tableColumn id="3" name="Faiblesse_V1"/>
    <x:tableColumn id="4" name="Risque_pour_Dakar"/>
    <x:tableColumn id="5" name="Bonne_pratique_internationale"/>
    <x:tableColumn id="6" name="Reponse_V2"/>
    <x:tableColumn id="7" name="Priorite"/>
    <x:tableColumn id="8" name="Cadres_concernes"/>
    <x:tableColumn id="9" name="Statut"/>
  </x:tableColumns>
  <x:tableStyleInfo name="TableStyleMedium2" showRowStripes="1"/>
</x:table>
</file>

<file path=xl/tables/table26.xml><?xml version="1.0" encoding="utf-8"?>
<x:table xmlns:x="http://schemas.openxmlformats.org/spreadsheetml/2006/main" id="26" name="tblConformiteCadres" displayName="tblConformiteCadres" ref="A4:L44" headerRowCount="1">
  <x:autoFilter ref="A4:L44"/>
  <x:tableColumns count="12">
    <x:tableColumn id="1" name="Score_ID"/>
    <x:tableColumn id="2" name="Cadre"/>
    <x:tableColumn id="3" name="Dimension"/>
    <x:tableColumn id="4" name="Exigence"/>
    <x:tableColumn id="5" name="Source_preuve_attendue"/>
    <x:tableColumn id="6" name="Score_0_5"/>
    <x:tableColumn id="7" name="Poids"/>
    <x:tableColumn id="8" name="Score_pondere"/>
    <x:tableColumn id="9" name="Statut"/>
    <x:tableColumn id="10" name="Action_corrective"/>
    <x:tableColumn id="11" name="Responsable"/>
    <x:tableColumn id="12" name="Echeance"/>
  </x:tableColumns>
  <x:tableStyleInfo name="TableStyleMedium2" showRowStripes="1"/>
</x:table>
</file>

<file path=xl/tables/table27.xml><?xml version="1.0" encoding="utf-8"?>
<x:table xmlns:x="http://schemas.openxmlformats.org/spreadsheetml/2006/main" id="27" name="tblTrajectoiresCibles" displayName="tblTrajectoiresCibles" ref="A4:J24" headerRowCount="1">
  <x:autoFilter ref="A4:J24"/>
  <x:tableColumns count="10">
    <x:tableColumn id="1" name="Annee"/>
    <x:tableColumn id="2" name="Emissions_historique_tCO2e"/>
    <x:tableColumn id="3" name="Scenario_BAU_tCO2e"/>
    <x:tableColumn id="4" name="Trajectoire_cible_tCO2e"/>
    <x:tableColumn id="5" name="Reduction_vs_baseline_pct"/>
    <x:tableColumn id="6" name="Ecart_BAU_vs_cible_tCO2e"/>
    <x:tableColumn id="7" name="Budget_carbone_restant_tCO2e"/>
    <x:tableColumn id="8" name="Statut_ambition"/>
    <x:tableColumn id="9" name="Hypothese_cle"/>
    <x:tableColumn id="10" name="Source"/>
  </x:tableColumns>
  <x:tableStyleInfo name="TableStyleMedium2" showRowStripes="1"/>
</x:table>
</file>

<file path=xl/tables/table28.xml><?xml version="1.0" encoding="utf-8"?>
<x:table xmlns:x="http://schemas.openxmlformats.org/spreadsheetml/2006/main" id="28" name="tblRisquesClimatiques" displayName="tblRisquesClimatiques" ref="A4:Q49" headerRowCount="1">
  <x:autoFilter ref="A4:Q49"/>
  <x:tableColumns count="17">
    <x:tableColumn id="1" name="Risk_ID"/>
    <x:tableColumn id="2" name="Alea"/>
    <x:tableColumn id="3" name="Quartier_zone"/>
    <x:tableColumn id="4" name="Horizon"/>
    <x:tableColumn id="5" name="Scenario_climatique"/>
    <x:tableColumn id="6" name="Probabilite_1_5"/>
    <x:tableColumn id="7" name="Impact_1_5"/>
    <x:tableColumn id="8" name="Exposition_1_5"/>
    <x:tableColumn id="9" name="Vulnerabilite_1_5"/>
    <x:tableColumn id="10" name="Score_risque"/>
    <x:tableColumn id="11" name="Niveau_risque"/>
    <x:tableColumn id="12" name="Population_exposee"/>
    <x:tableColumn id="13" name="Groupes_vulnerables"/>
    <x:tableColumn id="14" name="Secteurs_affectes"/>
    <x:tableColumn id="15" name="Mesures_adaptation"/>
    <x:tableColumn id="16" name="Source_preuve"/>
    <x:tableColumn id="17" name="Alerte"/>
  </x:tableColumns>
  <x:tableStyleInfo name="TableStyleMedium2" showRowStripes="1"/>
</x:table>
</file>

<file path=xl/tables/table29.xml><?xml version="1.0" encoding="utf-8"?>
<x:table xmlns:x="http://schemas.openxmlformats.org/spreadsheetml/2006/main" id="29" name="tblActifsExposition" displayName="tblActifsExposition" ref="A4:P49" headerRowCount="1">
  <x:autoFilter ref="A4:P49"/>
  <x:tableColumns count="16">
    <x:tableColumn id="1" name="Asset_ID"/>
    <x:tableColumn id="2" name="Nom_actif"/>
    <x:tableColumn id="3" name="Type_actif"/>
    <x:tableColumn id="4" name="Quartier_zone"/>
    <x:tableColumn id="5" name="Latitude"/>
    <x:tableColumn id="6" name="Longitude"/>
    <x:tableColumn id="7" name="Proprietaire"/>
    <x:tableColumn id="8" name="Service_essentiel"/>
    <x:tableColumn id="9" name="Alea_principal"/>
    <x:tableColumn id="10" name="Niveau_exposition"/>
    <x:tableColumn id="11" name="Valeur_remplacement_XOF"/>
    <x:tableColumn id="12" name="Population_servie"/>
    <x:tableColumn id="13" name="Projet_associe"/>
    <x:tableColumn id="14" name="Mesure_resilience"/>
    <x:tableColumn id="15" name="Priorite_investissement"/>
    <x:tableColumn id="16" name="Donnee_SIG_disponible"/>
  </x:tableColumns>
  <x:tableStyleInfo name="TableStyleMedium2" showRowStripes="1"/>
</x:table>
</file>

<file path=xl/tables/table30.xml><?xml version="1.0" encoding="utf-8"?>
<x:table xmlns:x="http://schemas.openxmlformats.org/spreadsheetml/2006/main" id="30" name="tblPipelineBancable" displayName="tblPipelineBancable" ref="A4:O44" headerRowCount="1">
  <x:autoFilter ref="A4:O44"/>
  <x:tableColumns count="15">
    <x:tableColumn id="1" name="Project_ID"/>
    <x:tableColumn id="2" name="Nom_projet"/>
    <x:tableColumn id="3" name="Fenetre_financement"/>
    <x:tableColumn id="4" name="Instrument_prefere"/>
    <x:tableColumn id="5" name="Montant_recherche_XOF"/>
    <x:tableColumn id="6" name="Cofinancement_XOF"/>
    <x:tableColumn id="7" name="Climate_rationale"/>
    <x:tableColumn id="8" name="Additionalite"/>
    <x:tableColumn id="9" name="Resultats_attendus"/>
    <x:tableColumn id="10" name="TRI_economique_pct"/>
    <x:tableColumn id="11" name="OPEX_annuel_XOF"/>
    <x:tableColumn id="12" name="Revenus_ou_economies_XOF"/>
    <x:tableColumn id="13" name="Readiness_score_0_100"/>
    <x:tableColumn id="14" name="Niveau_bancabilite"/>
    <x:tableColumn id="15" name="Prochaine_etape_finance"/>
  </x:tableColumns>
  <x:tableStyleInfo name="TableStyleMedium2" showRowStripes="1"/>
</x:table>
</file>

<file path=xl/tables/table31.xml><?xml version="1.0" encoding="utf-8"?>
<x:table xmlns:x="http://schemas.openxmlformats.org/spreadsheetml/2006/main" id="31" name="tblReadinessFinance" displayName="tblReadinessFinance" ref="A4:L64" headerRowCount="1">
  <x:autoFilter ref="A4:L64"/>
  <x:tableColumns count="12">
    <x:tableColumn id="1" name="Readiness_ID"/>
    <x:tableColumn id="2" name="Project_ID"/>
    <x:tableColumn id="3" name="Institution"/>
    <x:tableColumn id="4" name="Critere"/>
    <x:tableColumn id="5" name="Exigence_detaillee"/>
    <x:tableColumn id="6" name="Document_preuve"/>
    <x:tableColumn id="7" name="Statut"/>
    <x:tableColumn id="8" name="Score_0_5"/>
    <x:tableColumn id="9" name="Gap"/>
    <x:tableColumn id="10" name="Action"/>
    <x:tableColumn id="11" name="Responsable"/>
    <x:tableColumn id="12" name="Echeance"/>
  </x:tableColumns>
  <x:tableStyleInfo name="TableStyleMedium2" showRowStripes="1"/>
</x:table>
</file>

<file path=xl/tables/table32.xml><?xml version="1.0" encoding="utf-8"?>
<x:table xmlns:x="http://schemas.openxmlformats.org/spreadsheetml/2006/main" id="32" name="tblCobeneficesJustice" displayName="tblCobeneficesJustice" ref="A4:N49" headerRowCount="1">
  <x:autoFilter ref="A4:N49"/>
  <x:tableColumns count="14">
    <x:tableColumn id="1" name="Cob_ID"/>
    <x:tableColumn id="2" name="Project_ID"/>
    <x:tableColumn id="3" name="Benefice"/>
    <x:tableColumn id="4" name="Indicateur"/>
    <x:tableColumn id="5" name="Unite"/>
    <x:tableColumn id="6" name="Baseline"/>
    <x:tableColumn id="7" name="Cible"/>
    <x:tableColumn id="8" name="Valeur_actuelle"/>
    <x:tableColumn id="9" name="Groupe_beneficiaire"/>
    <x:tableColumn id="10" name="Genre_sensible"/>
    <x:tableColumn id="11" name="SDG"/>
    <x:tableColumn id="12" name="Methode_mesure"/>
    <x:tableColumn id="13" name="Source_preuve"/>
    <x:tableColumn id="14" name="Alerte"/>
  </x:tableColumns>
  <x:tableStyleInfo name="TableStyleMedium2" showRowStripes="1"/>
</x:table>
</file>

<file path=xl/tables/table33.xml><?xml version="1.0" encoding="utf-8"?>
<x:table xmlns:x="http://schemas.openxmlformats.org/spreadsheetml/2006/main" id="33" name="tblRegistrePreuvesMRV" displayName="tblRegistrePreuvesMRV" ref="A4:M64" headerRowCount="1">
  <x:autoFilter ref="A4:M64"/>
  <x:tableColumns count="13">
    <x:tableColumn id="1" name="Evidence_ID"/>
    <x:tableColumn id="2" name="Donnee_ou_indicateur"/>
    <x:tableColumn id="3" name="Onglet_source"/>
    <x:tableColumn id="4" name="Cellule_ou_table"/>
    <x:tableColumn id="5" name="Type_preuve"/>
    <x:tableColumn id="6" name="Lien_fichier_URL"/>
    <x:tableColumn id="7" name="Proprietaire"/>
    <x:tableColumn id="8" name="Date_reception"/>
    <x:tableColumn id="9" name="Date_validation"/>
    <x:tableColumn id="10" name="Validateur"/>
    <x:tableColumn id="11" name="Niveau_fiabilite"/>
    <x:tableColumn id="12" name="Utilise_pour_reporting"/>
    <x:tableColumn id="13" name="Alerte_preuve"/>
  </x:tableColumns>
  <x:tableStyleInfo name="TableStyleMedium2" showRowStripes="1"/>
</x:table>
</file>

<file path=xl/tables/table34.xml><?xml version="1.0" encoding="utf-8"?>
<x:table xmlns:x="http://schemas.openxmlformats.org/spreadsheetml/2006/main" id="34" name="tblPlanDonnees" displayName="tblPlanDonnees" ref="A4:M64" headerRowCount="1">
  <x:autoFilter ref="A4:M64"/>
  <x:tableColumns count="13">
    <x:tableColumn id="1" name="DataGap_ID"/>
    <x:tableColumn id="2" name="Domaine"/>
    <x:tableColumn id="3" name="Donnee_manquante"/>
    <x:tableColumn id="4" name="Pourquoi_critique"/>
    <x:tableColumn id="5" name="Cadres_impactes"/>
    <x:tableColumn id="6" name="Frequence_cible"/>
    <x:tableColumn id="7" name="Responsable"/>
    <x:tableColumn id="8" name="Source_potentielle"/>
    <x:tableColumn id="9" name="Niveau_effort"/>
    <x:tableColumn id="10" name="Priorite"/>
    <x:tableColumn id="11" name="Date_cible"/>
    <x:tableColumn id="12" name="Statut"/>
    <x:tableColumn id="13" name="Alerte"/>
  </x:tableColumns>
  <x:tableStyleInfo name="TableStyleMedium2" showRowStripes="1"/>
</x:table>
</file>

<file path=xl/tables/table35.xml><?xml version="1.0" encoding="utf-8"?>
<x:table xmlns:x="http://schemas.openxmlformats.org/spreadsheetml/2006/main" id="35" name="tblPassationMarches" displayName="tblPassationMarches" ref="A4:M49" headerRowCount="1">
  <x:autoFilter ref="A4:M49"/>
  <x:tableColumns count="13">
    <x:tableColumn id="1" name="Proc_ID"/>
    <x:tableColumn id="2" name="Project_ID"/>
    <x:tableColumn id="3" name="Lot"/>
    <x:tableColumn id="4" name="Mode_passation"/>
    <x:tableColumn id="5" name="Montant_estime_XOF"/>
    <x:tableColumn id="6" name="Statut_procurement"/>
    <x:tableColumn id="7" name="Date_lancement"/>
    <x:tableColumn id="8" name="Date_attribution_prevue"/>
    <x:tableColumn id="9" name="Entreprise_attributaire"/>
    <x:tableColumn id="10" name="Condition_decaissement"/>
    <x:tableColumn id="11" name="Risque_execution"/>
    <x:tableColumn id="12" name="Mesure_mitigation"/>
    <x:tableColumn id="13" name="Alerte"/>
  </x:tableColumns>
  <x:tableStyleInfo name="TableStyleMedium2" showRowStripes="1"/>
</x:table>
</file>

<file path=xl/tables/table36.xml><?xml version="1.0" encoding="utf-8"?>
<x:table xmlns:x="http://schemas.openxmlformats.org/spreadsheetml/2006/main" id="36" name="tblAccesEnergieSEACAP" displayName="tblAccesEnergieSEACAP" ref="A4:L44" headerRowCount="1">
  <x:autoFilter ref="A4:L44"/>
  <x:tableColumns count="12">
    <x:tableColumn id="1" name="EnergyAccess_ID"/>
    <x:tableColumn id="2" name="Quartier_zone"/>
    <x:tableColumn id="3" name="Service"/>
    <x:tableColumn id="4" name="Population_cible"/>
    <x:tableColumn id="5" name="Taux_acces_baseline"/>
    <x:tableColumn id="6" name="Taux_acces_actuel"/>
    <x:tableColumn id="7" name="Cible_2030"/>
    <x:tableColumn id="8" name="Technologie_solution"/>
    <x:tableColumn id="9" name="Project_ID"/>
    <x:tableColumn id="10" name="Menages_vulnerables_cibles"/>
    <x:tableColumn id="11" name="Statut"/>
    <x:tableColumn id="12" name="Alerte"/>
  </x:tableColumns>
  <x:tableStyleInfo name="TableStyleMedium2" showRowStripes="1"/>
</x:table>
</file>

<file path=xl/tables/table37.xml><?xml version="1.0" encoding="utf-8"?>
<x:table xmlns:x="http://schemas.openxmlformats.org/spreadsheetml/2006/main" id="37" name="tblIndicateursInternationaux" displayName="tblIndicateursInternationaux" ref="A4:I64" headerRowCount="1">
  <x:autoFilter ref="A4:I64"/>
  <x:tableColumns count="9">
    <x:tableColumn id="1" name="Indicator_Code"/>
    <x:tableColumn id="2" name="Pilier"/>
    <x:tableColumn id="3" name="Indicateur"/>
    <x:tableColumn id="4" name="Unite"/>
    <x:tableColumn id="5" name="Obligatoire_recommande"/>
    <x:tableColumn id="6" name="Cadres"/>
    <x:tableColumn id="7" name="Onglet_source_V2"/>
    <x:tableColumn id="8" name="Formule_ou_methode"/>
    <x:tableColumn id="9" name="Statut_dans_V2"/>
  </x:tableColumns>
  <x:tableStyleInfo name="TableStyleMedium2" showRowStripes="1"/>
</x:table>
</file>

<file path=xl/tables/table38.xml><?xml version="1.0" encoding="utf-8"?>
<x:table xmlns:x="http://schemas.openxmlformats.org/spreadsheetml/2006/main" id="38" name="tblSourcesInternationales" displayName="tblSourcesInternationales" ref="A4:E24" headerRowCount="1">
  <x:autoFilter ref="A4:E24"/>
  <x:tableColumns count="5">
    <x:tableColumn id="1" name="Source_ID"/>
    <x:tableColumn id="2" name="Institution"/>
    <x:tableColumn id="3" name="Document_ou_cadre"/>
    <x:tableColumn id="4" name="URL"/>
    <x:tableColumn id="5" name="Utilisation_dans_V2"/>
  </x:tableColumns>
  <x:tableStyleInfo name="TableStyleMedium2" showRowStripes="1"/>
</x:table>
</file>

<file path=xl/tables/table39.xml><?xml version="1.0" encoding="utf-8"?>
<x:table xmlns:x="http://schemas.openxmlformats.org/spreadsheetml/2006/main" id="39" name="tblFormulaireCentral" displayName="tblFormulaireCentral" ref="A4:U104" headerRowCount="1">
  <x:autoFilter ref="A4:U104"/>
  <x:tableColumns count="21">
    <x:tableColumn id="1" name="ID_Saisie"/>
    <x:tableColumn id="2" name="Domaine de donnée"/>
    <x:tableColumn id="3" name="Sous-domaine"/>
    <x:tableColumn id="4" name="Indicateur"/>
    <x:tableColumn id="5" name="Année"/>
    <x:tableColumn id="6" name="Mois"/>
    <x:tableColumn id="7" name="Commune / zone"/>
    <x:tableColumn id="8" name="Valeur"/>
    <x:tableColumn id="9" name="Unité"/>
    <x:tableColumn id="10" name="Institution source"/>
    <x:tableColumn id="11" name="Service source"/>
    <x:tableColumn id="12" name="Personne focale"/>
    <x:tableColumn id="13" name="Document source"/>
    <x:tableColumn id="14" name="Fréquence de collecte"/>
    <x:tableColumn id="15" name="Niveau de fiabilité"/>
    <x:tableColumn id="16" name="Statut de validation"/>
    <x:tableColumn id="17" name="Observations"/>
    <x:tableColumn id="18" name="Date de saisie"/>
    <x:tableColumn id="19" name="Responsable"/>
    <x:tableColumn id="20" name="Alerte_QC"/>
    <x:tableColumn id="21" name="Alimente_Rapports"/>
  </x:tableColumns>
  <x:tableStyleInfo name="TableStyleMedium2" showRowStripes="1"/>
</x:table>
</file>

<file path=xl/tables/table40.xml><?xml version="1.0" encoding="utf-8"?>
<x:table xmlns:x="http://schemas.openxmlformats.org/spreadsheetml/2006/main" id="40" name="tblFormTemperature" displayName="tblFormTemperature" ref="A4:T104" headerRowCount="1">
  <x:autoFilter ref="A4:T104"/>
  <x:tableColumns count="20">
    <x:tableColumn id="1" name="ID_Saisie"/>
    <x:tableColumn id="2" name="Date"/>
    <x:tableColumn id="3" name="Année"/>
    <x:tableColumn id="4" name="Mois"/>
    <x:tableColumn id="5" name="Station météo"/>
    <x:tableColumn id="6" name="Commune / zone"/>
    <x:tableColumn id="7" name="Température moyenne"/>
    <x:tableColumn id="8" name="Température minimale"/>
    <x:tableColumn id="9" name="Température maximale"/>
    <x:tableColumn id="10" name="Nombre de jours chauds"/>
    <x:tableColumn id="11" name="Source"/>
    <x:tableColumn id="12" name="Institution source"/>
    <x:tableColumn id="13" name="Document source"/>
    <x:tableColumn id="14" name="Niveau de fiabilité"/>
    <x:tableColumn id="15" name="Statut validation"/>
    <x:tableColumn id="16" name="Observations"/>
    <x:tableColumn id="17" name="Date de saisie"/>
    <x:tableColumn id="18" name="Responsable"/>
    <x:tableColumn id="19" name="Alerte_QC"/>
    <x:tableColumn id="20" name="Alimente_Rapports"/>
  </x:tableColumns>
  <x:tableStyleInfo name="TableStyleMedium2" showRowStripes="1"/>
</x:table>
</file>

<file path=xl/tables/table41.xml><?xml version="1.0" encoding="utf-8"?>
<x:table xmlns:x="http://schemas.openxmlformats.org/spreadsheetml/2006/main" id="41" name="tblFormPluviometrie" displayName="tblFormPluviometrie" ref="A4:Q104" headerRowCount="1">
  <x:autoFilter ref="A4:Q104"/>
  <x:tableColumns count="17">
    <x:tableColumn id="1" name="ID_Saisie"/>
    <x:tableColumn id="2" name="Date"/>
    <x:tableColumn id="3" name="Année"/>
    <x:tableColumn id="4" name="Mois"/>
    <x:tableColumn id="5" name="Station météo"/>
    <x:tableColumn id="6" name="Commune / zone"/>
    <x:tableColumn id="7" name="Pluviométrie mensuelle"/>
    <x:tableColumn id="8" name="Nombre de jours de pluie"/>
    <x:tableColumn id="9" name="Épisode extrêm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2" showRowStripes="1"/>
</x:table>
</file>

<file path=xl/tables/table42.xml><?xml version="1.0" encoding="utf-8"?>
<x:table xmlns:x="http://schemas.openxmlformats.org/spreadsheetml/2006/main" id="42" name="tblFormElectricite" displayName="tblFormElectricite" ref="A4:P104" headerRowCount="1">
  <x:autoFilter ref="A4:P104"/>
  <x:tableColumns count="16">
    <x:tableColumn id="1" name="ID_Saisie"/>
    <x:tableColumn id="2" name="Année"/>
    <x:tableColumn id="3" name="Mois"/>
    <x:tableColumn id="4" name="Zone"/>
    <x:tableColumn id="5" name="Type de consommation"/>
    <x:tableColumn id="6" name="Consommation kWh"/>
    <x:tableColumn id="7" name="Facteur d'émission kgCO2e/kWh"/>
    <x:tableColumn id="8" name="Émissions estimées tCO2e"/>
    <x:tableColumn id="9" name="Institution source"/>
    <x:tableColumn id="10" name="Document source"/>
    <x:tableColumn id="11" name="Statut validation"/>
    <x:tableColumn id="12" name="Observations"/>
    <x:tableColumn id="13" name="Date de saisie"/>
    <x:tableColumn id="14" name="Responsable"/>
    <x:tableColumn id="15" name="Alerte_QC"/>
    <x:tableColumn id="16" name="Alimente_Rapports"/>
  </x:tableColumns>
  <x:tableStyleInfo name="TableStyleMedium2" showRowStripes="1"/>
</x:table>
</file>

<file path=xl/tables/table43.xml><?xml version="1.0" encoding="utf-8"?>
<x:table xmlns:x="http://schemas.openxmlformats.org/spreadsheetml/2006/main" id="43" name="tblFormDechets" displayName="tblFormDechets" ref="A4:S104" headerRowCount="1">
  <x:autoFilter ref="A4:S104"/>
  <x:tableColumns count="19">
    <x:tableColumn id="1" name="ID_Saisie"/>
    <x:tableColumn id="2" name="Année"/>
    <x:tableColumn id="3" name="Mois"/>
    <x:tableColumn id="4" name="Zone"/>
    <x:tableColumn id="5" name="Type de déchets"/>
    <x:tableColumn id="6" name="Quantité collectée"/>
    <x:tableColumn id="7" name="Quantité recyclée"/>
    <x:tableColumn id="8" name="Quantité compostée"/>
    <x:tableColumn id="9" name="Quantité mise en décharge"/>
    <x:tableColumn id="10" name="Unité"/>
    <x:tableColumn id="11" name="Institution source"/>
    <x:tableColumn id="12" name="Document source"/>
    <x:tableColumn id="13" name="Émissions estimées"/>
    <x:tableColumn id="14" name="Observations"/>
    <x:tableColumn id="15" name="Statut validation"/>
    <x:tableColumn id="16" name="Date de saisie"/>
    <x:tableColumn id="17" name="Responsable"/>
    <x:tableColumn id="18" name="Alerte_QC"/>
    <x:tableColumn id="19" name="Alimente_Rapports"/>
  </x:tableColumns>
  <x:tableStyleInfo name="TableStyleMedium2" showRowStripes="1"/>
</x:table>
</file>

<file path=xl/tables/table44.xml><?xml version="1.0" encoding="utf-8"?>
<x:table xmlns:x="http://schemas.openxmlformats.org/spreadsheetml/2006/main" id="44" name="tblFormQualiteAir" displayName="tblFormQualiteAir" ref="A4:T104" headerRowCount="1">
  <x:autoFilter ref="A4:T104"/>
  <x:tableColumns count="20">
    <x:tableColumn id="1" name="ID_Saisie"/>
    <x:tableColumn id="2" name="Année"/>
    <x:tableColumn id="3" name="Mois"/>
    <x:tableColumn id="4" name="Station / zone"/>
    <x:tableColumn id="5" name="PM2.5"/>
    <x:tableColumn id="6" name="PM10"/>
    <x:tableColumn id="7" name="NO2"/>
    <x:tableColumn id="8" name="SO2"/>
    <x:tableColumn id="9" name="CO"/>
    <x:tableColumn id="10" name="O3"/>
    <x:tableColumn id="11" name="Indice qualité air"/>
    <x:tableColumn id="12" name="Dépassement seuil OMS"/>
    <x:tableColumn id="13" name="Source"/>
    <x:tableColumn id="14" name="Document source"/>
    <x:tableColumn id="15" name="Observations"/>
    <x:tableColumn id="16" name="Statut validation"/>
    <x:tableColumn id="17" name="Date de saisie"/>
    <x:tableColumn id="18" name="Responsable"/>
    <x:tableColumn id="19" name="Alerte_QC"/>
    <x:tableColumn id="20" name="Alimente_Rapports"/>
  </x:tableColumns>
  <x:tableStyleInfo name="TableStyleMedium2" showRowStripes="1"/>
</x:table>
</file>

<file path=xl/tables/table45.xml><?xml version="1.0" encoding="utf-8"?>
<x:table xmlns:x="http://schemas.openxmlformats.org/spreadsheetml/2006/main" id="45" name="tblFormEmissionsGES" displayName="tblFormEmissionsGES" ref="A4:Q104" headerRowCount="1">
  <x:autoFilter ref="A4:Q104"/>
  <x:tableColumns count="17">
    <x:tableColumn id="1" name="ID_Saisie"/>
    <x:tableColumn id="2" name="Année"/>
    <x:tableColumn id="3" name="Secteur"/>
    <x:tableColumn id="4" name="Sous-secteur"/>
    <x:tableColumn id="5" name="Donnée d'activité"/>
    <x:tableColumn id="6" name="Unité"/>
    <x:tableColumn id="7" name="Facteur d'émission"/>
    <x:tableColumn id="8" name="Émissions tCO2e"/>
    <x:tableColumn id="9" name="Méthodologi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2" showRowStripes="1"/>
</x:table>
</file>

<file path=xl/tables/table46.xml><?xml version="1.0" encoding="utf-8"?>
<x:table xmlns:x="http://schemas.openxmlformats.org/spreadsheetml/2006/main" id="46" name="tblFormMobilite" displayName="tblFormMobilite" ref="A4:V104" headerRowCount="1">
  <x:autoFilter ref="A4:V104"/>
  <x:tableColumns count="22">
    <x:tableColumn id="1" name="ID_Saisie"/>
    <x:tableColumn id="2" name="Année"/>
    <x:tableColumn id="3" name="Mois"/>
    <x:tableColumn id="4" name="Zone"/>
    <x:tableColumn id="5" name="Mode transport"/>
    <x:tableColumn id="6" name="Nombre trajets"/>
    <x:tableColumn id="7" name="Distance moyenne km"/>
    <x:tableColumn id="8" name="Passagers"/>
    <x:tableColumn id="9" name="Carburant / énergie"/>
    <x:tableColumn id="10" name="Consommation"/>
    <x:tableColumn id="11" name="Unité"/>
    <x:tableColumn id="12" name="Facteur d'émission"/>
    <x:tableColumn id="13" name="Émissions tCO2e"/>
    <x:tableColumn id="14" name="Source"/>
    <x:tableColumn id="15" name="Institution source"/>
    <x:tableColumn id="16" name="Document source"/>
    <x:tableColumn id="17" name="Statut validation"/>
    <x:tableColumn id="18" name="Observations"/>
    <x:tableColumn id="19" name="Date de saisie"/>
    <x:tableColumn id="20" name="Responsable"/>
    <x:tableColumn id="21" name="Alerte_QC"/>
    <x:tableColumn id="22" name="Alimente_Rapports"/>
  </x:tableColumns>
  <x:tableStyleInfo name="TableStyleMedium2" showRowStripes="1"/>
</x:table>
</file>

<file path=xl/tables/table47.xml><?xml version="1.0" encoding="utf-8"?>
<x:table xmlns:x="http://schemas.openxmlformats.org/spreadsheetml/2006/main" id="47" name="tblFormErosionCotiere" displayName="tblFormErosionCotiere" ref="A4:Q104" headerRowCount="1">
  <x:autoFilter ref="A4:Q104"/>
  <x:tableColumns count="17">
    <x:tableColumn id="1" name="ID_Saisie"/>
    <x:tableColumn id="2" name="Année"/>
    <x:tableColumn id="3" name="Mois"/>
    <x:tableColumn id="4" name="Zone côtière"/>
    <x:tableColumn id="5" name="Recul du trait de côte"/>
    <x:tableColumn id="6" name="Unité"/>
    <x:tableColumn id="7" name="Infrastructure exposée"/>
    <x:tableColumn id="8" name="Population exposée"/>
    <x:tableColumn id="9" name="Niveau de risque"/>
    <x:tableColumn id="10" name="Source"/>
    <x:tableColumn id="11" name="Document source"/>
    <x:tableColumn id="12" name="Observations"/>
    <x:tableColumn id="13" name="Statut validation"/>
    <x:tableColumn id="14" name="Date de saisie"/>
    <x:tableColumn id="15" name="Responsable"/>
    <x:tableColumn id="16" name="Alerte_QC"/>
    <x:tableColumn id="17" name="Alimente_Rapports"/>
  </x:tableColumns>
  <x:tableStyleInfo name="TableStyleMedium2" showRowStripes="1"/>
</x:table>
</file>

<file path=xl/tables/table48.xml><?xml version="1.0" encoding="utf-8"?>
<x:table xmlns:x="http://schemas.openxmlformats.org/spreadsheetml/2006/main" id="48" name="tblFormProjetsClimat" displayName="tblFormProjetsClimat" ref="A4:U104" headerRowCount="1">
  <x:autoFilter ref="A4:U104"/>
  <x:tableColumns count="21">
    <x:tableColumn id="1" name="Projet_ID"/>
    <x:tableColumn id="2" name="Nom projet"/>
    <x:tableColumn id="3" name="Domaine"/>
    <x:tableColumn id="4" name="Type action"/>
    <x:tableColumn id="5" name="Statut projet"/>
    <x:tableColumn id="6" name="Niveau de maturité"/>
    <x:tableColumn id="7" name="Date début"/>
    <x:tableColumn id="8" name="Date fin"/>
    <x:tableColumn id="9" name="Budget total FCFA"/>
    <x:tableColumn id="10" name="Financement acquis FCFA"/>
    <x:tableColumn id="11" name="Gap financement FCFA"/>
    <x:tableColumn id="12" name="Avancement %"/>
    <x:tableColumn id="13" name="Responsable projet"/>
    <x:tableColumn id="14" name="Partenaires"/>
    <x:tableColumn id="15" name="Document source"/>
    <x:tableColumn id="16" name="Statut validation"/>
    <x:tableColumn id="17" name="Observations"/>
    <x:tableColumn id="18" name="Date de saisie"/>
    <x:tableColumn id="19" name="Responsable saisie"/>
    <x:tableColumn id="20" name="Alerte_QC"/>
    <x:tableColumn id="21" name="Alimente_Rapports"/>
  </x:tableColumns>
  <x:tableStyleInfo name="TableStyleMedium2" showRowStripes="1"/>
</x:table>
</file>

<file path=xl/tables/table49.xml><?xml version="1.0" encoding="utf-8"?>
<x:table xmlns:x="http://schemas.openxmlformats.org/spreadsheetml/2006/main" id="49" name="tblFormFinanceClimat" displayName="tblFormFinanceClimat" ref="A4:T104" headerRowCount="1">
  <x:autoFilter ref="A4:T104"/>
  <x:tableColumns count="20">
    <x:tableColumn id="1" name="ID_Saisie"/>
    <x:tableColumn id="2" name="Année"/>
    <x:tableColumn id="3" name="Mois"/>
    <x:tableColumn id="4" name="Projet_ID"/>
    <x:tableColumn id="5" name="Bailleur"/>
    <x:tableColumn id="6" name="Instrument"/>
    <x:tableColumn id="7" name="Montant demandé FCFA"/>
    <x:tableColumn id="8" name="Montant approuvé FCFA"/>
    <x:tableColumn id="9" name="Montant décaissé FCFA"/>
    <x:tableColumn id="10" name="Cofinancement FCFA"/>
    <x:tableColumn id="11" name="Devise"/>
    <x:tableColumn id="12" name="Statut financement"/>
    <x:tableColumn id="13" name="Date décision"/>
    <x:tableColumn id="14" name="Document source"/>
    <x:tableColumn id="15" name="Statut validation"/>
    <x:tableColumn id="16" name="Observations"/>
    <x:tableColumn id="17" name="Date de saisie"/>
    <x:tableColumn id="18" name="Responsable"/>
    <x:tableColumn id="19" name="Alerte_QC"/>
    <x:tableColumn id="20" name="Alimente_Rapports"/>
  </x:tableColumns>
  <x:tableStyleInfo name="TableStyleMedium2" showRowStripes="1"/>
</x:table>
</file>

<file path=xl/tables/table50.xml><?xml version="1.0" encoding="utf-8"?>
<x:table xmlns:x="http://schemas.openxmlformats.org/spreadsheetml/2006/main" id="50" name="tblDataFormulaireCentral" displayName="tblDataFormulaireCentral" ref="A4:U104" headerRowCount="1">
  <x:autoFilter ref="A4:U104"/>
  <x:tableColumns count="21">
    <x:tableColumn id="1" name="ID_Saisie"/>
    <x:tableColumn id="2" name="Domaine de donnée"/>
    <x:tableColumn id="3" name="Sous-domaine"/>
    <x:tableColumn id="4" name="Indicateur"/>
    <x:tableColumn id="5" name="Année"/>
    <x:tableColumn id="6" name="Mois"/>
    <x:tableColumn id="7" name="Commune / zone"/>
    <x:tableColumn id="8" name="Valeur"/>
    <x:tableColumn id="9" name="Unité"/>
    <x:tableColumn id="10" name="Institution source"/>
    <x:tableColumn id="11" name="Service source"/>
    <x:tableColumn id="12" name="Personne focale"/>
    <x:tableColumn id="13" name="Document source"/>
    <x:tableColumn id="14" name="Fréquence de collecte"/>
    <x:tableColumn id="15" name="Niveau de fiabilité"/>
    <x:tableColumn id="16" name="Statut de validation"/>
    <x:tableColumn id="17" name="Observations"/>
    <x:tableColumn id="18" name="Date de saisie"/>
    <x:tableColumn id="19" name="Responsable"/>
    <x:tableColumn id="20" name="Alerte_QC"/>
    <x:tableColumn id="21" name="Alimente_Rapports"/>
  </x:tableColumns>
  <x:tableStyleInfo name="TableStyleMedium4" showRowStripes="1"/>
</x:table>
</file>

<file path=xl/tables/table51.xml><?xml version="1.0" encoding="utf-8"?>
<x:table xmlns:x="http://schemas.openxmlformats.org/spreadsheetml/2006/main" id="51" name="tblDataTemperature" displayName="tblDataTemperature" ref="A4:T104" headerRowCount="1">
  <x:autoFilter ref="A4:T104"/>
  <x:tableColumns count="20">
    <x:tableColumn id="1" name="ID_Saisie"/>
    <x:tableColumn id="2" name="Date"/>
    <x:tableColumn id="3" name="Année"/>
    <x:tableColumn id="4" name="Mois"/>
    <x:tableColumn id="5" name="Station météo"/>
    <x:tableColumn id="6" name="Commune / zone"/>
    <x:tableColumn id="7" name="Température moyenne"/>
    <x:tableColumn id="8" name="Température minimale"/>
    <x:tableColumn id="9" name="Température maximale"/>
    <x:tableColumn id="10" name="Nombre de jours chauds"/>
    <x:tableColumn id="11" name="Source"/>
    <x:tableColumn id="12" name="Institution source"/>
    <x:tableColumn id="13" name="Document source"/>
    <x:tableColumn id="14" name="Niveau de fiabilité"/>
    <x:tableColumn id="15" name="Statut validation"/>
    <x:tableColumn id="16" name="Observations"/>
    <x:tableColumn id="17" name="Date de saisie"/>
    <x:tableColumn id="18" name="Responsable"/>
    <x:tableColumn id="19" name="Alerte_QC"/>
    <x:tableColumn id="20" name="Alimente_Rapports"/>
  </x:tableColumns>
  <x:tableStyleInfo name="TableStyleMedium4" showRowStripes="1"/>
</x:table>
</file>

<file path=xl/tables/table52.xml><?xml version="1.0" encoding="utf-8"?>
<x:table xmlns:x="http://schemas.openxmlformats.org/spreadsheetml/2006/main" id="52" name="tblDataPluviometrie" displayName="tblDataPluviometrie" ref="A4:Q104" headerRowCount="1">
  <x:autoFilter ref="A4:Q104"/>
  <x:tableColumns count="17">
    <x:tableColumn id="1" name="ID_Saisie"/>
    <x:tableColumn id="2" name="Date"/>
    <x:tableColumn id="3" name="Année"/>
    <x:tableColumn id="4" name="Mois"/>
    <x:tableColumn id="5" name="Station météo"/>
    <x:tableColumn id="6" name="Commune / zone"/>
    <x:tableColumn id="7" name="Pluviométrie mensuelle"/>
    <x:tableColumn id="8" name="Nombre de jours de pluie"/>
    <x:tableColumn id="9" name="Épisode extrêm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4" showRowStripes="1"/>
</x:table>
</file>

<file path=xl/tables/table53.xml><?xml version="1.0" encoding="utf-8"?>
<x:table xmlns:x="http://schemas.openxmlformats.org/spreadsheetml/2006/main" id="53" name="tblDataElectricite" displayName="tblDataElectricite" ref="A4:P104" headerRowCount="1">
  <x:autoFilter ref="A4:P104"/>
  <x:tableColumns count="16">
    <x:tableColumn id="1" name="ID_Saisie"/>
    <x:tableColumn id="2" name="Année"/>
    <x:tableColumn id="3" name="Mois"/>
    <x:tableColumn id="4" name="Zone"/>
    <x:tableColumn id="5" name="Type de consommation"/>
    <x:tableColumn id="6" name="Consommation kWh"/>
    <x:tableColumn id="7" name="Facteur d'émission kgCO2e/kWh"/>
    <x:tableColumn id="8" name="Émissions estimées tCO2e"/>
    <x:tableColumn id="9" name="Institution source"/>
    <x:tableColumn id="10" name="Document source"/>
    <x:tableColumn id="11" name="Statut validation"/>
    <x:tableColumn id="12" name="Observations"/>
    <x:tableColumn id="13" name="Date de saisie"/>
    <x:tableColumn id="14" name="Responsable"/>
    <x:tableColumn id="15" name="Alerte_QC"/>
    <x:tableColumn id="16" name="Alimente_Rapports"/>
  </x:tableColumns>
  <x:tableStyleInfo name="TableStyleMedium4" showRowStripes="1"/>
</x:table>
</file>

<file path=xl/tables/table54.xml><?xml version="1.0" encoding="utf-8"?>
<x:table xmlns:x="http://schemas.openxmlformats.org/spreadsheetml/2006/main" id="54" name="tblDataDechets" displayName="tblDataDechets" ref="A4:S104" headerRowCount="1">
  <x:autoFilter ref="A4:S104"/>
  <x:tableColumns count="19">
    <x:tableColumn id="1" name="ID_Saisie"/>
    <x:tableColumn id="2" name="Année"/>
    <x:tableColumn id="3" name="Mois"/>
    <x:tableColumn id="4" name="Zone"/>
    <x:tableColumn id="5" name="Type de déchets"/>
    <x:tableColumn id="6" name="Quantité collectée"/>
    <x:tableColumn id="7" name="Quantité recyclée"/>
    <x:tableColumn id="8" name="Quantité compostée"/>
    <x:tableColumn id="9" name="Quantité mise en décharge"/>
    <x:tableColumn id="10" name="Unité"/>
    <x:tableColumn id="11" name="Institution source"/>
    <x:tableColumn id="12" name="Document source"/>
    <x:tableColumn id="13" name="Émissions estimées"/>
    <x:tableColumn id="14" name="Observations"/>
    <x:tableColumn id="15" name="Statut validation"/>
    <x:tableColumn id="16" name="Date de saisie"/>
    <x:tableColumn id="17" name="Responsable"/>
    <x:tableColumn id="18" name="Alerte_QC"/>
    <x:tableColumn id="19" name="Alimente_Rapports"/>
  </x:tableColumns>
  <x:tableStyleInfo name="TableStyleMedium4" showRowStripes="1"/>
</x:table>
</file>

<file path=xl/tables/table55.xml><?xml version="1.0" encoding="utf-8"?>
<x:table xmlns:x="http://schemas.openxmlformats.org/spreadsheetml/2006/main" id="55" name="tblDataQualiteAir" displayName="tblDataQualiteAir" ref="A4:T104" headerRowCount="1">
  <x:autoFilter ref="A4:T104"/>
  <x:tableColumns count="20">
    <x:tableColumn id="1" name="ID_Saisie"/>
    <x:tableColumn id="2" name="Année"/>
    <x:tableColumn id="3" name="Mois"/>
    <x:tableColumn id="4" name="Station / zone"/>
    <x:tableColumn id="5" name="PM2.5"/>
    <x:tableColumn id="6" name="PM10"/>
    <x:tableColumn id="7" name="NO2"/>
    <x:tableColumn id="8" name="SO2"/>
    <x:tableColumn id="9" name="CO"/>
    <x:tableColumn id="10" name="O3"/>
    <x:tableColumn id="11" name="Indice qualité air"/>
    <x:tableColumn id="12" name="Dépassement seuil OMS"/>
    <x:tableColumn id="13" name="Source"/>
    <x:tableColumn id="14" name="Document source"/>
    <x:tableColumn id="15" name="Observations"/>
    <x:tableColumn id="16" name="Statut validation"/>
    <x:tableColumn id="17" name="Date de saisie"/>
    <x:tableColumn id="18" name="Responsable"/>
    <x:tableColumn id="19" name="Alerte_QC"/>
    <x:tableColumn id="20" name="Alimente_Rapports"/>
  </x:tableColumns>
  <x:tableStyleInfo name="TableStyleMedium4" showRowStripes="1"/>
</x:table>
</file>

<file path=xl/tables/table56.xml><?xml version="1.0" encoding="utf-8"?>
<x:table xmlns:x="http://schemas.openxmlformats.org/spreadsheetml/2006/main" id="56" name="tblDataEmissionsGES" displayName="tblDataEmissionsGES" ref="A4:Q104" headerRowCount="1">
  <x:autoFilter ref="A4:Q104"/>
  <x:tableColumns count="17">
    <x:tableColumn id="1" name="ID_Saisie"/>
    <x:tableColumn id="2" name="Année"/>
    <x:tableColumn id="3" name="Secteur"/>
    <x:tableColumn id="4" name="Sous-secteur"/>
    <x:tableColumn id="5" name="Donnée d'activité"/>
    <x:tableColumn id="6" name="Unité"/>
    <x:tableColumn id="7" name="Facteur d'émission"/>
    <x:tableColumn id="8" name="Émissions tCO2e"/>
    <x:tableColumn id="9" name="Méthodologie"/>
    <x:tableColumn id="10" name="Source"/>
    <x:tableColumn id="11" name="Document source"/>
    <x:tableColumn id="12" name="Statut validation"/>
    <x:tableColumn id="13" name="Observations"/>
    <x:tableColumn id="14" name="Date de saisie"/>
    <x:tableColumn id="15" name="Responsable"/>
    <x:tableColumn id="16" name="Alerte_QC"/>
    <x:tableColumn id="17" name="Alimente_Rapports"/>
  </x:tableColumns>
  <x:tableStyleInfo name="TableStyleMedium4" showRowStripes="1"/>
</x:table>
</file>

<file path=xl/tables/table57.xml><?xml version="1.0" encoding="utf-8"?>
<x:table xmlns:x="http://schemas.openxmlformats.org/spreadsheetml/2006/main" id="57" name="tblDataMobilite" displayName="tblDataMobilite" ref="A4:V104" headerRowCount="1">
  <x:autoFilter ref="A4:V104"/>
  <x:tableColumns count="22">
    <x:tableColumn id="1" name="ID_Saisie"/>
    <x:tableColumn id="2" name="Année"/>
    <x:tableColumn id="3" name="Mois"/>
    <x:tableColumn id="4" name="Zone"/>
    <x:tableColumn id="5" name="Mode transport"/>
    <x:tableColumn id="6" name="Nombre trajets"/>
    <x:tableColumn id="7" name="Distance moyenne km"/>
    <x:tableColumn id="8" name="Passagers"/>
    <x:tableColumn id="9" name="Carburant / énergie"/>
    <x:tableColumn id="10" name="Consommation"/>
    <x:tableColumn id="11" name="Unité"/>
    <x:tableColumn id="12" name="Facteur d'émission"/>
    <x:tableColumn id="13" name="Émissions tCO2e"/>
    <x:tableColumn id="14" name="Source"/>
    <x:tableColumn id="15" name="Institution source"/>
    <x:tableColumn id="16" name="Document source"/>
    <x:tableColumn id="17" name="Statut validation"/>
    <x:tableColumn id="18" name="Observations"/>
    <x:tableColumn id="19" name="Date de saisie"/>
    <x:tableColumn id="20" name="Responsable"/>
    <x:tableColumn id="21" name="Alerte_QC"/>
    <x:tableColumn id="22" name="Alimente_Rapports"/>
  </x:tableColumns>
  <x:tableStyleInfo name="TableStyleMedium4" showRowStripes="1"/>
</x:table>
</file>

<file path=xl/tables/table58.xml><?xml version="1.0" encoding="utf-8"?>
<x:table xmlns:x="http://schemas.openxmlformats.org/spreadsheetml/2006/main" id="58" name="tblDataErosionCotiere" displayName="tblDataErosionCotiere" ref="A4:Q104" headerRowCount="1">
  <x:autoFilter ref="A4:Q104"/>
  <x:tableColumns count="17">
    <x:tableColumn id="1" name="ID_Saisie"/>
    <x:tableColumn id="2" name="Année"/>
    <x:tableColumn id="3" name="Mois"/>
    <x:tableColumn id="4" name="Zone côtière"/>
    <x:tableColumn id="5" name="Recul du trait de côte"/>
    <x:tableColumn id="6" name="Unité"/>
    <x:tableColumn id="7" name="Infrastructure exposée"/>
    <x:tableColumn id="8" name="Population exposée"/>
    <x:tableColumn id="9" name="Niveau de risque"/>
    <x:tableColumn id="10" name="Source"/>
    <x:tableColumn id="11" name="Document source"/>
    <x:tableColumn id="12" name="Observations"/>
    <x:tableColumn id="13" name="Statut validation"/>
    <x:tableColumn id="14" name="Date de saisie"/>
    <x:tableColumn id="15" name="Responsable"/>
    <x:tableColumn id="16" name="Alerte_QC"/>
    <x:tableColumn id="17" name="Alimente_Rapports"/>
  </x:tableColumns>
  <x:tableStyleInfo name="TableStyleMedium4" showRowStripes="1"/>
</x:table>
</file>

<file path=xl/tables/table59.xml><?xml version="1.0" encoding="utf-8"?>
<x:table xmlns:x="http://schemas.openxmlformats.org/spreadsheetml/2006/main" id="59" name="tblDataProjetsClimat" displayName="tblDataProjetsClimat" ref="A4:U104" headerRowCount="1">
  <x:autoFilter ref="A4:U104"/>
  <x:tableColumns count="21">
    <x:tableColumn id="1" name="Projet_ID"/>
    <x:tableColumn id="2" name="Nom projet"/>
    <x:tableColumn id="3" name="Domaine"/>
    <x:tableColumn id="4" name="Type action"/>
    <x:tableColumn id="5" name="Statut projet"/>
    <x:tableColumn id="6" name="Niveau de maturité"/>
    <x:tableColumn id="7" name="Date début"/>
    <x:tableColumn id="8" name="Date fin"/>
    <x:tableColumn id="9" name="Budget total FCFA"/>
    <x:tableColumn id="10" name="Financement acquis FCFA"/>
    <x:tableColumn id="11" name="Gap financement FCFA"/>
    <x:tableColumn id="12" name="Avancement %"/>
    <x:tableColumn id="13" name="Responsable projet"/>
    <x:tableColumn id="14" name="Partenaires"/>
    <x:tableColumn id="15" name="Document source"/>
    <x:tableColumn id="16" name="Statut validation"/>
    <x:tableColumn id="17" name="Observations"/>
    <x:tableColumn id="18" name="Date de saisie"/>
    <x:tableColumn id="19" name="Responsable saisie"/>
    <x:tableColumn id="20" name="Alerte_QC"/>
    <x:tableColumn id="21" name="Alimente_Rapports"/>
  </x:tableColumns>
  <x:tableStyleInfo name="TableStyleMedium4" showRowStripes="1"/>
</x:table>
</file>

<file path=xl/tables/table60.xml><?xml version="1.0" encoding="utf-8"?>
<x:table xmlns:x="http://schemas.openxmlformats.org/spreadsheetml/2006/main" id="60" name="tblDataFinanceClimat" displayName="tblDataFinanceClimat" ref="A4:T104" headerRowCount="1">
  <x:autoFilter ref="A4:T104"/>
  <x:tableColumns count="20">
    <x:tableColumn id="1" name="ID_Saisie"/>
    <x:tableColumn id="2" name="Année"/>
    <x:tableColumn id="3" name="Mois"/>
    <x:tableColumn id="4" name="Projet_ID"/>
    <x:tableColumn id="5" name="Bailleur"/>
    <x:tableColumn id="6" name="Instrument"/>
    <x:tableColumn id="7" name="Montant demandé FCFA"/>
    <x:tableColumn id="8" name="Montant approuvé FCFA"/>
    <x:tableColumn id="9" name="Montant décaissé FCFA"/>
    <x:tableColumn id="10" name="Cofinancement FCFA"/>
    <x:tableColumn id="11" name="Devise"/>
    <x:tableColumn id="12" name="Statut financement"/>
    <x:tableColumn id="13" name="Date décision"/>
    <x:tableColumn id="14" name="Document source"/>
    <x:tableColumn id="15" name="Statut validation"/>
    <x:tableColumn id="16" name="Observations"/>
    <x:tableColumn id="17" name="Date de saisie"/>
    <x:tableColumn id="18" name="Responsable"/>
    <x:tableColumn id="19" name="Alerte_QC"/>
    <x:tableColumn id="20" name="Alimente_Rapports"/>
  </x:tableColumns>
  <x:tableStyleInfo name="TableStyleMedium4" showRowStripes="1"/>
</x:table>
</file>

<file path=xl/tables/table61.xml><?xml version="1.0" encoding="utf-8"?>
<x:table xmlns:x="http://schemas.openxmlformats.org/spreadsheetml/2006/main" id="61" name="tblVueTableauBord" displayName="tblVueTableauBord"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2.xml><?xml version="1.0" encoding="utf-8"?>
<x:table xmlns:x="http://schemas.openxmlformats.org/spreadsheetml/2006/main" id="62" name="tblVueInventaireGES" displayName="tblVueInventaireGE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3.xml><?xml version="1.0" encoding="utf-8"?>
<x:table xmlns:x="http://schemas.openxmlformats.org/spreadsheetml/2006/main" id="63" name="tblVueDonneesClimatiques" displayName="tblVueDonneesClimatique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4.xml><?xml version="1.0" encoding="utf-8"?>
<x:table xmlns:x="http://schemas.openxmlformats.org/spreadsheetml/2006/main" id="64" name="tblVueQualiteAir" displayName="tblVueQualiteAir"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5.xml><?xml version="1.0" encoding="utf-8"?>
<x:table xmlns:x="http://schemas.openxmlformats.org/spreadsheetml/2006/main" id="65" name="tblVueEnergie" displayName="tblVueEnergie"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6.xml><?xml version="1.0" encoding="utf-8"?>
<x:table xmlns:x="http://schemas.openxmlformats.org/spreadsheetml/2006/main" id="66" name="tblVueDechets" displayName="tblVueDechets" ref="A4:E8"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7.xml><?xml version="1.0" encoding="utf-8"?>
<x:table xmlns:x="http://schemas.openxmlformats.org/spreadsheetml/2006/main" id="67" name="tblVueMobilite" displayName="tblVueMobilite"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8.xml><?xml version="1.0" encoding="utf-8"?>
<x:table xmlns:x="http://schemas.openxmlformats.org/spreadsheetml/2006/main" id="68" name="tblVueRisquesClimatiques" displayName="tblVueRisquesClimatiques" ref="A4:E7"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69.xml><?xml version="1.0" encoding="utf-8"?>
<x:table xmlns:x="http://schemas.openxmlformats.org/spreadsheetml/2006/main" id="69" name="tblReportingForms" displayName="tblReportingForms"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70.xml><?xml version="1.0" encoding="utf-8"?>
<x:table xmlns:x="http://schemas.openxmlformats.org/spreadsheetml/2006/main" id="70" name="tblContributionCDN" displayName="tblContributionCDN" ref="A4:E9" headerRowCount="1">
  <x:tableColumns count="5">
    <x:tableColumn id="1" name="Indicateur"/>
    <x:tableColumn id="2" name="Valeur"/>
    <x:tableColumn id="3" name="Unité"/>
    <x:tableColumn id="4" name="Source"/>
    <x:tableColumn id="5" name="Usage reporting"/>
  </x:tableColumns>
  <x:tableStyleInfo name="TableStyleMedium2" showRowStripes="1"/>
</x:table>
</file>

<file path=xl/tables/table71.xml><?xml version="1.0" encoding="utf-8"?>
<x:table xmlns:x="http://schemas.openxmlformats.org/spreadsheetml/2006/main" id="71" name="tblFluxDashboardForms" displayName="tblFluxDashboardForms" ref="A11:D17" headerRowCount="1">
  <x:tableColumns count="4">
    <x:tableColumn id="1" name="Flux obligatoire"/>
    <x:tableColumn id="2" name="Étape"/>
    <x:tableColumn id="3" name="Contrôle"/>
    <x:tableColumn id="4" name="Sortie"/>
  </x:tableColumns>
  <x:tableStyleInfo name="TableStyleMedium2" showRowStripes="1"/>
</x:table>
</file>

<file path=xl/tables/table72.xml><?xml version="1.0" encoding="utf-8"?>
<x:table xmlns:x="http://schemas.openxmlformats.org/spreadsheetml/2006/main" id="72" name="tblControleQualiteValidation" displayName="tblControleQualiteValidation" ref="A4:J15" headerRowCount="1">
  <x:tableColumns count="10">
    <x:tableColumn id="1" name="Formulaire"/>
    <x:tableColumn id="2" name="Lignes saisies"/>
    <x:tableColumn id="3" name="Lignes validées"/>
    <x:tableColumn id="4" name="Alertes QC"/>
    <x:tableColumn id="5" name="Statuts non validés"/>
    <x:tableColumn id="6" name="Documents absents"/>
    <x:tableColumn id="7" name="Sources absentes"/>
    <x:tableColumn id="8" name="Dates saisie absentes"/>
    <x:tableColumn id="9" name="Statut"/>
    <x:tableColumn id="10" name="Action attendue"/>
  </x:tableColumns>
  <x:tableStyleInfo name="TableStyleMedium2" showRowStripes="1"/>
</x:table>
</file>

<file path=xl/tables/table73.xml><?xml version="1.0" encoding="utf-8"?>
<x:table xmlns:x="http://schemas.openxmlformats.org/spreadsheetml/2006/main" id="73" name="tblModeEmploiForms" displayName="tblModeEmploiForms" ref="A4:H13" headerRowCount="1">
  <x:tableColumns count="8">
    <x:tableColumn id="1" name="Étape"/>
    <x:tableColumn id="2" name="Action utilisateur"/>
    <x:tableColumn id="3" name="Description"/>
    <x:tableColumn id="4" name="Feuille concernée"/>
    <x:tableColumn id="5" name="Responsable"/>
    <x:tableColumn id="6" name="Fréquence"/>
    <x:tableColumn id="7" name="Point de contrôle"/>
    <x:tableColumn id="8" name="Résultat"/>
  </x:tableColumns>
  <x:tableStyleInfo name="TableStyleMedium2" showRowStripes="1"/>
</x:table>
</file>

<file path=xl/tables/table74.xml><?xml version="1.0" encoding="utf-8"?>
<x:table xmlns:x="http://schemas.openxmlformats.org/spreadsheetml/2006/main" id="74" name="tblFluxDonneesForms" displayName="tblFluxDonneesForms" ref="A4:H12" headerRowCount="1">
  <x:tableColumns count="8">
    <x:tableColumn id="1" name="Ordre"/>
    <x:tableColumn id="2" name="Bloc"/>
    <x:tableColumn id="3" name="Rôle"/>
    <x:tableColumn id="4" name="Entrée"/>
    <x:tableColumn id="5" name="Traitement"/>
    <x:tableColumn id="6" name="Sortie"/>
    <x:tableColumn id="7" name="Responsable"/>
    <x:tableColumn id="8" name="Règle de blocage"/>
  </x:tableColumns>
  <x:tableStyleInfo name="TableStyleMedium2" showRowStripes="1"/>
</x:table>
</file>

<file path=xl/tables/table75.xml><?xml version="1.0" encoding="utf-8"?>
<x:table xmlns:x="http://schemas.openxmlformats.org/spreadsheetml/2006/main" id="75" name="tblDonneesPrioritairesForms" displayName="tblDonneesPrioritairesForms" ref="A4:I14" headerRowCount="1">
  <x:tableColumns count="9">
    <x:tableColumn id="1" name="Priorité"/>
    <x:tableColumn id="2" name="Donnée"/>
    <x:tableColumn id="3" name="Feuille cible"/>
    <x:tableColumn id="4" name="Source"/>
    <x:tableColumn id="5" name="Responsable"/>
    <x:tableColumn id="6" name="Fréquence"/>
    <x:tableColumn id="7" name="Difficulté"/>
    <x:tableColumn id="8" name="Criticité"/>
    <x:tableColumn id="9" name="Première 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873e51e94c24f52" /></Relationships>
</file>

<file path=xl/worksheets/_rels/sheet3.xml.rels>&#65279;<?xml version="1.0" encoding="utf-8"?><Relationships xmlns="http://schemas.openxmlformats.org/package/2006/relationships"><Relationship Type="http://schemas.openxmlformats.org/officeDocument/2006/relationships/table" Target="/xl/tables/table2.xml" Id="R6ea1da9055e84923" /></Relationships>
</file>

<file path=xl/worksheets/_rels/sheet4.xml.rels>&#65279;<?xml version="1.0" encoding="utf-8"?><Relationships xmlns="http://schemas.openxmlformats.org/package/2006/relationships"><Relationship Type="http://schemas.openxmlformats.org/officeDocument/2006/relationships/table" Target="/xl/tables/table3.xml" Id="R7ed7b4db1a124085" /></Relationships>
</file>

<file path=xl/worksheets/_rels/sheet6.xml.rels>&#65279;<?xml version="1.0" encoding="utf-8"?><Relationships xmlns="http://schemas.openxmlformats.org/package/2006/relationships"><Relationship Type="http://schemas.openxmlformats.org/officeDocument/2006/relationships/table" Target="/xl/tables/table4.xml" Id="R2534e8bee4c443be" /></Relationships>
</file>

<file path=xl/worksheets/_rels/sheet7.xml.rels>&#65279;<?xml version="1.0" encoding="utf-8"?><Relationships xmlns="http://schemas.openxmlformats.org/package/2006/relationships"><Relationship Type="http://schemas.openxmlformats.org/officeDocument/2006/relationships/table" Target="/xl/tables/table5.xml" Id="R1dcac89436ea4d82" /></Relationships>
</file>

<file path=xl/worksheets/_rels/sheet8.xml.rels>&#65279;<?xml version="1.0" encoding="utf-8"?><Relationships xmlns="http://schemas.openxmlformats.org/package/2006/relationships"><Relationship Type="http://schemas.openxmlformats.org/officeDocument/2006/relationships/table" Target="/xl/tables/table6.xml" Id="R5830c5a92ad247e4" /></Relationships>
</file>

<file path=xl/worksheets/_rels/sheet9.xml.rels>&#65279;<?xml version="1.0" encoding="utf-8"?><Relationships xmlns="http://schemas.openxmlformats.org/package/2006/relationships"><Relationship Type="http://schemas.openxmlformats.org/officeDocument/2006/relationships/table" Target="/xl/tables/table7.xml" Id="R589d789d8aad4b37" /></Relationships>
</file>

<file path=xl/worksheets/_rels/sheet10.xml.rels>&#65279;<?xml version="1.0" encoding="utf-8"?><Relationships xmlns="http://schemas.openxmlformats.org/package/2006/relationships"><Relationship Type="http://schemas.openxmlformats.org/officeDocument/2006/relationships/table" Target="/xl/tables/table8.xml" Id="Red70ac823a944027" /></Relationships>
</file>

<file path=xl/worksheets/_rels/sheet11.xml.rels>&#65279;<?xml version="1.0" encoding="utf-8"?><Relationships xmlns="http://schemas.openxmlformats.org/package/2006/relationships"><Relationship Type="http://schemas.openxmlformats.org/officeDocument/2006/relationships/table" Target="/xl/tables/table9.xml" Id="Rc0f9d13463194e8f" /></Relationships>
</file>

<file path=xl/worksheets/_rels/sheet12.xml.rels>&#65279;<?xml version="1.0" encoding="utf-8"?><Relationships xmlns="http://schemas.openxmlformats.org/package/2006/relationships"><Relationship Type="http://schemas.openxmlformats.org/officeDocument/2006/relationships/table" Target="/xl/tables/table10.xml" Id="R3844e3389ad04de4" /></Relationships>
</file>

<file path=xl/worksheets/_rels/sheet13.xml.rels>&#65279;<?xml version="1.0" encoding="utf-8"?><Relationships xmlns="http://schemas.openxmlformats.org/package/2006/relationships"><Relationship Type="http://schemas.openxmlformats.org/officeDocument/2006/relationships/table" Target="/xl/tables/table11.xml" Id="Rb5c1635311c447cb" /></Relationships>
</file>

<file path=xl/worksheets/_rels/sheet14.xml.rels>&#65279;<?xml version="1.0" encoding="utf-8"?><Relationships xmlns="http://schemas.openxmlformats.org/package/2006/relationships"><Relationship Type="http://schemas.openxmlformats.org/officeDocument/2006/relationships/table" Target="/xl/tables/table12.xml" Id="Rdf7a851445374823" /></Relationships>
</file>

<file path=xl/worksheets/_rels/sheet15.xml.rels>&#65279;<?xml version="1.0" encoding="utf-8"?><Relationships xmlns="http://schemas.openxmlformats.org/package/2006/relationships"><Relationship Type="http://schemas.openxmlformats.org/officeDocument/2006/relationships/table" Target="/xl/tables/table13.xml" Id="R53a987a81d904174" /></Relationships>
</file>

<file path=xl/worksheets/_rels/sheet16.xml.rels>&#65279;<?xml version="1.0" encoding="utf-8"?><Relationships xmlns="http://schemas.openxmlformats.org/package/2006/relationships"><Relationship Type="http://schemas.openxmlformats.org/officeDocument/2006/relationships/table" Target="/xl/tables/table14.xml" Id="R23cd0fe564e24a16" /></Relationships>
</file>

<file path=xl/worksheets/_rels/sheet17.xml.rels>&#65279;<?xml version="1.0" encoding="utf-8"?><Relationships xmlns="http://schemas.openxmlformats.org/package/2006/relationships"><Relationship Type="http://schemas.openxmlformats.org/officeDocument/2006/relationships/table" Target="/xl/tables/table15.xml" Id="Ra2d0cddf02be4973" /></Relationships>
</file>

<file path=xl/worksheets/_rels/sheet18.xml.rels>&#65279;<?xml version="1.0" encoding="utf-8"?><Relationships xmlns="http://schemas.openxmlformats.org/package/2006/relationships"><Relationship Type="http://schemas.openxmlformats.org/officeDocument/2006/relationships/table" Target="/xl/tables/table16.xml" Id="R8c6fd9c63a1a4bf6" /></Relationships>
</file>

<file path=xl/worksheets/_rels/sheet19.xml.rels>&#65279;<?xml version="1.0" encoding="utf-8"?><Relationships xmlns="http://schemas.openxmlformats.org/package/2006/relationships"><Relationship Type="http://schemas.openxmlformats.org/officeDocument/2006/relationships/table" Target="/xl/tables/table17.xml" Id="R2f5bbb92071d4b1e" /></Relationships>
</file>

<file path=xl/worksheets/_rels/sheet20.xml.rels>&#65279;<?xml version="1.0" encoding="utf-8"?><Relationships xmlns="http://schemas.openxmlformats.org/package/2006/relationships"><Relationship Type="http://schemas.openxmlformats.org/officeDocument/2006/relationships/table" Target="/xl/tables/table18.xml" Id="Rd6c889e9342d4332" /></Relationships>
</file>

<file path=xl/worksheets/_rels/sheet21.xml.rels>&#65279;<?xml version="1.0" encoding="utf-8"?><Relationships xmlns="http://schemas.openxmlformats.org/package/2006/relationships"><Relationship Type="http://schemas.openxmlformats.org/officeDocument/2006/relationships/table" Target="/xl/tables/table19.xml" Id="R71156df297f44c32" /></Relationships>
</file>

<file path=xl/worksheets/_rels/sheet22.xml.rels>&#65279;<?xml version="1.0" encoding="utf-8"?><Relationships xmlns="http://schemas.openxmlformats.org/package/2006/relationships"><Relationship Type="http://schemas.openxmlformats.org/officeDocument/2006/relationships/table" Target="/xl/tables/table20.xml" Id="Rdeb25ce134f048f8" /></Relationships>
</file>

<file path=xl/worksheets/_rels/sheet23.xml.rels>&#65279;<?xml version="1.0" encoding="utf-8"?><Relationships xmlns="http://schemas.openxmlformats.org/package/2006/relationships"><Relationship Type="http://schemas.openxmlformats.org/officeDocument/2006/relationships/table" Target="/xl/tables/table21.xml" Id="R02af2f5e4f0e42d6" /></Relationships>
</file>

<file path=xl/worksheets/_rels/sheet24.xml.rels>&#65279;<?xml version="1.0" encoding="utf-8"?><Relationships xmlns="http://schemas.openxmlformats.org/package/2006/relationships"><Relationship Type="http://schemas.openxmlformats.org/officeDocument/2006/relationships/table" Target="/xl/tables/table22.xml" Id="Re000220d09f94864" /></Relationships>
</file>

<file path=xl/worksheets/_rels/sheet25.xml.rels>&#65279;<?xml version="1.0" encoding="utf-8"?><Relationships xmlns="http://schemas.openxmlformats.org/package/2006/relationships"><Relationship Type="http://schemas.openxmlformats.org/officeDocument/2006/relationships/table" Target="/xl/tables/table23.xml" Id="R36f6330995544a94" /></Relationships>
</file>

<file path=xl/worksheets/_rels/sheet26.xml.rels>&#65279;<?xml version="1.0" encoding="utf-8"?><Relationships xmlns="http://schemas.openxmlformats.org/package/2006/relationships"><Relationship Type="http://schemas.openxmlformats.org/officeDocument/2006/relationships/table" Target="/xl/tables/table24.xml" Id="R50ffaf2c621245a4" /></Relationships>
</file>

<file path=xl/worksheets/_rels/sheet27.xml.rels>&#65279;<?xml version="1.0" encoding="utf-8"?><Relationships xmlns="http://schemas.openxmlformats.org/package/2006/relationships"><Relationship Type="http://schemas.openxmlformats.org/officeDocument/2006/relationships/table" Target="/xl/tables/table25.xml" Id="R84a361a05d24422f" /></Relationships>
</file>

<file path=xl/worksheets/_rels/sheet28.xml.rels>&#65279;<?xml version="1.0" encoding="utf-8"?><Relationships xmlns="http://schemas.openxmlformats.org/package/2006/relationships"><Relationship Type="http://schemas.openxmlformats.org/officeDocument/2006/relationships/table" Target="/xl/tables/table26.xml" Id="Ra2f6a8ee363c48e4" /></Relationships>
</file>

<file path=xl/worksheets/_rels/sheet29.xml.rels>&#65279;<?xml version="1.0" encoding="utf-8"?><Relationships xmlns="http://schemas.openxmlformats.org/package/2006/relationships"><Relationship Type="http://schemas.openxmlformats.org/officeDocument/2006/relationships/table" Target="/xl/tables/table27.xml" Id="Rb942616acab84b35" /></Relationships>
</file>

<file path=xl/worksheets/_rels/sheet30.xml.rels>&#65279;<?xml version="1.0" encoding="utf-8"?><Relationships xmlns="http://schemas.openxmlformats.org/package/2006/relationships"><Relationship Type="http://schemas.openxmlformats.org/officeDocument/2006/relationships/table" Target="/xl/tables/table28.xml" Id="Ra8acfdda0d284aa6" /></Relationships>
</file>

<file path=xl/worksheets/_rels/sheet31.xml.rels>&#65279;<?xml version="1.0" encoding="utf-8"?><Relationships xmlns="http://schemas.openxmlformats.org/package/2006/relationships"><Relationship Type="http://schemas.openxmlformats.org/officeDocument/2006/relationships/table" Target="/xl/tables/table29.xml" Id="R4a8f4da2b5f341e0" /></Relationships>
</file>

<file path=xl/worksheets/_rels/sheet32.xml.rels>&#65279;<?xml version="1.0" encoding="utf-8"?><Relationships xmlns="http://schemas.openxmlformats.org/package/2006/relationships"><Relationship Type="http://schemas.openxmlformats.org/officeDocument/2006/relationships/table" Target="/xl/tables/table30.xml" Id="R3a51dd5e6c224a39" /></Relationships>
</file>

<file path=xl/worksheets/_rels/sheet33.xml.rels>&#65279;<?xml version="1.0" encoding="utf-8"?><Relationships xmlns="http://schemas.openxmlformats.org/package/2006/relationships"><Relationship Type="http://schemas.openxmlformats.org/officeDocument/2006/relationships/table" Target="/xl/tables/table31.xml" Id="R4cbb11e534bb47a0" /></Relationships>
</file>

<file path=xl/worksheets/_rels/sheet34.xml.rels>&#65279;<?xml version="1.0" encoding="utf-8"?><Relationships xmlns="http://schemas.openxmlformats.org/package/2006/relationships"><Relationship Type="http://schemas.openxmlformats.org/officeDocument/2006/relationships/table" Target="/xl/tables/table32.xml" Id="Rf4a5c52c9d114eee" /></Relationships>
</file>

<file path=xl/worksheets/_rels/sheet35.xml.rels>&#65279;<?xml version="1.0" encoding="utf-8"?><Relationships xmlns="http://schemas.openxmlformats.org/package/2006/relationships"><Relationship Type="http://schemas.openxmlformats.org/officeDocument/2006/relationships/table" Target="/xl/tables/table33.xml" Id="Rf0674469ef9d4b65" /></Relationships>
</file>

<file path=xl/worksheets/_rels/sheet36.xml.rels>&#65279;<?xml version="1.0" encoding="utf-8"?><Relationships xmlns="http://schemas.openxmlformats.org/package/2006/relationships"><Relationship Type="http://schemas.openxmlformats.org/officeDocument/2006/relationships/table" Target="/xl/tables/table34.xml" Id="Rddf977382061444a" /></Relationships>
</file>

<file path=xl/worksheets/_rels/sheet37.xml.rels>&#65279;<?xml version="1.0" encoding="utf-8"?><Relationships xmlns="http://schemas.openxmlformats.org/package/2006/relationships"><Relationship Type="http://schemas.openxmlformats.org/officeDocument/2006/relationships/table" Target="/xl/tables/table35.xml" Id="Re22b59b7bd5a4f77" /></Relationships>
</file>

<file path=xl/worksheets/_rels/sheet38.xml.rels>&#65279;<?xml version="1.0" encoding="utf-8"?><Relationships xmlns="http://schemas.openxmlformats.org/package/2006/relationships"><Relationship Type="http://schemas.openxmlformats.org/officeDocument/2006/relationships/table" Target="/xl/tables/table36.xml" Id="R2679ee8547b54c0e" /></Relationships>
</file>

<file path=xl/worksheets/_rels/sheet39.xml.rels>&#65279;<?xml version="1.0" encoding="utf-8"?><Relationships xmlns="http://schemas.openxmlformats.org/package/2006/relationships"><Relationship Type="http://schemas.openxmlformats.org/officeDocument/2006/relationships/table" Target="/xl/tables/table37.xml" Id="R86fe748101064dc5" /></Relationships>
</file>

<file path=xl/worksheets/_rels/sheet41.xml.rels>&#65279;<?xml version="1.0" encoding="utf-8"?><Relationships xmlns="http://schemas.openxmlformats.org/package/2006/relationships"><Relationship Type="http://schemas.openxmlformats.org/officeDocument/2006/relationships/table" Target="/xl/tables/table38.xml" Id="Rd59868b04d714943" /></Relationships>
</file>

<file path=xl/worksheets/_rels/sheet42.xml.rels>&#65279;<?xml version="1.0" encoding="utf-8"?><Relationships xmlns="http://schemas.openxmlformats.org/package/2006/relationships"><Relationship Type="http://schemas.openxmlformats.org/officeDocument/2006/relationships/table" Target="/xl/tables/table39.xml" Id="Rf4a937286b174d45" /></Relationships>
</file>

<file path=xl/worksheets/_rels/sheet43.xml.rels>&#65279;<?xml version="1.0" encoding="utf-8"?><Relationships xmlns="http://schemas.openxmlformats.org/package/2006/relationships"><Relationship Type="http://schemas.openxmlformats.org/officeDocument/2006/relationships/table" Target="/xl/tables/table40.xml" Id="R1db188da43eb480a" /></Relationships>
</file>

<file path=xl/worksheets/_rels/sheet44.xml.rels>&#65279;<?xml version="1.0" encoding="utf-8"?><Relationships xmlns="http://schemas.openxmlformats.org/package/2006/relationships"><Relationship Type="http://schemas.openxmlformats.org/officeDocument/2006/relationships/table" Target="/xl/tables/table41.xml" Id="R104c8adbf8cc4624" /></Relationships>
</file>

<file path=xl/worksheets/_rels/sheet45.xml.rels>&#65279;<?xml version="1.0" encoding="utf-8"?><Relationships xmlns="http://schemas.openxmlformats.org/package/2006/relationships"><Relationship Type="http://schemas.openxmlformats.org/officeDocument/2006/relationships/table" Target="/xl/tables/table42.xml" Id="R9056d4177e0543c7" /></Relationships>
</file>

<file path=xl/worksheets/_rels/sheet46.xml.rels>&#65279;<?xml version="1.0" encoding="utf-8"?><Relationships xmlns="http://schemas.openxmlformats.org/package/2006/relationships"><Relationship Type="http://schemas.openxmlformats.org/officeDocument/2006/relationships/table" Target="/xl/tables/table43.xml" Id="R13c953ac80564a9a" /></Relationships>
</file>

<file path=xl/worksheets/_rels/sheet47.xml.rels>&#65279;<?xml version="1.0" encoding="utf-8"?><Relationships xmlns="http://schemas.openxmlformats.org/package/2006/relationships"><Relationship Type="http://schemas.openxmlformats.org/officeDocument/2006/relationships/table" Target="/xl/tables/table44.xml" Id="R62fc881ad50d4600" /></Relationships>
</file>

<file path=xl/worksheets/_rels/sheet48.xml.rels>&#65279;<?xml version="1.0" encoding="utf-8"?><Relationships xmlns="http://schemas.openxmlformats.org/package/2006/relationships"><Relationship Type="http://schemas.openxmlformats.org/officeDocument/2006/relationships/table" Target="/xl/tables/table45.xml" Id="Re974b4d3b00c42b1" /></Relationships>
</file>

<file path=xl/worksheets/_rels/sheet49.xml.rels>&#65279;<?xml version="1.0" encoding="utf-8"?><Relationships xmlns="http://schemas.openxmlformats.org/package/2006/relationships"><Relationship Type="http://schemas.openxmlformats.org/officeDocument/2006/relationships/table" Target="/xl/tables/table46.xml" Id="R06882cd77d3648b1" /></Relationships>
</file>

<file path=xl/worksheets/_rels/sheet50.xml.rels>&#65279;<?xml version="1.0" encoding="utf-8"?><Relationships xmlns="http://schemas.openxmlformats.org/package/2006/relationships"><Relationship Type="http://schemas.openxmlformats.org/officeDocument/2006/relationships/table" Target="/xl/tables/table47.xml" Id="R9ec5905ef7cf4887" /></Relationships>
</file>

<file path=xl/worksheets/_rels/sheet51.xml.rels>&#65279;<?xml version="1.0" encoding="utf-8"?><Relationships xmlns="http://schemas.openxmlformats.org/package/2006/relationships"><Relationship Type="http://schemas.openxmlformats.org/officeDocument/2006/relationships/table" Target="/xl/tables/table48.xml" Id="Rc1eb1286162c46dd" /></Relationships>
</file>

<file path=xl/worksheets/_rels/sheet52.xml.rels>&#65279;<?xml version="1.0" encoding="utf-8"?><Relationships xmlns="http://schemas.openxmlformats.org/package/2006/relationships"><Relationship Type="http://schemas.openxmlformats.org/officeDocument/2006/relationships/table" Target="/xl/tables/table49.xml" Id="R0525a5e25a274d3d" /></Relationships>
</file>

<file path=xl/worksheets/_rels/sheet53.xml.rels>&#65279;<?xml version="1.0" encoding="utf-8"?><Relationships xmlns="http://schemas.openxmlformats.org/package/2006/relationships"><Relationship Type="http://schemas.openxmlformats.org/officeDocument/2006/relationships/table" Target="/xl/tables/table50.xml" Id="R61b03dc379e84812" /></Relationships>
</file>

<file path=xl/worksheets/_rels/sheet54.xml.rels>&#65279;<?xml version="1.0" encoding="utf-8"?><Relationships xmlns="http://schemas.openxmlformats.org/package/2006/relationships"><Relationship Type="http://schemas.openxmlformats.org/officeDocument/2006/relationships/table" Target="/xl/tables/table51.xml" Id="R240ad45e02b24c5b" /></Relationships>
</file>

<file path=xl/worksheets/_rels/sheet55.xml.rels>&#65279;<?xml version="1.0" encoding="utf-8"?><Relationships xmlns="http://schemas.openxmlformats.org/package/2006/relationships"><Relationship Type="http://schemas.openxmlformats.org/officeDocument/2006/relationships/table" Target="/xl/tables/table52.xml" Id="Rd8e16c6cbcb84708" /></Relationships>
</file>

<file path=xl/worksheets/_rels/sheet56.xml.rels>&#65279;<?xml version="1.0" encoding="utf-8"?><Relationships xmlns="http://schemas.openxmlformats.org/package/2006/relationships"><Relationship Type="http://schemas.openxmlformats.org/officeDocument/2006/relationships/table" Target="/xl/tables/table53.xml" Id="R2f88b4caddf64811" /></Relationships>
</file>

<file path=xl/worksheets/_rels/sheet57.xml.rels>&#65279;<?xml version="1.0" encoding="utf-8"?><Relationships xmlns="http://schemas.openxmlformats.org/package/2006/relationships"><Relationship Type="http://schemas.openxmlformats.org/officeDocument/2006/relationships/table" Target="/xl/tables/table54.xml" Id="Rfed12197f63b4875" /></Relationships>
</file>

<file path=xl/worksheets/_rels/sheet58.xml.rels>&#65279;<?xml version="1.0" encoding="utf-8"?><Relationships xmlns="http://schemas.openxmlformats.org/package/2006/relationships"><Relationship Type="http://schemas.openxmlformats.org/officeDocument/2006/relationships/table" Target="/xl/tables/table55.xml" Id="R6063e3d3212a47f6" /></Relationships>
</file>

<file path=xl/worksheets/_rels/sheet59.xml.rels>&#65279;<?xml version="1.0" encoding="utf-8"?><Relationships xmlns="http://schemas.openxmlformats.org/package/2006/relationships"><Relationship Type="http://schemas.openxmlformats.org/officeDocument/2006/relationships/table" Target="/xl/tables/table56.xml" Id="R8e2672c476d74769" /></Relationships>
</file>

<file path=xl/worksheets/_rels/sheet60.xml.rels>&#65279;<?xml version="1.0" encoding="utf-8"?><Relationships xmlns="http://schemas.openxmlformats.org/package/2006/relationships"><Relationship Type="http://schemas.openxmlformats.org/officeDocument/2006/relationships/table" Target="/xl/tables/table57.xml" Id="Re437ac4158b44e93" /></Relationships>
</file>

<file path=xl/worksheets/_rels/sheet61.xml.rels>&#65279;<?xml version="1.0" encoding="utf-8"?><Relationships xmlns="http://schemas.openxmlformats.org/package/2006/relationships"><Relationship Type="http://schemas.openxmlformats.org/officeDocument/2006/relationships/table" Target="/xl/tables/table58.xml" Id="R470598822d0d4f67" /></Relationships>
</file>

<file path=xl/worksheets/_rels/sheet62.xml.rels>&#65279;<?xml version="1.0" encoding="utf-8"?><Relationships xmlns="http://schemas.openxmlformats.org/package/2006/relationships"><Relationship Type="http://schemas.openxmlformats.org/officeDocument/2006/relationships/table" Target="/xl/tables/table59.xml" Id="R83d1f44ff7c34ae3" /></Relationships>
</file>

<file path=xl/worksheets/_rels/sheet63.xml.rels>&#65279;<?xml version="1.0" encoding="utf-8"?><Relationships xmlns="http://schemas.openxmlformats.org/package/2006/relationships"><Relationship Type="http://schemas.openxmlformats.org/officeDocument/2006/relationships/table" Target="/xl/tables/table60.xml" Id="Rad7fb9a3bf844297" /></Relationships>
</file>

<file path=xl/worksheets/_rels/sheet64.xml.rels>&#65279;<?xml version="1.0" encoding="utf-8"?><Relationships xmlns="http://schemas.openxmlformats.org/package/2006/relationships"><Relationship Type="http://schemas.openxmlformats.org/officeDocument/2006/relationships/table" Target="/xl/tables/table61.xml" Id="Rcf6a58c1780d47a8" /></Relationships>
</file>

<file path=xl/worksheets/_rels/sheet65.xml.rels>&#65279;<?xml version="1.0" encoding="utf-8"?><Relationships xmlns="http://schemas.openxmlformats.org/package/2006/relationships"><Relationship Type="http://schemas.openxmlformats.org/officeDocument/2006/relationships/table" Target="/xl/tables/table62.xml" Id="R9916e757a1c947cb" /></Relationships>
</file>

<file path=xl/worksheets/_rels/sheet66.xml.rels>&#65279;<?xml version="1.0" encoding="utf-8"?><Relationships xmlns="http://schemas.openxmlformats.org/package/2006/relationships"><Relationship Type="http://schemas.openxmlformats.org/officeDocument/2006/relationships/table" Target="/xl/tables/table63.xml" Id="Rf928b35748604511" /></Relationships>
</file>

<file path=xl/worksheets/_rels/sheet67.xml.rels>&#65279;<?xml version="1.0" encoding="utf-8"?><Relationships xmlns="http://schemas.openxmlformats.org/package/2006/relationships"><Relationship Type="http://schemas.openxmlformats.org/officeDocument/2006/relationships/table" Target="/xl/tables/table64.xml" Id="Rc48af4b2efa542f1" /></Relationships>
</file>

<file path=xl/worksheets/_rels/sheet68.xml.rels>&#65279;<?xml version="1.0" encoding="utf-8"?><Relationships xmlns="http://schemas.openxmlformats.org/package/2006/relationships"><Relationship Type="http://schemas.openxmlformats.org/officeDocument/2006/relationships/table" Target="/xl/tables/table65.xml" Id="R7848837768dd44e7" /></Relationships>
</file>

<file path=xl/worksheets/_rels/sheet69.xml.rels>&#65279;<?xml version="1.0" encoding="utf-8"?><Relationships xmlns="http://schemas.openxmlformats.org/package/2006/relationships"><Relationship Type="http://schemas.openxmlformats.org/officeDocument/2006/relationships/table" Target="/xl/tables/table66.xml" Id="R817e326304c74cb4" /></Relationships>
</file>

<file path=xl/worksheets/_rels/sheet70.xml.rels>&#65279;<?xml version="1.0" encoding="utf-8"?><Relationships xmlns="http://schemas.openxmlformats.org/package/2006/relationships"><Relationship Type="http://schemas.openxmlformats.org/officeDocument/2006/relationships/table" Target="/xl/tables/table67.xml" Id="Ra077eb13fecc41fb" /></Relationships>
</file>

<file path=xl/worksheets/_rels/sheet71.xml.rels>&#65279;<?xml version="1.0" encoding="utf-8"?><Relationships xmlns="http://schemas.openxmlformats.org/package/2006/relationships"><Relationship Type="http://schemas.openxmlformats.org/officeDocument/2006/relationships/table" Target="/xl/tables/table68.xml" Id="R59f100d9646f460c" /></Relationships>
</file>

<file path=xl/worksheets/_rels/sheet72.xml.rels>&#65279;<?xml version="1.0" encoding="utf-8"?><Relationships xmlns="http://schemas.openxmlformats.org/package/2006/relationships"><Relationship Type="http://schemas.openxmlformats.org/officeDocument/2006/relationships/table" Target="/xl/tables/table69.xml" Id="R3d59bec9edf44a43" /></Relationships>
</file>

<file path=xl/worksheets/_rels/sheet73.xml.rels>&#65279;<?xml version="1.0" encoding="utf-8"?><Relationships xmlns="http://schemas.openxmlformats.org/package/2006/relationships"><Relationship Type="http://schemas.openxmlformats.org/officeDocument/2006/relationships/table" Target="/xl/tables/table70.xml" Id="Rdc6eefcfe9344c9e" /></Relationships>
</file>

<file path=xl/worksheets/_rels/sheet74.xml.rels>&#65279;<?xml version="1.0" encoding="utf-8"?><Relationships xmlns="http://schemas.openxmlformats.org/package/2006/relationships"><Relationship Type="http://schemas.openxmlformats.org/officeDocument/2006/relationships/table" Target="/xl/tables/table71.xml" Id="R525c3d4c9ce8493d" /></Relationships>
</file>

<file path=xl/worksheets/_rels/sheet75.xml.rels>&#65279;<?xml version="1.0" encoding="utf-8"?><Relationships xmlns="http://schemas.openxmlformats.org/package/2006/relationships"><Relationship Type="http://schemas.openxmlformats.org/officeDocument/2006/relationships/table" Target="/xl/tables/table72.xml" Id="Rbd88d91539464559" /></Relationships>
</file>

<file path=xl/worksheets/_rels/sheet76.xml.rels>&#65279;<?xml version="1.0" encoding="utf-8"?><Relationships xmlns="http://schemas.openxmlformats.org/package/2006/relationships"><Relationship Type="http://schemas.openxmlformats.org/officeDocument/2006/relationships/table" Target="/xl/tables/table73.xml" Id="R27f5c14d9e5c4de6" /></Relationships>
</file>

<file path=xl/worksheets/_rels/sheet77.xml.rels>&#65279;<?xml version="1.0" encoding="utf-8"?><Relationships xmlns="http://schemas.openxmlformats.org/package/2006/relationships"><Relationship Type="http://schemas.openxmlformats.org/officeDocument/2006/relationships/table" Target="/xl/tables/table74.xml" Id="R7e96bc52ee05496f" /></Relationships>
</file>

<file path=xl/worksheets/_rels/sheet78.xml.rels>&#65279;<?xml version="1.0" encoding="utf-8"?><Relationships xmlns="http://schemas.openxmlformats.org/package/2006/relationships"><Relationship Type="http://schemas.openxmlformats.org/officeDocument/2006/relationships/table" Target="/xl/tables/table75.xml" Id="R9d7cb4f1ea3d4ec1" /></Relationships>
</file>

<file path=xl/worksheets/_rels/sheet79.xml.rels>&#65279;<?xml version="1.0" encoding="utf-8"?><Relationships xmlns="http://schemas.openxmlformats.org/package/2006/relationships"><Relationship Type="http://schemas.openxmlformats.org/officeDocument/2006/relationships/drawing" Target="/xl/drawings/drawing1.xml" Id="Rcd10957a2379466a"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7.5" hidden="0" customWidth="1"/>
    <x:col min="3" max="3" width="21.25" hidden="0" customWidth="1"/>
    <x:col min="4" max="4" width="22.5" hidden="0" customWidth="1"/>
    <x:col min="5" max="5" width="22.5" hidden="0" customWidth="1"/>
    <x:col min="6" max="6" width="22.5" hidden="0" customWidth="1"/>
    <x:col min="7" max="7" width="22.5" hidden="0" customWidth="1"/>
    <x:col min="8" max="8" width="22.5" hidden="0" customWidth="1"/>
    <x:col min="9" max="9" width="22.5" hidden="0" customWidth="1"/>
    <x:col min="10" max="10" width="22.5" hidden="0" customWidth="1"/>
  </x:cols>
  <x:sheetData>
    <x:row r="1" ht="25.5" customHeight="1">
      <x:c r="A1" s="2" t="str">
        <x:v>Ville de Dakar - Systeme maitre de suivi-evaluation climatique</x:v>
      </x:c>
      <x:c r="B1" s="2"/>
      <x:c r="C1" s="2"/>
      <x:c r="D1" s="2"/>
      <x:c r="E1" s="2"/>
      <x:c r="F1" s="2"/>
      <x:c r="G1" s="2"/>
      <x:c r="H1" s="2"/>
      <x:c r="I1" s="2"/>
      <x:c r="J1" s="2"/>
    </x:row>
    <x:row r="2" ht="31.5" customHeight="1">
      <x:c r="A2" s="5" t="str">
        <x:v>Classeur operationnel pour le pilotage des projets climat, inventaires GES, qualite de l'air, mobilite, energie, dechets, financements et reporting CDP-ICLEI, C40, ICLEI/GPC, CoM SSA et CDN.</x:v>
      </x:c>
      <x:c r="B2" s="5"/>
      <x:c r="C2" s="5"/>
      <x:c r="D2" s="5"/>
      <x:c r="E2" s="5"/>
      <x:c r="F2" s="5"/>
      <x:c r="G2" s="5"/>
      <x:c r="H2" s="5"/>
      <x:c r="I2" s="5"/>
      <x:c r="J2" s="5"/>
    </x:row>
    <x:row r="4">
      <x:c r="A4" s="7" t="str">
        <x:v>Bloc</x:v>
      </x:c>
      <x:c r="B4" s="7" t="str">
        <x:v>Feuilles</x:v>
      </x:c>
      <x:c r="C4" s="7" t="str">
        <x:v>Utilisation</x:v>
      </x:c>
      <x:c r="D4" s="7" t="str">
        <x:v>Responsable type</x:v>
      </x:c>
      <x:c r="F4" s="12" t="str">
        <x:v>Principes d'utilisation
1. Saisir les donnees sources dans les onglets sectoriels.
2. Relier les projets, budgets et financements avec les identifiants.
3. Controler les alertes dans le tableau de bord.
4. Utiliser les onglets de reporting pour preparer CDP, C40, ICLEI/GPC, CoM SSA et CDN.</x:v>
      </x:c>
    </x:row>
    <x:row r="5">
      <x:c r="A5" s="9" t="str">
        <x:v>Pilotage</x:v>
      </x:c>
      <x:c r="B5" s="9" t="str">
        <x:v>04_TABLEAU_BORD</x:v>
      </x:c>
      <x:c r="C5" s="9" t="str">
        <x:v>Vue executive, KPIs, alertes, graphiques</x:v>
      </x:c>
      <x:c r="D5" s="9" t="str">
        <x:v>Cabinet du Maire / Cellule climat</x:v>
      </x:c>
    </x:row>
    <x:row r="6">
      <x:c r="A6" s="9" t="str">
        <x:v>Projets</x:v>
      </x:c>
      <x:c r="B6" s="9" t="str">
        <x:v>05_PROJETS_CLIMAT, 07_ACTIONS_CLIMAT</x:v>
      </x:c>
      <x:c r="C6" s="9" t="str">
        <x:v>Portefeuille de projets et actions liees</x:v>
      </x:c>
      <x:c r="D6" s="9" t="str">
        <x:v>Directions techniques</x:v>
      </x:c>
    </x:row>
    <x:row r="7">
      <x:c r="A7" s="9" t="str">
        <x:v>MRV</x:v>
      </x:c>
      <x:c r="B7" s="9" t="str">
        <x:v>06_INDICATEURS_MRV, 19_QA_QC</x:v>
      </x:c>
      <x:c r="C7" s="9" t="str">
        <x:v>Indicateurs, controle qualite, alertes donnees</x:v>
      </x:c>
      <x:c r="D7" s="9" t="str">
        <x:v>Cellule MRV</x:v>
      </x:c>
    </x:row>
    <x:row r="8">
      <x:c r="A8" s="9" t="str">
        <x:v>Inventaire GES</x:v>
      </x:c>
      <x:c r="B8" s="9" t="str">
        <x:v>08_INVENTAIRE_GES, 09_DONNEES_GES_ACTIVITE, 10_FACTEURS_EMISSION</x:v>
      </x:c>
      <x:c r="C8" s="9" t="str">
        <x:v>Calcul et tracabilite GES selon logique GPC</x:v>
      </x:c>
      <x:c r="D8" s="9" t="str">
        <x:v>Referent GES</x:v>
      </x:c>
    </x:row>
    <x:row r="9">
      <x:c r="A9" s="9" t="str">
        <x:v>Donnees sectorielles</x:v>
      </x:c>
      <x:c r="B9" s="9" t="str">
        <x:v>11_QUALITE_AIR, 12_MOBILITE, 13_ENERGIE, 14_DECHETS</x:v>
      </x:c>
      <x:c r="C9" s="9" t="str">
        <x:v>Donnees primaires par domaine</x:v>
      </x:c>
      <x:c r="D9" s="9" t="str">
        <x:v>Services sectoriels</x:v>
      </x:c>
    </x:row>
    <x:row r="10">
      <x:c r="A10" s="9" t="str">
        <x:v>Partenaires</x:v>
      </x:c>
      <x:c r="B10" s="9" t="str">
        <x:v>15_PARTIES_PRENANTES</x:v>
      </x:c>
      <x:c r="C10" s="9" t="str">
        <x:v>Contacts, roles, engagement</x:v>
      </x:c>
      <x:c r="D10" s="9" t="str">
        <x:v>Partenariats</x:v>
      </x:c>
    </x:row>
    <x:row r="11">
      <x:c r="A11" s="9" t="str">
        <x:v>Finance</x:v>
      </x:c>
      <x:c r="B11" s="9" t="str">
        <x:v>16_BUDGETS, 17_FINANCEMENTS</x:v>
      </x:c>
      <x:c r="C11" s="9" t="str">
        <x:v>Budget, execution, besoins et financements</x:v>
      </x:c>
      <x:c r="D11" s="9" t="str">
        <x:v>DAF / Finance climat</x:v>
      </x:c>
    </x:row>
    <x:row r="12">
      <x:c r="A12" s="9" t="str">
        <x:v>Risques</x:v>
      </x:c>
      <x:c r="B12" s="9" t="str">
        <x:v>18_RISQUES_HYPOTHESES</x:v>
      </x:c>
      <x:c r="C12" s="9" t="str">
        <x:v>Suivi des risques et hypotheses</x:v>
      </x:c>
      <x:c r="D12" s="9" t="str">
        <x:v>PMO climat</x:v>
      </x:c>
      <x:c r="F12" s="44" t="str">
        <x:v>Version: 2.0
Date V2: 2026-05-31
Ajouts: audit international, trajectoires, risques, bancabilite, preuves MRV, inclusion et scorecard de conformite.
Perimetre: Ville de Dakar
Unites GES: tCO2e</x:v>
      </x:c>
      <x:c r="G12" s="44" t="str">
        <x:v>Version: 2.0
Date V2: 2026-05-31
Ajouts: audit international, trajectoires, risques, bancabilite, preuves MRV, inclusion et scorecard de conformite.
Perimetre: Ville de Dakar
Unites GES: tCO2e</x:v>
      </x:c>
      <x:c r="H12" s="44" t="str">
        <x:v>Version: 2.0
Date V2: 2026-05-31
Ajouts: audit international, trajectoires, risques, bancabilite, preuves MRV, inclusion et scorecard de conformite.
Perimetre: Ville de Dakar
Unites GES: tCO2e</x:v>
      </x:c>
      <x:c r="I12" s="44" t="str">
        <x:v>Version: 2.0
Date V2: 2026-05-31
Ajouts: audit international, trajectoires, risques, bancabilite, preuves MRV, inclusion et scorecard de conformite.
Perimetre: Ville de Dakar
Unites GES: tCO2e</x:v>
      </x:c>
      <x:c r="J12" s="44" t="str">
        <x:v>Version: 2.0
Date V2: 2026-05-31
Ajouts: audit international, trajectoires, risques, bancabilite, preuves MRV, inclusion et scorecard de conformite.
Perimetre: Ville de Dakar
Unites GES: tCO2e</x:v>
      </x:c>
    </x:row>
    <x:row r="13">
      <x:c r="A13" s="9" t="str">
        <x:v>Reporting</x:v>
      </x:c>
      <x:c r="B13" s="9" t="str">
        <x:v>20_MAPPING_REPORTING, 21-24_RAPPORTS</x:v>
      </x:c>
      <x:c r="C13" s="9" t="str">
        <x:v>Pre-remplissage CDP, C40, ICLEI, CoM SSA, CDN</x:v>
      </x:c>
      <x:c r="D13" s="9" t="str">
        <x:v>Cellule reporting</x:v>
      </x:c>
      <x:c r="F13" s="44" t="str">
        <x:v>Version: 2.0
Date V2: 2026-05-31
Ajouts: audit international, trajectoires, risques, bancabilite, preuves MRV, inclusion et scorecard de conformite.
Perimetre: Ville de Dakar
Unites GES: tCO2e</x:v>
      </x:c>
      <x:c r="G13" s="44" t="str">
        <x:v>Version: 2.0
Date V2: 2026-05-31
Ajouts: audit international, trajectoires, risques, bancabilite, preuves MRV, inclusion et scorecard de conformite.
Perimetre: Ville de Dakar
Unites GES: tCO2e</x:v>
      </x:c>
      <x:c r="H13" s="44" t="str">
        <x:v>Version: 2.0
Date V2: 2026-05-31
Ajouts: audit international, trajectoires, risques, bancabilite, preuves MRV, inclusion et scorecard de conformite.
Perimetre: Ville de Dakar
Unites GES: tCO2e</x:v>
      </x:c>
      <x:c r="I13" s="44" t="str">
        <x:v>Version: 2.0
Date V2: 2026-05-31
Ajouts: audit international, trajectoires, risques, bancabilite, preuves MRV, inclusion et scorecard de conformite.
Perimetre: Ville de Dakar
Unites GES: tCO2e</x:v>
      </x:c>
      <x:c r="J13" s="44" t="str">
        <x:v>Version: 2.0
Date V2: 2026-05-31
Ajouts: audit international, trajectoires, risques, bancabilite, preuves MRV, inclusion et scorecard de conformite.
Perimetre: Ville de Dakar
Unites GES: tCO2e</x:v>
      </x:c>
    </x:row>
    <x:row r="14">
      <x:c r="A14" s="9" t="str">
        <x:v>Administration</x:v>
      </x:c>
      <x:c r="B14" s="9" t="str">
        <x:v>01_PARAMETRES, 02_REFERENTIELS, 03_SOURCES_DONNEES, 25_JOURNAL_MODIFS</x:v>
      </x:c>
      <x:c r="C14" s="9" t="str">
        <x:v>Listes, sources et historique</x:v>
      </x:c>
      <x:c r="D14" s="9" t="str">
        <x:v>Administrateur classeur</x:v>
      </x:c>
      <x:c r="F14" s="44" t="str">
        <x:v>Version: 2.0
Date V2: 2026-05-31
Ajouts: audit international, trajectoires, risques, bancabilite, preuves MRV, inclusion et scorecard de conformite.
Perimetre: Ville de Dakar
Unites GES: tCO2e</x:v>
      </x:c>
      <x:c r="G14" s="44" t="str">
        <x:v>Version: 2.0
Date V2: 2026-05-31
Ajouts: audit international, trajectoires, risques, bancabilite, preuves MRV, inclusion et scorecard de conformite.
Perimetre: Ville de Dakar
Unites GES: tCO2e</x:v>
      </x:c>
      <x:c r="H14" s="44" t="str">
        <x:v>Version: 2.0
Date V2: 2026-05-31
Ajouts: audit international, trajectoires, risques, bancabilite, preuves MRV, inclusion et scorecard de conformite.
Perimetre: Ville de Dakar
Unites GES: tCO2e</x:v>
      </x:c>
      <x:c r="I14" s="44" t="str">
        <x:v>Version: 2.0
Date V2: 2026-05-31
Ajouts: audit international, trajectoires, risques, bancabilite, preuves MRV, inclusion et scorecard de conformite.
Perimetre: Ville de Dakar
Unites GES: tCO2e</x:v>
      </x:c>
      <x:c r="J14" s="44" t="str">
        <x:v>Version: 2.0
Date V2: 2026-05-31
Ajouts: audit international, trajectoires, risques, bancabilite, preuves MRV, inclusion et scorecard de conformite.
Perimetre: Ville de Dakar
Unites GES: tCO2e</x:v>
      </x:c>
    </x:row>
    <x:row r="15">
      <x:c r="F15" s="44" t="str">
        <x:v>Version: 2.0
Date V2: 2026-05-31
Ajouts: audit international, trajectoires, risques, bancabilite, preuves MRV, inclusion et scorecard de conformite.
Perimetre: Ville de Dakar
Unites GES: tCO2e</x:v>
      </x:c>
      <x:c r="G15" s="44" t="str">
        <x:v>Version: 2.0
Date V2: 2026-05-31
Ajouts: audit international, trajectoires, risques, bancabilite, preuves MRV, inclusion et scorecard de conformite.
Perimetre: Ville de Dakar
Unites GES: tCO2e</x:v>
      </x:c>
      <x:c r="H15" s="44" t="str">
        <x:v>Version: 2.0
Date V2: 2026-05-31
Ajouts: audit international, trajectoires, risques, bancabilite, preuves MRV, inclusion et scorecard de conformite.
Perimetre: Ville de Dakar
Unites GES: tCO2e</x:v>
      </x:c>
      <x:c r="I15" s="44" t="str">
        <x:v>Version: 2.0
Date V2: 2026-05-31
Ajouts: audit international, trajectoires, risques, bancabilite, preuves MRV, inclusion et scorecard de conformite.
Perimetre: Ville de Dakar
Unites GES: tCO2e</x:v>
      </x:c>
      <x:c r="J15" s="44" t="str">
        <x:v>Version: 2.0
Date V2: 2026-05-31
Ajouts: audit international, trajectoires, risques, bancabilite, preuves MRV, inclusion et scorecard de conformite.
Perimetre: Ville de Dakar
Unites GES: tCO2e</x:v>
      </x:c>
    </x:row>
    <x:row r="16">
      <x:c r="F16" s="44" t="str">
        <x:v>Version: 2.0
Date V2: 2026-05-31
Ajouts: audit international, trajectoires, risques, bancabilite, preuves MRV, inclusion et scorecard de conformite.
Perimetre: Ville de Dakar
Unites GES: tCO2e</x:v>
      </x:c>
      <x:c r="G16" s="44" t="str">
        <x:v>Version: 2.0
Date V2: 2026-05-31
Ajouts: audit international, trajectoires, risques, bancabilite, preuves MRV, inclusion et scorecard de conformite.
Perimetre: Ville de Dakar
Unites GES: tCO2e</x:v>
      </x:c>
      <x:c r="H16" s="44" t="str">
        <x:v>Version: 2.0
Date V2: 2026-05-31
Ajouts: audit international, trajectoires, risques, bancabilite, preuves MRV, inclusion et scorecard de conformite.
Perimetre: Ville de Dakar
Unites GES: tCO2e</x:v>
      </x:c>
      <x:c r="I16" s="44" t="str">
        <x:v>Version: 2.0
Date V2: 2026-05-31
Ajouts: audit international, trajectoires, risques, bancabilite, preuves MRV, inclusion et scorecard de conformite.
Perimetre: Ville de Dakar
Unites GES: tCO2e</x:v>
      </x:c>
      <x:c r="J16" s="44" t="str">
        <x:v>Version: 2.0
Date V2: 2026-05-31
Ajouts: audit international, trajectoires, risques, bancabilite, preuves MRV, inclusion et scorecard de conformite.
Perimetre: Ville de Dakar
Unites GES: tCO2e</x:v>
      </x:c>
    </x:row>
    <x:row r="17">
      <x:c r="A17" s="15" t="str">
        <x:v>Sources methodologiques de reference integrees au modele</x:v>
      </x:c>
      <x:c r="B17" s="15" t="str">
        <x:v>Sources methodologiques de reference integrees au modele</x:v>
      </x:c>
      <x:c r="C17" s="15" t="str">
        <x:v>Sources methodologiques de reference integrees au modele</x:v>
      </x:c>
      <x:c r="D17" s="15" t="str">
        <x:v>Sources methodologiques de reference integrees au modele</x:v>
      </x:c>
      <x:c r="E17" s="15" t="str">
        <x:v>Sources methodologiques de reference integrees au modele</x:v>
      </x:c>
      <x:c r="F17" s="15" t="str">
        <x:v>Sources methodologiques de reference integrees au modele</x:v>
      </x:c>
      <x:c r="G17" s="15" t="str">
        <x:v>Sources methodologiques de reference integrees au modele</x:v>
      </x:c>
      <x:c r="H17" s="15" t="str">
        <x:v>Sources methodologiques de reference integrees au modele</x:v>
      </x:c>
      <x:c r="I17" s="15" t="str">
        <x:v>Sources methodologiques de reference integrees au modele</x:v>
      </x:c>
      <x:c r="J17" s="15" t="str">
        <x:v>Sources methodologiques de reference integrees au modele</x:v>
      </x:c>
    </x:row>
    <x:row r="18">
      <x:c r="A18" s="9" t="str">
        <x:v>GPC / GHG Protocol for Cities</x:v>
      </x:c>
      <x:c r="B18" s="9" t="str">
        <x:v>https://ghgprotocol.org/ghg-protocol-cities</x:v>
      </x:c>
      <x:c r="C18" s="9"/>
      <x:c r="D18" s="9"/>
      <x:c r="E18" s="9"/>
      <x:c r="F18" s="9"/>
      <x:c r="G18" s="9"/>
      <x:c r="H18" s="9"/>
      <x:c r="I18" s="9"/>
      <x:c r="J18" s="9"/>
    </x:row>
    <x:row r="19">
      <x:c r="A19" s="9" t="str">
        <x:v>CDP-ICLEI Track</x:v>
      </x:c>
      <x:c r="B19" s="9" t="str">
        <x:v>https://www.cdp.net/en/disclose/how-to-disclose</x:v>
      </x:c>
      <x:c r="C19" s="9"/>
      <x:c r="D19" s="9"/>
      <x:c r="E19" s="9"/>
      <x:c r="F19" s="9"/>
      <x:c r="G19" s="9"/>
      <x:c r="H19" s="9"/>
      <x:c r="I19" s="9"/>
      <x:c r="J19" s="9"/>
    </x:row>
    <x:row r="20">
      <x:c r="A20" s="93" t="str">
        <x:v>Menu V3 Forms - saisie, base validée, contrôle qualité, dashboard et rapports</x:v>
      </x:c>
      <x:c r="B20" s="93" t="str">
        <x:v>https://www.c40.org/what-we-do/raising-climate-ambition/1-5c-climate-action-plans/</x:v>
      </x:c>
      <x:c r="C20" s="93"/>
      <x:c r="D20" s="93"/>
      <x:c r="E20" s="93"/>
      <x:c r="F20" s="93"/>
      <x:c r="G20" s="93"/>
      <x:c r="H20" s="93"/>
      <x:c r="I20" s="93"/>
      <x:c r="J20" s="93"/>
    </x:row>
    <x:row r="21">
      <x:c r="A21" s="9" t="str">
        <x:v>CoM SSA / SEACAP</x:v>
      </x:c>
      <x:c r="B21" s="9" t="str">
        <x:v>https://comssa.org/seacap-toolbox/en</x:v>
      </x:c>
      <x:c r="C21" s="9"/>
      <x:c r="D21" s="9"/>
      <x:c r="E21" s="9"/>
      <x:c r="F21" s="9"/>
      <x:c r="G21" s="9"/>
      <x:c r="H21" s="9"/>
      <x:c r="I21" s="9"/>
      <x:c r="J21" s="9"/>
    </x:row>
    <x:row r="22">
      <x:c r="A22" s="96">
        <x:f>HYPERLINK(B22,A22)</x:f>
      </x:c>
      <x:c r="B22" s="99" t="str">
        <x:v>#'01_Form_Temperature'!A1</x:v>
      </x:c>
      <x:c r="C22" s="96">
        <x:f>HYPERLINK(D22,C22)</x:f>
      </x:c>
      <x:c r="D22" s="99" t="str">
        <x:v>#'02_Form_Pluviometrie'!A1</x:v>
      </x:c>
      <x:c r="E22" s="9"/>
      <x:c r="F22" s="102" t="str">
        <x:v>Règle obligatoire V3 Forms:
Aucune donnée ne doit alimenter les rapports finaux si son statut n'est pas "Validé humainement". Les feuilles Data_* appliquent cette règle automatiquement.</x:v>
      </x:c>
      <x:c r="G22" s="102" t="str">
        <x:v>Règle obligatoire V3 Forms:
Aucune donnée ne doit alimenter les rapports finaux si son statut n'est pas "Validé humainement". Les feuilles Data_* appliquent cette règle automatiquement.</x:v>
      </x:c>
      <x:c r="H22" s="102" t="str">
        <x:v>Règle obligatoire V3 Forms:
Aucune donnée ne doit alimenter les rapports finaux si son statut n'est pas "Validé humainement". Les feuilles Data_* appliquent cette règle automatiquement.</x:v>
      </x:c>
      <x:c r="I22" s="102" t="str">
        <x:v>Règle obligatoire V3 Forms:
Aucune donnée ne doit alimenter les rapports finaux si son statut n'est pas "Validé humainement". Les feuilles Data_* appliquent cette règle automatiquement.</x:v>
      </x:c>
      <x:c r="J22" s="102" t="str">
        <x:v>Règle obligatoire V3 Forms:
Aucune donnée ne doit alimenter les rapports finaux si son statut n'est pas "Validé humainement". Les feuilles Data_* appliquent cette règle automatiquement.</x:v>
      </x:c>
    </x:row>
    <x:row r="23">
      <x:c r="A23" s="96">
        <x:f>HYPERLINK(B23,A23)</x:f>
      </x:c>
      <x:c r="B23" s="99" t="str">
        <x:v>#'03_Form_Electricite'!A1</x:v>
      </x:c>
      <x:c r="C23" s="96">
        <x:f>HYPERLINK(D23,C23)</x:f>
      </x:c>
      <x:c r="D23" s="99" t="str">
        <x:v>#'04_Form_Dechets'!A1</x:v>
      </x:c>
      <x:c r="F23" s="102" t="str">
        <x:v>Règle obligatoire V3 Forms:
Aucune donnée ne doit alimenter les rapports finaux si son statut n'est pas "Validé humainement". Les feuilles Data_* appliquent cette règle automatiquement.</x:v>
      </x:c>
      <x:c r="G23" s="102" t="str">
        <x:v>Règle obligatoire V3 Forms:
Aucune donnée ne doit alimenter les rapports finaux si son statut n'est pas "Validé humainement". Les feuilles Data_* appliquent cette règle automatiquement.</x:v>
      </x:c>
      <x:c r="H23" s="102" t="str">
        <x:v>Règle obligatoire V3 Forms:
Aucune donnée ne doit alimenter les rapports finaux si son statut n'est pas "Validé humainement". Les feuilles Data_* appliquent cette règle automatiquement.</x:v>
      </x:c>
      <x:c r="I23" s="102" t="str">
        <x:v>Règle obligatoire V3 Forms:
Aucune donnée ne doit alimenter les rapports finaux si son statut n'est pas "Validé humainement". Les feuilles Data_* appliquent cette règle automatiquement.</x:v>
      </x:c>
      <x:c r="J23" s="102" t="str">
        <x:v>Règle obligatoire V3 Forms:
Aucune donnée ne doit alimenter les rapports finaux si son statut n'est pas "Validé humainement". Les feuilles Data_* appliquent cette règle automatiquement.</x:v>
      </x:c>
    </x:row>
    <x:row r="24">
      <x:c r="A24" s="96">
        <x:f>HYPERLINK(B24,A24)</x:f>
      </x:c>
      <x:c r="B24" s="99" t="str">
        <x:v>#'05_Form_Qualite_Air'!A1</x:v>
      </x:c>
      <x:c r="C24" s="96">
        <x:f>HYPERLINK(D24,C24)</x:f>
      </x:c>
      <x:c r="D24" s="99" t="str">
        <x:v>#'06_Form_Emissions_GES'!A1</x:v>
      </x:c>
      <x:c r="F24" s="102" t="str">
        <x:v>Règle obligatoire V3 Forms:
Aucune donnée ne doit alimenter les rapports finaux si son statut n'est pas "Validé humainement". Les feuilles Data_* appliquent cette règle automatiquement.</x:v>
      </x:c>
      <x:c r="G24" s="102" t="str">
        <x:v>Règle obligatoire V3 Forms:
Aucune donnée ne doit alimenter les rapports finaux si son statut n'est pas "Validé humainement". Les feuilles Data_* appliquent cette règle automatiquement.</x:v>
      </x:c>
      <x:c r="H24" s="102" t="str">
        <x:v>Règle obligatoire V3 Forms:
Aucune donnée ne doit alimenter les rapports finaux si son statut n'est pas "Validé humainement". Les feuilles Data_* appliquent cette règle automatiquement.</x:v>
      </x:c>
      <x:c r="I24" s="102" t="str">
        <x:v>Règle obligatoire V3 Forms:
Aucune donnée ne doit alimenter les rapports finaux si son statut n'est pas "Validé humainement". Les feuilles Data_* appliquent cette règle automatiquement.</x:v>
      </x:c>
      <x:c r="J24" s="102" t="str">
        <x:v>Règle obligatoire V3 Forms:
Aucune donnée ne doit alimenter les rapports finaux si son statut n'est pas "Validé humainement". Les feuilles Data_* appliquent cette règle automatiquement.</x:v>
      </x:c>
    </x:row>
    <x:row r="25">
      <x:c r="A25" s="96">
        <x:f>HYPERLINK(B25,A25)</x:f>
      </x:c>
      <x:c r="B25" s="99" t="str">
        <x:v>#'08_Form_Erosion_Cotiere'!A1</x:v>
      </x:c>
      <x:c r="C25" s="96">
        <x:f>HYPERLINK(D25,C25)</x:f>
      </x:c>
      <x:c r="D25" s="99" t="str">
        <x:v>#'09_Form_Projets_Climat'!A1</x:v>
      </x:c>
      <x:c r="F25" s="102" t="str">
        <x:v>Règle obligatoire V3 Forms:
Aucune donnée ne doit alimenter les rapports finaux si son statut n'est pas "Validé humainement". Les feuilles Data_* appliquent cette règle automatiquement.</x:v>
      </x:c>
      <x:c r="G25" s="102" t="str">
        <x:v>Règle obligatoire V3 Forms:
Aucune donnée ne doit alimenter les rapports finaux si son statut n'est pas "Validé humainement". Les feuilles Data_* appliquent cette règle automatiquement.</x:v>
      </x:c>
      <x:c r="H25" s="102" t="str">
        <x:v>Règle obligatoire V3 Forms:
Aucune donnée ne doit alimenter les rapports finaux si son statut n'est pas "Validé humainement". Les feuilles Data_* appliquent cette règle automatiquement.</x:v>
      </x:c>
      <x:c r="I25" s="102" t="str">
        <x:v>Règle obligatoire V3 Forms:
Aucune donnée ne doit alimenter les rapports finaux si son statut n'est pas "Validé humainement". Les feuilles Data_* appliquent cette règle automatiquement.</x:v>
      </x:c>
      <x:c r="J25" s="102" t="str">
        <x:v>Règle obligatoire V3 Forms:
Aucune donnée ne doit alimenter les rapports finaux si son statut n'est pas "Validé humainement". Les feuilles Data_* appliquent cette règle automatiquement.</x:v>
      </x:c>
    </x:row>
    <x:row r="26">
      <x:c r="A26" s="96">
        <x:f>HYPERLINK(B26,A26)</x:f>
      </x:c>
      <x:c r="B26" s="99" t="str">
        <x:v>#'41_DASHBOARD_FORMS'!A1</x:v>
      </x:c>
      <x:c r="C26" s="96">
        <x:f>HYPERLINK(D26,C26)</x:f>
      </x:c>
      <x:c r="D26" s="99" t="str">
        <x:v>#'Reporting_CDP_C40_ICLEI'!A1</x:v>
      </x:c>
      <x:c r="F26" s="102" t="str">
        <x:v>Règle obligatoire V3 Forms:
Aucune donnée ne doit alimenter les rapports finaux si son statut n'est pas "Validé humainement". Les feuilles Data_* appliquent cette règle automatiquement.</x:v>
      </x:c>
      <x:c r="G26" s="102" t="str">
        <x:v>Règle obligatoire V3 Forms:
Aucune donnée ne doit alimenter les rapports finaux si son statut n'est pas "Validé humainement". Les feuilles Data_* appliquent cette règle automatiquement.</x:v>
      </x:c>
      <x:c r="H26" s="102" t="str">
        <x:v>Règle obligatoire V3 Forms:
Aucune donnée ne doit alimenter les rapports finaux si son statut n'est pas "Validé humainement". Les feuilles Data_* appliquent cette règle automatiquement.</x:v>
      </x:c>
      <x:c r="I26" s="102" t="str">
        <x:v>Règle obligatoire V3 Forms:
Aucune donnée ne doit alimenter les rapports finaux si son statut n'est pas "Validé humainement". Les feuilles Data_* appliquent cette règle automatiquement.</x:v>
      </x:c>
      <x:c r="J26" s="102" t="str">
        <x:v>Règle obligatoire V3 Forms:
Aucune donnée ne doit alimenter les rapports finaux si son statut n'est pas "Validé humainement". Les feuilles Data_* appliquent cette règle automatiquement.</x:v>
      </x:c>
    </x:row>
    <x:row r="27">
      <x:c r="A27" s="96">
        <x:f>HYPERLINK(B27,A27)</x:f>
      </x:c>
      <x:c r="B27" s="99" t="str">
        <x:v>#'Contribution_CDN_2_0'!A1</x:v>
      </x:c>
      <x:c r="C27" s="96">
        <x:f>HYPERLINK(D27,C27)</x:f>
      </x:c>
      <x:c r="D27" s="99" t="str">
        <x:v>#'42_CONTROLE_QUALITE'!A1</x:v>
      </x:c>
      <x:c r="F27" s="102" t="str">
        <x:v>Règle obligatoire V3 Forms:
Aucune donnée ne doit alimenter les rapports finaux si son statut n'est pas "Validé humainement". Les feuilles Data_* appliquent cette règle automatiquement.</x:v>
      </x:c>
      <x:c r="G27" s="102" t="str">
        <x:v>Règle obligatoire V3 Forms:
Aucune donnée ne doit alimenter les rapports finaux si son statut n'est pas "Validé humainement". Les feuilles Data_* appliquent cette règle automatiquement.</x:v>
      </x:c>
      <x:c r="H27" s="102" t="str">
        <x:v>Règle obligatoire V3 Forms:
Aucune donnée ne doit alimenter les rapports finaux si son statut n'est pas "Validé humainement". Les feuilles Data_* appliquent cette règle automatiquement.</x:v>
      </x:c>
      <x:c r="I27" s="102" t="str">
        <x:v>Règle obligatoire V3 Forms:
Aucune donnée ne doit alimenter les rapports finaux si son statut n'est pas "Validé humainement". Les feuilles Data_* appliquent cette règle automatiquement.</x:v>
      </x:c>
      <x:c r="J27" s="102" t="str">
        <x:v>Règle obligatoire V3 Forms:
Aucune donnée ne doit alimenter les rapports finaux si son statut n'est pas "Validé humainement". Les feuilles Data_* appliquent cette règle automatiquement.</x:v>
      </x:c>
    </x:row>
  </x:sheetData>
  <x:mergeCells>
    <x:mergeCell ref="A1:J1"/>
    <x:mergeCell ref="A2:J2"/>
    <x:mergeCell ref="F4:J10"/>
    <x:mergeCell ref="F12:J16"/>
    <x:mergeCell ref="A17:J17"/>
    <x:mergeCell ref="A20:J20"/>
    <x:mergeCell ref="F22:J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8.1299991607666" hidden="0" customWidth="1"/>
    <x:col min="14" max="14" width="18.1299991607666" hidden="0" customWidth="1"/>
  </x:cols>
  <x:sheetData>
    <x:row r="1" ht="25.5" customHeight="1">
      <x:c r="A1" s="2" t="str">
        <x:v>Parametres et listes controlees</x:v>
      </x:c>
      <x:c r="B1" s="2"/>
      <x:c r="C1" s="2"/>
      <x:c r="D1" s="2"/>
      <x:c r="E1" s="2"/>
      <x:c r="F1" s="2"/>
      <x:c r="G1" s="2"/>
      <x:c r="H1" s="2"/>
      <x:c r="I1" s="2"/>
      <x:c r="J1" s="2"/>
    </x:row>
    <x:row r="2" ht="31.5" customHeight="1">
      <x:c r="A2" s="5" t="str">
        <x:v>Listes utilisees pour les menus deroulants du classeur.</x:v>
      </x:c>
      <x:c r="B2" s="5"/>
      <x:c r="C2" s="5"/>
      <x:c r="D2" s="5"/>
      <x:c r="E2" s="5"/>
      <x:c r="F2" s="5"/>
      <x:c r="G2" s="5"/>
      <x:c r="H2" s="5"/>
      <x:c r="I2" s="5"/>
      <x:c r="J2" s="5"/>
    </x:row>
    <x:row r="4">
      <x:c r="A4" s="16" t="str">
        <x:v>Secteurs</x:v>
      </x:c>
      <x:c r="B4" s="16" t="str">
        <x:v>Axes climat</x:v>
      </x:c>
      <x:c r="C4" s="16" t="str">
        <x:v>Statuts</x:v>
      </x:c>
      <x:c r="D4" s="16" t="str">
        <x:v>Niveaux maturite</x:v>
      </x:c>
      <x:c r="E4" s="16" t="str">
        <x:v>Priorites</x:v>
      </x:c>
      <x:c r="F4" s="16" t="str">
        <x:v>Qualite donnees</x:v>
      </x:c>
      <x:c r="G4" s="16" t="str">
        <x:v>Frequences</x:v>
      </x:c>
      <x:c r="H4" s="16" t="str">
        <x:v>Cadres reporting</x:v>
      </x:c>
      <x:c r="I4" s="16" t="str">
        <x:v>Scopes GES</x:v>
      </x:c>
      <x:c r="J4" s="16" t="str">
        <x:v>Gaz</x:v>
      </x:c>
      <x:c r="K4" s="16" t="str">
        <x:v>Oui/Non</x:v>
      </x:c>
      <x:c r="L4" s="16" t="str">
        <x:v>Statut reporting</x:v>
      </x:c>
      <x:c r="M4" s="16" t="str">
        <x:v>Quartiers/Zones</x:v>
      </x:c>
      <x:c r="N4" s="16" t="str">
        <x:v>Services municipaux</x:v>
      </x:c>
    </x:row>
    <x:row r="5">
      <x:c r="A5" s="9" t="str">
        <x:v>Energie</x:v>
      </x:c>
      <x:c r="B5" s="9" t="str">
        <x:v>Mitigation</x:v>
      </x:c>
      <x:c r="C5" s="9" t="str">
        <x:v>Idee</x:v>
      </x:c>
      <x:c r="D5" s="9" t="str">
        <x:v>0 - Idee</x:v>
      </x:c>
      <x:c r="E5" s="9" t="str">
        <x:v>Critique</x:v>
      </x:c>
      <x:c r="F5" s="9" t="str">
        <x:v>A - Verifiee</x:v>
      </x:c>
      <x:c r="G5" s="9" t="str">
        <x:v>Mensuelle</x:v>
      </x:c>
      <x:c r="H5" s="9" t="str">
        <x:v>CDP-ICLEI</x:v>
      </x:c>
      <x:c r="I5" s="9" t="str">
        <x:v>Scope 1</x:v>
      </x:c>
      <x:c r="J5" s="9" t="str">
        <x:v>CO2</x:v>
      </x:c>
      <x:c r="K5" s="9" t="str">
        <x:v>Oui</x:v>
      </x:c>
      <x:c r="L5" s="9" t="str">
        <x:v>Pret</x:v>
      </x:c>
      <x:c r="M5" s="9" t="str">
        <x:v>Plateau</x:v>
      </x:c>
      <x:c r="N5" s="9" t="str">
        <x:v>Direction Environnement</x:v>
      </x:c>
    </x:row>
    <x:row r="6">
      <x:c r="A6" s="9" t="str">
        <x:v>Transport et mobilite</x:v>
      </x:c>
      <x:c r="B6" s="9" t="str">
        <x:v>Adaptation</x:v>
      </x:c>
      <x:c r="C6" s="9" t="str">
        <x:v>En preparation</x:v>
      </x:c>
      <x:c r="D6" s="9" t="str">
        <x:v>1 - Cadrage</x:v>
      </x:c>
      <x:c r="E6" s="9" t="str">
        <x:v>Haute</x:v>
      </x:c>
      <x:c r="F6" s="9" t="str">
        <x:v>B - Bonne</x:v>
      </x:c>
      <x:c r="G6" s="9" t="str">
        <x:v>Trimestrielle</x:v>
      </x:c>
      <x:c r="H6" s="9" t="str">
        <x:v>C40</x:v>
      </x:c>
      <x:c r="I6" s="9" t="str">
        <x:v>Scope 2</x:v>
      </x:c>
      <x:c r="J6" s="9" t="str">
        <x:v>CH4</x:v>
      </x:c>
      <x:c r="K6" s="9" t="str">
        <x:v>Non</x:v>
      </x:c>
      <x:c r="L6" s="9" t="str">
        <x:v>A completer</x:v>
      </x:c>
      <x:c r="M6" s="9" t="str">
        <x:v>Medina</x:v>
      </x:c>
      <x:c r="N6" s="9" t="str">
        <x:v>Direction Planification</x:v>
      </x:c>
    </x:row>
    <x:row r="7">
      <x:c r="A7" s="9" t="str">
        <x:v>Dechets</x:v>
      </x:c>
      <x:c r="B7" s="9" t="str">
        <x:v>Mixte</x:v>
      </x:c>
      <x:c r="C7" s="9" t="str">
        <x:v>En validation</x:v>
      </x:c>
      <x:c r="D7" s="9" t="str">
        <x:v>2 - Etude faisabilite</x:v>
      </x:c>
      <x:c r="E7" s="9" t="str">
        <x:v>Moyenne</x:v>
      </x:c>
      <x:c r="F7" s="9" t="str">
        <x:v>C - Estimee</x:v>
      </x:c>
      <x:c r="G7" s="9" t="str">
        <x:v>Semestrielle</x:v>
      </x:c>
      <x:c r="H7" s="9" t="str">
        <x:v>ICLEI/GPC</x:v>
      </x:c>
      <x:c r="I7" s="9" t="str">
        <x:v>Scope 3</x:v>
      </x:c>
      <x:c r="J7" s="9" t="str">
        <x:v>N2O</x:v>
      </x:c>
      <x:c r="K7" s="9" t="str">
        <x:v>Partiel</x:v>
      </x:c>
      <x:c r="L7" s="9" t="str">
        <x:v>A verifier</x:v>
      </x:c>
      <x:c r="M7" s="9" t="str">
        <x:v>Grand Dakar</x:v>
      </x:c>
      <x:c r="N7" s="9" t="str">
        <x:v>Direction Mobilite</x:v>
      </x:c>
    </x:row>
    <x:row r="8">
      <x:c r="A8" s="9" t="str">
        <x:v>Qualite de l'air</x:v>
      </x:c>
      <x:c r="B8" s="9" t="str">
        <x:v>Gouvernance</x:v>
      </x:c>
      <x:c r="C8" s="9" t="str">
        <x:v>Finance</x:v>
      </x:c>
      <x:c r="D8" s="9" t="str">
        <x:v>3 - Montage financier</x:v>
      </x:c>
      <x:c r="E8" s="9" t="str">
        <x:v>Basse</x:v>
      </x:c>
      <x:c r="F8" s="9" t="str">
        <x:v>D - Faible</x:v>
      </x:c>
      <x:c r="G8" s="9" t="str">
        <x:v>Annuelle</x:v>
      </x:c>
      <x:c r="H8" s="9" t="str">
        <x:v>CoM SSA</x:v>
      </x:c>
      <x:c r="I8" s="9" t="str">
        <x:v>Hors scope</x:v>
      </x:c>
      <x:c r="J8" s="9" t="str">
        <x:v>HFC</x:v>
      </x:c>
      <x:c r="K8" s="9" t="str">
        <x:v>Non applicable</x:v>
      </x:c>
      <x:c r="L8" s="9" t="str">
        <x:v>Non disponible</x:v>
      </x:c>
      <x:c r="M8" s="9" t="str">
        <x:v>Hann Bel-Air</x:v>
      </x:c>
      <x:c r="N8" s="9" t="str">
        <x:v>Direction Energie</x:v>
      </x:c>
    </x:row>
    <x:row r="9">
      <x:c r="A9" s="9" t="str">
        <x:v>Batiments</x:v>
      </x:c>
      <x:c r="B9" s="9" t="str">
        <x:v>MRV</x:v>
      </x:c>
      <x:c r="C9" s="9" t="str">
        <x:v>En cours</x:v>
      </x:c>
      <x:c r="D9" s="9" t="str">
        <x:v>4 - Pret a demarrer</x:v>
      </x:c>
      <x:c r="E9" s="9"/>
      <x:c r="F9" s="9" t="str">
        <x:v>A confirmer</x:v>
      </x:c>
      <x:c r="G9" s="9" t="str">
        <x:v>Ponctuelle</x:v>
      </x:c>
      <x:c r="H9" s="9" t="str">
        <x:v>CDN Senegal</x:v>
      </x:c>
      <x:c r="I9" s="9"/>
      <x:c r="J9" s="9" t="str">
        <x:v>PFC</x:v>
      </x:c>
      <x:c r="K9" s="9"/>
      <x:c r="L9" s="9" t="str">
        <x:v>Soumis</x:v>
      </x:c>
      <x:c r="M9" s="9" t="str">
        <x:v>Parcelles Assainies</x:v>
      </x:c>
      <x:c r="N9" s="9" t="str">
        <x:v>Direction Finance</x:v>
      </x:c>
    </x:row>
    <x:row r="10">
      <x:c r="A10" s="9" t="str">
        <x:v>Urbanisme et resilience</x:v>
      </x:c>
      <x:c r="B10" s="9"/>
      <x:c r="C10" s="9" t="str">
        <x:v>Suspendu</x:v>
      </x:c>
      <x:c r="D10" s="9" t="str">
        <x:v>5 - En mise en oeuvre</x:v>
      </x:c>
      <x:c r="E10" s="9"/>
      <x:c r="F10" s="9"/>
      <x:c r="G10" s="9"/>
      <x:c r="H10" s="9" t="str">
        <x:v>Interne Dakar</x:v>
      </x:c>
      <x:c r="I10" s="9"/>
      <x:c r="J10" s="9" t="str">
        <x:v>SF6</x:v>
      </x:c>
      <x:c r="K10" s="9"/>
      <x:c r="L10" s="9"/>
      <x:c r="M10" s="9" t="str">
        <x:v>Yoff</x:v>
      </x:c>
      <x:c r="N10" s="9" t="str">
        <x:v>Direction Dechets</x:v>
      </x:c>
    </x:row>
    <x:row r="11">
      <x:c r="A11" s="9" t="str">
        <x:v>Eau et assainissement</x:v>
      </x:c>
      <x:c r="B11" s="9"/>
      <x:c r="C11" s="9" t="str">
        <x:v>Termine</x:v>
      </x:c>
      <x:c r="D11" s="9" t="str">
        <x:v>6 - Operationnel</x:v>
      </x:c>
      <x:c r="E11" s="9"/>
      <x:c r="F11" s="9"/>
      <x:c r="G11" s="9"/>
      <x:c r="H11" s="9"/>
      <x:c r="I11" s="9"/>
      <x:c r="J11" s="9" t="str">
        <x:v>NF3</x:v>
      </x:c>
      <x:c r="K11" s="9"/>
      <x:c r="L11" s="9"/>
      <x:c r="M11" s="9" t="str">
        <x:v>Ouakam</x:v>
      </x:c>
      <x:c r="N11" s="9" t="str">
        <x:v>Direction Assainissement</x:v>
      </x:c>
    </x:row>
    <x:row r="12">
      <x:c r="A12" s="9" t="str">
        <x:v>Nature et littoral</x:v>
      </x:c>
      <x:c r="B12" s="9"/>
      <x:c r="C12" s="9" t="str">
        <x:v>Annule</x:v>
      </x:c>
      <x:c r="D12" s="9"/>
      <x:c r="E12" s="9"/>
      <x:c r="F12" s="9"/>
      <x:c r="G12" s="9"/>
      <x:c r="H12" s="9"/>
      <x:c r="I12" s="9"/>
      <x:c r="J12" s="9" t="str">
        <x:v>CO2e</x:v>
      </x:c>
      <x:c r="K12" s="9"/>
      <x:c r="L12" s="9"/>
      <x:c r="M12" s="9" t="str">
        <x:v>Ngor</x:v>
      </x:c>
      <x:c r="N12" s="9" t="str">
        <x:v>Cabinet du Maire</x:v>
      </x:c>
    </x:row>
    <x:row r="13">
      <x:c r="A13" s="9" t="str">
        <x:v>Gouvernance climat</x:v>
      </x:c>
      <x:c r="B13" s="9"/>
      <x:c r="C13" s="9"/>
      <x:c r="D13" s="9"/>
      <x:c r="E13" s="9"/>
      <x:c r="F13" s="9"/>
      <x:c r="G13" s="9"/>
      <x:c r="H13" s="9"/>
      <x:c r="I13" s="9"/>
      <x:c r="J13" s="9"/>
      <x:c r="K13" s="9"/>
      <x:c r="L13" s="9"/>
      <x:c r="M13" s="9" t="str">
        <x:v>Point E</x:v>
      </x:c>
      <x:c r="N13" s="9"/>
    </x:row>
    <x:row r="14">
      <x:c r="A14" s="9" t="str">
        <x:v>Finance climat</x:v>
      </x:c>
      <x:c r="B14" s="9"/>
      <x:c r="C14" s="9"/>
      <x:c r="D14" s="9"/>
      <x:c r="E14" s="9"/>
      <x:c r="F14" s="9"/>
      <x:c r="G14" s="9"/>
      <x:c r="H14" s="9"/>
      <x:c r="I14" s="9"/>
      <x:c r="J14" s="9"/>
      <x:c r="K14" s="9"/>
      <x:c r="L14" s="9"/>
      <x:c r="M14" s="9" t="str">
        <x:v>Fann</x:v>
      </x:c>
      <x:c r="N14" s="9"/>
    </x:row>
    <x:row r="15">
      <x:c r="A15" s="9"/>
      <x:c r="B15" s="9"/>
      <x:c r="C15" s="9"/>
      <x:c r="D15" s="9"/>
      <x:c r="E15" s="9"/>
      <x:c r="F15" s="9"/>
      <x:c r="G15" s="9"/>
      <x:c r="H15" s="9"/>
      <x:c r="I15" s="9"/>
      <x:c r="J15" s="9"/>
      <x:c r="K15" s="9"/>
      <x:c r="L15" s="9"/>
      <x:c r="M15" s="9" t="str">
        <x:v>Dakar - Ensemble ville</x:v>
      </x:c>
      <x:c r="N15" s="9"/>
    </x:row>
  </x:sheetData>
  <x:mergeCells>
    <x:mergeCell ref="A1:J1"/>
    <x:mergeCell ref="A2:J2"/>
  </x:mergeCells>
  <x:pageMargins left="0.7" right="0.7" top="0.75" bottom="0.75" header="0.3" footer="0.3"/>
  <x:tableParts count="1">
    <x:tablePart xmlns:r="http://schemas.openxmlformats.org/officeDocument/2006/relationships" r:id="R0873e51e94c24f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1299991607666" hidden="0" customWidth="1"/>
    <x:col min="3" max="3" width="16.25" hidden="0" customWidth="1"/>
    <x:col min="4" max="4" width="28.75" hidden="0" customWidth="1"/>
    <x:col min="5" max="5" width="37.5" hidden="0" customWidth="1"/>
    <x:col min="6" max="6" width="10" hidden="0" customWidth="1"/>
    <x:col min="7" max="7" width="22.5" hidden="0" customWidth="1"/>
    <x:col min="8" max="8" width="15" hidden="0" customWidth="1"/>
    <x:col min="9" max="9" width="28.75" hidden="0" customWidth="1"/>
  </x:cols>
  <x:sheetData>
    <x:row r="1" ht="25.5" customHeight="1">
      <x:c r="A1" s="2" t="str">
        <x:v>Referentiels structurants</x:v>
      </x:c>
      <x:c r="B1" s="2"/>
      <x:c r="C1" s="2"/>
      <x:c r="D1" s="2"/>
      <x:c r="E1" s="2"/>
      <x:c r="F1" s="2"/>
      <x:c r="G1" s="2"/>
      <x:c r="H1" s="2"/>
      <x:c r="I1" s="2"/>
      <x:c r="J1" s="2"/>
    </x:row>
    <x:row r="2" ht="31.5" customHeight="1">
      <x:c r="A2" s="5" t="str">
        <x:v>Codes de reference pour perimetres, cadres, axes CDN et classifications.</x:v>
      </x:c>
      <x:c r="B2" s="5"/>
      <x:c r="C2" s="5"/>
      <x:c r="D2" s="5"/>
      <x:c r="E2" s="5"/>
      <x:c r="F2" s="5"/>
      <x:c r="G2" s="5"/>
      <x:c r="H2" s="5"/>
      <x:c r="I2" s="5"/>
      <x:c r="J2" s="5"/>
    </x:row>
    <x:row r="4" ht="28.5" customHeight="1">
      <x:c r="A4" s="16" t="str">
        <x:v>Ref_ID</x:v>
      </x:c>
      <x:c r="B4" s="16" t="str">
        <x:v>Type_referentiel</x:v>
      </x:c>
      <x:c r="C4" s="16" t="str">
        <x:v>Code</x:v>
      </x:c>
      <x:c r="D4" s="16" t="str">
        <x:v>Libelle</x:v>
      </x:c>
      <x:c r="E4" s="16" t="str">
        <x:v>Description</x:v>
      </x:c>
      <x:c r="F4" s="16" t="str">
        <x:v>Actif</x:v>
      </x:c>
      <x:c r="G4" s="16" t="str">
        <x:v>Source</x:v>
      </x:c>
      <x:c r="H4" s="16" t="str">
        <x:v>Derniere_revision</x:v>
      </x:c>
      <x:c r="I4" s="16" t="str">
        <x:v>Commentaires</x:v>
      </x:c>
    </x:row>
    <x:row r="5">
      <x:c r="A5" s="18" t="str">
        <x:v>REF-001</x:v>
      </x:c>
      <x:c r="B5" s="18" t="str">
        <x:v>Perimetre</x:v>
      </x:c>
      <x:c r="C5" s="18" t="str">
        <x:v>DAKAR</x:v>
      </x:c>
      <x:c r="D5" s="18" t="str">
        <x:v>Ville de Dakar</x:v>
      </x:c>
      <x:c r="E5" s="18" t="str">
        <x:v>Perimetre administratif municipal</x:v>
      </x:c>
      <x:c r="F5" s="18" t="str">
        <x:v>Oui</x:v>
      </x:c>
      <x:c r="G5" s="18" t="str">
        <x:v>Municipalite</x:v>
      </x:c>
      <x:c r="H5" s="19" t="n">
        <x:v>46023</x:v>
      </x:c>
      <x:c r="I5" s="18" t="str"/>
    </x:row>
    <x:row r="6">
      <x:c r="A6" s="18" t="str">
        <x:v>REF-002</x:v>
      </x:c>
      <x:c r="B6" s="18" t="str">
        <x:v>Reporting</x:v>
      </x:c>
      <x:c r="C6" s="18" t="str">
        <x:v>GPC_BASIC</x:v>
      </x:c>
      <x:c r="D6" s="18" t="str">
        <x:v>GPC BASIC</x:v>
      </x:c>
      <x:c r="E6" s="18" t="str">
        <x:v>Emissions Scope 1 et 2 energie, transport et dechets</x:v>
      </x:c>
      <x:c r="F6" s="18" t="str">
        <x:v>Oui</x:v>
      </x:c>
      <x:c r="G6" s="18" t="str">
        <x:v>GHG Protocol / WRI</x:v>
      </x:c>
      <x:c r="H6" s="19" t="n">
        <x:v>46023</x:v>
      </x:c>
      <x:c r="I6" s="18" t="str"/>
    </x:row>
    <x:row r="7">
      <x:c r="A7" s="18" t="str">
        <x:v>REF-003</x:v>
      </x:c>
      <x:c r="B7" s="18" t="str">
        <x:v>Reporting</x:v>
      </x:c>
      <x:c r="C7" s="18" t="str">
        <x:v>GPC_BASIC_PLUS</x:v>
      </x:c>
      <x:c r="D7" s="18" t="str">
        <x:v>GPC BASIC+</x:v>
      </x:c>
      <x:c r="E7" s="18" t="str">
        <x:v>BASIC enrichi IPPU, AFOLU et autres Scope 3 pertinents</x:v>
      </x:c>
      <x:c r="F7" s="18" t="str">
        <x:v>Oui</x:v>
      </x:c>
      <x:c r="G7" s="18" t="str">
        <x:v>GHG Protocol / WRI</x:v>
      </x:c>
      <x:c r="H7" s="19" t="n">
        <x:v>46023</x:v>
      </x:c>
      <x:c r="I7" s="18" t="str"/>
    </x:row>
    <x:row r="8">
      <x:c r="A8" s="18" t="str">
        <x:v>REF-004</x:v>
      </x:c>
      <x:c r="B8" s="18" t="str">
        <x:v>CDN</x:v>
      </x:c>
      <x:c r="C8" s="18" t="str">
        <x:v>CDN-SEN-ENERGIE</x:v>
      </x:c>
      <x:c r="D8" s="18" t="str">
        <x:v>Energies renouvelables et efficacite energetique</x:v>
      </x:c>
      <x:c r="E8" s="18" t="str">
        <x:v>Axe mitigation CDN Senegal</x:v>
      </x:c>
      <x:c r="F8" s="18" t="str">
        <x:v>Oui</x:v>
      </x:c>
      <x:c r="G8" s="18" t="str">
        <x:v>UNFCCC CDN Senegal</x:v>
      </x:c>
      <x:c r="H8" s="19" t="n">
        <x:v>44194</x:v>
      </x:c>
      <x:c r="I8" s="18" t="str"/>
    </x:row>
    <x:row r="9">
      <x:c r="A9" s="18" t="str">
        <x:v>REF-005</x:v>
      </x:c>
      <x:c r="B9" s="18" t="str">
        <x:v>CDN</x:v>
      </x:c>
      <x:c r="C9" s="18" t="str">
        <x:v>CDN-SEN-DECHETS</x:v>
      </x:c>
      <x:c r="D9" s="18" t="str">
        <x:v>Amelioration gestion des dechets</x:v>
      </x:c>
      <x:c r="E9" s="18" t="str">
        <x:v>Axe mitigation CDN Senegal</x:v>
      </x:c>
      <x:c r="F9" s="18" t="str">
        <x:v>Oui</x:v>
      </x:c>
      <x:c r="G9" s="18" t="str">
        <x:v>UNFCCC CDN Senegal</x:v>
      </x:c>
      <x:c r="H9" s="19" t="n">
        <x:v>44194</x:v>
      </x:c>
      <x:c r="I9" s="18" t="str"/>
    </x:row>
    <x:row r="10">
      <x:c r="A10" s="18" t="str">
        <x:v>REF-006</x:v>
      </x:c>
      <x:c r="B10" s="18" t="str">
        <x:v>CDN</x:v>
      </x:c>
      <x:c r="C10" s="18" t="str">
        <x:v>CDN-SEN-TRANSPORT</x:v>
      </x:c>
      <x:c r="D10" s="18" t="str">
        <x:v>Mobilite sobre et transports propres</x:v>
      </x:c>
      <x:c r="E10" s="18" t="str">
        <x:v>Axe territorial a aligner CDN</x:v>
      </x:c>
      <x:c r="F10" s="18" t="str">
        <x:v>Oui</x:v>
      </x:c>
      <x:c r="G10" s="18" t="str">
        <x:v>UNFCCC CDN Senegal</x:v>
      </x:c>
      <x:c r="H10" s="19" t="n">
        <x:v>44194</x:v>
      </x:c>
      <x:c r="I10" s="18" t="str"/>
    </x:row>
    <x:row r="11">
      <x:c r="A11" s="18"/>
      <x:c r="B11" s="18"/>
      <x:c r="C11" s="18"/>
      <x:c r="D11" s="18"/>
      <x:c r="E11" s="18"/>
      <x:c r="F11" s="18"/>
      <x:c r="G11" s="18"/>
      <x:c r="H11" s="19"/>
      <x:c r="I11" s="18"/>
    </x:row>
    <x:row r="12">
      <x:c r="A12" s="18"/>
      <x:c r="B12" s="18"/>
      <x:c r="C12" s="18"/>
      <x:c r="D12" s="18"/>
      <x:c r="E12" s="18"/>
      <x:c r="F12" s="18"/>
      <x:c r="G12" s="18"/>
      <x:c r="H12" s="19"/>
      <x:c r="I12" s="18"/>
    </x:row>
    <x:row r="13">
      <x:c r="A13" s="18"/>
      <x:c r="B13" s="18"/>
      <x:c r="C13" s="18"/>
      <x:c r="D13" s="18"/>
      <x:c r="E13" s="18"/>
      <x:c r="F13" s="18"/>
      <x:c r="G13" s="18"/>
      <x:c r="H13" s="19"/>
      <x:c r="I13" s="18"/>
    </x:row>
    <x:row r="14">
      <x:c r="A14" s="18"/>
      <x:c r="B14" s="18"/>
      <x:c r="C14" s="18"/>
      <x:c r="D14" s="18"/>
      <x:c r="E14" s="18"/>
      <x:c r="F14" s="18"/>
      <x:c r="G14" s="18"/>
      <x:c r="H14" s="19"/>
      <x:c r="I14" s="18"/>
    </x:row>
    <x:row r="15">
      <x:c r="A15" s="18"/>
      <x:c r="B15" s="18"/>
      <x:c r="C15" s="18"/>
      <x:c r="D15" s="18"/>
      <x:c r="E15" s="18"/>
      <x:c r="F15" s="18"/>
      <x:c r="G15" s="18"/>
      <x:c r="H15" s="19"/>
      <x:c r="I15" s="18"/>
    </x:row>
    <x:row r="16">
      <x:c r="A16" s="18"/>
      <x:c r="B16" s="18"/>
      <x:c r="C16" s="18"/>
      <x:c r="D16" s="18"/>
      <x:c r="E16" s="18"/>
      <x:c r="F16" s="18"/>
      <x:c r="G16" s="18"/>
      <x:c r="H16" s="19"/>
      <x:c r="I16" s="18"/>
    </x:row>
    <x:row r="17">
      <x:c r="A17" s="18"/>
      <x:c r="B17" s="18"/>
      <x:c r="C17" s="18"/>
      <x:c r="D17" s="18"/>
      <x:c r="E17" s="18"/>
      <x:c r="F17" s="18"/>
      <x:c r="G17" s="18"/>
      <x:c r="H17" s="19"/>
      <x:c r="I17" s="18"/>
    </x:row>
    <x:row r="18">
      <x:c r="A18" s="18"/>
      <x:c r="B18" s="18"/>
      <x:c r="C18" s="18"/>
      <x:c r="D18" s="18"/>
      <x:c r="E18" s="18"/>
      <x:c r="F18" s="18"/>
      <x:c r="G18" s="18"/>
      <x:c r="H18" s="19"/>
      <x:c r="I18" s="18"/>
    </x:row>
    <x:row r="19">
      <x:c r="A19" s="18"/>
      <x:c r="B19" s="18"/>
      <x:c r="C19" s="18"/>
      <x:c r="D19" s="18"/>
      <x:c r="E19" s="18"/>
      <x:c r="F19" s="18"/>
      <x:c r="G19" s="18"/>
      <x:c r="H19" s="19"/>
      <x:c r="I19" s="18"/>
    </x:row>
    <x:row r="20">
      <x:c r="A20" s="18"/>
      <x:c r="B20" s="18"/>
      <x:c r="C20" s="18"/>
      <x:c r="D20" s="18"/>
      <x:c r="E20" s="18"/>
      <x:c r="F20" s="18"/>
      <x:c r="G20" s="18"/>
      <x:c r="H20" s="19"/>
      <x:c r="I20" s="18"/>
    </x:row>
    <x:row r="21">
      <x:c r="A21" s="18"/>
      <x:c r="B21" s="18"/>
      <x:c r="C21" s="18"/>
      <x:c r="D21" s="18"/>
      <x:c r="E21" s="18"/>
      <x:c r="F21" s="18"/>
      <x:c r="G21" s="18"/>
      <x:c r="H21" s="19"/>
      <x:c r="I21" s="18"/>
    </x:row>
    <x:row r="22">
      <x:c r="A22" s="18"/>
      <x:c r="B22" s="18"/>
      <x:c r="C22" s="18"/>
      <x:c r="D22" s="18"/>
      <x:c r="E22" s="18"/>
      <x:c r="F22" s="18"/>
      <x:c r="G22" s="18"/>
      <x:c r="H22" s="19"/>
      <x:c r="I22" s="18"/>
    </x:row>
    <x:row r="23">
      <x:c r="A23" s="18"/>
      <x:c r="B23" s="18"/>
      <x:c r="C23" s="18"/>
      <x:c r="D23" s="18"/>
      <x:c r="E23" s="18"/>
      <x:c r="F23" s="18"/>
      <x:c r="G23" s="18"/>
      <x:c r="H23" s="19"/>
      <x:c r="I23" s="18"/>
    </x:row>
    <x:row r="24">
      <x:c r="A24" s="18"/>
      <x:c r="B24" s="18"/>
      <x:c r="C24" s="18"/>
      <x:c r="D24" s="18"/>
      <x:c r="E24" s="18"/>
      <x:c r="F24" s="18"/>
      <x:c r="G24" s="18"/>
      <x:c r="H24" s="19"/>
      <x:c r="I24" s="18"/>
    </x:row>
    <x:row r="25">
      <x:c r="A25" s="18"/>
      <x:c r="B25" s="18"/>
      <x:c r="C25" s="18"/>
      <x:c r="D25" s="18"/>
      <x:c r="E25" s="18"/>
      <x:c r="F25" s="18"/>
      <x:c r="G25" s="18"/>
      <x:c r="H25" s="19"/>
      <x:c r="I25" s="18"/>
    </x:row>
    <x:row r="26">
      <x:c r="A26" s="18"/>
      <x:c r="B26" s="18"/>
      <x:c r="C26" s="18"/>
      <x:c r="D26" s="18"/>
      <x:c r="E26" s="18"/>
      <x:c r="F26" s="18"/>
      <x:c r="G26" s="18"/>
      <x:c r="H26" s="19"/>
      <x:c r="I26" s="18"/>
    </x:row>
    <x:row r="27">
      <x:c r="A27" s="18"/>
      <x:c r="B27" s="18"/>
      <x:c r="C27" s="18"/>
      <x:c r="D27" s="18"/>
      <x:c r="E27" s="18"/>
      <x:c r="F27" s="18"/>
      <x:c r="G27" s="18"/>
      <x:c r="H27" s="19"/>
      <x:c r="I27" s="18"/>
    </x:row>
    <x:row r="28">
      <x:c r="A28" s="18"/>
      <x:c r="B28" s="18"/>
      <x:c r="C28" s="18"/>
      <x:c r="D28" s="18"/>
      <x:c r="E28" s="18"/>
      <x:c r="F28" s="18"/>
      <x:c r="G28" s="18"/>
      <x:c r="H28" s="19"/>
      <x:c r="I28" s="18"/>
    </x:row>
    <x:row r="29">
      <x:c r="A29" s="18"/>
      <x:c r="B29" s="18"/>
      <x:c r="C29" s="18"/>
      <x:c r="D29" s="18"/>
      <x:c r="E29" s="18"/>
      <x:c r="F29" s="18"/>
      <x:c r="G29" s="18"/>
      <x:c r="H29" s="19"/>
      <x:c r="I29" s="18"/>
    </x:row>
    <x:row r="30">
      <x:c r="A30" s="18"/>
      <x:c r="B30" s="18"/>
      <x:c r="C30" s="18"/>
      <x:c r="D30" s="18"/>
      <x:c r="E30" s="18"/>
      <x:c r="F30" s="18"/>
      <x:c r="G30" s="18"/>
      <x:c r="H30" s="19"/>
      <x:c r="I30" s="18"/>
    </x:row>
    <x:row r="31">
      <x:c r="A31" s="18"/>
      <x:c r="B31" s="18"/>
      <x:c r="C31" s="18"/>
      <x:c r="D31" s="18"/>
      <x:c r="E31" s="18"/>
      <x:c r="F31" s="18"/>
      <x:c r="G31" s="18"/>
      <x:c r="H31" s="19"/>
      <x:c r="I31" s="18"/>
    </x:row>
    <x:row r="32">
      <x:c r="A32" s="18"/>
      <x:c r="B32" s="18"/>
      <x:c r="C32" s="18"/>
      <x:c r="D32" s="18"/>
      <x:c r="E32" s="18"/>
      <x:c r="F32" s="18"/>
      <x:c r="G32" s="18"/>
      <x:c r="H32" s="19"/>
      <x:c r="I32" s="18"/>
    </x:row>
    <x:row r="33">
      <x:c r="A33" s="18"/>
      <x:c r="B33" s="18"/>
      <x:c r="C33" s="18"/>
      <x:c r="D33" s="18"/>
      <x:c r="E33" s="18"/>
      <x:c r="F33" s="18"/>
      <x:c r="G33" s="18"/>
      <x:c r="H33" s="19"/>
      <x:c r="I33" s="18"/>
    </x:row>
    <x:row r="34">
      <x:c r="A34" s="18"/>
      <x:c r="B34" s="18"/>
      <x:c r="C34" s="18"/>
      <x:c r="D34" s="18"/>
      <x:c r="E34" s="18"/>
      <x:c r="F34" s="18"/>
      <x:c r="G34" s="18"/>
      <x:c r="H34" s="19"/>
      <x:c r="I34" s="18"/>
    </x:row>
    <x:row r="35">
      <x:c r="A35" s="18"/>
      <x:c r="B35" s="18"/>
      <x:c r="C35" s="18"/>
      <x:c r="D35" s="18"/>
      <x:c r="E35" s="18"/>
      <x:c r="F35" s="18"/>
      <x:c r="G35" s="18"/>
      <x:c r="H35" s="19"/>
      <x:c r="I35" s="18"/>
    </x:row>
    <x:row r="36">
      <x:c r="A36" s="18"/>
      <x:c r="B36" s="18"/>
      <x:c r="C36" s="18"/>
      <x:c r="D36" s="18"/>
      <x:c r="E36" s="18"/>
      <x:c r="F36" s="18"/>
      <x:c r="G36" s="18"/>
      <x:c r="H36" s="19"/>
      <x:c r="I36" s="18"/>
    </x:row>
    <x:row r="37">
      <x:c r="A37" s="18"/>
      <x:c r="B37" s="18"/>
      <x:c r="C37" s="18"/>
      <x:c r="D37" s="18"/>
      <x:c r="E37" s="18"/>
      <x:c r="F37" s="18"/>
      <x:c r="G37" s="18"/>
      <x:c r="H37" s="19"/>
      <x:c r="I37" s="18"/>
    </x:row>
    <x:row r="38">
      <x:c r="A38" s="18"/>
      <x:c r="B38" s="18"/>
      <x:c r="C38" s="18"/>
      <x:c r="D38" s="18"/>
      <x:c r="E38" s="18"/>
      <x:c r="F38" s="18"/>
      <x:c r="G38" s="18"/>
      <x:c r="H38" s="19"/>
      <x:c r="I38" s="18"/>
    </x:row>
    <x:row r="39">
      <x:c r="A39" s="18"/>
      <x:c r="B39" s="18"/>
      <x:c r="C39" s="18"/>
      <x:c r="D39" s="18"/>
      <x:c r="E39" s="18"/>
      <x:c r="F39" s="18"/>
      <x:c r="G39" s="18"/>
      <x:c r="H39" s="19"/>
      <x:c r="I39" s="18"/>
    </x:row>
    <x:row r="40">
      <x:c r="A40" s="18"/>
      <x:c r="B40" s="18"/>
      <x:c r="C40" s="18"/>
      <x:c r="D40" s="18"/>
      <x:c r="E40" s="18"/>
      <x:c r="F40" s="18"/>
      <x:c r="G40" s="18"/>
      <x:c r="H40" s="19"/>
      <x:c r="I40" s="18"/>
    </x:row>
    <x:row r="41">
      <x:c r="A41" s="18"/>
      <x:c r="B41" s="18"/>
      <x:c r="C41" s="18"/>
      <x:c r="D41" s="18"/>
      <x:c r="E41" s="18"/>
      <x:c r="F41" s="18"/>
      <x:c r="G41" s="18"/>
      <x:c r="H41" s="19"/>
      <x:c r="I41" s="18"/>
    </x:row>
    <x:row r="42">
      <x:c r="A42" s="18"/>
      <x:c r="B42" s="18"/>
      <x:c r="C42" s="18"/>
      <x:c r="D42" s="18"/>
      <x:c r="E42" s="18"/>
      <x:c r="F42" s="18"/>
      <x:c r="G42" s="18"/>
      <x:c r="H42" s="19"/>
      <x:c r="I42" s="18"/>
    </x:row>
    <x:row r="43">
      <x:c r="A43" s="18"/>
      <x:c r="B43" s="18"/>
      <x:c r="C43" s="18"/>
      <x:c r="D43" s="18"/>
      <x:c r="E43" s="18"/>
      <x:c r="F43" s="18"/>
      <x:c r="G43" s="18"/>
      <x:c r="H43" s="19"/>
      <x:c r="I43" s="18"/>
    </x:row>
    <x:row r="44">
      <x:c r="A44" s="18"/>
      <x:c r="B44" s="18"/>
      <x:c r="C44" s="18"/>
      <x:c r="D44" s="18"/>
      <x:c r="E44" s="18"/>
      <x:c r="F44" s="18"/>
      <x:c r="G44" s="18"/>
      <x:c r="H44" s="19"/>
      <x:c r="I44" s="18"/>
    </x:row>
  </x:sheetData>
  <x:mergeCells>
    <x:mergeCell ref="A1:J1"/>
    <x:mergeCell ref="A2:J2"/>
  </x:mergeCells>
  <x:dataValidations count="1">
    <x:dataValidation type="list" errorStyle="warning" showInputMessage="1" showErrorMessage="1" errorTitle="Valeur inattendue" error="Cette colonne utilise une liste controlee." promptTitle="Liste controlee" prompt="Choisir une valeur dans la liste." sqref="F5:F44">
      <x:formula1>"Oui,Non,Partiel,Non applicable"</x:formula1>
    </x:dataValidation>
  </x:dataValidations>
  <x:pageMargins left="0.7" right="0.7" top="0.75" bottom="0.75" header="0.3" footer="0.3"/>
  <x:tableParts count="1">
    <x:tablePart xmlns:r="http://schemas.openxmlformats.org/officeDocument/2006/relationships" r:id="R6ea1da9055e8492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7.5" hidden="0" customWidth="1"/>
    <x:col min="3" max="3" width="15" hidden="0" customWidth="1"/>
    <x:col min="4" max="4" width="21.25" hidden="0" customWidth="1"/>
    <x:col min="5" max="5" width="23.75" hidden="0" customWidth="1"/>
    <x:col min="6" max="6" width="16.25" hidden="0" customWidth="1"/>
    <x:col min="7" max="7" width="13.75" hidden="0" customWidth="1"/>
    <x:col min="8" max="8" width="23.75" hidden="0" customWidth="1"/>
    <x:col min="9" max="9" width="18.1299991607666" hidden="0" customWidth="1"/>
    <x:col min="10" max="10" width="14.380000114440918" hidden="0" customWidth="1"/>
    <x:col min="11" max="11" width="14.380000114440918" hidden="0" customWidth="1"/>
    <x:col min="12" max="12" width="15" hidden="0" customWidth="1"/>
    <x:col min="13" max="13" width="28.75" hidden="0" customWidth="1"/>
    <x:col min="14" max="14" width="18.75" hidden="0" customWidth="1"/>
  </x:cols>
  <x:sheetData>
    <x:row r="1" ht="25.5" customHeight="1">
      <x:c r="A1" s="2" t="str">
        <x:v>Registre des sources de donnees</x:v>
      </x:c>
      <x:c r="B1" s="2"/>
      <x:c r="C1" s="2"/>
      <x:c r="D1" s="2"/>
      <x:c r="E1" s="2"/>
      <x:c r="F1" s="2"/>
      <x:c r="G1" s="2"/>
      <x:c r="H1" s="2"/>
      <x:c r="I1" s="2"/>
      <x:c r="J1" s="2"/>
    </x:row>
    <x:row r="2" ht="31.5" customHeight="1">
      <x:c r="A2" s="5" t="str">
        <x:v>Suivi des proprietaires, frequences, formats, qualite et echeances de mise a jour.</x:v>
      </x:c>
      <x:c r="B2" s="5"/>
      <x:c r="C2" s="5"/>
      <x:c r="D2" s="5"/>
      <x:c r="E2" s="5"/>
      <x:c r="F2" s="5"/>
      <x:c r="G2" s="5"/>
      <x:c r="H2" s="5"/>
      <x:c r="I2" s="5"/>
      <x:c r="J2" s="5"/>
    </x:row>
    <x:row r="4" ht="28.5" customHeight="1">
      <x:c r="A4" s="16" t="str">
        <x:v>Source_ID</x:v>
      </x:c>
      <x:c r="B4" s="16" t="str">
        <x:v>Nom_source</x:v>
      </x:c>
      <x:c r="C4" s="16" t="str">
        <x:v>Domaine</x:v>
      </x:c>
      <x:c r="D4" s="16" t="str">
        <x:v>Proprietaire</x:v>
      </x:c>
      <x:c r="E4" s="16" t="str">
        <x:v>Contact</x:v>
      </x:c>
      <x:c r="F4" s="16" t="str">
        <x:v>Frequence</x:v>
      </x:c>
      <x:c r="G4" s="16" t="str">
        <x:v>Format</x:v>
      </x:c>
      <x:c r="H4" s="16" t="str">
        <x:v>Localisation_fichier</x:v>
      </x:c>
      <x:c r="I4" s="16" t="str">
        <x:v>Niveau_qualite</x:v>
      </x:c>
      <x:c r="J4" s="16" t="str">
        <x:v>Derniere_MAJ</x:v>
      </x:c>
      <x:c r="K4" s="16" t="str">
        <x:v>Prochaine_MAJ</x:v>
      </x:c>
      <x:c r="L4" s="16" t="str">
        <x:v>Statut_source</x:v>
      </x:c>
      <x:c r="M4" s="16" t="str">
        <x:v>Commentaires</x:v>
      </x:c>
      <x:c r="N4" s="16" t="str">
        <x:v>Alerte_MAJ</x:v>
      </x:c>
    </x:row>
    <x:row r="5">
      <x:c r="A5" s="18" t="str">
        <x:v>SRC-001</x:v>
      </x:c>
      <x:c r="B5" s="18" t="str">
        <x:v>Registre projets climat Dakar</x:v>
      </x:c>
      <x:c r="C5" s="18" t="str">
        <x:v>Reporting</x:v>
      </x:c>
      <x:c r="D5" s="18" t="str">
        <x:v>Cellule climat</x:v>
      </x:c>
      <x:c r="E5" s="18" t="str">
        <x:v>climat@villededakar.sn</x:v>
      </x:c>
      <x:c r="F5" s="18" t="str">
        <x:v>Mensuelle</x:v>
      </x:c>
      <x:c r="G5" s="18" t="str">
        <x:v>Excel</x:v>
      </x:c>
      <x:c r="H5" s="18" t="str">
        <x:v>Interne</x:v>
      </x:c>
      <x:c r="I5" s="18" t="str">
        <x:v>B - Bonne</x:v>
      </x:c>
      <x:c r="J5" s="19" t="n">
        <x:v>46157</x:v>
      </x:c>
      <x:c r="K5" s="19" t="n">
        <x:v>46188</x:v>
      </x:c>
      <x:c r="L5" s="18" t="str">
        <x:v>Actif</x:v>
      </x:c>
      <x:c r="M5" s="18" t="str"/>
      <x:c r="N5" s="18" t="str">
        <x:f>IF(A5="","",IF(K5&lt;TODAY(),"MAJ en retard",IF(K5&lt;=TODAY()+15,"MAJ proche","OK")))</x:f>
        <x:v>MAJ proche</x:v>
      </x:c>
    </x:row>
    <x:row r="6">
      <x:c r="A6" s="18" t="str">
        <x:v>SRC-002</x:v>
      </x:c>
      <x:c r="B6" s="18" t="str">
        <x:v>Inventaire GES municipal</x:v>
      </x:c>
      <x:c r="C6" s="18" t="str">
        <x:v>GES</x:v>
      </x:c>
      <x:c r="D6" s="18" t="str">
        <x:v>Referent GES</x:v>
      </x:c>
      <x:c r="E6" s="18" t="str">
        <x:v>ges@villededakar.sn</x:v>
      </x:c>
      <x:c r="F6" s="18" t="str">
        <x:v>Annuelle</x:v>
      </x:c>
      <x:c r="G6" s="18" t="str">
        <x:v>Excel</x:v>
      </x:c>
      <x:c r="H6" s="18" t="str">
        <x:v>Interne</x:v>
      </x:c>
      <x:c r="I6" s="18" t="str">
        <x:v>C - Estimee</x:v>
      </x:c>
      <x:c r="J6" s="19" t="n">
        <x:v>46142</x:v>
      </x:c>
      <x:c r="K6" s="19" t="n">
        <x:v>46507</x:v>
      </x:c>
      <x:c r="L6" s="18" t="str">
        <x:v>Actif</x:v>
      </x:c>
      <x:c r="M6" s="18" t="str"/>
      <x:c r="N6" s="18" t="str">
        <x:f>IF(A6="","",IF(K6&lt;TODAY(),"MAJ en retard",IF(K6&lt;=TODAY()+15,"MAJ proche","OK")))</x:f>
        <x:v>OK</x:v>
      </x:c>
    </x:row>
    <x:row r="7">
      <x:c r="A7" s="18" t="str">
        <x:v>SRC-003</x:v>
      </x:c>
      <x:c r="B7" s="18" t="str">
        <x:v>Stations qualite de l'air</x:v>
      </x:c>
      <x:c r="C7" s="18" t="str">
        <x:v>Air</x:v>
      </x:c>
      <x:c r="D7" s="18" t="str">
        <x:v>Partenaire technique</x:v>
      </x:c>
      <x:c r="E7" s="18" t="str">
        <x:v>air@partenaire.org</x:v>
      </x:c>
      <x:c r="F7" s="18" t="str">
        <x:v>Mensuelle</x:v>
      </x:c>
      <x:c r="G7" s="18" t="str">
        <x:v>CSV/API</x:v>
      </x:c>
      <x:c r="H7" s="18" t="str">
        <x:v>Capteurs</x:v>
      </x:c>
      <x:c r="I7" s="18" t="str">
        <x:v>C - Estimee</x:v>
      </x:c>
      <x:c r="J7" s="19" t="n">
        <x:v>46143</x:v>
      </x:c>
      <x:c r="K7" s="19" t="n">
        <x:v>46174</x:v>
      </x:c>
      <x:c r="L7" s="18" t="str">
        <x:v>Actif</x:v>
      </x:c>
      <x:c r="M7" s="18" t="str"/>
      <x:c r="N7" s="18" t="str">
        <x:f>IF(A7="","",IF(K7&lt;TODAY(),"MAJ en retard",IF(K7&lt;=TODAY()+15,"MAJ proche","OK")))</x:f>
        <x:v>MAJ proche</x:v>
      </x:c>
    </x:row>
    <x:row r="8">
      <x:c r="A8" s="18" t="str">
        <x:v>SRC-004</x:v>
      </x:c>
      <x:c r="B8" s="18" t="str">
        <x:v>Direction mobilite</x:v>
      </x:c>
      <x:c r="C8" s="18" t="str">
        <x:v>Mobilite</x:v>
      </x:c>
      <x:c r="D8" s="18" t="str">
        <x:v>Direction Mobilite</x:v>
      </x:c>
      <x:c r="E8" s="18" t="str">
        <x:v>mobilite@villededakar.sn</x:v>
      </x:c>
      <x:c r="F8" s="18" t="str">
        <x:v>Trimestrielle</x:v>
      </x:c>
      <x:c r="G8" s="18" t="str">
        <x:v>Excel</x:v>
      </x:c>
      <x:c r="H8" s="18" t="str">
        <x:v>Service municipal</x:v>
      </x:c>
      <x:c r="I8" s="18" t="str">
        <x:v>B - Bonne</x:v>
      </x:c>
      <x:c r="J8" s="19" t="n">
        <x:v>46112</x:v>
      </x:c>
      <x:c r="K8" s="19" t="n">
        <x:v>46203</x:v>
      </x:c>
      <x:c r="L8" s="18" t="str">
        <x:v>Actif</x:v>
      </x:c>
      <x:c r="M8" s="18" t="str"/>
      <x:c r="N8" s="18" t="str">
        <x:f>IF(A8="","",IF(K8&lt;TODAY(),"MAJ en retard",IF(K8&lt;=TODAY()+15,"MAJ proche","OK")))</x:f>
        <x:v>OK</x:v>
      </x:c>
    </x:row>
    <x:row r="9">
      <x:c r="A9" s="18" t="str">
        <x:v>SRC-005</x:v>
      </x:c>
      <x:c r="B9" s="18" t="str">
        <x:v>Direction finances</x:v>
      </x:c>
      <x:c r="C9" s="18" t="str">
        <x:v>Budget</x:v>
      </x:c>
      <x:c r="D9" s="18" t="str">
        <x:v>Direction Finance</x:v>
      </x:c>
      <x:c r="E9" s="18" t="str">
        <x:v>finance@villededakar.sn</x:v>
      </x:c>
      <x:c r="F9" s="18" t="str">
        <x:v>Mensuelle</x:v>
      </x:c>
      <x:c r="G9" s="18" t="str">
        <x:v>Excel</x:v>
      </x:c>
      <x:c r="H9" s="18" t="str">
        <x:v>Interne</x:v>
      </x:c>
      <x:c r="I9" s="18" t="str">
        <x:v>A - Verifiee</x:v>
      </x:c>
      <x:c r="J9" s="19" t="n">
        <x:v>46162</x:v>
      </x:c>
      <x:c r="K9" s="19" t="n">
        <x:v>46193</x:v>
      </x:c>
      <x:c r="L9" s="18" t="str">
        <x:v>Actif</x:v>
      </x:c>
      <x:c r="M9" s="18" t="str"/>
      <x:c r="N9" s="18" t="str">
        <x:f>IF(A9="","",IF(K9&lt;TODAY(),"MAJ en retard",IF(K9&lt;=TODAY()+15,"MAJ proche","OK")))</x:f>
        <x:v>OK</x:v>
      </x:c>
    </x:row>
    <x:row r="10">
      <x:c r="A10" s="18"/>
      <x:c r="B10" s="18"/>
      <x:c r="C10" s="18"/>
      <x:c r="D10" s="18"/>
      <x:c r="E10" s="18"/>
      <x:c r="F10" s="18"/>
      <x:c r="G10" s="18"/>
      <x:c r="H10" s="18"/>
      <x:c r="I10" s="18"/>
      <x:c r="J10" s="19"/>
      <x:c r="K10" s="19"/>
      <x:c r="L10" s="18"/>
      <x:c r="M10" s="18"/>
      <x:c r="N10" s="18" t="str">
        <x:f>IF(A10="","",IF(K10&lt;TODAY(),"MAJ en retard",IF(K10&lt;=TODAY()+15,"MAJ proche","OK")))</x:f>
      </x:c>
    </x:row>
    <x:row r="11">
      <x:c r="A11" s="18"/>
      <x:c r="B11" s="18"/>
      <x:c r="C11" s="18"/>
      <x:c r="D11" s="18"/>
      <x:c r="E11" s="18"/>
      <x:c r="F11" s="18"/>
      <x:c r="G11" s="18"/>
      <x:c r="H11" s="18"/>
      <x:c r="I11" s="18"/>
      <x:c r="J11" s="19"/>
      <x:c r="K11" s="19"/>
      <x:c r="L11" s="18"/>
      <x:c r="M11" s="18"/>
      <x:c r="N11" s="18" t="str">
        <x:f>IF(A11="","",IF(K11&lt;TODAY(),"MAJ en retard",IF(K11&lt;=TODAY()+15,"MAJ proche","OK")))</x:f>
      </x:c>
    </x:row>
    <x:row r="12">
      <x:c r="A12" s="18"/>
      <x:c r="B12" s="18"/>
      <x:c r="C12" s="18"/>
      <x:c r="D12" s="18"/>
      <x:c r="E12" s="18"/>
      <x:c r="F12" s="18"/>
      <x:c r="G12" s="18"/>
      <x:c r="H12" s="18"/>
      <x:c r="I12" s="18"/>
      <x:c r="J12" s="19"/>
      <x:c r="K12" s="19"/>
      <x:c r="L12" s="18"/>
      <x:c r="M12" s="18"/>
      <x:c r="N12" s="18" t="str">
        <x:f>IF(A12="","",IF(K12&lt;TODAY(),"MAJ en retard",IF(K12&lt;=TODAY()+15,"MAJ proche","OK")))</x:f>
      </x:c>
    </x:row>
    <x:row r="13">
      <x:c r="A13" s="18"/>
      <x:c r="B13" s="18"/>
      <x:c r="C13" s="18"/>
      <x:c r="D13" s="18"/>
      <x:c r="E13" s="18"/>
      <x:c r="F13" s="18"/>
      <x:c r="G13" s="18"/>
      <x:c r="H13" s="18"/>
      <x:c r="I13" s="18"/>
      <x:c r="J13" s="19"/>
      <x:c r="K13" s="19"/>
      <x:c r="L13" s="18"/>
      <x:c r="M13" s="18"/>
      <x:c r="N13" s="18" t="str">
        <x:f>IF(A13="","",IF(K13&lt;TODAY(),"MAJ en retard",IF(K13&lt;=TODAY()+15,"MAJ proche","OK")))</x:f>
      </x:c>
    </x:row>
    <x:row r="14">
      <x:c r="A14" s="18"/>
      <x:c r="B14" s="18"/>
      <x:c r="C14" s="18"/>
      <x:c r="D14" s="18"/>
      <x:c r="E14" s="18"/>
      <x:c r="F14" s="18"/>
      <x:c r="G14" s="18"/>
      <x:c r="H14" s="18"/>
      <x:c r="I14" s="18"/>
      <x:c r="J14" s="19"/>
      <x:c r="K14" s="19"/>
      <x:c r="L14" s="18"/>
      <x:c r="M14" s="18"/>
      <x:c r="N14" s="18" t="str">
        <x:f>IF(A14="","",IF(K14&lt;TODAY(),"MAJ en retard",IF(K14&lt;=TODAY()+15,"MAJ proche","OK")))</x:f>
      </x:c>
    </x:row>
    <x:row r="15">
      <x:c r="A15" s="18"/>
      <x:c r="B15" s="18"/>
      <x:c r="C15" s="18"/>
      <x:c r="D15" s="18"/>
      <x:c r="E15" s="18"/>
      <x:c r="F15" s="18"/>
      <x:c r="G15" s="18"/>
      <x:c r="H15" s="18"/>
      <x:c r="I15" s="18"/>
      <x:c r="J15" s="19"/>
      <x:c r="K15" s="19"/>
      <x:c r="L15" s="18"/>
      <x:c r="M15" s="18"/>
      <x:c r="N15" s="18" t="str">
        <x:f>IF(A15="","",IF(K15&lt;TODAY(),"MAJ en retard",IF(K15&lt;=TODAY()+15,"MAJ proche","OK")))</x:f>
      </x:c>
    </x:row>
    <x:row r="16">
      <x:c r="A16" s="18"/>
      <x:c r="B16" s="18"/>
      <x:c r="C16" s="18"/>
      <x:c r="D16" s="18"/>
      <x:c r="E16" s="18"/>
      <x:c r="F16" s="18"/>
      <x:c r="G16" s="18"/>
      <x:c r="H16" s="18"/>
      <x:c r="I16" s="18"/>
      <x:c r="J16" s="19"/>
      <x:c r="K16" s="19"/>
      <x:c r="L16" s="18"/>
      <x:c r="M16" s="18"/>
      <x:c r="N16" s="18" t="str">
        <x:f>IF(A16="","",IF(K16&lt;TODAY(),"MAJ en retard",IF(K16&lt;=TODAY()+15,"MAJ proche","OK")))</x:f>
      </x:c>
    </x:row>
    <x:row r="17">
      <x:c r="A17" s="18"/>
      <x:c r="B17" s="18"/>
      <x:c r="C17" s="18"/>
      <x:c r="D17" s="18"/>
      <x:c r="E17" s="18"/>
      <x:c r="F17" s="18"/>
      <x:c r="G17" s="18"/>
      <x:c r="H17" s="18"/>
      <x:c r="I17" s="18"/>
      <x:c r="J17" s="19"/>
      <x:c r="K17" s="19"/>
      <x:c r="L17" s="18"/>
      <x:c r="M17" s="18"/>
      <x:c r="N17" s="18" t="str">
        <x:f>IF(A17="","",IF(K17&lt;TODAY(),"MAJ en retard",IF(K17&lt;=TODAY()+15,"MAJ proche","OK")))</x:f>
      </x:c>
    </x:row>
    <x:row r="18">
      <x:c r="A18" s="18"/>
      <x:c r="B18" s="18"/>
      <x:c r="C18" s="18"/>
      <x:c r="D18" s="18"/>
      <x:c r="E18" s="18"/>
      <x:c r="F18" s="18"/>
      <x:c r="G18" s="18"/>
      <x:c r="H18" s="18"/>
      <x:c r="I18" s="18"/>
      <x:c r="J18" s="19"/>
      <x:c r="K18" s="19"/>
      <x:c r="L18" s="18"/>
      <x:c r="M18" s="18"/>
      <x:c r="N18" s="18" t="str">
        <x:f>IF(A18="","",IF(K18&lt;TODAY(),"MAJ en retard",IF(K18&lt;=TODAY()+15,"MAJ proche","OK")))</x:f>
      </x:c>
    </x:row>
    <x:row r="19">
      <x:c r="A19" s="18"/>
      <x:c r="B19" s="18"/>
      <x:c r="C19" s="18"/>
      <x:c r="D19" s="18"/>
      <x:c r="E19" s="18"/>
      <x:c r="F19" s="18"/>
      <x:c r="G19" s="18"/>
      <x:c r="H19" s="18"/>
      <x:c r="I19" s="18"/>
      <x:c r="J19" s="19"/>
      <x:c r="K19" s="19"/>
      <x:c r="L19" s="18"/>
      <x:c r="M19" s="18"/>
      <x:c r="N19" s="18" t="str">
        <x:f>IF(A19="","",IF(K19&lt;TODAY(),"MAJ en retard",IF(K19&lt;=TODAY()+15,"MAJ proche","OK")))</x:f>
      </x:c>
    </x:row>
    <x:row r="20">
      <x:c r="A20" s="18"/>
      <x:c r="B20" s="18"/>
      <x:c r="C20" s="18"/>
      <x:c r="D20" s="18"/>
      <x:c r="E20" s="18"/>
      <x:c r="F20" s="18"/>
      <x:c r="G20" s="18"/>
      <x:c r="H20" s="18"/>
      <x:c r="I20" s="18"/>
      <x:c r="J20" s="19"/>
      <x:c r="K20" s="19"/>
      <x:c r="L20" s="18"/>
      <x:c r="M20" s="18"/>
      <x:c r="N20" s="18" t="str">
        <x:f>IF(A20="","",IF(K20&lt;TODAY(),"MAJ en retard",IF(K20&lt;=TODAY()+15,"MAJ proche","OK")))</x:f>
      </x:c>
    </x:row>
    <x:row r="21">
      <x:c r="A21" s="18"/>
      <x:c r="B21" s="18"/>
      <x:c r="C21" s="18"/>
      <x:c r="D21" s="18"/>
      <x:c r="E21" s="18"/>
      <x:c r="F21" s="18"/>
      <x:c r="G21" s="18"/>
      <x:c r="H21" s="18"/>
      <x:c r="I21" s="18"/>
      <x:c r="J21" s="19"/>
      <x:c r="K21" s="19"/>
      <x:c r="L21" s="18"/>
      <x:c r="M21" s="18"/>
      <x:c r="N21" s="18" t="str">
        <x:f>IF(A21="","",IF(K21&lt;TODAY(),"MAJ en retard",IF(K21&lt;=TODAY()+15,"MAJ proche","OK")))</x:f>
      </x:c>
    </x:row>
    <x:row r="22">
      <x:c r="A22" s="18"/>
      <x:c r="B22" s="18"/>
      <x:c r="C22" s="18"/>
      <x:c r="D22" s="18"/>
      <x:c r="E22" s="18"/>
      <x:c r="F22" s="18"/>
      <x:c r="G22" s="18"/>
      <x:c r="H22" s="18"/>
      <x:c r="I22" s="18"/>
      <x:c r="J22" s="19"/>
      <x:c r="K22" s="19"/>
      <x:c r="L22" s="18"/>
      <x:c r="M22" s="18"/>
      <x:c r="N22" s="18" t="str">
        <x:f>IF(A22="","",IF(K22&lt;TODAY(),"MAJ en retard",IF(K22&lt;=TODAY()+15,"MAJ proche","OK")))</x:f>
      </x:c>
    </x:row>
    <x:row r="23">
      <x:c r="A23" s="18"/>
      <x:c r="B23" s="18"/>
      <x:c r="C23" s="18"/>
      <x:c r="D23" s="18"/>
      <x:c r="E23" s="18"/>
      <x:c r="F23" s="18"/>
      <x:c r="G23" s="18"/>
      <x:c r="H23" s="18"/>
      <x:c r="I23" s="18"/>
      <x:c r="J23" s="19"/>
      <x:c r="K23" s="19"/>
      <x:c r="L23" s="18"/>
      <x:c r="M23" s="18"/>
      <x:c r="N23" s="18" t="str">
        <x:f>IF(A23="","",IF(K23&lt;TODAY(),"MAJ en retard",IF(K23&lt;=TODAY()+15,"MAJ proche","OK")))</x:f>
      </x:c>
    </x:row>
    <x:row r="24">
      <x:c r="A24" s="18"/>
      <x:c r="B24" s="18"/>
      <x:c r="C24" s="18"/>
      <x:c r="D24" s="18"/>
      <x:c r="E24" s="18"/>
      <x:c r="F24" s="18"/>
      <x:c r="G24" s="18"/>
      <x:c r="H24" s="18"/>
      <x:c r="I24" s="18"/>
      <x:c r="J24" s="19"/>
      <x:c r="K24" s="19"/>
      <x:c r="L24" s="18"/>
      <x:c r="M24" s="18"/>
      <x:c r="N24" s="18" t="str">
        <x:f>IF(A24="","",IF(K24&lt;TODAY(),"MAJ en retard",IF(K24&lt;=TODAY()+15,"MAJ proche","OK")))</x:f>
      </x:c>
    </x:row>
    <x:row r="25">
      <x:c r="A25" s="18"/>
      <x:c r="B25" s="18"/>
      <x:c r="C25" s="18"/>
      <x:c r="D25" s="18"/>
      <x:c r="E25" s="18"/>
      <x:c r="F25" s="18"/>
      <x:c r="G25" s="18"/>
      <x:c r="H25" s="18"/>
      <x:c r="I25" s="18"/>
      <x:c r="J25" s="19"/>
      <x:c r="K25" s="19"/>
      <x:c r="L25" s="18"/>
      <x:c r="M25" s="18"/>
      <x:c r="N25" s="18" t="str">
        <x:f>IF(A25="","",IF(K25&lt;TODAY(),"MAJ en retard",IF(K25&lt;=TODAY()+15,"MAJ proche","OK")))</x:f>
      </x:c>
    </x:row>
    <x:row r="26">
      <x:c r="A26" s="18"/>
      <x:c r="B26" s="18"/>
      <x:c r="C26" s="18"/>
      <x:c r="D26" s="18"/>
      <x:c r="E26" s="18"/>
      <x:c r="F26" s="18"/>
      <x:c r="G26" s="18"/>
      <x:c r="H26" s="18"/>
      <x:c r="I26" s="18"/>
      <x:c r="J26" s="19"/>
      <x:c r="K26" s="19"/>
      <x:c r="L26" s="18"/>
      <x:c r="M26" s="18"/>
      <x:c r="N26" s="18" t="str">
        <x:f>IF(A26="","",IF(K26&lt;TODAY(),"MAJ en retard",IF(K26&lt;=TODAY()+15,"MAJ proche","OK")))</x:f>
      </x:c>
    </x:row>
    <x:row r="27">
      <x:c r="A27" s="18"/>
      <x:c r="B27" s="18"/>
      <x:c r="C27" s="18"/>
      <x:c r="D27" s="18"/>
      <x:c r="E27" s="18"/>
      <x:c r="F27" s="18"/>
      <x:c r="G27" s="18"/>
      <x:c r="H27" s="18"/>
      <x:c r="I27" s="18"/>
      <x:c r="J27" s="19"/>
      <x:c r="K27" s="19"/>
      <x:c r="L27" s="18"/>
      <x:c r="M27" s="18"/>
      <x:c r="N27" s="18" t="str">
        <x:f>IF(A27="","",IF(K27&lt;TODAY(),"MAJ en retard",IF(K27&lt;=TODAY()+15,"MAJ proche","OK")))</x:f>
      </x:c>
    </x:row>
    <x:row r="28">
      <x:c r="A28" s="18"/>
      <x:c r="B28" s="18"/>
      <x:c r="C28" s="18"/>
      <x:c r="D28" s="18"/>
      <x:c r="E28" s="18"/>
      <x:c r="F28" s="18"/>
      <x:c r="G28" s="18"/>
      <x:c r="H28" s="18"/>
      <x:c r="I28" s="18"/>
      <x:c r="J28" s="19"/>
      <x:c r="K28" s="19"/>
      <x:c r="L28" s="18"/>
      <x:c r="M28" s="18"/>
      <x:c r="N28" s="18" t="str">
        <x:f>IF(A28="","",IF(K28&lt;TODAY(),"MAJ en retard",IF(K28&lt;=TODAY()+15,"MAJ proche","OK")))</x:f>
      </x:c>
    </x:row>
    <x:row r="29">
      <x:c r="A29" s="18"/>
      <x:c r="B29" s="18"/>
      <x:c r="C29" s="18"/>
      <x:c r="D29" s="18"/>
      <x:c r="E29" s="18"/>
      <x:c r="F29" s="18"/>
      <x:c r="G29" s="18"/>
      <x:c r="H29" s="18"/>
      <x:c r="I29" s="18"/>
      <x:c r="J29" s="19"/>
      <x:c r="K29" s="19"/>
      <x:c r="L29" s="18"/>
      <x:c r="M29" s="18"/>
      <x:c r="N29" s="18" t="str">
        <x:f>IF(A29="","",IF(K29&lt;TODAY(),"MAJ en retard",IF(K29&lt;=TODAY()+15,"MAJ proche","OK")))</x:f>
      </x:c>
    </x:row>
    <x:row r="30">
      <x:c r="A30" s="18"/>
      <x:c r="B30" s="18"/>
      <x:c r="C30" s="18"/>
      <x:c r="D30" s="18"/>
      <x:c r="E30" s="18"/>
      <x:c r="F30" s="18"/>
      <x:c r="G30" s="18"/>
      <x:c r="H30" s="18"/>
      <x:c r="I30" s="18"/>
      <x:c r="J30" s="19"/>
      <x:c r="K30" s="19"/>
      <x:c r="L30" s="18"/>
      <x:c r="M30" s="18"/>
      <x:c r="N30" s="18" t="str">
        <x:f>IF(A30="","",IF(K30&lt;TODAY(),"MAJ en retard",IF(K30&lt;=TODAY()+15,"MAJ proche","OK")))</x:f>
      </x:c>
    </x:row>
    <x:row r="31">
      <x:c r="A31" s="18"/>
      <x:c r="B31" s="18"/>
      <x:c r="C31" s="18"/>
      <x:c r="D31" s="18"/>
      <x:c r="E31" s="18"/>
      <x:c r="F31" s="18"/>
      <x:c r="G31" s="18"/>
      <x:c r="H31" s="18"/>
      <x:c r="I31" s="18"/>
      <x:c r="J31" s="19"/>
      <x:c r="K31" s="19"/>
      <x:c r="L31" s="18"/>
      <x:c r="M31" s="18"/>
      <x:c r="N31" s="18" t="str">
        <x:f>IF(A31="","",IF(K31&lt;TODAY(),"MAJ en retard",IF(K31&lt;=TODAY()+15,"MAJ proche","OK")))</x:f>
      </x:c>
    </x:row>
    <x:row r="32">
      <x:c r="A32" s="18"/>
      <x:c r="B32" s="18"/>
      <x:c r="C32" s="18"/>
      <x:c r="D32" s="18"/>
      <x:c r="E32" s="18"/>
      <x:c r="F32" s="18"/>
      <x:c r="G32" s="18"/>
      <x:c r="H32" s="18"/>
      <x:c r="I32" s="18"/>
      <x:c r="J32" s="19"/>
      <x:c r="K32" s="19"/>
      <x:c r="L32" s="18"/>
      <x:c r="M32" s="18"/>
      <x:c r="N32" s="18" t="str">
        <x:f>IF(A32="","",IF(K32&lt;TODAY(),"MAJ en retard",IF(K32&lt;=TODAY()+15,"MAJ proche","OK")))</x:f>
      </x:c>
    </x:row>
    <x:row r="33">
      <x:c r="A33" s="18"/>
      <x:c r="B33" s="18"/>
      <x:c r="C33" s="18"/>
      <x:c r="D33" s="18"/>
      <x:c r="E33" s="18"/>
      <x:c r="F33" s="18"/>
      <x:c r="G33" s="18"/>
      <x:c r="H33" s="18"/>
      <x:c r="I33" s="18"/>
      <x:c r="J33" s="19"/>
      <x:c r="K33" s="19"/>
      <x:c r="L33" s="18"/>
      <x:c r="M33" s="18"/>
      <x:c r="N33" s="18" t="str">
        <x:f>IF(A33="","",IF(K33&lt;TODAY(),"MAJ en retard",IF(K33&lt;=TODAY()+15,"MAJ proche","OK")))</x:f>
      </x:c>
    </x:row>
    <x:row r="34">
      <x:c r="A34" s="18"/>
      <x:c r="B34" s="18"/>
      <x:c r="C34" s="18"/>
      <x:c r="D34" s="18"/>
      <x:c r="E34" s="18"/>
      <x:c r="F34" s="18"/>
      <x:c r="G34" s="18"/>
      <x:c r="H34" s="18"/>
      <x:c r="I34" s="18"/>
      <x:c r="J34" s="19"/>
      <x:c r="K34" s="19"/>
      <x:c r="L34" s="18"/>
      <x:c r="M34" s="18"/>
      <x:c r="N34" s="18" t="str">
        <x:f>IF(A34="","",IF(K34&lt;TODAY(),"MAJ en retard",IF(K34&lt;=TODAY()+15,"MAJ proche","OK")))</x:f>
      </x:c>
    </x:row>
    <x:row r="35">
      <x:c r="A35" s="18"/>
      <x:c r="B35" s="18"/>
      <x:c r="C35" s="18"/>
      <x:c r="D35" s="18"/>
      <x:c r="E35" s="18"/>
      <x:c r="F35" s="18"/>
      <x:c r="G35" s="18"/>
      <x:c r="H35" s="18"/>
      <x:c r="I35" s="18"/>
      <x:c r="J35" s="19"/>
      <x:c r="K35" s="19"/>
      <x:c r="L35" s="18"/>
      <x:c r="M35" s="18"/>
      <x:c r="N35" s="18" t="str">
        <x:f>IF(A35="","",IF(K35&lt;TODAY(),"MAJ en retard",IF(K35&lt;=TODAY()+15,"MAJ proche","OK")))</x:f>
      </x:c>
    </x:row>
    <x:row r="36">
      <x:c r="A36" s="18"/>
      <x:c r="B36" s="18"/>
      <x:c r="C36" s="18"/>
      <x:c r="D36" s="18"/>
      <x:c r="E36" s="18"/>
      <x:c r="F36" s="18"/>
      <x:c r="G36" s="18"/>
      <x:c r="H36" s="18"/>
      <x:c r="I36" s="18"/>
      <x:c r="J36" s="19"/>
      <x:c r="K36" s="19"/>
      <x:c r="L36" s="18"/>
      <x:c r="M36" s="18"/>
      <x:c r="N36" s="18" t="str">
        <x:f>IF(A36="","",IF(K36&lt;TODAY(),"MAJ en retard",IF(K36&lt;=TODAY()+15,"MAJ proche","OK")))</x:f>
      </x:c>
    </x:row>
    <x:row r="37">
      <x:c r="A37" s="18"/>
      <x:c r="B37" s="18"/>
      <x:c r="C37" s="18"/>
      <x:c r="D37" s="18"/>
      <x:c r="E37" s="18"/>
      <x:c r="F37" s="18"/>
      <x:c r="G37" s="18"/>
      <x:c r="H37" s="18"/>
      <x:c r="I37" s="18"/>
      <x:c r="J37" s="19"/>
      <x:c r="K37" s="19"/>
      <x:c r="L37" s="18"/>
      <x:c r="M37" s="18"/>
      <x:c r="N37" s="18" t="str">
        <x:f>IF(A37="","",IF(K37&lt;TODAY(),"MAJ en retard",IF(K37&lt;=TODAY()+15,"MAJ proche","OK")))</x:f>
      </x:c>
    </x:row>
    <x:row r="38">
      <x:c r="A38" s="18"/>
      <x:c r="B38" s="18"/>
      <x:c r="C38" s="18"/>
      <x:c r="D38" s="18"/>
      <x:c r="E38" s="18"/>
      <x:c r="F38" s="18"/>
      <x:c r="G38" s="18"/>
      <x:c r="H38" s="18"/>
      <x:c r="I38" s="18"/>
      <x:c r="J38" s="19"/>
      <x:c r="K38" s="19"/>
      <x:c r="L38" s="18"/>
      <x:c r="M38" s="18"/>
      <x:c r="N38" s="18" t="str">
        <x:f>IF(A38="","",IF(K38&lt;TODAY(),"MAJ en retard",IF(K38&lt;=TODAY()+15,"MAJ proche","OK")))</x:f>
      </x:c>
    </x:row>
    <x:row r="39">
      <x:c r="A39" s="18"/>
      <x:c r="B39" s="18"/>
      <x:c r="C39" s="18"/>
      <x:c r="D39" s="18"/>
      <x:c r="E39" s="18"/>
      <x:c r="F39" s="18"/>
      <x:c r="G39" s="18"/>
      <x:c r="H39" s="18"/>
      <x:c r="I39" s="18"/>
      <x:c r="J39" s="19"/>
      <x:c r="K39" s="19"/>
      <x:c r="L39" s="18"/>
      <x:c r="M39" s="18"/>
      <x:c r="N39" s="18" t="str">
        <x:f>IF(A39="","",IF(K39&lt;TODAY(),"MAJ en retard",IF(K39&lt;=TODAY()+15,"MAJ proche","OK")))</x:f>
      </x:c>
    </x:row>
    <x:row r="40">
      <x:c r="A40" s="18"/>
      <x:c r="B40" s="18"/>
      <x:c r="C40" s="18"/>
      <x:c r="D40" s="18"/>
      <x:c r="E40" s="18"/>
      <x:c r="F40" s="18"/>
      <x:c r="G40" s="18"/>
      <x:c r="H40" s="18"/>
      <x:c r="I40" s="18"/>
      <x:c r="J40" s="19"/>
      <x:c r="K40" s="19"/>
      <x:c r="L40" s="18"/>
      <x:c r="M40" s="18"/>
      <x:c r="N40" s="18" t="str">
        <x:f>IF(A40="","",IF(K40&lt;TODAY(),"MAJ en retard",IF(K40&lt;=TODAY()+15,"MAJ proche","OK")))</x:f>
      </x:c>
    </x:row>
    <x:row r="41">
      <x:c r="A41" s="18"/>
      <x:c r="B41" s="18"/>
      <x:c r="C41" s="18"/>
      <x:c r="D41" s="18"/>
      <x:c r="E41" s="18"/>
      <x:c r="F41" s="18"/>
      <x:c r="G41" s="18"/>
      <x:c r="H41" s="18"/>
      <x:c r="I41" s="18"/>
      <x:c r="J41" s="19"/>
      <x:c r="K41" s="19"/>
      <x:c r="L41" s="18"/>
      <x:c r="M41" s="18"/>
      <x:c r="N41" s="18" t="str">
        <x:f>IF(A41="","",IF(K41&lt;TODAY(),"MAJ en retard",IF(K41&lt;=TODAY()+15,"MAJ proche","OK")))</x:f>
      </x:c>
    </x:row>
    <x:row r="42">
      <x:c r="A42" s="18"/>
      <x:c r="B42" s="18"/>
      <x:c r="C42" s="18"/>
      <x:c r="D42" s="18"/>
      <x:c r="E42" s="18"/>
      <x:c r="F42" s="18"/>
      <x:c r="G42" s="18"/>
      <x:c r="H42" s="18"/>
      <x:c r="I42" s="18"/>
      <x:c r="J42" s="19"/>
      <x:c r="K42" s="19"/>
      <x:c r="L42" s="18"/>
      <x:c r="M42" s="18"/>
      <x:c r="N42" s="18" t="str">
        <x:f>IF(A42="","",IF(K42&lt;TODAY(),"MAJ en retard",IF(K42&lt;=TODAY()+15,"MAJ proche","OK")))</x:f>
      </x:c>
    </x:row>
    <x:row r="43">
      <x:c r="A43" s="18"/>
      <x:c r="B43" s="18"/>
      <x:c r="C43" s="18"/>
      <x:c r="D43" s="18"/>
      <x:c r="E43" s="18"/>
      <x:c r="F43" s="18"/>
      <x:c r="G43" s="18"/>
      <x:c r="H43" s="18"/>
      <x:c r="I43" s="18"/>
      <x:c r="J43" s="19"/>
      <x:c r="K43" s="19"/>
      <x:c r="L43" s="18"/>
      <x:c r="M43" s="18"/>
      <x:c r="N43" s="18" t="str">
        <x:f>IF(A43="","",IF(K43&lt;TODAY(),"MAJ en retard",IF(K43&lt;=TODAY()+15,"MAJ proche","OK")))</x:f>
      </x:c>
    </x:row>
    <x:row r="44">
      <x:c r="A44" s="18"/>
      <x:c r="B44" s="18"/>
      <x:c r="C44" s="18"/>
      <x:c r="D44" s="18"/>
      <x:c r="E44" s="18"/>
      <x:c r="F44" s="18"/>
      <x:c r="G44" s="18"/>
      <x:c r="H44" s="18"/>
      <x:c r="I44" s="18"/>
      <x:c r="J44" s="19"/>
      <x:c r="K44" s="19"/>
      <x:c r="L44" s="18"/>
      <x:c r="M44" s="18"/>
      <x:c r="N44" s="18" t="str">
        <x:f>IF(A44="","",IF(K44&lt;TODAY(),"MAJ en retard",IF(K44&lt;=TODAY()+15,"MAJ proche","OK")))</x:f>
      </x:c>
    </x:row>
  </x:sheetData>
  <x:mergeCells>
    <x:mergeCell ref="A1:J1"/>
    <x:mergeCell ref="A2:J2"/>
  </x:mergeCells>
  <x:conditionalFormatting sqref="N5:N44">
    <x:cfRule type="containsText" dxfId="0" priority="1" operator="containsText" text="Retard"/>
    <x:cfRule type="containsText" dxfId="1" priority="2" operator="containsText" text="critique"/>
    <x:cfRule type="containsText" dxfId="2" priority="3" operator="containsText" text="manquant"/>
    <x:cfRule type="containsText" dxfId="3"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F5:F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L5:L44">
      <x:formula1>"Actif,A actualiser,Archive,Suspendu"</x:formula1>
    </x:dataValidation>
  </x:dataValidations>
  <x:pageMargins left="0.7" right="0.7" top="0.75" bottom="0.75" header="0.3" footer="0.3"/>
  <x:tableParts count="1">
    <x:tablePart xmlns:r="http://schemas.openxmlformats.org/officeDocument/2006/relationships" r:id="R7ed7b4db1a1240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1299991607666" hidden="0" customWidth="1"/>
    <x:col min="2" max="2" width="11.880000114440918" hidden="0" customWidth="1"/>
    <x:col min="3" max="3" width="40" hidden="0" customWidth="1"/>
    <x:col min="4" max="4" width="28.75" hidden="0" customWidth="1"/>
    <x:col min="5" max="5" width="4.5" hidden="0" customWidth="1"/>
    <x:col min="6" max="6" width="23.75" hidden="0" customWidth="1"/>
    <x:col min="7" max="7" width="18.75" hidden="0" customWidth="1"/>
    <x:col min="8" max="8" width="4.5" hidden="0" customWidth="1"/>
    <x:col min="9" max="9" width="28.75" hidden="0" customWidth="1"/>
    <x:col min="10" max="10" width="21.8799991607666" hidden="0" customWidth="1"/>
    <x:col min="11" max="11" width="11.25" hidden="0" customWidth="1"/>
    <x:col min="12" max="12" width="32.5" hidden="0" customWidth="1"/>
    <x:col min="13" max="13" width="16.25" hidden="0" customWidth="1"/>
    <x:col min="14" max="14" width="16.25" hidden="0" customWidth="1"/>
  </x:cols>
  <x:sheetData>
    <x:row r="1" ht="25.5" customHeight="1">
      <x:c r="A1" s="2" t="str">
        <x:v>Tableau de bord executif climat - Ville de Dakar</x:v>
      </x:c>
      <x:c r="B1" s="2"/>
      <x:c r="C1" s="2"/>
      <x:c r="D1" s="2"/>
      <x:c r="E1" s="2"/>
      <x:c r="F1" s="2"/>
      <x:c r="G1" s="2"/>
      <x:c r="H1" s="2"/>
      <x:c r="I1" s="2"/>
      <x:c r="J1" s="2"/>
    </x:row>
    <x:row r="2" ht="31.5" customHeight="1">
      <x:c r="A2" s="5" t="str">
        <x:v>Synthese automatique des projets, emissions, budgets, financements, donnees sectorielles et alertes.</x:v>
      </x:c>
      <x:c r="B2" s="5"/>
      <x:c r="C2" s="5"/>
      <x:c r="D2" s="5"/>
      <x:c r="E2" s="5"/>
      <x:c r="F2" s="5"/>
      <x:c r="G2" s="5"/>
      <x:c r="H2" s="5"/>
      <x:c r="I2" s="5"/>
      <x:c r="J2" s="5"/>
    </x:row>
    <x:row r="4">
      <x:c r="A4" s="29" t="str">
        <x:v>Projets actifs</x:v>
      </x:c>
      <x:c r="B4" s="29"/>
      <x:c r="D4" s="29" t="str">
        <x:v>Budget total</x:v>
      </x:c>
      <x:c r="E4" s="29"/>
      <x:c r="G4" s="29" t="str">
        <x:v>Emissions inventaire</x:v>
      </x:c>
      <x:c r="H4" s="29"/>
      <x:c r="J4" s="29" t="str">
        <x:v>Alertes donnees</x:v>
      </x:c>
      <x:c r="K4" s="29"/>
    </x:row>
    <x:row r="5">
      <x:c r="A5" s="30" t="n">
        <x:f>COUNTA('05_PROJETS_CLIMAT'!$A$5:$A$104)</x:f>
        <x:v>6</x:v>
      </x:c>
      <x:c r="B5" s="30"/>
      <x:c r="C5" s="31"/>
      <x:c r="D5" s="32" t="n">
        <x:f>SUM('05_PROJETS_CLIMAT'!$P$5:$P$104)</x:f>
        <x:v>11930000000</x:v>
      </x:c>
      <x:c r="E5" s="30"/>
      <x:c r="F5" s="31"/>
      <x:c r="G5" s="33" t="n">
        <x:f>SUM('08_INVENTAIRE_GES'!$H$5:$H$104)</x:f>
        <x:v>1515200</x:v>
      </x:c>
      <x:c r="H5" s="30"/>
      <x:c r="I5" s="31"/>
      <x:c r="J5" s="30" t="n">
        <x:f>COUNTIF('05_PROJETS_CLIMAT'!$AG$5:$AG$104,"*manquantes*")+COUNTIF('09_DONNEES_GES_ACTIVITE'!$Q$5:$Q$104,"*manquantes*")+COUNTIF('11_QUALITE_AIR'!$O$5:$O$104,"*manquantes*")+COUNTIF('12_MOBILITE'!$Q$5:$Q$104,"*manquantes*")+COUNTIF('13_ENERGIE'!$P$5:$P$104,"*manquantes*")+COUNTIF('14_DECHETS'!$Q$5:$Q$104,"*manquantes*")</x:f>
        <x:v>0</x:v>
      </x:c>
      <x:c r="K5" s="29"/>
    </x:row>
    <x:row r="6">
      <x:c r="A6" s="30" t="str">
        <x:v>Retards projets</x:v>
      </x:c>
      <x:c r="B6" s="30"/>
      <x:c r="C6" s="31"/>
      <x:c r="D6" s="32" t="str">
        <x:v>Besoin financement</x:v>
      </x:c>
      <x:c r="E6" s="30"/>
      <x:c r="F6" s="31"/>
      <x:c r="G6" s="33" t="str">
        <x:v>Emissions evitees/an</x:v>
      </x:c>
      <x:c r="H6" s="30"/>
      <x:c r="I6" s="31"/>
      <x:c r="J6" s="30" t="str">
        <x:v>Financements critiques</x:v>
      </x:c>
      <x:c r="K6" s="29"/>
    </x:row>
    <x:row r="7">
      <x:c r="A7" s="30" t="n">
        <x:f>COUNTIF('05_PROJETS_CLIMAT'!$AE$5:$AE$104,"Retard")</x:f>
        <x:v>0</x:v>
      </x:c>
      <x:c r="B7" s="30"/>
      <x:c r="C7" s="31"/>
      <x:c r="D7" s="32" t="n">
        <x:f>SUM('05_PROJETS_CLIMAT'!$T$5:$T$104)</x:f>
        <x:v>8290000000</x:v>
      </x:c>
      <x:c r="E7" s="30"/>
      <x:c r="F7" s="31"/>
      <x:c r="G7" s="33" t="n">
        <x:f>SUM('05_PROJETS_CLIMAT'!$U$5:$U$104)</x:f>
        <x:v>23900</x:v>
      </x:c>
      <x:c r="H7" s="30"/>
      <x:c r="I7" s="31"/>
      <x:c r="J7" s="30" t="n">
        <x:f>COUNTIF('05_PROJETS_CLIMAT'!$AF$5:$AF$104,"*critique*")+COUNTIF('17_FINANCEMENTS'!$O$5:$O$104,"*critique*")</x:f>
        <x:v>0</x:v>
      </x:c>
      <x:c r="K7" s="29"/>
    </x:row>
    <x:row r="10">
      <x:c r="A10" s="7" t="str">
        <x:v>Alertes prioritaires</x:v>
      </x:c>
      <x:c r="B10" s="7" t="str">
        <x:v>Nombre</x:v>
      </x:c>
      <x:c r="C10" s="7" t="str">
        <x:v>Interpretation</x:v>
      </x:c>
      <x:c r="D10" s="7" t="str">
        <x:v>Action attendue</x:v>
      </x:c>
      <x:c r="F10" s="16" t="str">
        <x:v>Secteur</x:v>
      </x:c>
      <x:c r="G10" s="16" t="str">
        <x:v>Emissions tCO2e</x:v>
      </x:c>
      <x:c r="I10" s="16" t="str">
        <x:v>Secteur projet</x:v>
      </x:c>
      <x:c r="J10" s="16" t="str">
        <x:v>Budget total XOF</x:v>
      </x:c>
    </x:row>
    <x:row r="11">
      <x:c r="A11" s="9" t="str">
        <x:f>"Retards projets"</x:f>
        <x:v>Retards projets</x:v>
      </x:c>
      <x:c r="B11" s="9" t="n">
        <x:f>COUNTIF('05_PROJETS_CLIMAT'!$AE$5:$AE$104,"Retard")</x:f>
        <x:v>0</x:v>
      </x:c>
      <x:c r="C11" s="9" t="str">
        <x:f>"Echeances depassees hors projets termines"</x:f>
        <x:v>Echeances depassees hors projets termines</x:v>
      </x:c>
      <x:c r="D11" s="9" t="str">
        <x:f>"Replanifier ou arbitrer"</x:f>
        <x:v>Replanifier ou arbitrer</x:v>
      </x:c>
      <x:c r="F11" s="9" t="str">
        <x:f>"Stationary energy"</x:f>
        <x:v>Stationary energy</x:v>
      </x:c>
      <x:c r="G11" s="35" t="n">
        <x:f>SUMIF('08_INVENTAIRE_GES'!$D$5:$D$104,F11,'08_INVENTAIRE_GES'!$H$5:$H$104)</x:f>
        <x:v>458000</x:v>
      </x:c>
      <x:c r="I11" s="9" t="str">
        <x:f>"Energie"</x:f>
        <x:v>Energie</x:v>
      </x:c>
      <x:c r="J11" s="36" t="n">
        <x:f>SUMIF('05_PROJETS_CLIMAT'!$D$5:$D$104,I11,'05_PROJETS_CLIMAT'!$P$5:$P$104)</x:f>
        <x:v>4600000000</x:v>
      </x:c>
    </x:row>
    <x:row r="12">
      <x:c r="A12" s="9" t="str">
        <x:f>"Financement critique"</x:f>
        <x:v>Financement critique</x:v>
      </x:c>
      <x:c r="B12" s="9" t="n">
        <x:f>COUNTIF('05_PROJETS_CLIMAT'!$AF$5:$AF$104,"*critique*")</x:f>
        <x:v>0</x:v>
      </x:c>
      <x:c r="C12" s="9" t="str">
        <x:f>"Moins de 50% du budget finance"</x:f>
        <x:v>Moins de 50% du budget finance</x:v>
      </x:c>
      <x:c r="D12" s="9" t="str">
        <x:f>"Mobiliser bailleurs / budget"</x:f>
        <x:v>Mobiliser bailleurs / budget</x:v>
      </x:c>
      <x:c r="F12" s="9" t="str">
        <x:f>"Transportation"</x:f>
        <x:v>Transportation</x:v>
      </x:c>
      <x:c r="G12" s="35" t="n">
        <x:f>SUMIF('08_INVENTAIRE_GES'!$D$5:$D$104,F12,'08_INVENTAIRE_GES'!$H$5:$H$104)</x:f>
        <x:v>792200</x:v>
      </x:c>
      <x:c r="I12" s="9" t="str">
        <x:f>"Transport et mobilite"</x:f>
        <x:v>Transport et mobilite</x:v>
      </x:c>
      <x:c r="J12" s="36" t="n">
        <x:f>SUMIF('05_PROJETS_CLIMAT'!$D$5:$D$104,I12,'05_PROJETS_CLIMAT'!$P$5:$P$104)</x:f>
        <x:v>950000000</x:v>
      </x:c>
    </x:row>
    <x:row r="13">
      <x:c r="A13" s="9" t="str">
        <x:f>"Donnees manquantes"</x:f>
        <x:v>Donnees manquantes</x:v>
      </x:c>
      <x:c r="B13" s="9" t="n">
        <x:f>J5</x:f>
        <x:v>0</x:v>
      </x:c>
      <x:c r="C13" s="9" t="str">
        <x:f>"Sources ou champs incomplets"</x:f>
        <x:v>Sources ou champs incomplets</x:v>
      </x:c>
      <x:c r="D13" s="9" t="str">
        <x:f>"Completer onglets sources"</x:f>
        <x:v>Completer onglets sources</x:v>
      </x:c>
      <x:c r="F13" s="9" t="str">
        <x:f>"Waste"</x:f>
        <x:v>Waste</x:v>
      </x:c>
      <x:c r="G13" s="35" t="n">
        <x:f>SUMIF('08_INVENTAIRE_GES'!$D$5:$D$104,F13,'08_INVENTAIRE_GES'!$H$5:$H$104)</x:f>
        <x:v>265000</x:v>
      </x:c>
      <x:c r="I13" s="9" t="str">
        <x:f>"Dechets"</x:f>
        <x:v>Dechets</x:v>
      </x:c>
      <x:c r="J13" s="36" t="n">
        <x:f>SUMIF('05_PROJETS_CLIMAT'!$D$5:$D$104,I13,'05_PROJETS_CLIMAT'!$P$5:$P$104)</x:f>
        <x:v>1800000000</x:v>
      </x:c>
    </x:row>
    <x:row r="14">
      <x:c r="A14" s="9" t="str">
        <x:f>"QA/QC en retard"</x:f>
        <x:v>QA/QC en retard</x:v>
      </x:c>
      <x:c r="B14" s="9" t="n">
        <x:f>COUNTIF('19_QA_QC'!$N$5:$N$104,"Retard")</x:f>
        <x:v>0</x:v>
      </x:c>
      <x:c r="C14" s="9" t="str">
        <x:f>"Corrections QA non cloturees"</x:f>
        <x:v>Corrections QA non cloturees</x:v>
      </x:c>
      <x:c r="D14" s="9" t="str">
        <x:f>"Traiter anomalies"</x:f>
        <x:v>Traiter anomalies</x:v>
      </x:c>
      <x:c r="F14" s="9" t="str">
        <x:f>"IPPU"</x:f>
        <x:v>IPPU</x:v>
      </x:c>
      <x:c r="G14" s="35" t="n">
        <x:f>SUMIF('08_INVENTAIRE_GES'!$D$5:$D$104,F14,'08_INVENTAIRE_GES'!$H$5:$H$104)</x:f>
        <x:v>0</x:v>
      </x:c>
      <x:c r="I14" s="9" t="str">
        <x:f>"Qualite de l'air"</x:f>
        <x:v>Qualite de l'air</x:v>
      </x:c>
      <x:c r="J14" s="36" t="n">
        <x:f>SUMIF('05_PROJETS_CLIMAT'!$D$5:$D$104,I14,'05_PROJETS_CLIMAT'!$P$5:$P$104)</x:f>
        <x:v>380000000</x:v>
      </x:c>
    </x:row>
    <x:row r="15">
      <x:c r="A15" s="9" t="str">
        <x:f>"Risques critiques"</x:f>
        <x:v>Risques critiques</x:v>
      </x:c>
      <x:c r="B15" s="9" t="n">
        <x:f>COUNTIF('18_RISQUES_HYPOTHESES'!$H$5:$H$104,"Critique")</x:f>
        <x:v>2</x:v>
      </x:c>
      <x:c r="C15" s="9" t="str">
        <x:f>"Risques a arbitrer"</x:f>
        <x:v>Risques a arbitrer</x:v>
      </x:c>
      <x:c r="D15" s="9" t="str">
        <x:f>"Comite de pilotage"</x:f>
        <x:v>Comite de pilotage</x:v>
      </x:c>
      <x:c r="F15" s="9" t="str">
        <x:f>"AFOLU"</x:f>
        <x:v>AFOLU</x:v>
      </x:c>
      <x:c r="G15" s="35" t="n">
        <x:f>SUMIF('08_INVENTAIRE_GES'!$D$5:$D$104,F15,'08_INVENTAIRE_GES'!$H$5:$H$104)</x:f>
        <x:v>0</x:v>
      </x:c>
      <x:c r="I15" s="9" t="str">
        <x:f>"Batiments"</x:f>
        <x:v>Batiments</x:v>
      </x:c>
      <x:c r="J15" s="36" t="n">
        <x:f>SUMIF('05_PROJETS_CLIMAT'!$D$5:$D$104,I15,'05_PROJETS_CLIMAT'!$P$5:$P$104)</x:f>
        <x:v>0</x:v>
      </x:c>
    </x:row>
    <x:row r="16">
      <x:c r="A16" s="9" t="str">
        <x:f>"Depassements air"</x:f>
        <x:v>Depassements air</x:v>
      </x:c>
      <x:c r="B16" s="9" t="n">
        <x:f>COUNTIF('11_QUALITE_AIR'!$N$5:$N$104,"Oui")</x:f>
        <x:v>4</x:v>
      </x:c>
      <x:c r="C16" s="9" t="str">
        <x:f>"Mesures au-dessus du seuil reference"</x:f>
        <x:v>Mesures au-dessus du seuil reference</x:v>
      </x:c>
      <x:c r="D16" s="9" t="str">
        <x:f>"Analyser zones prioritaires"</x:f>
        <x:v>Analyser zones prioritaires</x:v>
      </x:c>
      <x:c r="F16" s="9" t="str">
        <x:f>"Other Scope 3"</x:f>
        <x:v>Other Scope 3</x:v>
      </x:c>
      <x:c r="G16" s="35" t="n">
        <x:f>SUMIF('08_INVENTAIRE_GES'!$D$5:$D$104,F16,'08_INVENTAIRE_GES'!$H$5:$H$104)</x:f>
        <x:v>0</x:v>
      </x:c>
      <x:c r="I16" s="9" t="str">
        <x:f>"Urbanisme et resilience"</x:f>
        <x:v>Urbanisme et resilience</x:v>
      </x:c>
      <x:c r="J16" s="36" t="n">
        <x:f>SUMIF('05_PROJETS_CLIMAT'!$D$5:$D$104,I16,'05_PROJETS_CLIMAT'!$P$5:$P$104)</x:f>
        <x:v>4200000000</x:v>
      </x:c>
    </x:row>
    <x:row r="17">
      <x:c r="I17" s="9" t="str">
        <x:f>"Eau et assainissement"</x:f>
        <x:v>Eau et assainissement</x:v>
      </x:c>
      <x:c r="J17" s="36" t="n">
        <x:f>SUMIF('05_PROJETS_CLIMAT'!$D$5:$D$104,I17,'05_PROJETS_CLIMAT'!$P$5:$P$104)</x:f>
        <x:v>0</x:v>
      </x:c>
    </x:row>
    <x:row r="18">
      <x:c r="I18" s="9" t="str">
        <x:f>"Nature et littoral"</x:f>
        <x:v>Nature et littoral</x:v>
      </x:c>
      <x:c r="J18" s="36" t="n">
        <x:f>SUMIF('05_PROJETS_CLIMAT'!$D$5:$D$104,I18,'05_PROJETS_CLIMAT'!$P$5:$P$104)</x:f>
        <x:v>0</x:v>
      </x:c>
    </x:row>
    <x:row r="19">
      <x:c r="A19" s="7" t="str">
        <x:v>Synthese visuelle - emissions GES</x:v>
      </x:c>
      <x:c r="B19" s="7"/>
      <x:c r="C19" s="7"/>
      <x:c r="D19" s="7"/>
      <x:c r="I19" s="9" t="str">
        <x:f>"Gouvernance climat"</x:f>
        <x:v>Gouvernance climat</x:v>
      </x:c>
      <x:c r="J19" s="36" t="n">
        <x:f>SUMIF('05_PROJETS_CLIMAT'!$D$5:$D$104,I19,'05_PROJETS_CLIMAT'!$P$5:$P$104)</x:f>
        <x:v>0</x:v>
      </x:c>
    </x:row>
    <x:row r="20">
      <x:c r="A20" s="37" t="str">
        <x:f>F11</x:f>
        <x:v>Stationary energy</x:v>
      </x:c>
      <x:c r="B20" s="38" t="n">
        <x:f>G11</x:f>
        <x:v>458000</x:v>
      </x:c>
      <x:c r="C20" s="39" t="n">
        <x:f>IFERROR(G11/MAX($G$11:$G$16),0)</x:f>
        <x:v>0.5781368341327947</x:v>
      </x:c>
      <x:c r="D20" s="37" t="str">
        <x:f>REPT("|",ROUND(C20*30,0))</x:f>
        <x:v>|||||||||||||||||</x:v>
      </x:c>
      <x:c r="I20" s="9" t="str">
        <x:f>"Finance climat"</x:f>
        <x:v>Finance climat</x:v>
      </x:c>
      <x:c r="J20" s="36" t="n">
        <x:f>SUMIF('05_PROJETS_CLIMAT'!$D$5:$D$104,I20,'05_PROJETS_CLIMAT'!$P$5:$P$104)</x:f>
        <x:v>0</x:v>
      </x:c>
    </x:row>
    <x:row r="21">
      <x:c r="A21" s="37" t="str">
        <x:f>F12</x:f>
        <x:v>Transportation</x:v>
      </x:c>
      <x:c r="B21" s="38" t="n">
        <x:f>G12</x:f>
        <x:v>792200</x:v>
      </x:c>
      <x:c r="C21" s="39" t="n">
        <x:f>IFERROR(G12/MAX($G$11:$G$16),0)</x:f>
        <x:v>1</x:v>
      </x:c>
      <x:c r="D21" s="37" t="str">
        <x:f>REPT("|",ROUND(C21*30,0))</x:f>
        <x:v>||||||||||||||||||||||||||||||</x:v>
      </x:c>
    </x:row>
    <x:row r="22">
      <x:c r="A22" s="37" t="str">
        <x:f>F13</x:f>
        <x:v>Waste</x:v>
      </x:c>
      <x:c r="B22" s="38" t="n">
        <x:f>G13</x:f>
        <x:v>265000</x:v>
      </x:c>
      <x:c r="C22" s="39" t="n">
        <x:f>IFERROR(G13/MAX($G$11:$G$16),0)</x:f>
        <x:v>0.33451148699823274</x:v>
      </x:c>
      <x:c r="D22" s="37" t="str">
        <x:f>REPT("|",ROUND(C22*30,0))</x:f>
        <x:v>||||||||||</x:v>
      </x:c>
      <x:c r="I22" s="7" t="str">
        <x:v>Synthese visuelle - budgets climat</x:v>
      </x:c>
      <x:c r="J22" s="7"/>
      <x:c r="K22" s="7"/>
      <x:c r="L22" s="7"/>
    </x:row>
    <x:row r="23">
      <x:c r="A23" s="37" t="str">
        <x:f>F14</x:f>
        <x:v>IPPU</x:v>
      </x:c>
      <x:c r="B23" s="38" t="n">
        <x:f>G14</x:f>
        <x:v>0</x:v>
      </x:c>
      <x:c r="C23" s="39" t="n">
        <x:f>IFERROR(G14/MAX($G$11:$G$16),0)</x:f>
        <x:v>0</x:v>
      </x:c>
      <x:c r="D23" s="37" t="str">
        <x:f>REPT("|",ROUND(C23*30,0))</x:f>
      </x:c>
      <x:c r="I23" s="37" t="str">
        <x:f>"Energie"</x:f>
        <x:v>Energie</x:v>
      </x:c>
      <x:c r="J23" s="40" t="n">
        <x:f>SUMIF('05_PROJETS_CLIMAT'!$D$5:$D$104,I23,'05_PROJETS_CLIMAT'!$P$5:$P$104)</x:f>
        <x:v>4600000000</x:v>
      </x:c>
      <x:c r="K23" s="39" t="n">
        <x:f>IFERROR(J23/MAX($J$23:$J$32),0)</x:f>
        <x:v>1</x:v>
      </x:c>
      <x:c r="L23" s="37" t="str">
        <x:f>REPT("|",ROUND(K23*30,0))</x:f>
        <x:v>||||||||||||||||||||||||||||||</x:v>
      </x:c>
    </x:row>
    <x:row r="24">
      <x:c r="A24" s="37" t="str">
        <x:f>F15</x:f>
        <x:v>AFOLU</x:v>
      </x:c>
      <x:c r="B24" s="38" t="n">
        <x:f>G15</x:f>
        <x:v>0</x:v>
      </x:c>
      <x:c r="C24" s="39" t="n">
        <x:f>IFERROR(G15/MAX($G$11:$G$16),0)</x:f>
        <x:v>0</x:v>
      </x:c>
      <x:c r="D24" s="37" t="str">
        <x:f>REPT("|",ROUND(C24*30,0))</x:f>
      </x:c>
      <x:c r="I24" s="37" t="str">
        <x:f>"Transport et mobilite"</x:f>
        <x:v>Transport et mobilite</x:v>
      </x:c>
      <x:c r="J24" s="40" t="n">
        <x:f>SUMIF('05_PROJETS_CLIMAT'!$D$5:$D$104,I24,'05_PROJETS_CLIMAT'!$P$5:$P$104)</x:f>
        <x:v>950000000</x:v>
      </x:c>
      <x:c r="K24" s="39" t="n">
        <x:f>IFERROR(J24/MAX($J$23:$J$32),0)</x:f>
        <x:v>0.20652173913043478</x:v>
      </x:c>
      <x:c r="L24" s="37" t="str">
        <x:f>REPT("|",ROUND(K24*30,0))</x:f>
        <x:v>||||||</x:v>
      </x:c>
    </x:row>
    <x:row r="25">
      <x:c r="A25" s="37" t="str">
        <x:f>F16</x:f>
        <x:v>Other Scope 3</x:v>
      </x:c>
      <x:c r="B25" s="38" t="n">
        <x:f>G16</x:f>
        <x:v>0</x:v>
      </x:c>
      <x:c r="C25" s="39" t="n">
        <x:f>IFERROR(G16/MAX($G$11:$G$16),0)</x:f>
        <x:v>0</x:v>
      </x:c>
      <x:c r="D25" s="37" t="str">
        <x:f>REPT("|",ROUND(C25*30,0))</x:f>
      </x:c>
      <x:c r="I25" s="37" t="str">
        <x:f>"Dechets"</x:f>
        <x:v>Dechets</x:v>
      </x:c>
      <x:c r="J25" s="40" t="n">
        <x:f>SUMIF('05_PROJETS_CLIMAT'!$D$5:$D$104,I25,'05_PROJETS_CLIMAT'!$P$5:$P$104)</x:f>
        <x:v>1800000000</x:v>
      </x:c>
      <x:c r="K25" s="39" t="n">
        <x:f>IFERROR(J25/MAX($J$23:$J$32),0)</x:f>
        <x:v>0.391304347826087</x:v>
      </x:c>
      <x:c r="L25" s="37" t="str">
        <x:f>REPT("|",ROUND(K25*30,0))</x:f>
        <x:v>||||||||||||</x:v>
      </x:c>
    </x:row>
    <x:row r="26">
      <x:c r="I26" s="37" t="str">
        <x:f>"Qualite de l'air"</x:f>
        <x:v>Qualite de l'air</x:v>
      </x:c>
      <x:c r="J26" s="40" t="n">
        <x:f>SUMIF('05_PROJETS_CLIMAT'!$D$5:$D$104,I26,'05_PROJETS_CLIMAT'!$P$5:$P$104)</x:f>
        <x:v>380000000</x:v>
      </x:c>
      <x:c r="K26" s="39" t="n">
        <x:f>IFERROR(J26/MAX($J$23:$J$32),0)</x:f>
        <x:v>0.08260869565217391</x:v>
      </x:c>
      <x:c r="L26" s="37" t="str">
        <x:f>REPT("|",ROUND(K26*30,0))</x:f>
        <x:v>||</x:v>
      </x:c>
    </x:row>
    <x:row r="27">
      <x:c r="I27" s="37" t="str">
        <x:f>"Batiments"</x:f>
        <x:v>Batiments</x:v>
      </x:c>
      <x:c r="J27" s="40" t="n">
        <x:f>SUMIF('05_PROJETS_CLIMAT'!$D$5:$D$104,I27,'05_PROJETS_CLIMAT'!$P$5:$P$104)</x:f>
        <x:v>0</x:v>
      </x:c>
      <x:c r="K27" s="39" t="n">
        <x:f>IFERROR(J27/MAX($J$23:$J$32),0)</x:f>
        <x:v>0</x:v>
      </x:c>
      <x:c r="L27" s="37" t="str">
        <x:f>REPT("|",ROUND(K27*30,0))</x:f>
      </x:c>
    </x:row>
    <x:row r="28">
      <x:c r="I28" s="37" t="str">
        <x:f>"Urbanisme et resilience"</x:f>
        <x:v>Urbanisme et resilience</x:v>
      </x:c>
      <x:c r="J28" s="40" t="n">
        <x:f>SUMIF('05_PROJETS_CLIMAT'!$D$5:$D$104,I28,'05_PROJETS_CLIMAT'!$P$5:$P$104)</x:f>
        <x:v>4200000000</x:v>
      </x:c>
      <x:c r="K28" s="39" t="n">
        <x:f>IFERROR(J28/MAX($J$23:$J$32),0)</x:f>
        <x:v>0.9130434782608695</x:v>
      </x:c>
      <x:c r="L28" s="37" t="str">
        <x:f>REPT("|",ROUND(K28*30,0))</x:f>
        <x:v>|||||||||||||||||||||||||||</x:v>
      </x:c>
    </x:row>
    <x:row r="29">
      <x:c r="I29" s="37" t="str">
        <x:f>"Eau et assainissement"</x:f>
        <x:v>Eau et assainissement</x:v>
      </x:c>
      <x:c r="J29" s="40" t="n">
        <x:f>SUMIF('05_PROJETS_CLIMAT'!$D$5:$D$104,I29,'05_PROJETS_CLIMAT'!$P$5:$P$104)</x:f>
        <x:v>0</x:v>
      </x:c>
      <x:c r="K29" s="39" t="n">
        <x:f>IFERROR(J29/MAX($J$23:$J$32),0)</x:f>
        <x:v>0</x:v>
      </x:c>
      <x:c r="L29" s="37" t="str">
        <x:f>REPT("|",ROUND(K29*30,0))</x:f>
      </x:c>
    </x:row>
    <x:row r="30">
      <x:c r="I30" s="37" t="str">
        <x:f>"Nature et littoral"</x:f>
        <x:v>Nature et littoral</x:v>
      </x:c>
      <x:c r="J30" s="40" t="n">
        <x:f>SUMIF('05_PROJETS_CLIMAT'!$D$5:$D$104,I30,'05_PROJETS_CLIMAT'!$P$5:$P$104)</x:f>
        <x:v>0</x:v>
      </x:c>
      <x:c r="K30" s="39" t="n">
        <x:f>IFERROR(J30/MAX($J$23:$J$32),0)</x:f>
        <x:v>0</x:v>
      </x:c>
      <x:c r="L30" s="37" t="str">
        <x:f>REPT("|",ROUND(K30*30,0))</x:f>
      </x:c>
    </x:row>
    <x:row r="31">
      <x:c r="I31" s="37" t="str">
        <x:f>"Gouvernance climat"</x:f>
        <x:v>Gouvernance climat</x:v>
      </x:c>
      <x:c r="J31" s="40" t="n">
        <x:f>SUMIF('05_PROJETS_CLIMAT'!$D$5:$D$104,I31,'05_PROJETS_CLIMAT'!$P$5:$P$104)</x:f>
        <x:v>0</x:v>
      </x:c>
      <x:c r="K31" s="39" t="n">
        <x:f>IFERROR(J31/MAX($J$23:$J$32),0)</x:f>
        <x:v>0</x:v>
      </x:c>
      <x:c r="L31" s="37" t="str">
        <x:f>REPT("|",ROUND(K31*30,0))</x:f>
      </x:c>
    </x:row>
    <x:row r="32">
      <x:c r="I32" s="37" t="str">
        <x:f>"Finance climat"</x:f>
        <x:v>Finance climat</x:v>
      </x:c>
      <x:c r="J32" s="40" t="n">
        <x:f>SUMIF('05_PROJETS_CLIMAT'!$D$5:$D$104,I32,'05_PROJETS_CLIMAT'!$P$5:$P$104)</x:f>
        <x:v>0</x:v>
      </x:c>
      <x:c r="K32" s="39" t="n">
        <x:f>IFERROR(J32/MAX($J$23:$J$32),0)</x:f>
        <x:v>0</x:v>
      </x:c>
      <x:c r="L32" s="37" t="str">
        <x:f>REPT("|",ROUND(K32*30,0))</x:f>
      </x:c>
    </x:row>
    <x:row r="38">
      <x:c r="A38" s="15" t="str">
        <x:v>Lecture rapide</x:v>
      </x:c>
      <x:c r="B38" s="15" t="str">
        <x:v>Lecture rapide</x:v>
      </x:c>
      <x:c r="C38" s="15" t="str">
        <x:v>Lecture rapide</x:v>
      </x:c>
      <x:c r="D38" s="15" t="str">
        <x:v>Lecture rapide</x:v>
      </x:c>
      <x:c r="E38" s="15" t="str">
        <x:v>Lecture rapide</x:v>
      </x:c>
      <x:c r="F38" s="15" t="str">
        <x:v>Lecture rapide</x:v>
      </x:c>
      <x:c r="G38" s="15" t="str">
        <x:v>Lecture rapide</x:v>
      </x:c>
      <x:c r="H38" s="15" t="str">
        <x:v>Lecture rapide</x:v>
      </x:c>
      <x:c r="I38" s="15" t="str">
        <x:v>Lecture rapide</x:v>
      </x:c>
      <x:c r="J38" s="15" t="str">
        <x:v>Lecture rapide</x:v>
      </x:c>
      <x:c r="K38" s="15" t="str">
        <x:v>Lecture rapide</x:v>
      </x:c>
      <x:c r="L38" s="15" t="str">
        <x:v>Lecture rapide</x:v>
      </x:c>
    </x:row>
    <x:row r="39">
      <x:c r="A39" s="43" t="str">
        <x:v>Ce tableau de bord est alimente par les onglets sources. Les indicateurs financiers, GES et alertes se recalculent automatiquement lorsque les tables de donnees sont mises a jour.</x:v>
      </x:c>
      <x:c r="B39" s="43"/>
      <x:c r="C39" s="43"/>
      <x:c r="D39" s="43"/>
      <x:c r="E39" s="43"/>
      <x:c r="F39" s="43"/>
      <x:c r="G39" s="43"/>
      <x:c r="H39" s="43"/>
      <x:c r="I39" s="43"/>
      <x:c r="J39" s="43"/>
      <x:c r="K39" s="43"/>
      <x:c r="L39" s="43"/>
    </x:row>
    <x:row r="40">
      <x:c r="A40" s="43"/>
      <x:c r="B40" s="43"/>
      <x:c r="C40" s="43"/>
      <x:c r="D40" s="43"/>
      <x:c r="E40" s="43"/>
      <x:c r="F40" s="43"/>
      <x:c r="G40" s="43"/>
      <x:c r="H40" s="43"/>
      <x:c r="I40" s="43"/>
      <x:c r="J40" s="43"/>
      <x:c r="K40" s="43"/>
      <x:c r="L40" s="43"/>
    </x:row>
    <x:row r="41">
      <x:c r="A41" s="43"/>
      <x:c r="B41" s="43"/>
      <x:c r="C41" s="43"/>
      <x:c r="D41" s="43"/>
      <x:c r="E41" s="43"/>
      <x:c r="F41" s="43"/>
      <x:c r="G41" s="43"/>
      <x:c r="H41" s="43"/>
      <x:c r="I41" s="43"/>
      <x:c r="J41" s="43"/>
      <x:c r="K41" s="43"/>
      <x:c r="L41" s="43"/>
    </x:row>
    <x:row r="42">
      <x:c r="A42" s="43"/>
      <x:c r="B42" s="43"/>
      <x:c r="C42" s="43"/>
      <x:c r="D42" s="43"/>
      <x:c r="E42" s="43"/>
      <x:c r="F42" s="43"/>
      <x:c r="G42" s="43"/>
      <x:c r="H42" s="43"/>
      <x:c r="I42" s="43"/>
      <x:c r="J42" s="43"/>
      <x:c r="K42" s="43"/>
      <x:c r="L42" s="43"/>
    </x:row>
  </x:sheetData>
  <x:mergeCells>
    <x:mergeCell ref="A1:J1"/>
    <x:mergeCell ref="A2:J2"/>
    <x:mergeCell ref="A19:D19"/>
    <x:mergeCell ref="I22:L22"/>
    <x:mergeCell ref="A38:L38"/>
    <x:mergeCell ref="A39:L42"/>
  </x:mergeCells>
  <x:conditionalFormatting sqref="A11:D16">
    <x:cfRule type="containsText" dxfId="92" priority="1" operator="containsText" text="Retard"/>
    <x:cfRule type="containsText" dxfId="93" priority="2" operator="containsText" text="critique"/>
    <x:cfRule type="containsText" dxfId="94" priority="3" operator="containsText" text="manquant"/>
    <x:cfRule type="containsText" dxfId="95" priority="4" operator="containsText" text="OK"/>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14.380000114440918" hidden="0" customWidth="1"/>
    <x:col min="4" max="4" width="18.75" hidden="0" customWidth="1"/>
    <x:col min="5" max="5" width="18.75" hidden="0" customWidth="1"/>
    <x:col min="6" max="6" width="16.25" hidden="0" customWidth="1"/>
    <x:col min="7" max="7" width="20" hidden="0" customWidth="1"/>
    <x:col min="8" max="8" width="21.25" hidden="0" customWidth="1"/>
    <x:col min="9" max="9" width="22.5" hidden="0" customWidth="1"/>
    <x:col min="10" max="10" width="15.630000114440918" hidden="0" customWidth="1"/>
    <x:col min="11" max="11" width="21.25" hidden="0" customWidth="1"/>
    <x:col min="12" max="12" width="12.5" hidden="0" customWidth="1"/>
    <x:col min="13" max="13" width="13.75" hidden="0" customWidth="1"/>
    <x:col min="14" max="14" width="14.380000114440918" hidden="0" customWidth="1"/>
    <x:col min="15" max="15" width="13.130000114440918" hidden="0" customWidth="1"/>
    <x:col min="16" max="16" width="18.1299991607666" hidden="0" customWidth="1"/>
    <x:col min="17" max="17" width="18.1299991607666" hidden="0" customWidth="1"/>
    <x:col min="18" max="18" width="18.1299991607666" hidden="0" customWidth="1"/>
    <x:col min="19" max="19" width="19.3799991607666" hidden="0" customWidth="1"/>
    <x:col min="20" max="20" width="18.75" hidden="0" customWidth="1"/>
    <x:col min="21" max="21" width="18.1299991607666" hidden="0" customWidth="1"/>
    <x:col min="22" max="22" width="14.380000114440918" hidden="0" customWidth="1"/>
    <x:col min="23" max="23" width="11.25" hidden="0" customWidth="1"/>
    <x:col min="24" max="24" width="11.25" hidden="0" customWidth="1"/>
    <x:col min="25" max="25" width="11.25" hidden="0" customWidth="1"/>
    <x:col min="26" max="26" width="11.25" hidden="0" customWidth="1"/>
    <x:col min="27" max="27" width="11.880000114440918" hidden="0" customWidth="1"/>
    <x:col min="28" max="28" width="23.75" hidden="0" customWidth="1"/>
    <x:col min="29" max="29" width="25" hidden="0" customWidth="1"/>
    <x:col min="30" max="30" width="14.380000114440918" hidden="0" customWidth="1"/>
    <x:col min="31" max="31" width="16.8799991607666" hidden="0" customWidth="1"/>
    <x:col min="32" max="32" width="19.3799991607666" hidden="0" customWidth="1"/>
    <x:col min="33" max="33" width="18.1299991607666" hidden="0" customWidth="1"/>
    <x:col min="34" max="34" width="28.75" hidden="0" customWidth="1"/>
  </x:cols>
  <x:sheetData>
    <x:row r="1" ht="25.5" customHeight="1">
      <x:c r="A1" s="2" t="str">
        <x:v>Portefeuille des projets climat</x:v>
      </x:c>
      <x:c r="B1" s="2"/>
      <x:c r="C1" s="2"/>
      <x:c r="D1" s="2"/>
      <x:c r="E1" s="2"/>
      <x:c r="F1" s="2"/>
      <x:c r="G1" s="2"/>
      <x:c r="H1" s="2"/>
      <x:c r="I1" s="2"/>
      <x:c r="J1" s="2"/>
    </x:row>
    <x:row r="2" ht="31.5" customHeight="1">
      <x:c r="A2" s="5" t="str">
        <x:v>Table maitre des projets de la Ville de Dakar avec maturite, budget, financement et alertes.</x:v>
      </x:c>
      <x:c r="B2" s="5"/>
      <x:c r="C2" s="5"/>
      <x:c r="D2" s="5"/>
      <x:c r="E2" s="5"/>
      <x:c r="F2" s="5"/>
      <x:c r="G2" s="5"/>
      <x:c r="H2" s="5"/>
      <x:c r="I2" s="5"/>
      <x:c r="J2" s="5"/>
    </x:row>
    <x:row r="4" ht="28.5" customHeight="1">
      <x:c r="A4" s="16" t="str">
        <x:v>Project_ID</x:v>
      </x:c>
      <x:c r="B4" s="16" t="str">
        <x:v>Nom_projet</x:v>
      </x:c>
      <x:c r="C4" s="16" t="str">
        <x:v>Axe_climat</x:v>
      </x:c>
      <x:c r="D4" s="16" t="str">
        <x:v>Secteur</x:v>
      </x:c>
      <x:c r="E4" s="16" t="str">
        <x:v>Sous_secteur</x:v>
      </x:c>
      <x:c r="F4" s="16" t="str">
        <x:v>Type_action</x:v>
      </x:c>
      <x:c r="G4" s="16" t="str">
        <x:v>Quartier_zone</x:v>
      </x:c>
      <x:c r="H4" s="16" t="str">
        <x:v>Service_responsable</x:v>
      </x:c>
      <x:c r="I4" s="16" t="str">
        <x:v>Partenaire_principal</x:v>
      </x:c>
      <x:c r="J4" s="16" t="str">
        <x:v>Statut</x:v>
      </x:c>
      <x:c r="K4" s="16" t="str">
        <x:v>Niveau_maturite</x:v>
      </x:c>
      <x:c r="L4" s="16" t="str">
        <x:v>Priorite</x:v>
      </x:c>
      <x:c r="M4" s="16" t="str">
        <x:v>Date_debut</x:v>
      </x:c>
      <x:c r="N4" s="16" t="str">
        <x:v>Date_fin_prevue</x:v>
      </x:c>
      <x:c r="O4" s="16" t="str">
        <x:v>Avancement_pct</x:v>
      </x:c>
      <x:c r="P4" s="16" t="str">
        <x:v>Budget_total_XOF</x:v>
      </x:c>
      <x:c r="Q4" s="16" t="str">
        <x:v>Budget_engage_XOF</x:v>
      </x:c>
      <x:c r="R4" s="16" t="str">
        <x:v>Budget_execute_XOF</x:v>
      </x:c>
      <x:c r="S4" s="16" t="str">
        <x:v>Financement_securise_XOF</x:v>
      </x:c>
      <x:c r="T4" s="16" t="str">
        <x:v>Besoin_financement_XOF</x:v>
      </x:c>
      <x:c r="U4" s="16" t="str">
        <x:v>Emissions_evitees_tCO2e_an</x:v>
      </x:c>
      <x:c r="V4" s="16" t="str">
        <x:v>Beneficiaires</x:v>
      </x:c>
      <x:c r="W4" s="16" t="str">
        <x:v>Lien_CDN</x:v>
      </x:c>
      <x:c r="X4" s="16" t="str">
        <x:v>Lien_CDP</x:v>
      </x:c>
      <x:c r="Y4" s="16" t="str">
        <x:v>Lien_C40</x:v>
      </x:c>
      <x:c r="Z4" s="16" t="str">
        <x:v>Lien_ICLEI</x:v>
      </x:c>
      <x:c r="AA4" s="16" t="str">
        <x:v>Lien_COMSSA</x:v>
      </x:c>
      <x:c r="AB4" s="16" t="str">
        <x:v>Risque_principal</x:v>
      </x:c>
      <x:c r="AC4" s="16" t="str">
        <x:v>Prochaine_etape</x:v>
      </x:c>
      <x:c r="AD4" s="16" t="str">
        <x:v>Date_prochaine_revue</x:v>
      </x:c>
      <x:c r="AE4" s="16" t="str">
        <x:v>Alerte_retard</x:v>
      </x:c>
      <x:c r="AF4" s="16" t="str">
        <x:v>Alerte_financement</x:v>
      </x:c>
      <x:c r="AG4" s="16" t="str">
        <x:v>Alerte_donnees</x:v>
      </x:c>
      <x:c r="AH4" s="16" t="str">
        <x:v>Commentaires</x:v>
      </x:c>
    </x:row>
    <x:row r="5">
      <x:c r="A5" s="18" t="str">
        <x:v>PRJ-001</x:v>
      </x:c>
      <x:c r="B5" s="18" t="str">
        <x:v>Programme solaire sur batiments municipaux</x:v>
      </x:c>
      <x:c r="C5" s="18" t="str">
        <x:v>Mitigation</x:v>
      </x:c>
      <x:c r="D5" s="18" t="str">
        <x:v>Energie</x:v>
      </x:c>
      <x:c r="E5" s="18" t="str">
        <x:v>Solaire PV</x:v>
      </x:c>
      <x:c r="F5" s="18" t="str">
        <x:v>Infrastructure</x:v>
      </x:c>
      <x:c r="G5" s="18" t="str">
        <x:v>Dakar - Ensemble ville</x:v>
      </x:c>
      <x:c r="H5" s="18" t="str">
        <x:v>Direction Energie</x:v>
      </x:c>
      <x:c r="I5" s="18" t="str">
        <x:v>SENELEC / partenaires</x:v>
      </x:c>
      <x:c r="J5" s="18" t="str">
        <x:v>En cours</x:v>
      </x:c>
      <x:c r="K5" s="18" t="str">
        <x:v>5 - En mise en oeuvre</x:v>
      </x:c>
      <x:c r="L5" s="18" t="str">
        <x:v>Haute</x:v>
      </x:c>
      <x:c r="M5" s="19" t="n">
        <x:v>45672</x:v>
      </x:c>
      <x:c r="N5" s="19" t="n">
        <x:v>46752</x:v>
      </x:c>
      <x:c r="O5" s="20" t="n">
        <x:v>0.42</x:v>
      </x:c>
      <x:c r="P5" s="21" t="n">
        <x:v>2500000000</x:v>
      </x:c>
      <x:c r="Q5" s="21" t="n">
        <x:v>900000000</x:v>
      </x:c>
      <x:c r="R5" s="21" t="n">
        <x:v>500000000</x:v>
      </x:c>
      <x:c r="S5" s="21" t="n">
        <x:v>1500000000</x:v>
      </x:c>
      <x:c r="T5" s="21" t="n">
        <x:f>IF(A5="","",MAX(0,P5-S5))</x:f>
        <x:v>1000000000</x:v>
      </x:c>
      <x:c r="U5" s="22" t="n">
        <x:v>6200</x:v>
      </x:c>
      <x:c r="V5" s="22" t="n">
        <x:v>120000</x:v>
      </x:c>
      <x:c r="W5" s="18" t="str">
        <x:v>Oui</x:v>
      </x:c>
      <x:c r="X5" s="18" t="str">
        <x:v>Oui</x:v>
      </x:c>
      <x:c r="Y5" s="18" t="str">
        <x:v>Oui</x:v>
      </x:c>
      <x:c r="Z5" s="18" t="str">
        <x:v>Oui</x:v>
      </x:c>
      <x:c r="AA5" s="18" t="str">
        <x:v>Oui</x:v>
      </x:c>
      <x:c r="AB5" s="18" t="str">
        <x:v>Raccordement et maintenance</x:v>
      </x:c>
      <x:c r="AC5" s="18" t="str">
        <x:v>Finaliser phase 2</x:v>
      </x:c>
      <x:c r="AD5" s="19" t="n">
        <x:v>46203</x:v>
      </x:c>
      <x:c r="AE5" s="18" t="str">
        <x:f>IF(A5="","",IF(AND(N5&lt;TODAY(),J5&lt;&gt;"Termine"),"Retard","OK"))</x:f>
        <x:v>OK</x:v>
      </x:c>
      <x:c r="AF5" s="18" t="str">
        <x:f>IF(A5="","",IF(P5=0,"Budget manquant",IF(S5/P5&lt;0.5,"Financement critique",IF(S5/P5&lt;0.8,"Financement partiel","OK"))))</x:f>
        <x:v>Financement partiel</x:v>
      </x:c>
      <x:c r="AG5" s="18" t="str">
        <x:f>IF(A5="","",IF(OR(B5="",D5="",J5="",P5="",H5=""),"Donnees manquantes","OK"))</x:f>
        <x:v>OK</x:v>
      </x:c>
      <x:c r="AH5" s="18" t="str"/>
    </x:row>
    <x:row r="6">
      <x:c r="A6" s="18" t="str">
        <x:v>PRJ-002</x:v>
      </x:c>
      <x:c r="B6" s="18" t="str">
        <x:v>Modernisation collecte et valorisation des dechets</x:v>
      </x:c>
      <x:c r="C6" s="18" t="str">
        <x:v>Mitigation</x:v>
      </x:c>
      <x:c r="D6" s="18" t="str">
        <x:v>Dechets</x:v>
      </x:c>
      <x:c r="E6" s="18" t="str">
        <x:v>Tri et compostage</x:v>
      </x:c>
      <x:c r="F6" s="18" t="str">
        <x:v>Programme</x:v>
      </x:c>
      <x:c r="G6" s="18" t="str">
        <x:v>Hann Bel-Air</x:v>
      </x:c>
      <x:c r="H6" s="18" t="str">
        <x:v>Direction Dechets</x:v>
      </x:c>
      <x:c r="I6" s="18" t="str">
        <x:v>UCG / ONG locales</x:v>
      </x:c>
      <x:c r="J6" s="18" t="str">
        <x:v>Finance</x:v>
      </x:c>
      <x:c r="K6" s="18" t="str">
        <x:v>4 - Pret a demarrer</x:v>
      </x:c>
      <x:c r="L6" s="18" t="str">
        <x:v>Critique</x:v>
      </x:c>
      <x:c r="M6" s="19" t="n">
        <x:v>46082</x:v>
      </x:c>
      <x:c r="N6" s="19" t="n">
        <x:v>46934</x:v>
      </x:c>
      <x:c r="O6" s="20" t="n">
        <x:v>0.18</x:v>
      </x:c>
      <x:c r="P6" s="21" t="n">
        <x:v>1800000000</x:v>
      </x:c>
      <x:c r="Q6" s="21" t="n">
        <x:v>350000000</x:v>
      </x:c>
      <x:c r="R6" s="21" t="n">
        <x:v>120000000</x:v>
      </x:c>
      <x:c r="S6" s="21" t="n">
        <x:v>700000000</x:v>
      </x:c>
      <x:c r="T6" s="21" t="n">
        <x:f>IF(A6="","",MAX(0,P6-S6))</x:f>
        <x:v>1100000000</x:v>
      </x:c>
      <x:c r="U6" s="22" t="n">
        <x:v>9400</x:v>
      </x:c>
      <x:c r="V6" s="22" t="n">
        <x:v>250000</x:v>
      </x:c>
      <x:c r="W6" s="18" t="str">
        <x:v>Oui</x:v>
      </x:c>
      <x:c r="X6" s="18" t="str">
        <x:v>Oui</x:v>
      </x:c>
      <x:c r="Y6" s="18" t="str">
        <x:v>Oui</x:v>
      </x:c>
      <x:c r="Z6" s="18" t="str">
        <x:v>Oui</x:v>
      </x:c>
      <x:c r="AA6" s="18" t="str">
        <x:v>Oui</x:v>
      </x:c>
      <x:c r="AB6" s="18" t="str">
        <x:v>Disponibilite fonciere</x:v>
      </x:c>
      <x:c r="AC6" s="18" t="str">
        <x:v>Signer conventions quartiers pilotes</x:v>
      </x:c>
      <x:c r="AD6" s="19" t="n">
        <x:v>46188</x:v>
      </x:c>
      <x:c r="AE6" s="18" t="str">
        <x:f>IF(A6="","",IF(AND(N6&lt;TODAY(),J6&lt;&gt;"Termine"),"Retard","OK"))</x:f>
        <x:v>OK</x:v>
      </x:c>
      <x:c r="AF6" s="18" t="str">
        <x:f>IF(A6="","",IF(P6=0,"Budget manquant",IF(S6/P6&lt;0.5,"Financement critique",IF(S6/P6&lt;0.8,"Financement partiel","OK"))))</x:f>
        <x:v>Financement critique</x:v>
      </x:c>
      <x:c r="AG6" s="18" t="str">
        <x:f>IF(A6="","",IF(OR(B6="",D6="",J6="",P6="",H6=""),"Donnees manquantes","OK"))</x:f>
        <x:v>OK</x:v>
      </x:c>
      <x:c r="AH6" s="18" t="str"/>
    </x:row>
    <x:row r="7">
      <x:c r="A7" s="18" t="str">
        <x:v>PRJ-003</x:v>
      </x:c>
      <x:c r="B7" s="18" t="str">
        <x:v>Couloirs de mobilite active et apaisement traffic</x:v>
      </x:c>
      <x:c r="C7" s="18" t="str">
        <x:v>Mixte</x:v>
      </x:c>
      <x:c r="D7" s="18" t="str">
        <x:v>Transport et mobilite</x:v>
      </x:c>
      <x:c r="E7" s="18" t="str">
        <x:v>Marche et velo</x:v>
      </x:c>
      <x:c r="F7" s="18" t="str">
        <x:v>Amenagement</x:v>
      </x:c>
      <x:c r="G7" s="18" t="str">
        <x:v>Medina</x:v>
      </x:c>
      <x:c r="H7" s="18" t="str">
        <x:v>Direction Mobilite</x:v>
      </x:c>
      <x:c r="I7" s="18" t="str">
        <x:v>CETUD / associations</x:v>
      </x:c>
      <x:c r="J7" s="18" t="str">
        <x:v>En preparation</x:v>
      </x:c>
      <x:c r="K7" s="18" t="str">
        <x:v>2 - Etude faisabilite</x:v>
      </x:c>
      <x:c r="L7" s="18" t="str">
        <x:v>Haute</x:v>
      </x:c>
      <x:c r="M7" s="19" t="n">
        <x:v>46054</x:v>
      </x:c>
      <x:c r="N7" s="19" t="n">
        <x:v>46660</x:v>
      </x:c>
      <x:c r="O7" s="20" t="n">
        <x:v>0.1</x:v>
      </x:c>
      <x:c r="P7" s="21" t="n">
        <x:v>950000000</x:v>
      </x:c>
      <x:c r="Q7" s="21" t="n">
        <x:v>80000000</x:v>
      </x:c>
      <x:c r="R7" s="21" t="n">
        <x:v>30000000</x:v>
      </x:c>
      <x:c r="S7" s="21" t="n">
        <x:v>180000000</x:v>
      </x:c>
      <x:c r="T7" s="21" t="n">
        <x:f>IF(A7="","",MAX(0,P7-S7))</x:f>
        <x:v>770000000</x:v>
      </x:c>
      <x:c r="U7" s="22" t="n">
        <x:v>3100</x:v>
      </x:c>
      <x:c r="V7" s="22" t="n">
        <x:v>180000</x:v>
      </x:c>
      <x:c r="W7" s="18" t="str">
        <x:v>Partiel</x:v>
      </x:c>
      <x:c r="X7" s="18" t="str">
        <x:v>Oui</x:v>
      </x:c>
      <x:c r="Y7" s="18" t="str">
        <x:v>Oui</x:v>
      </x:c>
      <x:c r="Z7" s="18" t="str">
        <x:v>Oui</x:v>
      </x:c>
      <x:c r="AA7" s="18" t="str">
        <x:v>Partiel</x:v>
      </x:c>
      <x:c r="AB7" s="18" t="str">
        <x:v>Acceptabilite locale</x:v>
      </x:c>
      <x:c r="AC7" s="18" t="str">
        <x:v>Lancer etudes APS</x:v>
      </x:c>
      <x:c r="AD7" s="19" t="n">
        <x:v>46162</x:v>
      </x:c>
      <x:c r="AE7" s="18" t="str">
        <x:f>IF(A7="","",IF(AND(N7&lt;TODAY(),J7&lt;&gt;"Termine"),"Retard","OK"))</x:f>
        <x:v>OK</x:v>
      </x:c>
      <x:c r="AF7" s="18" t="str">
        <x:f>IF(A7="","",IF(P7=0,"Budget manquant",IF(S7/P7&lt;0.5,"Financement critique",IF(S7/P7&lt;0.8,"Financement partiel","OK"))))</x:f>
        <x:v>Financement critique</x:v>
      </x:c>
      <x:c r="AG7" s="18" t="str">
        <x:f>IF(A7="","",IF(OR(B7="",D7="",J7="",P7="",H7=""),"Donnees manquantes","OK"))</x:f>
        <x:v>OK</x:v>
      </x:c>
      <x:c r="AH7" s="18" t="str"/>
    </x:row>
    <x:row r="8">
      <x:c r="A8" s="18" t="str">
        <x:v>PRJ-004</x:v>
      </x:c>
      <x:c r="B8" s="18" t="str">
        <x:v>Resilience littorale et drainage urbain</x:v>
      </x:c>
      <x:c r="C8" s="18" t="str">
        <x:v>Adaptation</x:v>
      </x:c>
      <x:c r="D8" s="18" t="str">
        <x:v>Urbanisme et resilience</x:v>
      </x:c>
      <x:c r="E8" s="18" t="str">
        <x:v>Inondations et littoral</x:v>
      </x:c>
      <x:c r="F8" s="18" t="str">
        <x:v>Infrastructure</x:v>
      </x:c>
      <x:c r="G8" s="18" t="str">
        <x:v>Yoff</x:v>
      </x:c>
      <x:c r="H8" s="18" t="str">
        <x:v>Direction Assainissement</x:v>
      </x:c>
      <x:c r="I8" s="18" t="str">
        <x:v>ONAS / Etat</x:v>
      </x:c>
      <x:c r="J8" s="18" t="str">
        <x:v>En validation</x:v>
      </x:c>
      <x:c r="K8" s="18" t="str">
        <x:v>3 - Montage financier</x:v>
      </x:c>
      <x:c r="L8" s="18" t="str">
        <x:v>Critique</x:v>
      </x:c>
      <x:c r="M8" s="19" t="n">
        <x:v>45901</x:v>
      </x:c>
      <x:c r="N8" s="19" t="n">
        <x:v>47483</x:v>
      </x:c>
      <x:c r="O8" s="20" t="n">
        <x:v>0.22</x:v>
      </x:c>
      <x:c r="P8" s="21" t="n">
        <x:v>4200000000</x:v>
      </x:c>
      <x:c r="Q8" s="21" t="n">
        <x:v>500000000</x:v>
      </x:c>
      <x:c r="R8" s="21" t="n">
        <x:v>150000000</x:v>
      </x:c>
      <x:c r="S8" s="21" t="n">
        <x:v>1000000000</x:v>
      </x:c>
      <x:c r="T8" s="21" t="n">
        <x:f>IF(A8="","",MAX(0,P8-S8))</x:f>
        <x:v>3200000000</x:v>
      </x:c>
      <x:c r="U8" s="22" t="n">
        <x:v>0</x:v>
      </x:c>
      <x:c r="V8" s="22" t="n">
        <x:v>90000</x:v>
      </x:c>
      <x:c r="W8" s="18" t="str">
        <x:v>Oui</x:v>
      </x:c>
      <x:c r="X8" s="18" t="str">
        <x:v>Oui</x:v>
      </x:c>
      <x:c r="Y8" s="18" t="str">
        <x:v>Oui</x:v>
      </x:c>
      <x:c r="Z8" s="18" t="str">
        <x:v>Partiel</x:v>
      </x:c>
      <x:c r="AA8" s="18" t="str">
        <x:v>Oui</x:v>
      </x:c>
      <x:c r="AB8" s="18" t="str">
        <x:v>Financement lourd</x:v>
      </x:c>
      <x:c r="AC8" s="18" t="str">
        <x:v>Boucler dossier bailleurs</x:v>
      </x:c>
      <x:c r="AD8" s="19" t="n">
        <x:v>46213</x:v>
      </x:c>
      <x:c r="AE8" s="18" t="str">
        <x:f>IF(A8="","",IF(AND(N8&lt;TODAY(),J8&lt;&gt;"Termine"),"Retard","OK"))</x:f>
        <x:v>OK</x:v>
      </x:c>
      <x:c r="AF8" s="18" t="str">
        <x:f>IF(A8="","",IF(P8=0,"Budget manquant",IF(S8/P8&lt;0.5,"Financement critique",IF(S8/P8&lt;0.8,"Financement partiel","OK"))))</x:f>
        <x:v>Financement critique</x:v>
      </x:c>
      <x:c r="AG8" s="18" t="str">
        <x:f>IF(A8="","",IF(OR(B8="",D8="",J8="",P8="",H8=""),"Donnees manquantes","OK"))</x:f>
        <x:v>OK</x:v>
      </x:c>
      <x:c r="AH8" s="18" t="str"/>
    </x:row>
    <x:row r="9">
      <x:c r="A9" s="18" t="str">
        <x:v>PRJ-005</x:v>
      </x:c>
      <x:c r="B9" s="18" t="str">
        <x:v>Reseau de capteurs qualite de l'air</x:v>
      </x:c>
      <x:c r="C9" s="18" t="str">
        <x:v>MRV</x:v>
      </x:c>
      <x:c r="D9" s="18" t="str">
        <x:v>Qualite de l'air</x:v>
      </x:c>
      <x:c r="E9" s="18" t="str">
        <x:v>Mesure PM2.5/NO2</x:v>
      </x:c>
      <x:c r="F9" s="18" t="str">
        <x:v>Systeme de donnees</x:v>
      </x:c>
      <x:c r="G9" s="18" t="str">
        <x:v>Plateau</x:v>
      </x:c>
      <x:c r="H9" s="18" t="str">
        <x:v>Direction Environnement</x:v>
      </x:c>
      <x:c r="I9" s="18" t="str">
        <x:v>Universite / startups</x:v>
      </x:c>
      <x:c r="J9" s="18" t="str">
        <x:v>En cours</x:v>
      </x:c>
      <x:c r="K9" s="18" t="str">
        <x:v>5 - En mise en oeuvre</x:v>
      </x:c>
      <x:c r="L9" s="18" t="str">
        <x:v>Moyenne</x:v>
      </x:c>
      <x:c r="M9" s="19" t="n">
        <x:v>45809</x:v>
      </x:c>
      <x:c r="N9" s="19" t="n">
        <x:v>46387</x:v>
      </x:c>
      <x:c r="O9" s="20" t="n">
        <x:v>0.55</x:v>
      </x:c>
      <x:c r="P9" s="21" t="n">
        <x:v>380000000</x:v>
      </x:c>
      <x:c r="Q9" s="21" t="n">
        <x:v>180000000</x:v>
      </x:c>
      <x:c r="R9" s="21" t="n">
        <x:v>110000000</x:v>
      </x:c>
      <x:c r="S9" s="21" t="n">
        <x:v>260000000</x:v>
      </x:c>
      <x:c r="T9" s="21" t="n">
        <x:f>IF(A9="","",MAX(0,P9-S9))</x:f>
        <x:v>120000000</x:v>
      </x:c>
      <x:c r="U9" s="22" t="n">
        <x:v>0</x:v>
      </x:c>
      <x:c r="V9" s="22" t="n">
        <x:v>1100000</x:v>
      </x:c>
      <x:c r="W9" s="18" t="str">
        <x:v>Partiel</x:v>
      </x:c>
      <x:c r="X9" s="18" t="str">
        <x:v>Oui</x:v>
      </x:c>
      <x:c r="Y9" s="18" t="str">
        <x:v>Oui</x:v>
      </x:c>
      <x:c r="Z9" s="18" t="str">
        <x:v>Partiel</x:v>
      </x:c>
      <x:c r="AA9" s="18" t="str">
        <x:v>Partiel</x:v>
      </x:c>
      <x:c r="AB9" s="18" t="str">
        <x:v>Calibration capteurs</x:v>
      </x:c>
      <x:c r="AC9" s="18" t="str">
        <x:v>Publier tableau mensuel</x:v>
      </x:c>
      <x:c r="AD9" s="19" t="n">
        <x:v>46178</x:v>
      </x:c>
      <x:c r="AE9" s="18" t="str">
        <x:f>IF(A9="","",IF(AND(N9&lt;TODAY(),J9&lt;&gt;"Termine"),"Retard","OK"))</x:f>
        <x:v>OK</x:v>
      </x:c>
      <x:c r="AF9" s="18" t="str">
        <x:f>IF(A9="","",IF(P9=0,"Budget manquant",IF(S9/P9&lt;0.5,"Financement critique",IF(S9/P9&lt;0.8,"Financement partiel","OK"))))</x:f>
        <x:v>Financement partiel</x:v>
      </x:c>
      <x:c r="AG9" s="18" t="str">
        <x:f>IF(A9="","",IF(OR(B9="",D9="",J9="",P9="",H9=""),"Donnees manquantes","OK"))</x:f>
        <x:v>OK</x:v>
      </x:c>
      <x:c r="AH9" s="18" t="str"/>
    </x:row>
    <x:row r="10">
      <x:c r="A10" s="18" t="str">
        <x:v>PRJ-006</x:v>
      </x:c>
      <x:c r="B10" s="18" t="str">
        <x:v>Eclairage public LED intelligent</x:v>
      </x:c>
      <x:c r="C10" s="18" t="str">
        <x:v>Mitigation</x:v>
      </x:c>
      <x:c r="D10" s="18" t="str">
        <x:v>Energie</x:v>
      </x:c>
      <x:c r="E10" s="18" t="str">
        <x:v>Efficacite energetique</x:v>
      </x:c>
      <x:c r="F10" s="18" t="str">
        <x:v>Infrastructure</x:v>
      </x:c>
      <x:c r="G10" s="18" t="str">
        <x:v>Grand Dakar</x:v>
      </x:c>
      <x:c r="H10" s="18" t="str">
        <x:v>Direction Energie</x:v>
      </x:c>
      <x:c r="I10" s="18" t="str">
        <x:v>ESCO / bailleur</x:v>
      </x:c>
      <x:c r="J10" s="18" t="str">
        <x:v>Idee</x:v>
      </x:c>
      <x:c r="K10" s="18" t="str">
        <x:v>1 - Cadrage</x:v>
      </x:c>
      <x:c r="L10" s="18" t="str">
        <x:v>Moyenne</x:v>
      </x:c>
      <x:c r="M10" s="19" t="n">
        <x:v>46174</x:v>
      </x:c>
      <x:c r="N10" s="19" t="n">
        <x:v>47118</x:v>
      </x:c>
      <x:c r="O10" s="20" t="n">
        <x:v>0.02</x:v>
      </x:c>
      <x:c r="P10" s="21" t="n">
        <x:v>2100000000</x:v>
      </x:c>
      <x:c r="Q10" s="21" t="n">
        <x:v>0</x:v>
      </x:c>
      <x:c r="R10" s="21" t="n">
        <x:v>0</x:v>
      </x:c>
      <x:c r="S10" s="21" t="n">
        <x:v>0</x:v>
      </x:c>
      <x:c r="T10" s="21" t="n">
        <x:f>IF(A10="","",MAX(0,P10-S10))</x:f>
        <x:v>2100000000</x:v>
      </x:c>
      <x:c r="U10" s="22" t="n">
        <x:v>5200</x:v>
      </x:c>
      <x:c r="V10" s="22" t="n">
        <x:v>350000</x:v>
      </x:c>
      <x:c r="W10" s="18" t="str">
        <x:v>Oui</x:v>
      </x:c>
      <x:c r="X10" s="18" t="str">
        <x:v>Oui</x:v>
      </x:c>
      <x:c r="Y10" s="18" t="str">
        <x:v>Oui</x:v>
      </x:c>
      <x:c r="Z10" s="18" t="str">
        <x:v>Oui</x:v>
      </x:c>
      <x:c r="AA10" s="18" t="str">
        <x:v>Oui</x:v>
      </x:c>
      <x:c r="AB10" s="18" t="str">
        <x:v>Modele economique</x:v>
      </x:c>
      <x:c r="AC10" s="18" t="str">
        <x:v>Cadrer PPP</x:v>
      </x:c>
      <x:c r="AD10" s="19" t="n">
        <x:v>46203</x:v>
      </x:c>
      <x:c r="AE10" s="18" t="str">
        <x:f>IF(A10="","",IF(AND(N10&lt;TODAY(),J10&lt;&gt;"Termine"),"Retard","OK"))</x:f>
        <x:v>OK</x:v>
      </x:c>
      <x:c r="AF10" s="18" t="str">
        <x:f>IF(A10="","",IF(P10=0,"Budget manquant",IF(S10/P10&lt;0.5,"Financement critique",IF(S10/P10&lt;0.8,"Financement partiel","OK"))))</x:f>
        <x:v>Financement critique</x:v>
      </x:c>
      <x:c r="AG10" s="18" t="str">
        <x:f>IF(A10="","",IF(OR(B10="",D10="",J10="",P10="",H10=""),"Donnees manquantes","OK"))</x:f>
        <x:v>OK</x:v>
      </x:c>
      <x:c r="AH10" s="18" t="str"/>
    </x:row>
    <x:row r="11">
      <x:c r="A11" s="18"/>
      <x:c r="B11" s="18"/>
      <x:c r="C11" s="18"/>
      <x:c r="D11" s="18"/>
      <x:c r="E11" s="18"/>
      <x:c r="F11" s="18"/>
      <x:c r="G11" s="18"/>
      <x:c r="H11" s="18"/>
      <x:c r="I11" s="18"/>
      <x:c r="J11" s="18"/>
      <x:c r="K11" s="18"/>
      <x:c r="L11" s="18"/>
      <x:c r="M11" s="19"/>
      <x:c r="N11" s="19"/>
      <x:c r="O11" s="20"/>
      <x:c r="P11" s="21"/>
      <x:c r="Q11" s="21"/>
      <x:c r="R11" s="21"/>
      <x:c r="S11" s="21"/>
      <x:c r="T11" s="21" t="str">
        <x:f>IF(A11="","",MAX(0,P11-S11))</x:f>
      </x:c>
      <x:c r="U11" s="22"/>
      <x:c r="V11" s="22"/>
      <x:c r="W11" s="18"/>
      <x:c r="X11" s="18"/>
      <x:c r="Y11" s="18"/>
      <x:c r="Z11" s="18"/>
      <x:c r="AA11" s="18"/>
      <x:c r="AB11" s="18"/>
      <x:c r="AC11" s="18"/>
      <x:c r="AD11" s="19"/>
      <x:c r="AE11" s="18" t="str">
        <x:f>IF(A11="","",IF(AND(N11&lt;TODAY(),J11&lt;&gt;"Termine"),"Retard","OK"))</x:f>
      </x:c>
      <x:c r="AF11" s="18" t="str">
        <x:f>IF(A11="","",IF(P11=0,"Budget manquant",IF(S11/P11&lt;0.5,"Financement critique",IF(S11/P11&lt;0.8,"Financement partiel","OK"))))</x:f>
      </x:c>
      <x:c r="AG11" s="18" t="str">
        <x:f>IF(A11="","",IF(OR(B11="",D11="",J11="",P11="",H11=""),"Donnees manquantes","OK"))</x:f>
      </x:c>
      <x:c r="AH11" s="18"/>
    </x:row>
    <x:row r="12">
      <x:c r="A12" s="18"/>
      <x:c r="B12" s="18"/>
      <x:c r="C12" s="18"/>
      <x:c r="D12" s="18"/>
      <x:c r="E12" s="18"/>
      <x:c r="F12" s="18"/>
      <x:c r="G12" s="18"/>
      <x:c r="H12" s="18"/>
      <x:c r="I12" s="18"/>
      <x:c r="J12" s="18"/>
      <x:c r="K12" s="18"/>
      <x:c r="L12" s="18"/>
      <x:c r="M12" s="19"/>
      <x:c r="N12" s="19"/>
      <x:c r="O12" s="20"/>
      <x:c r="P12" s="21"/>
      <x:c r="Q12" s="21"/>
      <x:c r="R12" s="21"/>
      <x:c r="S12" s="21"/>
      <x:c r="T12" s="21" t="str">
        <x:f>IF(A12="","",MAX(0,P12-S12))</x:f>
      </x:c>
      <x:c r="U12" s="22"/>
      <x:c r="V12" s="22"/>
      <x:c r="W12" s="18"/>
      <x:c r="X12" s="18"/>
      <x:c r="Y12" s="18"/>
      <x:c r="Z12" s="18"/>
      <x:c r="AA12" s="18"/>
      <x:c r="AB12" s="18"/>
      <x:c r="AC12" s="18"/>
      <x:c r="AD12" s="19"/>
      <x:c r="AE12" s="18" t="str">
        <x:f>IF(A12="","",IF(AND(N12&lt;TODAY(),J12&lt;&gt;"Termine"),"Retard","OK"))</x:f>
      </x:c>
      <x:c r="AF12" s="18" t="str">
        <x:f>IF(A12="","",IF(P12=0,"Budget manquant",IF(S12/P12&lt;0.5,"Financement critique",IF(S12/P12&lt;0.8,"Financement partiel","OK"))))</x:f>
      </x:c>
      <x:c r="AG12" s="18" t="str">
        <x:f>IF(A12="","",IF(OR(B12="",D12="",J12="",P12="",H12=""),"Donnees manquantes","OK"))</x:f>
      </x:c>
      <x:c r="AH12" s="18"/>
    </x:row>
    <x:row r="13">
      <x:c r="A13" s="18"/>
      <x:c r="B13" s="18"/>
      <x:c r="C13" s="18"/>
      <x:c r="D13" s="18"/>
      <x:c r="E13" s="18"/>
      <x:c r="F13" s="18"/>
      <x:c r="G13" s="18"/>
      <x:c r="H13" s="18"/>
      <x:c r="I13" s="18"/>
      <x:c r="J13" s="18"/>
      <x:c r="K13" s="18"/>
      <x:c r="L13" s="18"/>
      <x:c r="M13" s="19"/>
      <x:c r="N13" s="19"/>
      <x:c r="O13" s="20"/>
      <x:c r="P13" s="21"/>
      <x:c r="Q13" s="21"/>
      <x:c r="R13" s="21"/>
      <x:c r="S13" s="21"/>
      <x:c r="T13" s="21" t="str">
        <x:f>IF(A13="","",MAX(0,P13-S13))</x:f>
      </x:c>
      <x:c r="U13" s="22"/>
      <x:c r="V13" s="22"/>
      <x:c r="W13" s="18"/>
      <x:c r="X13" s="18"/>
      <x:c r="Y13" s="18"/>
      <x:c r="Z13" s="18"/>
      <x:c r="AA13" s="18"/>
      <x:c r="AB13" s="18"/>
      <x:c r="AC13" s="18"/>
      <x:c r="AD13" s="19"/>
      <x:c r="AE13" s="18" t="str">
        <x:f>IF(A13="","",IF(AND(N13&lt;TODAY(),J13&lt;&gt;"Termine"),"Retard","OK"))</x:f>
      </x:c>
      <x:c r="AF13" s="18" t="str">
        <x:f>IF(A13="","",IF(P13=0,"Budget manquant",IF(S13/P13&lt;0.5,"Financement critique",IF(S13/P13&lt;0.8,"Financement partiel","OK"))))</x:f>
      </x:c>
      <x:c r="AG13" s="18" t="str">
        <x:f>IF(A13="","",IF(OR(B13="",D13="",J13="",P13="",H13=""),"Donnees manquantes","OK"))</x:f>
      </x:c>
      <x:c r="AH13" s="18"/>
    </x:row>
    <x:row r="14">
      <x:c r="A14" s="18"/>
      <x:c r="B14" s="18"/>
      <x:c r="C14" s="18"/>
      <x:c r="D14" s="18"/>
      <x:c r="E14" s="18"/>
      <x:c r="F14" s="18"/>
      <x:c r="G14" s="18"/>
      <x:c r="H14" s="18"/>
      <x:c r="I14" s="18"/>
      <x:c r="J14" s="18"/>
      <x:c r="K14" s="18"/>
      <x:c r="L14" s="18"/>
      <x:c r="M14" s="19"/>
      <x:c r="N14" s="19"/>
      <x:c r="O14" s="20"/>
      <x:c r="P14" s="21"/>
      <x:c r="Q14" s="21"/>
      <x:c r="R14" s="21"/>
      <x:c r="S14" s="21"/>
      <x:c r="T14" s="21" t="str">
        <x:f>IF(A14="","",MAX(0,P14-S14))</x:f>
      </x:c>
      <x:c r="U14" s="22"/>
      <x:c r="V14" s="22"/>
      <x:c r="W14" s="18"/>
      <x:c r="X14" s="18"/>
      <x:c r="Y14" s="18"/>
      <x:c r="Z14" s="18"/>
      <x:c r="AA14" s="18"/>
      <x:c r="AB14" s="18"/>
      <x:c r="AC14" s="18"/>
      <x:c r="AD14" s="19"/>
      <x:c r="AE14" s="18" t="str">
        <x:f>IF(A14="","",IF(AND(N14&lt;TODAY(),J14&lt;&gt;"Termine"),"Retard","OK"))</x:f>
      </x:c>
      <x:c r="AF14" s="18" t="str">
        <x:f>IF(A14="","",IF(P14=0,"Budget manquant",IF(S14/P14&lt;0.5,"Financement critique",IF(S14/P14&lt;0.8,"Financement partiel","OK"))))</x:f>
      </x:c>
      <x:c r="AG14" s="18" t="str">
        <x:f>IF(A14="","",IF(OR(B14="",D14="",J14="",P14="",H14=""),"Donnees manquantes","OK"))</x:f>
      </x:c>
      <x:c r="AH14" s="18"/>
    </x:row>
    <x:row r="15">
      <x:c r="A15" s="18"/>
      <x:c r="B15" s="18"/>
      <x:c r="C15" s="18"/>
      <x:c r="D15" s="18"/>
      <x:c r="E15" s="18"/>
      <x:c r="F15" s="18"/>
      <x:c r="G15" s="18"/>
      <x:c r="H15" s="18"/>
      <x:c r="I15" s="18"/>
      <x:c r="J15" s="18"/>
      <x:c r="K15" s="18"/>
      <x:c r="L15" s="18"/>
      <x:c r="M15" s="19"/>
      <x:c r="N15" s="19"/>
      <x:c r="O15" s="20"/>
      <x:c r="P15" s="21"/>
      <x:c r="Q15" s="21"/>
      <x:c r="R15" s="21"/>
      <x:c r="S15" s="21"/>
      <x:c r="T15" s="21" t="str">
        <x:f>IF(A15="","",MAX(0,P15-S15))</x:f>
      </x:c>
      <x:c r="U15" s="22"/>
      <x:c r="V15" s="22"/>
      <x:c r="W15" s="18"/>
      <x:c r="X15" s="18"/>
      <x:c r="Y15" s="18"/>
      <x:c r="Z15" s="18"/>
      <x:c r="AA15" s="18"/>
      <x:c r="AB15" s="18"/>
      <x:c r="AC15" s="18"/>
      <x:c r="AD15" s="19"/>
      <x:c r="AE15" s="18" t="str">
        <x:f>IF(A15="","",IF(AND(N15&lt;TODAY(),J15&lt;&gt;"Termine"),"Retard","OK"))</x:f>
      </x:c>
      <x:c r="AF15" s="18" t="str">
        <x:f>IF(A15="","",IF(P15=0,"Budget manquant",IF(S15/P15&lt;0.5,"Financement critique",IF(S15/P15&lt;0.8,"Financement partiel","OK"))))</x:f>
      </x:c>
      <x:c r="AG15" s="18" t="str">
        <x:f>IF(A15="","",IF(OR(B15="",D15="",J15="",P15="",H15=""),"Donnees manquantes","OK"))</x:f>
      </x:c>
      <x:c r="AH15" s="18"/>
    </x:row>
    <x:row r="16">
      <x:c r="A16" s="18"/>
      <x:c r="B16" s="18"/>
      <x:c r="C16" s="18"/>
      <x:c r="D16" s="18"/>
      <x:c r="E16" s="18"/>
      <x:c r="F16" s="18"/>
      <x:c r="G16" s="18"/>
      <x:c r="H16" s="18"/>
      <x:c r="I16" s="18"/>
      <x:c r="J16" s="18"/>
      <x:c r="K16" s="18"/>
      <x:c r="L16" s="18"/>
      <x:c r="M16" s="19"/>
      <x:c r="N16" s="19"/>
      <x:c r="O16" s="20"/>
      <x:c r="P16" s="21"/>
      <x:c r="Q16" s="21"/>
      <x:c r="R16" s="21"/>
      <x:c r="S16" s="21"/>
      <x:c r="T16" s="21" t="str">
        <x:f>IF(A16="","",MAX(0,P16-S16))</x:f>
      </x:c>
      <x:c r="U16" s="22"/>
      <x:c r="V16" s="22"/>
      <x:c r="W16" s="18"/>
      <x:c r="X16" s="18"/>
      <x:c r="Y16" s="18"/>
      <x:c r="Z16" s="18"/>
      <x:c r="AA16" s="18"/>
      <x:c r="AB16" s="18"/>
      <x:c r="AC16" s="18"/>
      <x:c r="AD16" s="19"/>
      <x:c r="AE16" s="18" t="str">
        <x:f>IF(A16="","",IF(AND(N16&lt;TODAY(),J16&lt;&gt;"Termine"),"Retard","OK"))</x:f>
      </x:c>
      <x:c r="AF16" s="18" t="str">
        <x:f>IF(A16="","",IF(P16=0,"Budget manquant",IF(S16/P16&lt;0.5,"Financement critique",IF(S16/P16&lt;0.8,"Financement partiel","OK"))))</x:f>
      </x:c>
      <x:c r="AG16" s="18" t="str">
        <x:f>IF(A16="","",IF(OR(B16="",D16="",J16="",P16="",H16=""),"Donnees manquantes","OK"))</x:f>
      </x:c>
      <x:c r="AH16" s="18"/>
    </x:row>
    <x:row r="17">
      <x:c r="A17" s="18"/>
      <x:c r="B17" s="18"/>
      <x:c r="C17" s="18"/>
      <x:c r="D17" s="18"/>
      <x:c r="E17" s="18"/>
      <x:c r="F17" s="18"/>
      <x:c r="G17" s="18"/>
      <x:c r="H17" s="18"/>
      <x:c r="I17" s="18"/>
      <x:c r="J17" s="18"/>
      <x:c r="K17" s="18"/>
      <x:c r="L17" s="18"/>
      <x:c r="M17" s="19"/>
      <x:c r="N17" s="19"/>
      <x:c r="O17" s="20"/>
      <x:c r="P17" s="21"/>
      <x:c r="Q17" s="21"/>
      <x:c r="R17" s="21"/>
      <x:c r="S17" s="21"/>
      <x:c r="T17" s="21" t="str">
        <x:f>IF(A17="","",MAX(0,P17-S17))</x:f>
      </x:c>
      <x:c r="U17" s="22"/>
      <x:c r="V17" s="22"/>
      <x:c r="W17" s="18"/>
      <x:c r="X17" s="18"/>
      <x:c r="Y17" s="18"/>
      <x:c r="Z17" s="18"/>
      <x:c r="AA17" s="18"/>
      <x:c r="AB17" s="18"/>
      <x:c r="AC17" s="18"/>
      <x:c r="AD17" s="19"/>
      <x:c r="AE17" s="18" t="str">
        <x:f>IF(A17="","",IF(AND(N17&lt;TODAY(),J17&lt;&gt;"Termine"),"Retard","OK"))</x:f>
      </x:c>
      <x:c r="AF17" s="18" t="str">
        <x:f>IF(A17="","",IF(P17=0,"Budget manquant",IF(S17/P17&lt;0.5,"Financement critique",IF(S17/P17&lt;0.8,"Financement partiel","OK"))))</x:f>
      </x:c>
      <x:c r="AG17" s="18" t="str">
        <x:f>IF(A17="","",IF(OR(B17="",D17="",J17="",P17="",H17=""),"Donnees manquantes","OK"))</x:f>
      </x:c>
      <x:c r="AH17" s="18"/>
    </x:row>
    <x:row r="18">
      <x:c r="A18" s="18"/>
      <x:c r="B18" s="18"/>
      <x:c r="C18" s="18"/>
      <x:c r="D18" s="18"/>
      <x:c r="E18" s="18"/>
      <x:c r="F18" s="18"/>
      <x:c r="G18" s="18"/>
      <x:c r="H18" s="18"/>
      <x:c r="I18" s="18"/>
      <x:c r="J18" s="18"/>
      <x:c r="K18" s="18"/>
      <x:c r="L18" s="18"/>
      <x:c r="M18" s="19"/>
      <x:c r="N18" s="19"/>
      <x:c r="O18" s="20"/>
      <x:c r="P18" s="21"/>
      <x:c r="Q18" s="21"/>
      <x:c r="R18" s="21"/>
      <x:c r="S18" s="21"/>
      <x:c r="T18" s="21" t="str">
        <x:f>IF(A18="","",MAX(0,P18-S18))</x:f>
      </x:c>
      <x:c r="U18" s="22"/>
      <x:c r="V18" s="22"/>
      <x:c r="W18" s="18"/>
      <x:c r="X18" s="18"/>
      <x:c r="Y18" s="18"/>
      <x:c r="Z18" s="18"/>
      <x:c r="AA18" s="18"/>
      <x:c r="AB18" s="18"/>
      <x:c r="AC18" s="18"/>
      <x:c r="AD18" s="19"/>
      <x:c r="AE18" s="18" t="str">
        <x:f>IF(A18="","",IF(AND(N18&lt;TODAY(),J18&lt;&gt;"Termine"),"Retard","OK"))</x:f>
      </x:c>
      <x:c r="AF18" s="18" t="str">
        <x:f>IF(A18="","",IF(P18=0,"Budget manquant",IF(S18/P18&lt;0.5,"Financement critique",IF(S18/P18&lt;0.8,"Financement partiel","OK"))))</x:f>
      </x:c>
      <x:c r="AG18" s="18" t="str">
        <x:f>IF(A18="","",IF(OR(B18="",D18="",J18="",P18="",H18=""),"Donnees manquantes","OK"))</x:f>
      </x:c>
      <x:c r="AH18" s="18"/>
    </x:row>
    <x:row r="19">
      <x:c r="A19" s="18"/>
      <x:c r="B19" s="18"/>
      <x:c r="C19" s="18"/>
      <x:c r="D19" s="18"/>
      <x:c r="E19" s="18"/>
      <x:c r="F19" s="18"/>
      <x:c r="G19" s="18"/>
      <x:c r="H19" s="18"/>
      <x:c r="I19" s="18"/>
      <x:c r="J19" s="18"/>
      <x:c r="K19" s="18"/>
      <x:c r="L19" s="18"/>
      <x:c r="M19" s="19"/>
      <x:c r="N19" s="19"/>
      <x:c r="O19" s="20"/>
      <x:c r="P19" s="21"/>
      <x:c r="Q19" s="21"/>
      <x:c r="R19" s="21"/>
      <x:c r="S19" s="21"/>
      <x:c r="T19" s="21" t="str">
        <x:f>IF(A19="","",MAX(0,P19-S19))</x:f>
      </x:c>
      <x:c r="U19" s="22"/>
      <x:c r="V19" s="22"/>
      <x:c r="W19" s="18"/>
      <x:c r="X19" s="18"/>
      <x:c r="Y19" s="18"/>
      <x:c r="Z19" s="18"/>
      <x:c r="AA19" s="18"/>
      <x:c r="AB19" s="18"/>
      <x:c r="AC19" s="18"/>
      <x:c r="AD19" s="19"/>
      <x:c r="AE19" s="18" t="str">
        <x:f>IF(A19="","",IF(AND(N19&lt;TODAY(),J19&lt;&gt;"Termine"),"Retard","OK"))</x:f>
      </x:c>
      <x:c r="AF19" s="18" t="str">
        <x:f>IF(A19="","",IF(P19=0,"Budget manquant",IF(S19/P19&lt;0.5,"Financement critique",IF(S19/P19&lt;0.8,"Financement partiel","OK"))))</x:f>
      </x:c>
      <x:c r="AG19" s="18" t="str">
        <x:f>IF(A19="","",IF(OR(B19="",D19="",J19="",P19="",H19=""),"Donnees manquantes","OK"))</x:f>
      </x:c>
      <x:c r="AH19" s="18"/>
    </x:row>
    <x:row r="20">
      <x:c r="A20" s="18"/>
      <x:c r="B20" s="18"/>
      <x:c r="C20" s="18"/>
      <x:c r="D20" s="18"/>
      <x:c r="E20" s="18"/>
      <x:c r="F20" s="18"/>
      <x:c r="G20" s="18"/>
      <x:c r="H20" s="18"/>
      <x:c r="I20" s="18"/>
      <x:c r="J20" s="18"/>
      <x:c r="K20" s="18"/>
      <x:c r="L20" s="18"/>
      <x:c r="M20" s="19"/>
      <x:c r="N20" s="19"/>
      <x:c r="O20" s="20"/>
      <x:c r="P20" s="21"/>
      <x:c r="Q20" s="21"/>
      <x:c r="R20" s="21"/>
      <x:c r="S20" s="21"/>
      <x:c r="T20" s="21" t="str">
        <x:f>IF(A20="","",MAX(0,P20-S20))</x:f>
      </x:c>
      <x:c r="U20" s="22"/>
      <x:c r="V20" s="22"/>
      <x:c r="W20" s="18"/>
      <x:c r="X20" s="18"/>
      <x:c r="Y20" s="18"/>
      <x:c r="Z20" s="18"/>
      <x:c r="AA20" s="18"/>
      <x:c r="AB20" s="18"/>
      <x:c r="AC20" s="18"/>
      <x:c r="AD20" s="19"/>
      <x:c r="AE20" s="18" t="str">
        <x:f>IF(A20="","",IF(AND(N20&lt;TODAY(),J20&lt;&gt;"Termine"),"Retard","OK"))</x:f>
      </x:c>
      <x:c r="AF20" s="18" t="str">
        <x:f>IF(A20="","",IF(P20=0,"Budget manquant",IF(S20/P20&lt;0.5,"Financement critique",IF(S20/P20&lt;0.8,"Financement partiel","OK"))))</x:f>
      </x:c>
      <x:c r="AG20" s="18" t="str">
        <x:f>IF(A20="","",IF(OR(B20="",D20="",J20="",P20="",H20=""),"Donnees manquantes","OK"))</x:f>
      </x:c>
      <x:c r="AH20" s="18"/>
    </x:row>
    <x:row r="21">
      <x:c r="A21" s="18"/>
      <x:c r="B21" s="18"/>
      <x:c r="C21" s="18"/>
      <x:c r="D21" s="18"/>
      <x:c r="E21" s="18"/>
      <x:c r="F21" s="18"/>
      <x:c r="G21" s="18"/>
      <x:c r="H21" s="18"/>
      <x:c r="I21" s="18"/>
      <x:c r="J21" s="18"/>
      <x:c r="K21" s="18"/>
      <x:c r="L21" s="18"/>
      <x:c r="M21" s="19"/>
      <x:c r="N21" s="19"/>
      <x:c r="O21" s="20"/>
      <x:c r="P21" s="21"/>
      <x:c r="Q21" s="21"/>
      <x:c r="R21" s="21"/>
      <x:c r="S21" s="21"/>
      <x:c r="T21" s="21" t="str">
        <x:f>IF(A21="","",MAX(0,P21-S21))</x:f>
      </x:c>
      <x:c r="U21" s="22"/>
      <x:c r="V21" s="22"/>
      <x:c r="W21" s="18"/>
      <x:c r="X21" s="18"/>
      <x:c r="Y21" s="18"/>
      <x:c r="Z21" s="18"/>
      <x:c r="AA21" s="18"/>
      <x:c r="AB21" s="18"/>
      <x:c r="AC21" s="18"/>
      <x:c r="AD21" s="19"/>
      <x:c r="AE21" s="18" t="str">
        <x:f>IF(A21="","",IF(AND(N21&lt;TODAY(),J21&lt;&gt;"Termine"),"Retard","OK"))</x:f>
      </x:c>
      <x:c r="AF21" s="18" t="str">
        <x:f>IF(A21="","",IF(P21=0,"Budget manquant",IF(S21/P21&lt;0.5,"Financement critique",IF(S21/P21&lt;0.8,"Financement partiel","OK"))))</x:f>
      </x:c>
      <x:c r="AG21" s="18" t="str">
        <x:f>IF(A21="","",IF(OR(B21="",D21="",J21="",P21="",H21=""),"Donnees manquantes","OK"))</x:f>
      </x:c>
      <x:c r="AH21" s="18"/>
    </x:row>
    <x:row r="22">
      <x:c r="A22" s="18"/>
      <x:c r="B22" s="18"/>
      <x:c r="C22" s="18"/>
      <x:c r="D22" s="18"/>
      <x:c r="E22" s="18"/>
      <x:c r="F22" s="18"/>
      <x:c r="G22" s="18"/>
      <x:c r="H22" s="18"/>
      <x:c r="I22" s="18"/>
      <x:c r="J22" s="18"/>
      <x:c r="K22" s="18"/>
      <x:c r="L22" s="18"/>
      <x:c r="M22" s="19"/>
      <x:c r="N22" s="19"/>
      <x:c r="O22" s="20"/>
      <x:c r="P22" s="21"/>
      <x:c r="Q22" s="21"/>
      <x:c r="R22" s="21"/>
      <x:c r="S22" s="21"/>
      <x:c r="T22" s="21" t="str">
        <x:f>IF(A22="","",MAX(0,P22-S22))</x:f>
      </x:c>
      <x:c r="U22" s="22"/>
      <x:c r="V22" s="22"/>
      <x:c r="W22" s="18"/>
      <x:c r="X22" s="18"/>
      <x:c r="Y22" s="18"/>
      <x:c r="Z22" s="18"/>
      <x:c r="AA22" s="18"/>
      <x:c r="AB22" s="18"/>
      <x:c r="AC22" s="18"/>
      <x:c r="AD22" s="19"/>
      <x:c r="AE22" s="18" t="str">
        <x:f>IF(A22="","",IF(AND(N22&lt;TODAY(),J22&lt;&gt;"Termine"),"Retard","OK"))</x:f>
      </x:c>
      <x:c r="AF22" s="18" t="str">
        <x:f>IF(A22="","",IF(P22=0,"Budget manquant",IF(S22/P22&lt;0.5,"Financement critique",IF(S22/P22&lt;0.8,"Financement partiel","OK"))))</x:f>
      </x:c>
      <x:c r="AG22" s="18" t="str">
        <x:f>IF(A22="","",IF(OR(B22="",D22="",J22="",P22="",H22=""),"Donnees manquantes","OK"))</x:f>
      </x:c>
      <x:c r="AH22" s="18"/>
    </x:row>
    <x:row r="23">
      <x:c r="A23" s="18"/>
      <x:c r="B23" s="18"/>
      <x:c r="C23" s="18"/>
      <x:c r="D23" s="18"/>
      <x:c r="E23" s="18"/>
      <x:c r="F23" s="18"/>
      <x:c r="G23" s="18"/>
      <x:c r="H23" s="18"/>
      <x:c r="I23" s="18"/>
      <x:c r="J23" s="18"/>
      <x:c r="K23" s="18"/>
      <x:c r="L23" s="18"/>
      <x:c r="M23" s="19"/>
      <x:c r="N23" s="19"/>
      <x:c r="O23" s="20"/>
      <x:c r="P23" s="21"/>
      <x:c r="Q23" s="21"/>
      <x:c r="R23" s="21"/>
      <x:c r="S23" s="21"/>
      <x:c r="T23" s="21" t="str">
        <x:f>IF(A23="","",MAX(0,P23-S23))</x:f>
      </x:c>
      <x:c r="U23" s="22"/>
      <x:c r="V23" s="22"/>
      <x:c r="W23" s="18"/>
      <x:c r="X23" s="18"/>
      <x:c r="Y23" s="18"/>
      <x:c r="Z23" s="18"/>
      <x:c r="AA23" s="18"/>
      <x:c r="AB23" s="18"/>
      <x:c r="AC23" s="18"/>
      <x:c r="AD23" s="19"/>
      <x:c r="AE23" s="18" t="str">
        <x:f>IF(A23="","",IF(AND(N23&lt;TODAY(),J23&lt;&gt;"Termine"),"Retard","OK"))</x:f>
      </x:c>
      <x:c r="AF23" s="18" t="str">
        <x:f>IF(A23="","",IF(P23=0,"Budget manquant",IF(S23/P23&lt;0.5,"Financement critique",IF(S23/P23&lt;0.8,"Financement partiel","OK"))))</x:f>
      </x:c>
      <x:c r="AG23" s="18" t="str">
        <x:f>IF(A23="","",IF(OR(B23="",D23="",J23="",P23="",H23=""),"Donnees manquantes","OK"))</x:f>
      </x:c>
      <x:c r="AH23" s="18"/>
    </x:row>
    <x:row r="24">
      <x:c r="A24" s="18"/>
      <x:c r="B24" s="18"/>
      <x:c r="C24" s="18"/>
      <x:c r="D24" s="18"/>
      <x:c r="E24" s="18"/>
      <x:c r="F24" s="18"/>
      <x:c r="G24" s="18"/>
      <x:c r="H24" s="18"/>
      <x:c r="I24" s="18"/>
      <x:c r="J24" s="18"/>
      <x:c r="K24" s="18"/>
      <x:c r="L24" s="18"/>
      <x:c r="M24" s="19"/>
      <x:c r="N24" s="19"/>
      <x:c r="O24" s="20"/>
      <x:c r="P24" s="21"/>
      <x:c r="Q24" s="21"/>
      <x:c r="R24" s="21"/>
      <x:c r="S24" s="21"/>
      <x:c r="T24" s="21" t="str">
        <x:f>IF(A24="","",MAX(0,P24-S24))</x:f>
      </x:c>
      <x:c r="U24" s="22"/>
      <x:c r="V24" s="22"/>
      <x:c r="W24" s="18"/>
      <x:c r="X24" s="18"/>
      <x:c r="Y24" s="18"/>
      <x:c r="Z24" s="18"/>
      <x:c r="AA24" s="18"/>
      <x:c r="AB24" s="18"/>
      <x:c r="AC24" s="18"/>
      <x:c r="AD24" s="19"/>
      <x:c r="AE24" s="18" t="str">
        <x:f>IF(A24="","",IF(AND(N24&lt;TODAY(),J24&lt;&gt;"Termine"),"Retard","OK"))</x:f>
      </x:c>
      <x:c r="AF24" s="18" t="str">
        <x:f>IF(A24="","",IF(P24=0,"Budget manquant",IF(S24/P24&lt;0.5,"Financement critique",IF(S24/P24&lt;0.8,"Financement partiel","OK"))))</x:f>
      </x:c>
      <x:c r="AG24" s="18" t="str">
        <x:f>IF(A24="","",IF(OR(B24="",D24="",J24="",P24="",H24=""),"Donnees manquantes","OK"))</x:f>
      </x:c>
      <x:c r="AH24" s="18"/>
    </x:row>
    <x:row r="25">
      <x:c r="A25" s="18"/>
      <x:c r="B25" s="18"/>
      <x:c r="C25" s="18"/>
      <x:c r="D25" s="18"/>
      <x:c r="E25" s="18"/>
      <x:c r="F25" s="18"/>
      <x:c r="G25" s="18"/>
      <x:c r="H25" s="18"/>
      <x:c r="I25" s="18"/>
      <x:c r="J25" s="18"/>
      <x:c r="K25" s="18"/>
      <x:c r="L25" s="18"/>
      <x:c r="M25" s="19"/>
      <x:c r="N25" s="19"/>
      <x:c r="O25" s="20"/>
      <x:c r="P25" s="21"/>
      <x:c r="Q25" s="21"/>
      <x:c r="R25" s="21"/>
      <x:c r="S25" s="21"/>
      <x:c r="T25" s="21" t="str">
        <x:f>IF(A25="","",MAX(0,P25-S25))</x:f>
      </x:c>
      <x:c r="U25" s="22"/>
      <x:c r="V25" s="22"/>
      <x:c r="W25" s="18"/>
      <x:c r="X25" s="18"/>
      <x:c r="Y25" s="18"/>
      <x:c r="Z25" s="18"/>
      <x:c r="AA25" s="18"/>
      <x:c r="AB25" s="18"/>
      <x:c r="AC25" s="18"/>
      <x:c r="AD25" s="19"/>
      <x:c r="AE25" s="18" t="str">
        <x:f>IF(A25="","",IF(AND(N25&lt;TODAY(),J25&lt;&gt;"Termine"),"Retard","OK"))</x:f>
      </x:c>
      <x:c r="AF25" s="18" t="str">
        <x:f>IF(A25="","",IF(P25=0,"Budget manquant",IF(S25/P25&lt;0.5,"Financement critique",IF(S25/P25&lt;0.8,"Financement partiel","OK"))))</x:f>
      </x:c>
      <x:c r="AG25" s="18" t="str">
        <x:f>IF(A25="","",IF(OR(B25="",D25="",J25="",P25="",H25=""),"Donnees manquantes","OK"))</x:f>
      </x:c>
      <x:c r="AH25" s="18"/>
    </x:row>
    <x:row r="26">
      <x:c r="A26" s="18"/>
      <x:c r="B26" s="18"/>
      <x:c r="C26" s="18"/>
      <x:c r="D26" s="18"/>
      <x:c r="E26" s="18"/>
      <x:c r="F26" s="18"/>
      <x:c r="G26" s="18"/>
      <x:c r="H26" s="18"/>
      <x:c r="I26" s="18"/>
      <x:c r="J26" s="18"/>
      <x:c r="K26" s="18"/>
      <x:c r="L26" s="18"/>
      <x:c r="M26" s="19"/>
      <x:c r="N26" s="19"/>
      <x:c r="O26" s="20"/>
      <x:c r="P26" s="21"/>
      <x:c r="Q26" s="21"/>
      <x:c r="R26" s="21"/>
      <x:c r="S26" s="21"/>
      <x:c r="T26" s="21" t="str">
        <x:f>IF(A26="","",MAX(0,P26-S26))</x:f>
      </x:c>
      <x:c r="U26" s="22"/>
      <x:c r="V26" s="22"/>
      <x:c r="W26" s="18"/>
      <x:c r="X26" s="18"/>
      <x:c r="Y26" s="18"/>
      <x:c r="Z26" s="18"/>
      <x:c r="AA26" s="18"/>
      <x:c r="AB26" s="18"/>
      <x:c r="AC26" s="18"/>
      <x:c r="AD26" s="19"/>
      <x:c r="AE26" s="18" t="str">
        <x:f>IF(A26="","",IF(AND(N26&lt;TODAY(),J26&lt;&gt;"Termine"),"Retard","OK"))</x:f>
      </x:c>
      <x:c r="AF26" s="18" t="str">
        <x:f>IF(A26="","",IF(P26=0,"Budget manquant",IF(S26/P26&lt;0.5,"Financement critique",IF(S26/P26&lt;0.8,"Financement partiel","OK"))))</x:f>
      </x:c>
      <x:c r="AG26" s="18" t="str">
        <x:f>IF(A26="","",IF(OR(B26="",D26="",J26="",P26="",H26=""),"Donnees manquantes","OK"))</x:f>
      </x:c>
      <x:c r="AH26" s="18"/>
    </x:row>
    <x:row r="27">
      <x:c r="A27" s="18"/>
      <x:c r="B27" s="18"/>
      <x:c r="C27" s="18"/>
      <x:c r="D27" s="18"/>
      <x:c r="E27" s="18"/>
      <x:c r="F27" s="18"/>
      <x:c r="G27" s="18"/>
      <x:c r="H27" s="18"/>
      <x:c r="I27" s="18"/>
      <x:c r="J27" s="18"/>
      <x:c r="K27" s="18"/>
      <x:c r="L27" s="18"/>
      <x:c r="M27" s="19"/>
      <x:c r="N27" s="19"/>
      <x:c r="O27" s="20"/>
      <x:c r="P27" s="21"/>
      <x:c r="Q27" s="21"/>
      <x:c r="R27" s="21"/>
      <x:c r="S27" s="21"/>
      <x:c r="T27" s="21" t="str">
        <x:f>IF(A27="","",MAX(0,P27-S27))</x:f>
      </x:c>
      <x:c r="U27" s="22"/>
      <x:c r="V27" s="22"/>
      <x:c r="W27" s="18"/>
      <x:c r="X27" s="18"/>
      <x:c r="Y27" s="18"/>
      <x:c r="Z27" s="18"/>
      <x:c r="AA27" s="18"/>
      <x:c r="AB27" s="18"/>
      <x:c r="AC27" s="18"/>
      <x:c r="AD27" s="19"/>
      <x:c r="AE27" s="18" t="str">
        <x:f>IF(A27="","",IF(AND(N27&lt;TODAY(),J27&lt;&gt;"Termine"),"Retard","OK"))</x:f>
      </x:c>
      <x:c r="AF27" s="18" t="str">
        <x:f>IF(A27="","",IF(P27=0,"Budget manquant",IF(S27/P27&lt;0.5,"Financement critique",IF(S27/P27&lt;0.8,"Financement partiel","OK"))))</x:f>
      </x:c>
      <x:c r="AG27" s="18" t="str">
        <x:f>IF(A27="","",IF(OR(B27="",D27="",J27="",P27="",H27=""),"Donnees manquantes","OK"))</x:f>
      </x:c>
      <x:c r="AH27" s="18"/>
    </x:row>
    <x:row r="28">
      <x:c r="A28" s="18"/>
      <x:c r="B28" s="18"/>
      <x:c r="C28" s="18"/>
      <x:c r="D28" s="18"/>
      <x:c r="E28" s="18"/>
      <x:c r="F28" s="18"/>
      <x:c r="G28" s="18"/>
      <x:c r="H28" s="18"/>
      <x:c r="I28" s="18"/>
      <x:c r="J28" s="18"/>
      <x:c r="K28" s="18"/>
      <x:c r="L28" s="18"/>
      <x:c r="M28" s="19"/>
      <x:c r="N28" s="19"/>
      <x:c r="O28" s="20"/>
      <x:c r="P28" s="21"/>
      <x:c r="Q28" s="21"/>
      <x:c r="R28" s="21"/>
      <x:c r="S28" s="21"/>
      <x:c r="T28" s="21" t="str">
        <x:f>IF(A28="","",MAX(0,P28-S28))</x:f>
      </x:c>
      <x:c r="U28" s="22"/>
      <x:c r="V28" s="22"/>
      <x:c r="W28" s="18"/>
      <x:c r="X28" s="18"/>
      <x:c r="Y28" s="18"/>
      <x:c r="Z28" s="18"/>
      <x:c r="AA28" s="18"/>
      <x:c r="AB28" s="18"/>
      <x:c r="AC28" s="18"/>
      <x:c r="AD28" s="19"/>
      <x:c r="AE28" s="18" t="str">
        <x:f>IF(A28="","",IF(AND(N28&lt;TODAY(),J28&lt;&gt;"Termine"),"Retard","OK"))</x:f>
      </x:c>
      <x:c r="AF28" s="18" t="str">
        <x:f>IF(A28="","",IF(P28=0,"Budget manquant",IF(S28/P28&lt;0.5,"Financement critique",IF(S28/P28&lt;0.8,"Financement partiel","OK"))))</x:f>
      </x:c>
      <x:c r="AG28" s="18" t="str">
        <x:f>IF(A28="","",IF(OR(B28="",D28="",J28="",P28="",H28=""),"Donnees manquantes","OK"))</x:f>
      </x:c>
      <x:c r="AH28" s="18"/>
    </x:row>
    <x:row r="29">
      <x:c r="A29" s="18"/>
      <x:c r="B29" s="18"/>
      <x:c r="C29" s="18"/>
      <x:c r="D29" s="18"/>
      <x:c r="E29" s="18"/>
      <x:c r="F29" s="18"/>
      <x:c r="G29" s="18"/>
      <x:c r="H29" s="18"/>
      <x:c r="I29" s="18"/>
      <x:c r="J29" s="18"/>
      <x:c r="K29" s="18"/>
      <x:c r="L29" s="18"/>
      <x:c r="M29" s="19"/>
      <x:c r="N29" s="19"/>
      <x:c r="O29" s="20"/>
      <x:c r="P29" s="21"/>
      <x:c r="Q29" s="21"/>
      <x:c r="R29" s="21"/>
      <x:c r="S29" s="21"/>
      <x:c r="T29" s="21" t="str">
        <x:f>IF(A29="","",MAX(0,P29-S29))</x:f>
      </x:c>
      <x:c r="U29" s="22"/>
      <x:c r="V29" s="22"/>
      <x:c r="W29" s="18"/>
      <x:c r="X29" s="18"/>
      <x:c r="Y29" s="18"/>
      <x:c r="Z29" s="18"/>
      <x:c r="AA29" s="18"/>
      <x:c r="AB29" s="18"/>
      <x:c r="AC29" s="18"/>
      <x:c r="AD29" s="19"/>
      <x:c r="AE29" s="18" t="str">
        <x:f>IF(A29="","",IF(AND(N29&lt;TODAY(),J29&lt;&gt;"Termine"),"Retard","OK"))</x:f>
      </x:c>
      <x:c r="AF29" s="18" t="str">
        <x:f>IF(A29="","",IF(P29=0,"Budget manquant",IF(S29/P29&lt;0.5,"Financement critique",IF(S29/P29&lt;0.8,"Financement partiel","OK"))))</x:f>
      </x:c>
      <x:c r="AG29" s="18" t="str">
        <x:f>IF(A29="","",IF(OR(B29="",D29="",J29="",P29="",H29=""),"Donnees manquantes","OK"))</x:f>
      </x:c>
      <x:c r="AH29" s="18"/>
    </x:row>
    <x:row r="30">
      <x:c r="A30" s="18"/>
      <x:c r="B30" s="18"/>
      <x:c r="C30" s="18"/>
      <x:c r="D30" s="18"/>
      <x:c r="E30" s="18"/>
      <x:c r="F30" s="18"/>
      <x:c r="G30" s="18"/>
      <x:c r="H30" s="18"/>
      <x:c r="I30" s="18"/>
      <x:c r="J30" s="18"/>
      <x:c r="K30" s="18"/>
      <x:c r="L30" s="18"/>
      <x:c r="M30" s="19"/>
      <x:c r="N30" s="19"/>
      <x:c r="O30" s="20"/>
      <x:c r="P30" s="21"/>
      <x:c r="Q30" s="21"/>
      <x:c r="R30" s="21"/>
      <x:c r="S30" s="21"/>
      <x:c r="T30" s="21" t="str">
        <x:f>IF(A30="","",MAX(0,P30-S30))</x:f>
      </x:c>
      <x:c r="U30" s="22"/>
      <x:c r="V30" s="22"/>
      <x:c r="W30" s="18"/>
      <x:c r="X30" s="18"/>
      <x:c r="Y30" s="18"/>
      <x:c r="Z30" s="18"/>
      <x:c r="AA30" s="18"/>
      <x:c r="AB30" s="18"/>
      <x:c r="AC30" s="18"/>
      <x:c r="AD30" s="19"/>
      <x:c r="AE30" s="18" t="str">
        <x:f>IF(A30="","",IF(AND(N30&lt;TODAY(),J30&lt;&gt;"Termine"),"Retard","OK"))</x:f>
      </x:c>
      <x:c r="AF30" s="18" t="str">
        <x:f>IF(A30="","",IF(P30=0,"Budget manquant",IF(S30/P30&lt;0.5,"Financement critique",IF(S30/P30&lt;0.8,"Financement partiel","OK"))))</x:f>
      </x:c>
      <x:c r="AG30" s="18" t="str">
        <x:f>IF(A30="","",IF(OR(B30="",D30="",J30="",P30="",H30=""),"Donnees manquantes","OK"))</x:f>
      </x:c>
      <x:c r="AH30" s="18"/>
    </x:row>
    <x:row r="31">
      <x:c r="A31" s="18"/>
      <x:c r="B31" s="18"/>
      <x:c r="C31" s="18"/>
      <x:c r="D31" s="18"/>
      <x:c r="E31" s="18"/>
      <x:c r="F31" s="18"/>
      <x:c r="G31" s="18"/>
      <x:c r="H31" s="18"/>
      <x:c r="I31" s="18"/>
      <x:c r="J31" s="18"/>
      <x:c r="K31" s="18"/>
      <x:c r="L31" s="18"/>
      <x:c r="M31" s="19"/>
      <x:c r="N31" s="19"/>
      <x:c r="O31" s="20"/>
      <x:c r="P31" s="21"/>
      <x:c r="Q31" s="21"/>
      <x:c r="R31" s="21"/>
      <x:c r="S31" s="21"/>
      <x:c r="T31" s="21" t="str">
        <x:f>IF(A31="","",MAX(0,P31-S31))</x:f>
      </x:c>
      <x:c r="U31" s="22"/>
      <x:c r="V31" s="22"/>
      <x:c r="W31" s="18"/>
      <x:c r="X31" s="18"/>
      <x:c r="Y31" s="18"/>
      <x:c r="Z31" s="18"/>
      <x:c r="AA31" s="18"/>
      <x:c r="AB31" s="18"/>
      <x:c r="AC31" s="18"/>
      <x:c r="AD31" s="19"/>
      <x:c r="AE31" s="18" t="str">
        <x:f>IF(A31="","",IF(AND(N31&lt;TODAY(),J31&lt;&gt;"Termine"),"Retard","OK"))</x:f>
      </x:c>
      <x:c r="AF31" s="18" t="str">
        <x:f>IF(A31="","",IF(P31=0,"Budget manquant",IF(S31/P31&lt;0.5,"Financement critique",IF(S31/P31&lt;0.8,"Financement partiel","OK"))))</x:f>
      </x:c>
      <x:c r="AG31" s="18" t="str">
        <x:f>IF(A31="","",IF(OR(B31="",D31="",J31="",P31="",H31=""),"Donnees manquantes","OK"))</x:f>
      </x:c>
      <x:c r="AH31" s="18"/>
    </x:row>
    <x:row r="32">
      <x:c r="A32" s="18"/>
      <x:c r="B32" s="18"/>
      <x:c r="C32" s="18"/>
      <x:c r="D32" s="18"/>
      <x:c r="E32" s="18"/>
      <x:c r="F32" s="18"/>
      <x:c r="G32" s="18"/>
      <x:c r="H32" s="18"/>
      <x:c r="I32" s="18"/>
      <x:c r="J32" s="18"/>
      <x:c r="K32" s="18"/>
      <x:c r="L32" s="18"/>
      <x:c r="M32" s="19"/>
      <x:c r="N32" s="19"/>
      <x:c r="O32" s="20"/>
      <x:c r="P32" s="21"/>
      <x:c r="Q32" s="21"/>
      <x:c r="R32" s="21"/>
      <x:c r="S32" s="21"/>
      <x:c r="T32" s="21" t="str">
        <x:f>IF(A32="","",MAX(0,P32-S32))</x:f>
      </x:c>
      <x:c r="U32" s="22"/>
      <x:c r="V32" s="22"/>
      <x:c r="W32" s="18"/>
      <x:c r="X32" s="18"/>
      <x:c r="Y32" s="18"/>
      <x:c r="Z32" s="18"/>
      <x:c r="AA32" s="18"/>
      <x:c r="AB32" s="18"/>
      <x:c r="AC32" s="18"/>
      <x:c r="AD32" s="19"/>
      <x:c r="AE32" s="18" t="str">
        <x:f>IF(A32="","",IF(AND(N32&lt;TODAY(),J32&lt;&gt;"Termine"),"Retard","OK"))</x:f>
      </x:c>
      <x:c r="AF32" s="18" t="str">
        <x:f>IF(A32="","",IF(P32=0,"Budget manquant",IF(S32/P32&lt;0.5,"Financement critique",IF(S32/P32&lt;0.8,"Financement partiel","OK"))))</x:f>
      </x:c>
      <x:c r="AG32" s="18" t="str">
        <x:f>IF(A32="","",IF(OR(B32="",D32="",J32="",P32="",H32=""),"Donnees manquantes","OK"))</x:f>
      </x:c>
      <x:c r="AH32" s="18"/>
    </x:row>
    <x:row r="33">
      <x:c r="A33" s="18"/>
      <x:c r="B33" s="18"/>
      <x:c r="C33" s="18"/>
      <x:c r="D33" s="18"/>
      <x:c r="E33" s="18"/>
      <x:c r="F33" s="18"/>
      <x:c r="G33" s="18"/>
      <x:c r="H33" s="18"/>
      <x:c r="I33" s="18"/>
      <x:c r="J33" s="18"/>
      <x:c r="K33" s="18"/>
      <x:c r="L33" s="18"/>
      <x:c r="M33" s="19"/>
      <x:c r="N33" s="19"/>
      <x:c r="O33" s="20"/>
      <x:c r="P33" s="21"/>
      <x:c r="Q33" s="21"/>
      <x:c r="R33" s="21"/>
      <x:c r="S33" s="21"/>
      <x:c r="T33" s="21" t="str">
        <x:f>IF(A33="","",MAX(0,P33-S33))</x:f>
      </x:c>
      <x:c r="U33" s="22"/>
      <x:c r="V33" s="22"/>
      <x:c r="W33" s="18"/>
      <x:c r="X33" s="18"/>
      <x:c r="Y33" s="18"/>
      <x:c r="Z33" s="18"/>
      <x:c r="AA33" s="18"/>
      <x:c r="AB33" s="18"/>
      <x:c r="AC33" s="18"/>
      <x:c r="AD33" s="19"/>
      <x:c r="AE33" s="18" t="str">
        <x:f>IF(A33="","",IF(AND(N33&lt;TODAY(),J33&lt;&gt;"Termine"),"Retard","OK"))</x:f>
      </x:c>
      <x:c r="AF33" s="18" t="str">
        <x:f>IF(A33="","",IF(P33=0,"Budget manquant",IF(S33/P33&lt;0.5,"Financement critique",IF(S33/P33&lt;0.8,"Financement partiel","OK"))))</x:f>
      </x:c>
      <x:c r="AG33" s="18" t="str">
        <x:f>IF(A33="","",IF(OR(B33="",D33="",J33="",P33="",H33=""),"Donnees manquantes","OK"))</x:f>
      </x:c>
      <x:c r="AH33" s="18"/>
    </x:row>
    <x:row r="34">
      <x:c r="A34" s="18"/>
      <x:c r="B34" s="18"/>
      <x:c r="C34" s="18"/>
      <x:c r="D34" s="18"/>
      <x:c r="E34" s="18"/>
      <x:c r="F34" s="18"/>
      <x:c r="G34" s="18"/>
      <x:c r="H34" s="18"/>
      <x:c r="I34" s="18"/>
      <x:c r="J34" s="18"/>
      <x:c r="K34" s="18"/>
      <x:c r="L34" s="18"/>
      <x:c r="M34" s="19"/>
      <x:c r="N34" s="19"/>
      <x:c r="O34" s="20"/>
      <x:c r="P34" s="21"/>
      <x:c r="Q34" s="21"/>
      <x:c r="R34" s="21"/>
      <x:c r="S34" s="21"/>
      <x:c r="T34" s="21" t="str">
        <x:f>IF(A34="","",MAX(0,P34-S34))</x:f>
      </x:c>
      <x:c r="U34" s="22"/>
      <x:c r="V34" s="22"/>
      <x:c r="W34" s="18"/>
      <x:c r="X34" s="18"/>
      <x:c r="Y34" s="18"/>
      <x:c r="Z34" s="18"/>
      <x:c r="AA34" s="18"/>
      <x:c r="AB34" s="18"/>
      <x:c r="AC34" s="18"/>
      <x:c r="AD34" s="19"/>
      <x:c r="AE34" s="18" t="str">
        <x:f>IF(A34="","",IF(AND(N34&lt;TODAY(),J34&lt;&gt;"Termine"),"Retard","OK"))</x:f>
      </x:c>
      <x:c r="AF34" s="18" t="str">
        <x:f>IF(A34="","",IF(P34=0,"Budget manquant",IF(S34/P34&lt;0.5,"Financement critique",IF(S34/P34&lt;0.8,"Financement partiel","OK"))))</x:f>
      </x:c>
      <x:c r="AG34" s="18" t="str">
        <x:f>IF(A34="","",IF(OR(B34="",D34="",J34="",P34="",H34=""),"Donnees manquantes","OK"))</x:f>
      </x:c>
      <x:c r="AH34" s="18"/>
    </x:row>
    <x:row r="35">
      <x:c r="A35" s="18"/>
      <x:c r="B35" s="18"/>
      <x:c r="C35" s="18"/>
      <x:c r="D35" s="18"/>
      <x:c r="E35" s="18"/>
      <x:c r="F35" s="18"/>
      <x:c r="G35" s="18"/>
      <x:c r="H35" s="18"/>
      <x:c r="I35" s="18"/>
      <x:c r="J35" s="18"/>
      <x:c r="K35" s="18"/>
      <x:c r="L35" s="18"/>
      <x:c r="M35" s="19"/>
      <x:c r="N35" s="19"/>
      <x:c r="O35" s="20"/>
      <x:c r="P35" s="21"/>
      <x:c r="Q35" s="21"/>
      <x:c r="R35" s="21"/>
      <x:c r="S35" s="21"/>
      <x:c r="T35" s="21" t="str">
        <x:f>IF(A35="","",MAX(0,P35-S35))</x:f>
      </x:c>
      <x:c r="U35" s="22"/>
      <x:c r="V35" s="22"/>
      <x:c r="W35" s="18"/>
      <x:c r="X35" s="18"/>
      <x:c r="Y35" s="18"/>
      <x:c r="Z35" s="18"/>
      <x:c r="AA35" s="18"/>
      <x:c r="AB35" s="18"/>
      <x:c r="AC35" s="18"/>
      <x:c r="AD35" s="19"/>
      <x:c r="AE35" s="18" t="str">
        <x:f>IF(A35="","",IF(AND(N35&lt;TODAY(),J35&lt;&gt;"Termine"),"Retard","OK"))</x:f>
      </x:c>
      <x:c r="AF35" s="18" t="str">
        <x:f>IF(A35="","",IF(P35=0,"Budget manquant",IF(S35/P35&lt;0.5,"Financement critique",IF(S35/P35&lt;0.8,"Financement partiel","OK"))))</x:f>
      </x:c>
      <x:c r="AG35" s="18" t="str">
        <x:f>IF(A35="","",IF(OR(B35="",D35="",J35="",P35="",H35=""),"Donnees manquantes","OK"))</x:f>
      </x:c>
      <x:c r="AH35" s="18"/>
    </x:row>
    <x:row r="36">
      <x:c r="A36" s="18"/>
      <x:c r="B36" s="18"/>
      <x:c r="C36" s="18"/>
      <x:c r="D36" s="18"/>
      <x:c r="E36" s="18"/>
      <x:c r="F36" s="18"/>
      <x:c r="G36" s="18"/>
      <x:c r="H36" s="18"/>
      <x:c r="I36" s="18"/>
      <x:c r="J36" s="18"/>
      <x:c r="K36" s="18"/>
      <x:c r="L36" s="18"/>
      <x:c r="M36" s="19"/>
      <x:c r="N36" s="19"/>
      <x:c r="O36" s="20"/>
      <x:c r="P36" s="21"/>
      <x:c r="Q36" s="21"/>
      <x:c r="R36" s="21"/>
      <x:c r="S36" s="21"/>
      <x:c r="T36" s="21" t="str">
        <x:f>IF(A36="","",MAX(0,P36-S36))</x:f>
      </x:c>
      <x:c r="U36" s="22"/>
      <x:c r="V36" s="22"/>
      <x:c r="W36" s="18"/>
      <x:c r="X36" s="18"/>
      <x:c r="Y36" s="18"/>
      <x:c r="Z36" s="18"/>
      <x:c r="AA36" s="18"/>
      <x:c r="AB36" s="18"/>
      <x:c r="AC36" s="18"/>
      <x:c r="AD36" s="19"/>
      <x:c r="AE36" s="18" t="str">
        <x:f>IF(A36="","",IF(AND(N36&lt;TODAY(),J36&lt;&gt;"Termine"),"Retard","OK"))</x:f>
      </x:c>
      <x:c r="AF36" s="18" t="str">
        <x:f>IF(A36="","",IF(P36=0,"Budget manquant",IF(S36/P36&lt;0.5,"Financement critique",IF(S36/P36&lt;0.8,"Financement partiel","OK"))))</x:f>
      </x:c>
      <x:c r="AG36" s="18" t="str">
        <x:f>IF(A36="","",IF(OR(B36="",D36="",J36="",P36="",H36=""),"Donnees manquantes","OK"))</x:f>
      </x:c>
      <x:c r="AH36" s="18"/>
    </x:row>
    <x:row r="37">
      <x:c r="A37" s="18"/>
      <x:c r="B37" s="18"/>
      <x:c r="C37" s="18"/>
      <x:c r="D37" s="18"/>
      <x:c r="E37" s="18"/>
      <x:c r="F37" s="18"/>
      <x:c r="G37" s="18"/>
      <x:c r="H37" s="18"/>
      <x:c r="I37" s="18"/>
      <x:c r="J37" s="18"/>
      <x:c r="K37" s="18"/>
      <x:c r="L37" s="18"/>
      <x:c r="M37" s="19"/>
      <x:c r="N37" s="19"/>
      <x:c r="O37" s="20"/>
      <x:c r="P37" s="21"/>
      <x:c r="Q37" s="21"/>
      <x:c r="R37" s="21"/>
      <x:c r="S37" s="21"/>
      <x:c r="T37" s="21" t="str">
        <x:f>IF(A37="","",MAX(0,P37-S37))</x:f>
      </x:c>
      <x:c r="U37" s="22"/>
      <x:c r="V37" s="22"/>
      <x:c r="W37" s="18"/>
      <x:c r="X37" s="18"/>
      <x:c r="Y37" s="18"/>
      <x:c r="Z37" s="18"/>
      <x:c r="AA37" s="18"/>
      <x:c r="AB37" s="18"/>
      <x:c r="AC37" s="18"/>
      <x:c r="AD37" s="19"/>
      <x:c r="AE37" s="18" t="str">
        <x:f>IF(A37="","",IF(AND(N37&lt;TODAY(),J37&lt;&gt;"Termine"),"Retard","OK"))</x:f>
      </x:c>
      <x:c r="AF37" s="18" t="str">
        <x:f>IF(A37="","",IF(P37=0,"Budget manquant",IF(S37/P37&lt;0.5,"Financement critique",IF(S37/P37&lt;0.8,"Financement partiel","OK"))))</x:f>
      </x:c>
      <x:c r="AG37" s="18" t="str">
        <x:f>IF(A37="","",IF(OR(B37="",D37="",J37="",P37="",H37=""),"Donnees manquantes","OK"))</x:f>
      </x:c>
      <x:c r="AH37" s="18"/>
    </x:row>
    <x:row r="38">
      <x:c r="A38" s="18"/>
      <x:c r="B38" s="18"/>
      <x:c r="C38" s="18"/>
      <x:c r="D38" s="18"/>
      <x:c r="E38" s="18"/>
      <x:c r="F38" s="18"/>
      <x:c r="G38" s="18"/>
      <x:c r="H38" s="18"/>
      <x:c r="I38" s="18"/>
      <x:c r="J38" s="18"/>
      <x:c r="K38" s="18"/>
      <x:c r="L38" s="18"/>
      <x:c r="M38" s="19"/>
      <x:c r="N38" s="19"/>
      <x:c r="O38" s="20"/>
      <x:c r="P38" s="21"/>
      <x:c r="Q38" s="21"/>
      <x:c r="R38" s="21"/>
      <x:c r="S38" s="21"/>
      <x:c r="T38" s="21" t="str">
        <x:f>IF(A38="","",MAX(0,P38-S38))</x:f>
      </x:c>
      <x:c r="U38" s="22"/>
      <x:c r="V38" s="22"/>
      <x:c r="W38" s="18"/>
      <x:c r="X38" s="18"/>
      <x:c r="Y38" s="18"/>
      <x:c r="Z38" s="18"/>
      <x:c r="AA38" s="18"/>
      <x:c r="AB38" s="18"/>
      <x:c r="AC38" s="18"/>
      <x:c r="AD38" s="19"/>
      <x:c r="AE38" s="18" t="str">
        <x:f>IF(A38="","",IF(AND(N38&lt;TODAY(),J38&lt;&gt;"Termine"),"Retard","OK"))</x:f>
      </x:c>
      <x:c r="AF38" s="18" t="str">
        <x:f>IF(A38="","",IF(P38=0,"Budget manquant",IF(S38/P38&lt;0.5,"Financement critique",IF(S38/P38&lt;0.8,"Financement partiel","OK"))))</x:f>
      </x:c>
      <x:c r="AG38" s="18" t="str">
        <x:f>IF(A38="","",IF(OR(B38="",D38="",J38="",P38="",H38=""),"Donnees manquantes","OK"))</x:f>
      </x:c>
      <x:c r="AH38" s="18"/>
    </x:row>
    <x:row r="39">
      <x:c r="A39" s="18"/>
      <x:c r="B39" s="18"/>
      <x:c r="C39" s="18"/>
      <x:c r="D39" s="18"/>
      <x:c r="E39" s="18"/>
      <x:c r="F39" s="18"/>
      <x:c r="G39" s="18"/>
      <x:c r="H39" s="18"/>
      <x:c r="I39" s="18"/>
      <x:c r="J39" s="18"/>
      <x:c r="K39" s="18"/>
      <x:c r="L39" s="18"/>
      <x:c r="M39" s="19"/>
      <x:c r="N39" s="19"/>
      <x:c r="O39" s="20"/>
      <x:c r="P39" s="21"/>
      <x:c r="Q39" s="21"/>
      <x:c r="R39" s="21"/>
      <x:c r="S39" s="21"/>
      <x:c r="T39" s="21" t="str">
        <x:f>IF(A39="","",MAX(0,P39-S39))</x:f>
      </x:c>
      <x:c r="U39" s="22"/>
      <x:c r="V39" s="22"/>
      <x:c r="W39" s="18"/>
      <x:c r="X39" s="18"/>
      <x:c r="Y39" s="18"/>
      <x:c r="Z39" s="18"/>
      <x:c r="AA39" s="18"/>
      <x:c r="AB39" s="18"/>
      <x:c r="AC39" s="18"/>
      <x:c r="AD39" s="19"/>
      <x:c r="AE39" s="18" t="str">
        <x:f>IF(A39="","",IF(AND(N39&lt;TODAY(),J39&lt;&gt;"Termine"),"Retard","OK"))</x:f>
      </x:c>
      <x:c r="AF39" s="18" t="str">
        <x:f>IF(A39="","",IF(P39=0,"Budget manquant",IF(S39/P39&lt;0.5,"Financement critique",IF(S39/P39&lt;0.8,"Financement partiel","OK"))))</x:f>
      </x:c>
      <x:c r="AG39" s="18" t="str">
        <x:f>IF(A39="","",IF(OR(B39="",D39="",J39="",P39="",H39=""),"Donnees manquantes","OK"))</x:f>
      </x:c>
      <x:c r="AH39" s="18"/>
    </x:row>
    <x:row r="40">
      <x:c r="A40" s="18"/>
      <x:c r="B40" s="18"/>
      <x:c r="C40" s="18"/>
      <x:c r="D40" s="18"/>
      <x:c r="E40" s="18"/>
      <x:c r="F40" s="18"/>
      <x:c r="G40" s="18"/>
      <x:c r="H40" s="18"/>
      <x:c r="I40" s="18"/>
      <x:c r="J40" s="18"/>
      <x:c r="K40" s="18"/>
      <x:c r="L40" s="18"/>
      <x:c r="M40" s="19"/>
      <x:c r="N40" s="19"/>
      <x:c r="O40" s="20"/>
      <x:c r="P40" s="21"/>
      <x:c r="Q40" s="21"/>
      <x:c r="R40" s="21"/>
      <x:c r="S40" s="21"/>
      <x:c r="T40" s="21" t="str">
        <x:f>IF(A40="","",MAX(0,P40-S40))</x:f>
      </x:c>
      <x:c r="U40" s="22"/>
      <x:c r="V40" s="22"/>
      <x:c r="W40" s="18"/>
      <x:c r="X40" s="18"/>
      <x:c r="Y40" s="18"/>
      <x:c r="Z40" s="18"/>
      <x:c r="AA40" s="18"/>
      <x:c r="AB40" s="18"/>
      <x:c r="AC40" s="18"/>
      <x:c r="AD40" s="19"/>
      <x:c r="AE40" s="18" t="str">
        <x:f>IF(A40="","",IF(AND(N40&lt;TODAY(),J40&lt;&gt;"Termine"),"Retard","OK"))</x:f>
      </x:c>
      <x:c r="AF40" s="18" t="str">
        <x:f>IF(A40="","",IF(P40=0,"Budget manquant",IF(S40/P40&lt;0.5,"Financement critique",IF(S40/P40&lt;0.8,"Financement partiel","OK"))))</x:f>
      </x:c>
      <x:c r="AG40" s="18" t="str">
        <x:f>IF(A40="","",IF(OR(B40="",D40="",J40="",P40="",H40=""),"Donnees manquantes","OK"))</x:f>
      </x:c>
      <x:c r="AH40" s="18"/>
    </x:row>
    <x:row r="41">
      <x:c r="A41" s="18"/>
      <x:c r="B41" s="18"/>
      <x:c r="C41" s="18"/>
      <x:c r="D41" s="18"/>
      <x:c r="E41" s="18"/>
      <x:c r="F41" s="18"/>
      <x:c r="G41" s="18"/>
      <x:c r="H41" s="18"/>
      <x:c r="I41" s="18"/>
      <x:c r="J41" s="18"/>
      <x:c r="K41" s="18"/>
      <x:c r="L41" s="18"/>
      <x:c r="M41" s="19"/>
      <x:c r="N41" s="19"/>
      <x:c r="O41" s="20"/>
      <x:c r="P41" s="21"/>
      <x:c r="Q41" s="21"/>
      <x:c r="R41" s="21"/>
      <x:c r="S41" s="21"/>
      <x:c r="T41" s="21" t="str">
        <x:f>IF(A41="","",MAX(0,P41-S41))</x:f>
      </x:c>
      <x:c r="U41" s="22"/>
      <x:c r="V41" s="22"/>
      <x:c r="W41" s="18"/>
      <x:c r="X41" s="18"/>
      <x:c r="Y41" s="18"/>
      <x:c r="Z41" s="18"/>
      <x:c r="AA41" s="18"/>
      <x:c r="AB41" s="18"/>
      <x:c r="AC41" s="18"/>
      <x:c r="AD41" s="19"/>
      <x:c r="AE41" s="18" t="str">
        <x:f>IF(A41="","",IF(AND(N41&lt;TODAY(),J41&lt;&gt;"Termine"),"Retard","OK"))</x:f>
      </x:c>
      <x:c r="AF41" s="18" t="str">
        <x:f>IF(A41="","",IF(P41=0,"Budget manquant",IF(S41/P41&lt;0.5,"Financement critique",IF(S41/P41&lt;0.8,"Financement partiel","OK"))))</x:f>
      </x:c>
      <x:c r="AG41" s="18" t="str">
        <x:f>IF(A41="","",IF(OR(B41="",D41="",J41="",P41="",H41=""),"Donnees manquantes","OK"))</x:f>
      </x:c>
      <x:c r="AH41" s="18"/>
    </x:row>
    <x:row r="42">
      <x:c r="A42" s="18"/>
      <x:c r="B42" s="18"/>
      <x:c r="C42" s="18"/>
      <x:c r="D42" s="18"/>
      <x:c r="E42" s="18"/>
      <x:c r="F42" s="18"/>
      <x:c r="G42" s="18"/>
      <x:c r="H42" s="18"/>
      <x:c r="I42" s="18"/>
      <x:c r="J42" s="18"/>
      <x:c r="K42" s="18"/>
      <x:c r="L42" s="18"/>
      <x:c r="M42" s="19"/>
      <x:c r="N42" s="19"/>
      <x:c r="O42" s="20"/>
      <x:c r="P42" s="21"/>
      <x:c r="Q42" s="21"/>
      <x:c r="R42" s="21"/>
      <x:c r="S42" s="21"/>
      <x:c r="T42" s="21" t="str">
        <x:f>IF(A42="","",MAX(0,P42-S42))</x:f>
      </x:c>
      <x:c r="U42" s="22"/>
      <x:c r="V42" s="22"/>
      <x:c r="W42" s="18"/>
      <x:c r="X42" s="18"/>
      <x:c r="Y42" s="18"/>
      <x:c r="Z42" s="18"/>
      <x:c r="AA42" s="18"/>
      <x:c r="AB42" s="18"/>
      <x:c r="AC42" s="18"/>
      <x:c r="AD42" s="19"/>
      <x:c r="AE42" s="18" t="str">
        <x:f>IF(A42="","",IF(AND(N42&lt;TODAY(),J42&lt;&gt;"Termine"),"Retard","OK"))</x:f>
      </x:c>
      <x:c r="AF42" s="18" t="str">
        <x:f>IF(A42="","",IF(P42=0,"Budget manquant",IF(S42/P42&lt;0.5,"Financement critique",IF(S42/P42&lt;0.8,"Financement partiel","OK"))))</x:f>
      </x:c>
      <x:c r="AG42" s="18" t="str">
        <x:f>IF(A42="","",IF(OR(B42="",D42="",J42="",P42="",H42=""),"Donnees manquantes","OK"))</x:f>
      </x:c>
      <x:c r="AH42" s="18"/>
    </x:row>
    <x:row r="43">
      <x:c r="A43" s="18"/>
      <x:c r="B43" s="18"/>
      <x:c r="C43" s="18"/>
      <x:c r="D43" s="18"/>
      <x:c r="E43" s="18"/>
      <x:c r="F43" s="18"/>
      <x:c r="G43" s="18"/>
      <x:c r="H43" s="18"/>
      <x:c r="I43" s="18"/>
      <x:c r="J43" s="18"/>
      <x:c r="K43" s="18"/>
      <x:c r="L43" s="18"/>
      <x:c r="M43" s="19"/>
      <x:c r="N43" s="19"/>
      <x:c r="O43" s="20"/>
      <x:c r="P43" s="21"/>
      <x:c r="Q43" s="21"/>
      <x:c r="R43" s="21"/>
      <x:c r="S43" s="21"/>
      <x:c r="T43" s="21" t="str">
        <x:f>IF(A43="","",MAX(0,P43-S43))</x:f>
      </x:c>
      <x:c r="U43" s="22"/>
      <x:c r="V43" s="22"/>
      <x:c r="W43" s="18"/>
      <x:c r="X43" s="18"/>
      <x:c r="Y43" s="18"/>
      <x:c r="Z43" s="18"/>
      <x:c r="AA43" s="18"/>
      <x:c r="AB43" s="18"/>
      <x:c r="AC43" s="18"/>
      <x:c r="AD43" s="19"/>
      <x:c r="AE43" s="18" t="str">
        <x:f>IF(A43="","",IF(AND(N43&lt;TODAY(),J43&lt;&gt;"Termine"),"Retard","OK"))</x:f>
      </x:c>
      <x:c r="AF43" s="18" t="str">
        <x:f>IF(A43="","",IF(P43=0,"Budget manquant",IF(S43/P43&lt;0.5,"Financement critique",IF(S43/P43&lt;0.8,"Financement partiel","OK"))))</x:f>
      </x:c>
      <x:c r="AG43" s="18" t="str">
        <x:f>IF(A43="","",IF(OR(B43="",D43="",J43="",P43="",H43=""),"Donnees manquantes","OK"))</x:f>
      </x:c>
      <x:c r="AH43" s="18"/>
    </x:row>
    <x:row r="44">
      <x:c r="A44" s="18"/>
      <x:c r="B44" s="18"/>
      <x:c r="C44" s="18"/>
      <x:c r="D44" s="18"/>
      <x:c r="E44" s="18"/>
      <x:c r="F44" s="18"/>
      <x:c r="G44" s="18"/>
      <x:c r="H44" s="18"/>
      <x:c r="I44" s="18"/>
      <x:c r="J44" s="18"/>
      <x:c r="K44" s="18"/>
      <x:c r="L44" s="18"/>
      <x:c r="M44" s="19"/>
      <x:c r="N44" s="19"/>
      <x:c r="O44" s="20"/>
      <x:c r="P44" s="21"/>
      <x:c r="Q44" s="21"/>
      <x:c r="R44" s="21"/>
      <x:c r="S44" s="21"/>
      <x:c r="T44" s="21" t="str">
        <x:f>IF(A44="","",MAX(0,P44-S44))</x:f>
      </x:c>
      <x:c r="U44" s="22"/>
      <x:c r="V44" s="22"/>
      <x:c r="W44" s="18"/>
      <x:c r="X44" s="18"/>
      <x:c r="Y44" s="18"/>
      <x:c r="Z44" s="18"/>
      <x:c r="AA44" s="18"/>
      <x:c r="AB44" s="18"/>
      <x:c r="AC44" s="18"/>
      <x:c r="AD44" s="19"/>
      <x:c r="AE44" s="18" t="str">
        <x:f>IF(A44="","",IF(AND(N44&lt;TODAY(),J44&lt;&gt;"Termine"),"Retard","OK"))</x:f>
      </x:c>
      <x:c r="AF44" s="18" t="str">
        <x:f>IF(A44="","",IF(P44=0,"Budget manquant",IF(S44/P44&lt;0.5,"Financement critique",IF(S44/P44&lt;0.8,"Financement partiel","OK"))))</x:f>
      </x:c>
      <x:c r="AG44" s="18" t="str">
        <x:f>IF(A44="","",IF(OR(B44="",D44="",J44="",P44="",H44=""),"Donnees manquantes","OK"))</x:f>
      </x:c>
      <x:c r="AH44" s="18"/>
    </x:row>
    <x:row r="45">
      <x:c r="A45" s="18"/>
      <x:c r="B45" s="18"/>
      <x:c r="C45" s="18"/>
      <x:c r="D45" s="18"/>
      <x:c r="E45" s="18"/>
      <x:c r="F45" s="18"/>
      <x:c r="G45" s="18"/>
      <x:c r="H45" s="18"/>
      <x:c r="I45" s="18"/>
      <x:c r="J45" s="18"/>
      <x:c r="K45" s="18"/>
      <x:c r="L45" s="18"/>
      <x:c r="M45" s="19"/>
      <x:c r="N45" s="19"/>
      <x:c r="O45" s="20"/>
      <x:c r="P45" s="21"/>
      <x:c r="Q45" s="21"/>
      <x:c r="R45" s="21"/>
      <x:c r="S45" s="21"/>
      <x:c r="T45" s="21" t="str">
        <x:f>IF(A45="","",MAX(0,P45-S45))</x:f>
      </x:c>
      <x:c r="U45" s="22"/>
      <x:c r="V45" s="22"/>
      <x:c r="W45" s="18"/>
      <x:c r="X45" s="18"/>
      <x:c r="Y45" s="18"/>
      <x:c r="Z45" s="18"/>
      <x:c r="AA45" s="18"/>
      <x:c r="AB45" s="18"/>
      <x:c r="AC45" s="18"/>
      <x:c r="AD45" s="19"/>
      <x:c r="AE45" s="18" t="str">
        <x:f>IF(A45="","",IF(AND(N45&lt;TODAY(),J45&lt;&gt;"Termine"),"Retard","OK"))</x:f>
      </x:c>
      <x:c r="AF45" s="18" t="str">
        <x:f>IF(A45="","",IF(P45=0,"Budget manquant",IF(S45/P45&lt;0.5,"Financement critique",IF(S45/P45&lt;0.8,"Financement partiel","OK"))))</x:f>
      </x:c>
      <x:c r="AG45" s="18" t="str">
        <x:f>IF(A45="","",IF(OR(B45="",D45="",J45="",P45="",H45=""),"Donnees manquantes","OK"))</x:f>
      </x:c>
      <x:c r="AH45" s="18"/>
    </x:row>
    <x:row r="46">
      <x:c r="A46" s="18"/>
      <x:c r="B46" s="18"/>
      <x:c r="C46" s="18"/>
      <x:c r="D46" s="18"/>
      <x:c r="E46" s="18"/>
      <x:c r="F46" s="18"/>
      <x:c r="G46" s="18"/>
      <x:c r="H46" s="18"/>
      <x:c r="I46" s="18"/>
      <x:c r="J46" s="18"/>
      <x:c r="K46" s="18"/>
      <x:c r="L46" s="18"/>
      <x:c r="M46" s="19"/>
      <x:c r="N46" s="19"/>
      <x:c r="O46" s="20"/>
      <x:c r="P46" s="21"/>
      <x:c r="Q46" s="21"/>
      <x:c r="R46" s="21"/>
      <x:c r="S46" s="21"/>
      <x:c r="T46" s="21" t="str">
        <x:f>IF(A46="","",MAX(0,P46-S46))</x:f>
      </x:c>
      <x:c r="U46" s="22"/>
      <x:c r="V46" s="22"/>
      <x:c r="W46" s="18"/>
      <x:c r="X46" s="18"/>
      <x:c r="Y46" s="18"/>
      <x:c r="Z46" s="18"/>
      <x:c r="AA46" s="18"/>
      <x:c r="AB46" s="18"/>
      <x:c r="AC46" s="18"/>
      <x:c r="AD46" s="19"/>
      <x:c r="AE46" s="18" t="str">
        <x:f>IF(A46="","",IF(AND(N46&lt;TODAY(),J46&lt;&gt;"Termine"),"Retard","OK"))</x:f>
      </x:c>
      <x:c r="AF46" s="18" t="str">
        <x:f>IF(A46="","",IF(P46=0,"Budget manquant",IF(S46/P46&lt;0.5,"Financement critique",IF(S46/P46&lt;0.8,"Financement partiel","OK"))))</x:f>
      </x:c>
      <x:c r="AG46" s="18" t="str">
        <x:f>IF(A46="","",IF(OR(B46="",D46="",J46="",P46="",H46=""),"Donnees manquantes","OK"))</x:f>
      </x:c>
      <x:c r="AH46" s="18"/>
    </x:row>
    <x:row r="47">
      <x:c r="A47" s="18"/>
      <x:c r="B47" s="18"/>
      <x:c r="C47" s="18"/>
      <x:c r="D47" s="18"/>
      <x:c r="E47" s="18"/>
      <x:c r="F47" s="18"/>
      <x:c r="G47" s="18"/>
      <x:c r="H47" s="18"/>
      <x:c r="I47" s="18"/>
      <x:c r="J47" s="18"/>
      <x:c r="K47" s="18"/>
      <x:c r="L47" s="18"/>
      <x:c r="M47" s="19"/>
      <x:c r="N47" s="19"/>
      <x:c r="O47" s="20"/>
      <x:c r="P47" s="21"/>
      <x:c r="Q47" s="21"/>
      <x:c r="R47" s="21"/>
      <x:c r="S47" s="21"/>
      <x:c r="T47" s="21" t="str">
        <x:f>IF(A47="","",MAX(0,P47-S47))</x:f>
      </x:c>
      <x:c r="U47" s="22"/>
      <x:c r="V47" s="22"/>
      <x:c r="W47" s="18"/>
      <x:c r="X47" s="18"/>
      <x:c r="Y47" s="18"/>
      <x:c r="Z47" s="18"/>
      <x:c r="AA47" s="18"/>
      <x:c r="AB47" s="18"/>
      <x:c r="AC47" s="18"/>
      <x:c r="AD47" s="19"/>
      <x:c r="AE47" s="18" t="str">
        <x:f>IF(A47="","",IF(AND(N47&lt;TODAY(),J47&lt;&gt;"Termine"),"Retard","OK"))</x:f>
      </x:c>
      <x:c r="AF47" s="18" t="str">
        <x:f>IF(A47="","",IF(P47=0,"Budget manquant",IF(S47/P47&lt;0.5,"Financement critique",IF(S47/P47&lt;0.8,"Financement partiel","OK"))))</x:f>
      </x:c>
      <x:c r="AG47" s="18" t="str">
        <x:f>IF(A47="","",IF(OR(B47="",D47="",J47="",P47="",H47=""),"Donnees manquantes","OK"))</x:f>
      </x:c>
      <x:c r="AH47" s="18"/>
    </x:row>
    <x:row r="48">
      <x:c r="A48" s="18"/>
      <x:c r="B48" s="18"/>
      <x:c r="C48" s="18"/>
      <x:c r="D48" s="18"/>
      <x:c r="E48" s="18"/>
      <x:c r="F48" s="18"/>
      <x:c r="G48" s="18"/>
      <x:c r="H48" s="18"/>
      <x:c r="I48" s="18"/>
      <x:c r="J48" s="18"/>
      <x:c r="K48" s="18"/>
      <x:c r="L48" s="18"/>
      <x:c r="M48" s="19"/>
      <x:c r="N48" s="19"/>
      <x:c r="O48" s="20"/>
      <x:c r="P48" s="21"/>
      <x:c r="Q48" s="21"/>
      <x:c r="R48" s="21"/>
      <x:c r="S48" s="21"/>
      <x:c r="T48" s="21" t="str">
        <x:f>IF(A48="","",MAX(0,P48-S48))</x:f>
      </x:c>
      <x:c r="U48" s="22"/>
      <x:c r="V48" s="22"/>
      <x:c r="W48" s="18"/>
      <x:c r="X48" s="18"/>
      <x:c r="Y48" s="18"/>
      <x:c r="Z48" s="18"/>
      <x:c r="AA48" s="18"/>
      <x:c r="AB48" s="18"/>
      <x:c r="AC48" s="18"/>
      <x:c r="AD48" s="19"/>
      <x:c r="AE48" s="18" t="str">
        <x:f>IF(A48="","",IF(AND(N48&lt;TODAY(),J48&lt;&gt;"Termine"),"Retard","OK"))</x:f>
      </x:c>
      <x:c r="AF48" s="18" t="str">
        <x:f>IF(A48="","",IF(P48=0,"Budget manquant",IF(S48/P48&lt;0.5,"Financement critique",IF(S48/P48&lt;0.8,"Financement partiel","OK"))))</x:f>
      </x:c>
      <x:c r="AG48" s="18" t="str">
        <x:f>IF(A48="","",IF(OR(B48="",D48="",J48="",P48="",H48=""),"Donnees manquantes","OK"))</x:f>
      </x:c>
      <x:c r="AH48" s="18"/>
    </x:row>
    <x:row r="49">
      <x:c r="A49" s="18"/>
      <x:c r="B49" s="18"/>
      <x:c r="C49" s="18"/>
      <x:c r="D49" s="18"/>
      <x:c r="E49" s="18"/>
      <x:c r="F49" s="18"/>
      <x:c r="G49" s="18"/>
      <x:c r="H49" s="18"/>
      <x:c r="I49" s="18"/>
      <x:c r="J49" s="18"/>
      <x:c r="K49" s="18"/>
      <x:c r="L49" s="18"/>
      <x:c r="M49" s="19"/>
      <x:c r="N49" s="19"/>
      <x:c r="O49" s="20"/>
      <x:c r="P49" s="21"/>
      <x:c r="Q49" s="21"/>
      <x:c r="R49" s="21"/>
      <x:c r="S49" s="21"/>
      <x:c r="T49" s="21" t="str">
        <x:f>IF(A49="","",MAX(0,P49-S49))</x:f>
      </x:c>
      <x:c r="U49" s="22"/>
      <x:c r="V49" s="22"/>
      <x:c r="W49" s="18"/>
      <x:c r="X49" s="18"/>
      <x:c r="Y49" s="18"/>
      <x:c r="Z49" s="18"/>
      <x:c r="AA49" s="18"/>
      <x:c r="AB49" s="18"/>
      <x:c r="AC49" s="18"/>
      <x:c r="AD49" s="19"/>
      <x:c r="AE49" s="18" t="str">
        <x:f>IF(A49="","",IF(AND(N49&lt;TODAY(),J49&lt;&gt;"Termine"),"Retard","OK"))</x:f>
      </x:c>
      <x:c r="AF49" s="18" t="str">
        <x:f>IF(A49="","",IF(P49=0,"Budget manquant",IF(S49/P49&lt;0.5,"Financement critique",IF(S49/P49&lt;0.8,"Financement partiel","OK"))))</x:f>
      </x:c>
      <x:c r="AG49" s="18" t="str">
        <x:f>IF(A49="","",IF(OR(B49="",D49="",J49="",P49="",H49=""),"Donnees manquantes","OK"))</x:f>
      </x:c>
      <x:c r="AH49" s="18"/>
    </x:row>
    <x:row r="50">
      <x:c r="A50" s="18"/>
      <x:c r="B50" s="18"/>
      <x:c r="C50" s="18"/>
      <x:c r="D50" s="18"/>
      <x:c r="E50" s="18"/>
      <x:c r="F50" s="18"/>
      <x:c r="G50" s="18"/>
      <x:c r="H50" s="18"/>
      <x:c r="I50" s="18"/>
      <x:c r="J50" s="18"/>
      <x:c r="K50" s="18"/>
      <x:c r="L50" s="18"/>
      <x:c r="M50" s="19"/>
      <x:c r="N50" s="19"/>
      <x:c r="O50" s="20"/>
      <x:c r="P50" s="21"/>
      <x:c r="Q50" s="21"/>
      <x:c r="R50" s="21"/>
      <x:c r="S50" s="21"/>
      <x:c r="T50" s="21" t="str">
        <x:f>IF(A50="","",MAX(0,P50-S50))</x:f>
      </x:c>
      <x:c r="U50" s="22"/>
      <x:c r="V50" s="22"/>
      <x:c r="W50" s="18"/>
      <x:c r="X50" s="18"/>
      <x:c r="Y50" s="18"/>
      <x:c r="Z50" s="18"/>
      <x:c r="AA50" s="18"/>
      <x:c r="AB50" s="18"/>
      <x:c r="AC50" s="18"/>
      <x:c r="AD50" s="19"/>
      <x:c r="AE50" s="18" t="str">
        <x:f>IF(A50="","",IF(AND(N50&lt;TODAY(),J50&lt;&gt;"Termine"),"Retard","OK"))</x:f>
      </x:c>
      <x:c r="AF50" s="18" t="str">
        <x:f>IF(A50="","",IF(P50=0,"Budget manquant",IF(S50/P50&lt;0.5,"Financement critique",IF(S50/P50&lt;0.8,"Financement partiel","OK"))))</x:f>
      </x:c>
      <x:c r="AG50" s="18" t="str">
        <x:f>IF(A50="","",IF(OR(B50="",D50="",J50="",P50="",H50=""),"Donnees manquantes","OK"))</x:f>
      </x:c>
      <x:c r="AH50" s="18"/>
    </x:row>
    <x:row r="51">
      <x:c r="A51" s="18"/>
      <x:c r="B51" s="18"/>
      <x:c r="C51" s="18"/>
      <x:c r="D51" s="18"/>
      <x:c r="E51" s="18"/>
      <x:c r="F51" s="18"/>
      <x:c r="G51" s="18"/>
      <x:c r="H51" s="18"/>
      <x:c r="I51" s="18"/>
      <x:c r="J51" s="18"/>
      <x:c r="K51" s="18"/>
      <x:c r="L51" s="18"/>
      <x:c r="M51" s="19"/>
      <x:c r="N51" s="19"/>
      <x:c r="O51" s="20"/>
      <x:c r="P51" s="21"/>
      <x:c r="Q51" s="21"/>
      <x:c r="R51" s="21"/>
      <x:c r="S51" s="21"/>
      <x:c r="T51" s="21" t="str">
        <x:f>IF(A51="","",MAX(0,P51-S51))</x:f>
      </x:c>
      <x:c r="U51" s="22"/>
      <x:c r="V51" s="22"/>
      <x:c r="W51" s="18"/>
      <x:c r="X51" s="18"/>
      <x:c r="Y51" s="18"/>
      <x:c r="Z51" s="18"/>
      <x:c r="AA51" s="18"/>
      <x:c r="AB51" s="18"/>
      <x:c r="AC51" s="18"/>
      <x:c r="AD51" s="19"/>
      <x:c r="AE51" s="18" t="str">
        <x:f>IF(A51="","",IF(AND(N51&lt;TODAY(),J51&lt;&gt;"Termine"),"Retard","OK"))</x:f>
      </x:c>
      <x:c r="AF51" s="18" t="str">
        <x:f>IF(A51="","",IF(P51=0,"Budget manquant",IF(S51/P51&lt;0.5,"Financement critique",IF(S51/P51&lt;0.8,"Financement partiel","OK"))))</x:f>
      </x:c>
      <x:c r="AG51" s="18" t="str">
        <x:f>IF(A51="","",IF(OR(B51="",D51="",J51="",P51="",H51=""),"Donnees manquantes","OK"))</x:f>
      </x:c>
      <x:c r="AH51" s="18"/>
    </x:row>
    <x:row r="52">
      <x:c r="A52" s="18"/>
      <x:c r="B52" s="18"/>
      <x:c r="C52" s="18"/>
      <x:c r="D52" s="18"/>
      <x:c r="E52" s="18"/>
      <x:c r="F52" s="18"/>
      <x:c r="G52" s="18"/>
      <x:c r="H52" s="18"/>
      <x:c r="I52" s="18"/>
      <x:c r="J52" s="18"/>
      <x:c r="K52" s="18"/>
      <x:c r="L52" s="18"/>
      <x:c r="M52" s="19"/>
      <x:c r="N52" s="19"/>
      <x:c r="O52" s="20"/>
      <x:c r="P52" s="21"/>
      <x:c r="Q52" s="21"/>
      <x:c r="R52" s="21"/>
      <x:c r="S52" s="21"/>
      <x:c r="T52" s="21" t="str">
        <x:f>IF(A52="","",MAX(0,P52-S52))</x:f>
      </x:c>
      <x:c r="U52" s="22"/>
      <x:c r="V52" s="22"/>
      <x:c r="W52" s="18"/>
      <x:c r="X52" s="18"/>
      <x:c r="Y52" s="18"/>
      <x:c r="Z52" s="18"/>
      <x:c r="AA52" s="18"/>
      <x:c r="AB52" s="18"/>
      <x:c r="AC52" s="18"/>
      <x:c r="AD52" s="19"/>
      <x:c r="AE52" s="18" t="str">
        <x:f>IF(A52="","",IF(AND(N52&lt;TODAY(),J52&lt;&gt;"Termine"),"Retard","OK"))</x:f>
      </x:c>
      <x:c r="AF52" s="18" t="str">
        <x:f>IF(A52="","",IF(P52=0,"Budget manquant",IF(S52/P52&lt;0.5,"Financement critique",IF(S52/P52&lt;0.8,"Financement partiel","OK"))))</x:f>
      </x:c>
      <x:c r="AG52" s="18" t="str">
        <x:f>IF(A52="","",IF(OR(B52="",D52="",J52="",P52="",H52=""),"Donnees manquantes","OK"))</x:f>
      </x:c>
      <x:c r="AH52" s="18"/>
    </x:row>
    <x:row r="53">
      <x:c r="A53" s="18"/>
      <x:c r="B53" s="18"/>
      <x:c r="C53" s="18"/>
      <x:c r="D53" s="18"/>
      <x:c r="E53" s="18"/>
      <x:c r="F53" s="18"/>
      <x:c r="G53" s="18"/>
      <x:c r="H53" s="18"/>
      <x:c r="I53" s="18"/>
      <x:c r="J53" s="18"/>
      <x:c r="K53" s="18"/>
      <x:c r="L53" s="18"/>
      <x:c r="M53" s="19"/>
      <x:c r="N53" s="19"/>
      <x:c r="O53" s="20"/>
      <x:c r="P53" s="21"/>
      <x:c r="Q53" s="21"/>
      <x:c r="R53" s="21"/>
      <x:c r="S53" s="21"/>
      <x:c r="T53" s="21" t="str">
        <x:f>IF(A53="","",MAX(0,P53-S53))</x:f>
      </x:c>
      <x:c r="U53" s="22"/>
      <x:c r="V53" s="22"/>
      <x:c r="W53" s="18"/>
      <x:c r="X53" s="18"/>
      <x:c r="Y53" s="18"/>
      <x:c r="Z53" s="18"/>
      <x:c r="AA53" s="18"/>
      <x:c r="AB53" s="18"/>
      <x:c r="AC53" s="18"/>
      <x:c r="AD53" s="19"/>
      <x:c r="AE53" s="18" t="str">
        <x:f>IF(A53="","",IF(AND(N53&lt;TODAY(),J53&lt;&gt;"Termine"),"Retard","OK"))</x:f>
      </x:c>
      <x:c r="AF53" s="18" t="str">
        <x:f>IF(A53="","",IF(P53=0,"Budget manquant",IF(S53/P53&lt;0.5,"Financement critique",IF(S53/P53&lt;0.8,"Financement partiel","OK"))))</x:f>
      </x:c>
      <x:c r="AG53" s="18" t="str">
        <x:f>IF(A53="","",IF(OR(B53="",D53="",J53="",P53="",H53=""),"Donnees manquantes","OK"))</x:f>
      </x:c>
      <x:c r="AH53" s="18"/>
    </x:row>
    <x:row r="54">
      <x:c r="A54" s="18"/>
      <x:c r="B54" s="18"/>
      <x:c r="C54" s="18"/>
      <x:c r="D54" s="18"/>
      <x:c r="E54" s="18"/>
      <x:c r="F54" s="18"/>
      <x:c r="G54" s="18"/>
      <x:c r="H54" s="18"/>
      <x:c r="I54" s="18"/>
      <x:c r="J54" s="18"/>
      <x:c r="K54" s="18"/>
      <x:c r="L54" s="18"/>
      <x:c r="M54" s="19"/>
      <x:c r="N54" s="19"/>
      <x:c r="O54" s="20"/>
      <x:c r="P54" s="21"/>
      <x:c r="Q54" s="21"/>
      <x:c r="R54" s="21"/>
      <x:c r="S54" s="21"/>
      <x:c r="T54" s="21" t="str">
        <x:f>IF(A54="","",MAX(0,P54-S54))</x:f>
      </x:c>
      <x:c r="U54" s="22"/>
      <x:c r="V54" s="22"/>
      <x:c r="W54" s="18"/>
      <x:c r="X54" s="18"/>
      <x:c r="Y54" s="18"/>
      <x:c r="Z54" s="18"/>
      <x:c r="AA54" s="18"/>
      <x:c r="AB54" s="18"/>
      <x:c r="AC54" s="18"/>
      <x:c r="AD54" s="19"/>
      <x:c r="AE54" s="18" t="str">
        <x:f>IF(A54="","",IF(AND(N54&lt;TODAY(),J54&lt;&gt;"Termine"),"Retard","OK"))</x:f>
      </x:c>
      <x:c r="AF54" s="18" t="str">
        <x:f>IF(A54="","",IF(P54=0,"Budget manquant",IF(S54/P54&lt;0.5,"Financement critique",IF(S54/P54&lt;0.8,"Financement partiel","OK"))))</x:f>
      </x:c>
      <x:c r="AG54" s="18" t="str">
        <x:f>IF(A54="","",IF(OR(B54="",D54="",J54="",P54="",H54=""),"Donnees manquantes","OK"))</x:f>
      </x:c>
      <x:c r="AH54" s="18"/>
    </x:row>
    <x:row r="55">
      <x:c r="A55" s="18"/>
      <x:c r="B55" s="18"/>
      <x:c r="C55" s="18"/>
      <x:c r="D55" s="18"/>
      <x:c r="E55" s="18"/>
      <x:c r="F55" s="18"/>
      <x:c r="G55" s="18"/>
      <x:c r="H55" s="18"/>
      <x:c r="I55" s="18"/>
      <x:c r="J55" s="18"/>
      <x:c r="K55" s="18"/>
      <x:c r="L55" s="18"/>
      <x:c r="M55" s="19"/>
      <x:c r="N55" s="19"/>
      <x:c r="O55" s="20"/>
      <x:c r="P55" s="21"/>
      <x:c r="Q55" s="21"/>
      <x:c r="R55" s="21"/>
      <x:c r="S55" s="21"/>
      <x:c r="T55" s="21" t="str">
        <x:f>IF(A55="","",MAX(0,P55-S55))</x:f>
      </x:c>
      <x:c r="U55" s="22"/>
      <x:c r="V55" s="22"/>
      <x:c r="W55" s="18"/>
      <x:c r="X55" s="18"/>
      <x:c r="Y55" s="18"/>
      <x:c r="Z55" s="18"/>
      <x:c r="AA55" s="18"/>
      <x:c r="AB55" s="18"/>
      <x:c r="AC55" s="18"/>
      <x:c r="AD55" s="19"/>
      <x:c r="AE55" s="18" t="str">
        <x:f>IF(A55="","",IF(AND(N55&lt;TODAY(),J55&lt;&gt;"Termine"),"Retard","OK"))</x:f>
      </x:c>
      <x:c r="AF55" s="18" t="str">
        <x:f>IF(A55="","",IF(P55=0,"Budget manquant",IF(S55/P55&lt;0.5,"Financement critique",IF(S55/P55&lt;0.8,"Financement partiel","OK"))))</x:f>
      </x:c>
      <x:c r="AG55" s="18" t="str">
        <x:f>IF(A55="","",IF(OR(B55="",D55="",J55="",P55="",H55=""),"Donnees manquantes","OK"))</x:f>
      </x:c>
      <x:c r="AH55" s="18"/>
    </x:row>
    <x:row r="56">
      <x:c r="A56" s="18"/>
      <x:c r="B56" s="18"/>
      <x:c r="C56" s="18"/>
      <x:c r="D56" s="18"/>
      <x:c r="E56" s="18"/>
      <x:c r="F56" s="18"/>
      <x:c r="G56" s="18"/>
      <x:c r="H56" s="18"/>
      <x:c r="I56" s="18"/>
      <x:c r="J56" s="18"/>
      <x:c r="K56" s="18"/>
      <x:c r="L56" s="18"/>
      <x:c r="M56" s="19"/>
      <x:c r="N56" s="19"/>
      <x:c r="O56" s="20"/>
      <x:c r="P56" s="21"/>
      <x:c r="Q56" s="21"/>
      <x:c r="R56" s="21"/>
      <x:c r="S56" s="21"/>
      <x:c r="T56" s="21" t="str">
        <x:f>IF(A56="","",MAX(0,P56-S56))</x:f>
      </x:c>
      <x:c r="U56" s="22"/>
      <x:c r="V56" s="22"/>
      <x:c r="W56" s="18"/>
      <x:c r="X56" s="18"/>
      <x:c r="Y56" s="18"/>
      <x:c r="Z56" s="18"/>
      <x:c r="AA56" s="18"/>
      <x:c r="AB56" s="18"/>
      <x:c r="AC56" s="18"/>
      <x:c r="AD56" s="19"/>
      <x:c r="AE56" s="18" t="str">
        <x:f>IF(A56="","",IF(AND(N56&lt;TODAY(),J56&lt;&gt;"Termine"),"Retard","OK"))</x:f>
      </x:c>
      <x:c r="AF56" s="18" t="str">
        <x:f>IF(A56="","",IF(P56=0,"Budget manquant",IF(S56/P56&lt;0.5,"Financement critique",IF(S56/P56&lt;0.8,"Financement partiel","OK"))))</x:f>
      </x:c>
      <x:c r="AG56" s="18" t="str">
        <x:f>IF(A56="","",IF(OR(B56="",D56="",J56="",P56="",H56=""),"Donnees manquantes","OK"))</x:f>
      </x:c>
      <x:c r="AH56" s="18"/>
    </x:row>
    <x:row r="57">
      <x:c r="A57" s="18"/>
      <x:c r="B57" s="18"/>
      <x:c r="C57" s="18"/>
      <x:c r="D57" s="18"/>
      <x:c r="E57" s="18"/>
      <x:c r="F57" s="18"/>
      <x:c r="G57" s="18"/>
      <x:c r="H57" s="18"/>
      <x:c r="I57" s="18"/>
      <x:c r="J57" s="18"/>
      <x:c r="K57" s="18"/>
      <x:c r="L57" s="18"/>
      <x:c r="M57" s="19"/>
      <x:c r="N57" s="19"/>
      <x:c r="O57" s="20"/>
      <x:c r="P57" s="21"/>
      <x:c r="Q57" s="21"/>
      <x:c r="R57" s="21"/>
      <x:c r="S57" s="21"/>
      <x:c r="T57" s="21" t="str">
        <x:f>IF(A57="","",MAX(0,P57-S57))</x:f>
      </x:c>
      <x:c r="U57" s="22"/>
      <x:c r="V57" s="22"/>
      <x:c r="W57" s="18"/>
      <x:c r="X57" s="18"/>
      <x:c r="Y57" s="18"/>
      <x:c r="Z57" s="18"/>
      <x:c r="AA57" s="18"/>
      <x:c r="AB57" s="18"/>
      <x:c r="AC57" s="18"/>
      <x:c r="AD57" s="19"/>
      <x:c r="AE57" s="18" t="str">
        <x:f>IF(A57="","",IF(AND(N57&lt;TODAY(),J57&lt;&gt;"Termine"),"Retard","OK"))</x:f>
      </x:c>
      <x:c r="AF57" s="18" t="str">
        <x:f>IF(A57="","",IF(P57=0,"Budget manquant",IF(S57/P57&lt;0.5,"Financement critique",IF(S57/P57&lt;0.8,"Financement partiel","OK"))))</x:f>
      </x:c>
      <x:c r="AG57" s="18" t="str">
        <x:f>IF(A57="","",IF(OR(B57="",D57="",J57="",P57="",H57=""),"Donnees manquantes","OK"))</x:f>
      </x:c>
      <x:c r="AH57" s="18"/>
    </x:row>
    <x:row r="58">
      <x:c r="A58" s="18"/>
      <x:c r="B58" s="18"/>
      <x:c r="C58" s="18"/>
      <x:c r="D58" s="18"/>
      <x:c r="E58" s="18"/>
      <x:c r="F58" s="18"/>
      <x:c r="G58" s="18"/>
      <x:c r="H58" s="18"/>
      <x:c r="I58" s="18"/>
      <x:c r="J58" s="18"/>
      <x:c r="K58" s="18"/>
      <x:c r="L58" s="18"/>
      <x:c r="M58" s="19"/>
      <x:c r="N58" s="19"/>
      <x:c r="O58" s="20"/>
      <x:c r="P58" s="21"/>
      <x:c r="Q58" s="21"/>
      <x:c r="R58" s="21"/>
      <x:c r="S58" s="21"/>
      <x:c r="T58" s="21" t="str">
        <x:f>IF(A58="","",MAX(0,P58-S58))</x:f>
      </x:c>
      <x:c r="U58" s="22"/>
      <x:c r="V58" s="22"/>
      <x:c r="W58" s="18"/>
      <x:c r="X58" s="18"/>
      <x:c r="Y58" s="18"/>
      <x:c r="Z58" s="18"/>
      <x:c r="AA58" s="18"/>
      <x:c r="AB58" s="18"/>
      <x:c r="AC58" s="18"/>
      <x:c r="AD58" s="19"/>
      <x:c r="AE58" s="18" t="str">
        <x:f>IF(A58="","",IF(AND(N58&lt;TODAY(),J58&lt;&gt;"Termine"),"Retard","OK"))</x:f>
      </x:c>
      <x:c r="AF58" s="18" t="str">
        <x:f>IF(A58="","",IF(P58=0,"Budget manquant",IF(S58/P58&lt;0.5,"Financement critique",IF(S58/P58&lt;0.8,"Financement partiel","OK"))))</x:f>
      </x:c>
      <x:c r="AG58" s="18" t="str">
        <x:f>IF(A58="","",IF(OR(B58="",D58="",J58="",P58="",H58=""),"Donnees manquantes","OK"))</x:f>
      </x:c>
      <x:c r="AH58" s="18"/>
    </x:row>
    <x:row r="59">
      <x:c r="A59" s="18"/>
      <x:c r="B59" s="18"/>
      <x:c r="C59" s="18"/>
      <x:c r="D59" s="18"/>
      <x:c r="E59" s="18"/>
      <x:c r="F59" s="18"/>
      <x:c r="G59" s="18"/>
      <x:c r="H59" s="18"/>
      <x:c r="I59" s="18"/>
      <x:c r="J59" s="18"/>
      <x:c r="K59" s="18"/>
      <x:c r="L59" s="18"/>
      <x:c r="M59" s="19"/>
      <x:c r="N59" s="19"/>
      <x:c r="O59" s="20"/>
      <x:c r="P59" s="21"/>
      <x:c r="Q59" s="21"/>
      <x:c r="R59" s="21"/>
      <x:c r="S59" s="21"/>
      <x:c r="T59" s="21" t="str">
        <x:f>IF(A59="","",MAX(0,P59-S59))</x:f>
      </x:c>
      <x:c r="U59" s="22"/>
      <x:c r="V59" s="22"/>
      <x:c r="W59" s="18"/>
      <x:c r="X59" s="18"/>
      <x:c r="Y59" s="18"/>
      <x:c r="Z59" s="18"/>
      <x:c r="AA59" s="18"/>
      <x:c r="AB59" s="18"/>
      <x:c r="AC59" s="18"/>
      <x:c r="AD59" s="19"/>
      <x:c r="AE59" s="18" t="str">
        <x:f>IF(A59="","",IF(AND(N59&lt;TODAY(),J59&lt;&gt;"Termine"),"Retard","OK"))</x:f>
      </x:c>
      <x:c r="AF59" s="18" t="str">
        <x:f>IF(A59="","",IF(P59=0,"Budget manquant",IF(S59/P59&lt;0.5,"Financement critique",IF(S59/P59&lt;0.8,"Financement partiel","OK"))))</x:f>
      </x:c>
      <x:c r="AG59" s="18" t="str">
        <x:f>IF(A59="","",IF(OR(B59="",D59="",J59="",P59="",H59=""),"Donnees manquantes","OK"))</x:f>
      </x:c>
      <x:c r="AH59" s="18"/>
    </x:row>
    <x:row r="60">
      <x:c r="A60" s="18"/>
      <x:c r="B60" s="18"/>
      <x:c r="C60" s="18"/>
      <x:c r="D60" s="18"/>
      <x:c r="E60" s="18"/>
      <x:c r="F60" s="18"/>
      <x:c r="G60" s="18"/>
      <x:c r="H60" s="18"/>
      <x:c r="I60" s="18"/>
      <x:c r="J60" s="18"/>
      <x:c r="K60" s="18"/>
      <x:c r="L60" s="18"/>
      <x:c r="M60" s="19"/>
      <x:c r="N60" s="19"/>
      <x:c r="O60" s="20"/>
      <x:c r="P60" s="21"/>
      <x:c r="Q60" s="21"/>
      <x:c r="R60" s="21"/>
      <x:c r="S60" s="21"/>
      <x:c r="T60" s="21" t="str">
        <x:f>IF(A60="","",MAX(0,P60-S60))</x:f>
      </x:c>
      <x:c r="U60" s="22"/>
      <x:c r="V60" s="22"/>
      <x:c r="W60" s="18"/>
      <x:c r="X60" s="18"/>
      <x:c r="Y60" s="18"/>
      <x:c r="Z60" s="18"/>
      <x:c r="AA60" s="18"/>
      <x:c r="AB60" s="18"/>
      <x:c r="AC60" s="18"/>
      <x:c r="AD60" s="19"/>
      <x:c r="AE60" s="18" t="str">
        <x:f>IF(A60="","",IF(AND(N60&lt;TODAY(),J60&lt;&gt;"Termine"),"Retard","OK"))</x:f>
      </x:c>
      <x:c r="AF60" s="18" t="str">
        <x:f>IF(A60="","",IF(P60=0,"Budget manquant",IF(S60/P60&lt;0.5,"Financement critique",IF(S60/P60&lt;0.8,"Financement partiel","OK"))))</x:f>
      </x:c>
      <x:c r="AG60" s="18" t="str">
        <x:f>IF(A60="","",IF(OR(B60="",D60="",J60="",P60="",H60=""),"Donnees manquantes","OK"))</x:f>
      </x:c>
      <x:c r="AH60" s="18"/>
    </x:row>
    <x:row r="61">
      <x:c r="A61" s="18"/>
      <x:c r="B61" s="18"/>
      <x:c r="C61" s="18"/>
      <x:c r="D61" s="18"/>
      <x:c r="E61" s="18"/>
      <x:c r="F61" s="18"/>
      <x:c r="G61" s="18"/>
      <x:c r="H61" s="18"/>
      <x:c r="I61" s="18"/>
      <x:c r="J61" s="18"/>
      <x:c r="K61" s="18"/>
      <x:c r="L61" s="18"/>
      <x:c r="M61" s="19"/>
      <x:c r="N61" s="19"/>
      <x:c r="O61" s="20"/>
      <x:c r="P61" s="21"/>
      <x:c r="Q61" s="21"/>
      <x:c r="R61" s="21"/>
      <x:c r="S61" s="21"/>
      <x:c r="T61" s="21" t="str">
        <x:f>IF(A61="","",MAX(0,P61-S61))</x:f>
      </x:c>
      <x:c r="U61" s="22"/>
      <x:c r="V61" s="22"/>
      <x:c r="W61" s="18"/>
      <x:c r="X61" s="18"/>
      <x:c r="Y61" s="18"/>
      <x:c r="Z61" s="18"/>
      <x:c r="AA61" s="18"/>
      <x:c r="AB61" s="18"/>
      <x:c r="AC61" s="18"/>
      <x:c r="AD61" s="19"/>
      <x:c r="AE61" s="18" t="str">
        <x:f>IF(A61="","",IF(AND(N61&lt;TODAY(),J61&lt;&gt;"Termine"),"Retard","OK"))</x:f>
      </x:c>
      <x:c r="AF61" s="18" t="str">
        <x:f>IF(A61="","",IF(P61=0,"Budget manquant",IF(S61/P61&lt;0.5,"Financement critique",IF(S61/P61&lt;0.8,"Financement partiel","OK"))))</x:f>
      </x:c>
      <x:c r="AG61" s="18" t="str">
        <x:f>IF(A61="","",IF(OR(B61="",D61="",J61="",P61="",H61=""),"Donnees manquantes","OK"))</x:f>
      </x:c>
      <x:c r="AH61" s="18"/>
    </x:row>
    <x:row r="62">
      <x:c r="A62" s="18"/>
      <x:c r="B62" s="18"/>
      <x:c r="C62" s="18"/>
      <x:c r="D62" s="18"/>
      <x:c r="E62" s="18"/>
      <x:c r="F62" s="18"/>
      <x:c r="G62" s="18"/>
      <x:c r="H62" s="18"/>
      <x:c r="I62" s="18"/>
      <x:c r="J62" s="18"/>
      <x:c r="K62" s="18"/>
      <x:c r="L62" s="18"/>
      <x:c r="M62" s="19"/>
      <x:c r="N62" s="19"/>
      <x:c r="O62" s="20"/>
      <x:c r="P62" s="21"/>
      <x:c r="Q62" s="21"/>
      <x:c r="R62" s="21"/>
      <x:c r="S62" s="21"/>
      <x:c r="T62" s="21" t="str">
        <x:f>IF(A62="","",MAX(0,P62-S62))</x:f>
      </x:c>
      <x:c r="U62" s="22"/>
      <x:c r="V62" s="22"/>
      <x:c r="W62" s="18"/>
      <x:c r="X62" s="18"/>
      <x:c r="Y62" s="18"/>
      <x:c r="Z62" s="18"/>
      <x:c r="AA62" s="18"/>
      <x:c r="AB62" s="18"/>
      <x:c r="AC62" s="18"/>
      <x:c r="AD62" s="19"/>
      <x:c r="AE62" s="18" t="str">
        <x:f>IF(A62="","",IF(AND(N62&lt;TODAY(),J62&lt;&gt;"Termine"),"Retard","OK"))</x:f>
      </x:c>
      <x:c r="AF62" s="18" t="str">
        <x:f>IF(A62="","",IF(P62=0,"Budget manquant",IF(S62/P62&lt;0.5,"Financement critique",IF(S62/P62&lt;0.8,"Financement partiel","OK"))))</x:f>
      </x:c>
      <x:c r="AG62" s="18" t="str">
        <x:f>IF(A62="","",IF(OR(B62="",D62="",J62="",P62="",H62=""),"Donnees manquantes","OK"))</x:f>
      </x:c>
      <x:c r="AH62" s="18"/>
    </x:row>
    <x:row r="63">
      <x:c r="A63" s="18"/>
      <x:c r="B63" s="18"/>
      <x:c r="C63" s="18"/>
      <x:c r="D63" s="18"/>
      <x:c r="E63" s="18"/>
      <x:c r="F63" s="18"/>
      <x:c r="G63" s="18"/>
      <x:c r="H63" s="18"/>
      <x:c r="I63" s="18"/>
      <x:c r="J63" s="18"/>
      <x:c r="K63" s="18"/>
      <x:c r="L63" s="18"/>
      <x:c r="M63" s="19"/>
      <x:c r="N63" s="19"/>
      <x:c r="O63" s="20"/>
      <x:c r="P63" s="21"/>
      <x:c r="Q63" s="21"/>
      <x:c r="R63" s="21"/>
      <x:c r="S63" s="21"/>
      <x:c r="T63" s="21" t="str">
        <x:f>IF(A63="","",MAX(0,P63-S63))</x:f>
      </x:c>
      <x:c r="U63" s="22"/>
      <x:c r="V63" s="22"/>
      <x:c r="W63" s="18"/>
      <x:c r="X63" s="18"/>
      <x:c r="Y63" s="18"/>
      <x:c r="Z63" s="18"/>
      <x:c r="AA63" s="18"/>
      <x:c r="AB63" s="18"/>
      <x:c r="AC63" s="18"/>
      <x:c r="AD63" s="19"/>
      <x:c r="AE63" s="18" t="str">
        <x:f>IF(A63="","",IF(AND(N63&lt;TODAY(),J63&lt;&gt;"Termine"),"Retard","OK"))</x:f>
      </x:c>
      <x:c r="AF63" s="18" t="str">
        <x:f>IF(A63="","",IF(P63=0,"Budget manquant",IF(S63/P63&lt;0.5,"Financement critique",IF(S63/P63&lt;0.8,"Financement partiel","OK"))))</x:f>
      </x:c>
      <x:c r="AG63" s="18" t="str">
        <x:f>IF(A63="","",IF(OR(B63="",D63="",J63="",P63="",H63=""),"Donnees manquantes","OK"))</x:f>
      </x:c>
      <x:c r="AH63" s="18"/>
    </x:row>
    <x:row r="64">
      <x:c r="A64" s="18"/>
      <x:c r="B64" s="18"/>
      <x:c r="C64" s="18"/>
      <x:c r="D64" s="18"/>
      <x:c r="E64" s="18"/>
      <x:c r="F64" s="18"/>
      <x:c r="G64" s="18"/>
      <x:c r="H64" s="18"/>
      <x:c r="I64" s="18"/>
      <x:c r="J64" s="18"/>
      <x:c r="K64" s="18"/>
      <x:c r="L64" s="18"/>
      <x:c r="M64" s="19"/>
      <x:c r="N64" s="19"/>
      <x:c r="O64" s="20"/>
      <x:c r="P64" s="21"/>
      <x:c r="Q64" s="21"/>
      <x:c r="R64" s="21"/>
      <x:c r="S64" s="21"/>
      <x:c r="T64" s="21" t="str">
        <x:f>IF(A64="","",MAX(0,P64-S64))</x:f>
      </x:c>
      <x:c r="U64" s="22"/>
      <x:c r="V64" s="22"/>
      <x:c r="W64" s="18"/>
      <x:c r="X64" s="18"/>
      <x:c r="Y64" s="18"/>
      <x:c r="Z64" s="18"/>
      <x:c r="AA64" s="18"/>
      <x:c r="AB64" s="18"/>
      <x:c r="AC64" s="18"/>
      <x:c r="AD64" s="19"/>
      <x:c r="AE64" s="18" t="str">
        <x:f>IF(A64="","",IF(AND(N64&lt;TODAY(),J64&lt;&gt;"Termine"),"Retard","OK"))</x:f>
      </x:c>
      <x:c r="AF64" s="18" t="str">
        <x:f>IF(A64="","",IF(P64=0,"Budget manquant",IF(S64/P64&lt;0.5,"Financement critique",IF(S64/P64&lt;0.8,"Financement partiel","OK"))))</x:f>
      </x:c>
      <x:c r="AG64" s="18" t="str">
        <x:f>IF(A64="","",IF(OR(B64="",D64="",J64="",P64="",H64=""),"Donnees manquantes","OK"))</x:f>
      </x:c>
      <x:c r="AH64" s="18"/>
    </x:row>
  </x:sheetData>
  <x:mergeCells>
    <x:mergeCell ref="A1:J1"/>
    <x:mergeCell ref="A2:J2"/>
  </x:mergeCells>
  <x:conditionalFormatting sqref="AE5:AE64">
    <x:cfRule type="containsText" dxfId="4" priority="1" operator="containsText" text="Retard"/>
    <x:cfRule type="containsText" dxfId="5" priority="2" operator="containsText" text="critique"/>
    <x:cfRule type="containsText" dxfId="6" priority="3" operator="containsText" text="manquant"/>
    <x:cfRule type="containsText" dxfId="7" priority="4" operator="containsText" text="OK"/>
  </x:conditionalFormatting>
  <x:conditionalFormatting sqref="AF5:AF64">
    <x:cfRule type="containsText" dxfId="8" priority="5" operator="containsText" text="Retard"/>
    <x:cfRule type="containsText" dxfId="9" priority="6" operator="containsText" text="critique"/>
    <x:cfRule type="containsText" dxfId="10" priority="7" operator="containsText" text="manquant"/>
    <x:cfRule type="containsText" dxfId="11" priority="8" operator="containsText" text="OK"/>
  </x:conditionalFormatting>
  <x:conditionalFormatting sqref="AG5:AG64">
    <x:cfRule type="containsText" dxfId="12" priority="9" operator="containsText" text="Retard"/>
    <x:cfRule type="containsText" dxfId="13" priority="10" operator="containsText" text="critique"/>
    <x:cfRule type="containsText" dxfId="14" priority="11" operator="containsText" text="manquant"/>
    <x:cfRule type="containsText" dxfId="15" priority="12" operator="containsText" text="OK"/>
  </x:conditionalFormatting>
  <x:dataValidations count="12">
    <x:dataValidation type="list" errorStyle="warning" showInputMessage="1" showErrorMessage="1" errorTitle="Valeur inattendue" error="Cette colonne utilise une liste controlee." promptTitle="Liste controlee" prompt="Choisir une valeur dans la liste." sqref="C5:C64">
      <x:formula1>"Mitigation,Adaptation,Mixte,Gouvernance,MRV"</x:formula1>
    </x:dataValidation>
    <x:dataValidation type="list" errorStyle="warning" showInputMessage="1" showErrorMessage="1" errorTitle="Valeur inattendue" error="Cette colonne utilise une liste controlee." promptTitle="Liste controlee" prompt="Choisir une valeur dans la liste." sqref="D5:D6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6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64">
      <x:formula1>"Direction Environnement,Direction Planification,Direction Mobilite,Direction Energie,Direction Finance,Direction Dechets,Direction Assainissement,Cabinet du Maire"</x:formula1>
    </x:dataValidation>
    <x:dataValidation type="list" errorStyle="warning" showInputMessage="1" showErrorMessage="1" errorTitle="Valeur inattendue" error="Cette colonne utilise une liste controlee." promptTitle="Liste controlee" prompt="Choisir une valeur dans la liste." sqref="J5:J6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K5:K6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L5:L64">
      <x:formula1>"Critique,Haute,Moyenne,Basse"</x:formula1>
    </x:dataValidation>
    <x:dataValidation type="list" errorStyle="warning" showInputMessage="1" showErrorMessage="1" errorTitle="Valeur inattendue" error="Cette colonne utilise une liste controlee." promptTitle="Liste controlee" prompt="Choisir une valeur dans la liste." sqref="W5:W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X5:X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Y5:Y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Z5:Z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AA5:AA64">
      <x:formula1>"Oui,Non,Partiel,Non applicable"</x:formula1>
    </x:dataValidation>
  </x:dataValidations>
  <x:pageMargins left="0.7" right="0.7" top="0.75" bottom="0.75" header="0.3" footer="0.3"/>
  <x:tableParts count="1">
    <x:tablePart xmlns:r="http://schemas.openxmlformats.org/officeDocument/2006/relationships" r:id="R2534e8bee4c443b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4.380000114440918" hidden="0" customWidth="1"/>
    <x:col min="5" max="5" width="18.1299991607666" hidden="0" customWidth="1"/>
    <x:col min="6" max="6" width="38.75" hidden="0" customWidth="1"/>
    <x:col min="7" max="7" width="11.25" hidden="0" customWidth="1"/>
    <x:col min="8" max="8" width="12.5" hidden="0" customWidth="1"/>
    <x:col min="9" max="9" width="15" hidden="0" customWidth="1"/>
    <x:col min="10" max="10" width="12.5" hidden="0" customWidth="1"/>
    <x:col min="11" max="11" width="15" hidden="0" customWidth="1"/>
    <x:col min="12" max="12" width="15" hidden="0" customWidth="1"/>
    <x:col min="13" max="13" width="14.380000114440918" hidden="0" customWidth="1"/>
    <x:col min="14" max="14" width="16.25" hidden="0" customWidth="1"/>
    <x:col min="15" max="15" width="21.25" hidden="0" customWidth="1"/>
    <x:col min="16" max="16" width="16.25" hidden="0" customWidth="1"/>
    <x:col min="17" max="17" width="13.130000114440918" hidden="0" customWidth="1"/>
    <x:col min="18" max="18" width="13.75" hidden="0" customWidth="1"/>
    <x:col min="19" max="19" width="18.1299991607666" hidden="0" customWidth="1"/>
    <x:col min="20" max="20" width="28.75" hidden="0" customWidth="1"/>
  </x:cols>
  <x:sheetData>
    <x:row r="1" ht="25.5" customHeight="1">
      <x:c r="A1" s="2" t="str">
        <x:v>Indicateurs MRV</x:v>
      </x:c>
      <x:c r="B1" s="2"/>
      <x:c r="C1" s="2"/>
      <x:c r="D1" s="2"/>
      <x:c r="E1" s="2"/>
      <x:c r="F1" s="2"/>
      <x:c r="G1" s="2"/>
      <x:c r="H1" s="2"/>
      <x:c r="I1" s="2"/>
      <x:c r="J1" s="2"/>
    </x:row>
    <x:row r="2" ht="31.5" customHeight="1">
      <x:c r="A2" s="5" t="str">
        <x:v>Indicateurs de suivi-evaluation, lignes de base, cibles, valeurs actuelles et alertes donnees.</x:v>
      </x:c>
      <x:c r="B2" s="5"/>
      <x:c r="C2" s="5"/>
      <x:c r="D2" s="5"/>
      <x:c r="E2" s="5"/>
      <x:c r="F2" s="5"/>
      <x:c r="G2" s="5"/>
      <x:c r="H2" s="5"/>
      <x:c r="I2" s="5"/>
      <x:c r="J2" s="5"/>
    </x:row>
    <x:row r="4" ht="28.5" customHeight="1">
      <x:c r="A4" s="16" t="str">
        <x:v>Indicator_ID</x:v>
      </x:c>
      <x:c r="B4" s="16" t="str">
        <x:v>Project_ID</x:v>
      </x:c>
      <x:c r="C4" s="16" t="str">
        <x:v>Cadre</x:v>
      </x:c>
      <x:c r="D4" s="16" t="str">
        <x:v>Pilier</x:v>
      </x:c>
      <x:c r="E4" s="16" t="str">
        <x:v>Secteur</x:v>
      </x:c>
      <x:c r="F4" s="16" t="str">
        <x:v>Indicateur</x:v>
      </x:c>
      <x:c r="G4" s="16" t="str">
        <x:v>Unite</x:v>
      </x:c>
      <x:c r="H4" s="16" t="str">
        <x:v>Baseline_annee</x:v>
      </x:c>
      <x:c r="I4" s="16" t="str">
        <x:v>Baseline_valeur</x:v>
      </x:c>
      <x:c r="J4" s="16" t="str">
        <x:v>Cible_annee</x:v>
      </x:c>
      <x:c r="K4" s="16" t="str">
        <x:v>Cible_valeur</x:v>
      </x:c>
      <x:c r="L4" s="16" t="str">
        <x:v>Valeur_actuelle</x:v>
      </x:c>
      <x:c r="M4" s="16" t="str">
        <x:v>Date_valeur</x:v>
      </x:c>
      <x:c r="N4" s="16" t="str">
        <x:v>Frequence</x:v>
      </x:c>
      <x:c r="O4" s="16" t="str">
        <x:v>Responsable</x:v>
      </x:c>
      <x:c r="P4" s="16" t="str">
        <x:v>Statut_donnees</x:v>
      </x:c>
      <x:c r="Q4" s="16" t="str">
        <x:v>Progres_pct</x:v>
      </x:c>
      <x:c r="R4" s="16" t="str">
        <x:v>Ecart_cible</x:v>
      </x:c>
      <x:c r="S4" s="16" t="str">
        <x:v>Alerte_donnees</x:v>
      </x:c>
      <x:c r="T4" s="16" t="str">
        <x:v>Commentaires</x:v>
      </x:c>
    </x:row>
    <x:row r="5">
      <x:c r="A5" s="18" t="str">
        <x:v>IND-001</x:v>
      </x:c>
      <x:c r="B5" s="18" t="str">
        <x:v>PRJ-001</x:v>
      </x:c>
      <x:c r="C5" s="18" t="str">
        <x:v>CDP-ICLEI</x:v>
      </x:c>
      <x:c r="D5" s="18" t="str">
        <x:v>Mitigation</x:v>
      </x:c>
      <x:c r="E5" s="18" t="str">
        <x:v>Energie</x:v>
      </x:c>
      <x:c r="F5" s="18" t="str">
        <x:v>Capacite solaire installee sur patrimoine municipal</x:v>
      </x:c>
      <x:c r="G5" s="18" t="str">
        <x:v>kWc</x:v>
      </x:c>
      <x:c r="H5" s="18" t="n">
        <x:v>2024</x:v>
      </x:c>
      <x:c r="I5" s="23" t="n">
        <x:v>0</x:v>
      </x:c>
      <x:c r="J5" s="23" t="n">
        <x:v>2030</x:v>
      </x:c>
      <x:c r="K5" s="23" t="n">
        <x:v>5000</x:v>
      </x:c>
      <x:c r="L5" s="23" t="n">
        <x:v>850</x:v>
      </x:c>
      <x:c r="M5" s="19" t="n">
        <x:v>46157</x:v>
      </x:c>
      <x:c r="N5" s="18" t="str">
        <x:v>Trimestrielle</x:v>
      </x:c>
      <x:c r="O5" s="18" t="str">
        <x:v>Direction Energie</x:v>
      </x:c>
      <x:c r="P5" s="18" t="str">
        <x:v>B - Bonne</x:v>
      </x:c>
      <x:c r="Q5" s="20" t="n">
        <x:f>IF(A5="","",IFERROR(IF(K5=I5,"",MAX(0,MIN(1,(L5-I5)/(K5-I5)))),""))</x:f>
        <x:v>0.17</x:v>
      </x:c>
      <x:c r="R5" s="23" t="n">
        <x:f>IF(A5="","",IF(OR(K5="",L5=""),"",K5-L5))</x:f>
        <x:v>4150</x:v>
      </x:c>
      <x:c r="S5" s="18" t="str">
        <x:f>IF(A5="","",IF(OR(L5="",M5="",P5="D - Faible"),"Donnees manquantes","OK"))</x:f>
        <x:v>OK</x:v>
      </x:c>
      <x:c r="T5" s="18" t="str"/>
    </x:row>
    <x:row r="6">
      <x:c r="A6" s="18" t="str">
        <x:v>IND-002</x:v>
      </x:c>
      <x:c r="B6" s="18" t="str">
        <x:v>PRJ-002</x:v>
      </x:c>
      <x:c r="C6" s="18" t="str">
        <x:v>C40</x:v>
      </x:c>
      <x:c r="D6" s="18" t="str">
        <x:v>Mitigation</x:v>
      </x:c>
      <x:c r="E6" s="18" t="str">
        <x:v>Dechets</x:v>
      </x:c>
      <x:c r="F6" s="18" t="str">
        <x:v>Taux de valorisation des dechets municipaux</x:v>
      </x:c>
      <x:c r="G6" s="18" t="str">
        <x:v>%</x:v>
      </x:c>
      <x:c r="H6" s="18" t="n">
        <x:v>2024</x:v>
      </x:c>
      <x:c r="I6" s="23" t="n">
        <x:v>0.05</x:v>
      </x:c>
      <x:c r="J6" s="23" t="n">
        <x:v>2030</x:v>
      </x:c>
      <x:c r="K6" s="23" t="n">
        <x:v>0.35</x:v>
      </x:c>
      <x:c r="L6" s="23" t="n">
        <x:v>0.12</x:v>
      </x:c>
      <x:c r="M6" s="19" t="n">
        <x:v>46142</x:v>
      </x:c>
      <x:c r="N6" s="18" t="str">
        <x:v>Trimestrielle</x:v>
      </x:c>
      <x:c r="O6" s="18" t="str">
        <x:v>Direction Dechets</x:v>
      </x:c>
      <x:c r="P6" s="18" t="str">
        <x:v>C - Estimee</x:v>
      </x:c>
      <x:c r="Q6" s="20" t="n">
        <x:f>IF(A6="","",IFERROR(IF(K6=I6,"",MAX(0,MIN(1,(L6-I6)/(K6-I6)))),""))</x:f>
        <x:v>0.2333333333333333</x:v>
      </x:c>
      <x:c r="R6" s="23" t="n">
        <x:f>IF(A6="","",IF(OR(K6="",L6=""),"",K6-L6))</x:f>
        <x:v>0.22999999999999998</x:v>
      </x:c>
      <x:c r="S6" s="18" t="str">
        <x:f>IF(A6="","",IF(OR(L6="",M6="",P6="D - Faible"),"Donnees manquantes","OK"))</x:f>
        <x:v>OK</x:v>
      </x:c>
      <x:c r="T6" s="18" t="str"/>
    </x:row>
    <x:row r="7">
      <x:c r="A7" s="18" t="str">
        <x:v>IND-003</x:v>
      </x:c>
      <x:c r="B7" s="18" t="str">
        <x:v>PRJ-005</x:v>
      </x:c>
      <x:c r="C7" s="18" t="str">
        <x:v>CDP-ICLEI</x:v>
      </x:c>
      <x:c r="D7" s="18" t="str">
        <x:v>Air</x:v>
      </x:c>
      <x:c r="E7" s="18" t="str">
        <x:v>Qualite de l'air</x:v>
      </x:c>
      <x:c r="F7" s="18" t="str">
        <x:v>Moyenne annuelle PM2.5</x:v>
      </x:c>
      <x:c r="G7" s="18" t="str">
        <x:v>ug/m3</x:v>
      </x:c>
      <x:c r="H7" s="18" t="n">
        <x:v>2024</x:v>
      </x:c>
      <x:c r="I7" s="23" t="n">
        <x:v>32</x:v>
      </x:c>
      <x:c r="J7" s="23" t="n">
        <x:v>2030</x:v>
      </x:c>
      <x:c r="K7" s="23" t="n">
        <x:v>15</x:v>
      </x:c>
      <x:c r="L7" s="23" t="n">
        <x:v>28</x:v>
      </x:c>
      <x:c r="M7" s="19" t="n">
        <x:v>46143</x:v>
      </x:c>
      <x:c r="N7" s="18" t="str">
        <x:v>Mensuelle</x:v>
      </x:c>
      <x:c r="O7" s="18" t="str">
        <x:v>Direction Environnement</x:v>
      </x:c>
      <x:c r="P7" s="18" t="str">
        <x:v>C - Estimee</x:v>
      </x:c>
      <x:c r="Q7" s="20" t="n">
        <x:f>IF(A7="","",IFERROR(IF(K7=I7,"",MAX(0,MIN(1,(L7-I7)/(K7-I7)))),""))</x:f>
        <x:v>0.23529411764705882</x:v>
      </x:c>
      <x:c r="R7" s="23" t="n">
        <x:f>IF(A7="","",IF(OR(K7="",L7=""),"",K7-L7))</x:f>
        <x:v>-13</x:v>
      </x:c>
      <x:c r="S7" s="18" t="str">
        <x:f>IF(A7="","",IF(OR(L7="",M7="",P7="D - Faible"),"Donnees manquantes","OK"))</x:f>
        <x:v>OK</x:v>
      </x:c>
      <x:c r="T7" s="18" t="str"/>
    </x:row>
    <x:row r="8">
      <x:c r="A8" s="18" t="str">
        <x:v>IND-004</x:v>
      </x:c>
      <x:c r="B8" s="18" t="str">
        <x:v>PRJ-003</x:v>
      </x:c>
      <x:c r="C8" s="18" t="str">
        <x:v>CoM SSA</x:v>
      </x:c>
      <x:c r="D8" s="18" t="str">
        <x:v>Mobilite</x:v>
      </x:c>
      <x:c r="E8" s="18" t="str">
        <x:v>Transport et mobilite</x:v>
      </x:c>
      <x:c r="F8" s="18" t="str">
        <x:v>Part modale mobilite active</x:v>
      </x:c>
      <x:c r="G8" s="18" t="str">
        <x:v>%</x:v>
      </x:c>
      <x:c r="H8" s="18" t="n">
        <x:v>2024</x:v>
      </x:c>
      <x:c r="I8" s="23" t="n">
        <x:v>0.18</x:v>
      </x:c>
      <x:c r="J8" s="23" t="n">
        <x:v>2030</x:v>
      </x:c>
      <x:c r="K8" s="23" t="n">
        <x:v>0.3</x:v>
      </x:c>
      <x:c r="L8" s="23" t="n">
        <x:v>0.2</x:v>
      </x:c>
      <x:c r="M8" s="19" t="n">
        <x:v>46112</x:v>
      </x:c>
      <x:c r="N8" s="18" t="str">
        <x:v>Annuelle</x:v>
      </x:c>
      <x:c r="O8" s="18" t="str">
        <x:v>Direction Mobilite</x:v>
      </x:c>
      <x:c r="P8" s="18" t="str">
        <x:v>D - Faible</x:v>
      </x:c>
      <x:c r="Q8" s="20" t="n">
        <x:f>IF(A8="","",IFERROR(IF(K8=I8,"",MAX(0,MIN(1,(L8-I8)/(K8-I8)))),""))</x:f>
        <x:v>0.16666666666666682</x:v>
      </x:c>
      <x:c r="R8" s="23" t="n">
        <x:f>IF(A8="","",IF(OR(K8="",L8=""),"",K8-L8))</x:f>
        <x:v>0.09999999999999998</x:v>
      </x:c>
      <x:c r="S8" s="18" t="str">
        <x:f>IF(A8="","",IF(OR(L8="",M8="",P8="D - Faible"),"Donnees manquantes","OK"))</x:f>
        <x:v>Donnees manquantes</x:v>
      </x:c>
      <x:c r="T8" s="18" t="str"/>
    </x:row>
    <x:row r="9">
      <x:c r="A9" s="18" t="str">
        <x:v>IND-005</x:v>
      </x:c>
      <x:c r="B9" s="18" t="str">
        <x:v>PRJ-004</x:v>
      </x:c>
      <x:c r="C9" s="18" t="str">
        <x:v>CDN Senegal</x:v>
      </x:c>
      <x:c r="D9" s="18" t="str">
        <x:v>Adaptation</x:v>
      </x:c>
      <x:c r="E9" s="18" t="str">
        <x:v>Urbanisme et resilience</x:v>
      </x:c>
      <x:c r="F9" s="18" t="str">
        <x:v>Population protegee contre les inondations</x:v>
      </x:c>
      <x:c r="G9" s="18" t="str">
        <x:v>personnes</x:v>
      </x:c>
      <x:c r="H9" s="18" t="n">
        <x:v>2024</x:v>
      </x:c>
      <x:c r="I9" s="23" t="n">
        <x:v>0</x:v>
      </x:c>
      <x:c r="J9" s="23" t="n">
        <x:v>2030</x:v>
      </x:c>
      <x:c r="K9" s="23" t="n">
        <x:v>120000</x:v>
      </x:c>
      <x:c r="L9" s="23" t="n">
        <x:v>15000</x:v>
      </x:c>
      <x:c r="M9" s="19" t="n">
        <x:v>46112</x:v>
      </x:c>
      <x:c r="N9" s="18" t="str">
        <x:v>Semestrielle</x:v>
      </x:c>
      <x:c r="O9" s="18" t="str">
        <x:v>Direction Assainissement</x:v>
      </x:c>
      <x:c r="P9" s="18" t="str">
        <x:v>C - Estimee</x:v>
      </x:c>
      <x:c r="Q9" s="20" t="n">
        <x:f>IF(A9="","",IFERROR(IF(K9=I9,"",MAX(0,MIN(1,(L9-I9)/(K9-I9)))),""))</x:f>
        <x:v>0.125</x:v>
      </x:c>
      <x:c r="R9" s="23" t="n">
        <x:f>IF(A9="","",IF(OR(K9="",L9=""),"",K9-L9))</x:f>
        <x:v>105000</x:v>
      </x:c>
      <x:c r="S9" s="18" t="str">
        <x:f>IF(A9="","",IF(OR(L9="",M9="",P9="D - Faible"),"Donnees manquantes","OK"))</x:f>
        <x:v>OK</x:v>
      </x:c>
      <x:c r="T9" s="18" t="str"/>
    </x:row>
    <x:row r="10">
      <x:c r="A10" s="18"/>
      <x:c r="B10" s="18"/>
      <x:c r="C10" s="18"/>
      <x:c r="D10" s="18"/>
      <x:c r="E10" s="18"/>
      <x:c r="F10" s="18"/>
      <x:c r="G10" s="18"/>
      <x:c r="H10" s="18"/>
      <x:c r="I10" s="23"/>
      <x:c r="J10" s="23"/>
      <x:c r="K10" s="23"/>
      <x:c r="L10" s="23"/>
      <x:c r="M10" s="19"/>
      <x:c r="N10" s="18"/>
      <x:c r="O10" s="18"/>
      <x:c r="P10" s="18"/>
      <x:c r="Q10" s="20" t="str">
        <x:f>IF(A10="","",IFERROR(IF(K10=I10,"",MAX(0,MIN(1,(L10-I10)/(K10-I10)))),""))</x:f>
      </x:c>
      <x:c r="R10" s="23" t="str">
        <x:f>IF(A10="","",IF(OR(K10="",L10=""),"",K10-L10))</x:f>
      </x:c>
      <x:c r="S10" s="18" t="str">
        <x:f>IF(A10="","",IF(OR(L10="",M10="",P10="D - Faible"),"Donnees manquantes","OK"))</x:f>
      </x:c>
      <x:c r="T10" s="18"/>
    </x:row>
    <x:row r="11">
      <x:c r="A11" s="18"/>
      <x:c r="B11" s="18"/>
      <x:c r="C11" s="18"/>
      <x:c r="D11" s="18"/>
      <x:c r="E11" s="18"/>
      <x:c r="F11" s="18"/>
      <x:c r="G11" s="18"/>
      <x:c r="H11" s="18"/>
      <x:c r="I11" s="23"/>
      <x:c r="J11" s="23"/>
      <x:c r="K11" s="23"/>
      <x:c r="L11" s="23"/>
      <x:c r="M11" s="19"/>
      <x:c r="N11" s="18"/>
      <x:c r="O11" s="18"/>
      <x:c r="P11" s="18"/>
      <x:c r="Q11" s="20" t="str">
        <x:f>IF(A11="","",IFERROR(IF(K11=I11,"",MAX(0,MIN(1,(L11-I11)/(K11-I11)))),""))</x:f>
      </x:c>
      <x:c r="R11" s="23" t="str">
        <x:f>IF(A11="","",IF(OR(K11="",L11=""),"",K11-L11))</x:f>
      </x:c>
      <x:c r="S11" s="18" t="str">
        <x:f>IF(A11="","",IF(OR(L11="",M11="",P11="D - Faible"),"Donnees manquantes","OK"))</x:f>
      </x:c>
      <x:c r="T11" s="18"/>
    </x:row>
    <x:row r="12">
      <x:c r="A12" s="18"/>
      <x:c r="B12" s="18"/>
      <x:c r="C12" s="18"/>
      <x:c r="D12" s="18"/>
      <x:c r="E12" s="18"/>
      <x:c r="F12" s="18"/>
      <x:c r="G12" s="18"/>
      <x:c r="H12" s="18"/>
      <x:c r="I12" s="23"/>
      <x:c r="J12" s="23"/>
      <x:c r="K12" s="23"/>
      <x:c r="L12" s="23"/>
      <x:c r="M12" s="19"/>
      <x:c r="N12" s="18"/>
      <x:c r="O12" s="18"/>
      <x:c r="P12" s="18"/>
      <x:c r="Q12" s="20" t="str">
        <x:f>IF(A12="","",IFERROR(IF(K12=I12,"",MAX(0,MIN(1,(L12-I12)/(K12-I12)))),""))</x:f>
      </x:c>
      <x:c r="R12" s="23" t="str">
        <x:f>IF(A12="","",IF(OR(K12="",L12=""),"",K12-L12))</x:f>
      </x:c>
      <x:c r="S12" s="18" t="str">
        <x:f>IF(A12="","",IF(OR(L12="",M12="",P12="D - Faible"),"Donnees manquantes","OK"))</x:f>
      </x:c>
      <x:c r="T12" s="18"/>
    </x:row>
    <x:row r="13">
      <x:c r="A13" s="18"/>
      <x:c r="B13" s="18"/>
      <x:c r="C13" s="18"/>
      <x:c r="D13" s="18"/>
      <x:c r="E13" s="18"/>
      <x:c r="F13" s="18"/>
      <x:c r="G13" s="18"/>
      <x:c r="H13" s="18"/>
      <x:c r="I13" s="23"/>
      <x:c r="J13" s="23"/>
      <x:c r="K13" s="23"/>
      <x:c r="L13" s="23"/>
      <x:c r="M13" s="19"/>
      <x:c r="N13" s="18"/>
      <x:c r="O13" s="18"/>
      <x:c r="P13" s="18"/>
      <x:c r="Q13" s="20" t="str">
        <x:f>IF(A13="","",IFERROR(IF(K13=I13,"",MAX(0,MIN(1,(L13-I13)/(K13-I13)))),""))</x:f>
      </x:c>
      <x:c r="R13" s="23" t="str">
        <x:f>IF(A13="","",IF(OR(K13="",L13=""),"",K13-L13))</x:f>
      </x:c>
      <x:c r="S13" s="18" t="str">
        <x:f>IF(A13="","",IF(OR(L13="",M13="",P13="D - Faible"),"Donnees manquantes","OK"))</x:f>
      </x:c>
      <x:c r="T13" s="18"/>
    </x:row>
    <x:row r="14">
      <x:c r="A14" s="18"/>
      <x:c r="B14" s="18"/>
      <x:c r="C14" s="18"/>
      <x:c r="D14" s="18"/>
      <x:c r="E14" s="18"/>
      <x:c r="F14" s="18"/>
      <x:c r="G14" s="18"/>
      <x:c r="H14" s="18"/>
      <x:c r="I14" s="23"/>
      <x:c r="J14" s="23"/>
      <x:c r="K14" s="23"/>
      <x:c r="L14" s="23"/>
      <x:c r="M14" s="19"/>
      <x:c r="N14" s="18"/>
      <x:c r="O14" s="18"/>
      <x:c r="P14" s="18"/>
      <x:c r="Q14" s="20" t="str">
        <x:f>IF(A14="","",IFERROR(IF(K14=I14,"",MAX(0,MIN(1,(L14-I14)/(K14-I14)))),""))</x:f>
      </x:c>
      <x:c r="R14" s="23" t="str">
        <x:f>IF(A14="","",IF(OR(K14="",L14=""),"",K14-L14))</x:f>
      </x:c>
      <x:c r="S14" s="18" t="str">
        <x:f>IF(A14="","",IF(OR(L14="",M14="",P14="D - Faible"),"Donnees manquantes","OK"))</x:f>
      </x:c>
      <x:c r="T14" s="18"/>
    </x:row>
    <x:row r="15">
      <x:c r="A15" s="18"/>
      <x:c r="B15" s="18"/>
      <x:c r="C15" s="18"/>
      <x:c r="D15" s="18"/>
      <x:c r="E15" s="18"/>
      <x:c r="F15" s="18"/>
      <x:c r="G15" s="18"/>
      <x:c r="H15" s="18"/>
      <x:c r="I15" s="23"/>
      <x:c r="J15" s="23"/>
      <x:c r="K15" s="23"/>
      <x:c r="L15" s="23"/>
      <x:c r="M15" s="19"/>
      <x:c r="N15" s="18"/>
      <x:c r="O15" s="18"/>
      <x:c r="P15" s="18"/>
      <x:c r="Q15" s="20" t="str">
        <x:f>IF(A15="","",IFERROR(IF(K15=I15,"",MAX(0,MIN(1,(L15-I15)/(K15-I15)))),""))</x:f>
      </x:c>
      <x:c r="R15" s="23" t="str">
        <x:f>IF(A15="","",IF(OR(K15="",L15=""),"",K15-L15))</x:f>
      </x:c>
      <x:c r="S15" s="18" t="str">
        <x:f>IF(A15="","",IF(OR(L15="",M15="",P15="D - Faible"),"Donnees manquantes","OK"))</x:f>
      </x:c>
      <x:c r="T15" s="18"/>
    </x:row>
    <x:row r="16">
      <x:c r="A16" s="18"/>
      <x:c r="B16" s="18"/>
      <x:c r="C16" s="18"/>
      <x:c r="D16" s="18"/>
      <x:c r="E16" s="18"/>
      <x:c r="F16" s="18"/>
      <x:c r="G16" s="18"/>
      <x:c r="H16" s="18"/>
      <x:c r="I16" s="23"/>
      <x:c r="J16" s="23"/>
      <x:c r="K16" s="23"/>
      <x:c r="L16" s="23"/>
      <x:c r="M16" s="19"/>
      <x:c r="N16" s="18"/>
      <x:c r="O16" s="18"/>
      <x:c r="P16" s="18"/>
      <x:c r="Q16" s="20" t="str">
        <x:f>IF(A16="","",IFERROR(IF(K16=I16,"",MAX(0,MIN(1,(L16-I16)/(K16-I16)))),""))</x:f>
      </x:c>
      <x:c r="R16" s="23" t="str">
        <x:f>IF(A16="","",IF(OR(K16="",L16=""),"",K16-L16))</x:f>
      </x:c>
      <x:c r="S16" s="18" t="str">
        <x:f>IF(A16="","",IF(OR(L16="",M16="",P16="D - Faible"),"Donnees manquantes","OK"))</x:f>
      </x:c>
      <x:c r="T16" s="18"/>
    </x:row>
    <x:row r="17">
      <x:c r="A17" s="18"/>
      <x:c r="B17" s="18"/>
      <x:c r="C17" s="18"/>
      <x:c r="D17" s="18"/>
      <x:c r="E17" s="18"/>
      <x:c r="F17" s="18"/>
      <x:c r="G17" s="18"/>
      <x:c r="H17" s="18"/>
      <x:c r="I17" s="23"/>
      <x:c r="J17" s="23"/>
      <x:c r="K17" s="23"/>
      <x:c r="L17" s="23"/>
      <x:c r="M17" s="19"/>
      <x:c r="N17" s="18"/>
      <x:c r="O17" s="18"/>
      <x:c r="P17" s="18"/>
      <x:c r="Q17" s="20" t="str">
        <x:f>IF(A17="","",IFERROR(IF(K17=I17,"",MAX(0,MIN(1,(L17-I17)/(K17-I17)))),""))</x:f>
      </x:c>
      <x:c r="R17" s="23" t="str">
        <x:f>IF(A17="","",IF(OR(K17="",L17=""),"",K17-L17))</x:f>
      </x:c>
      <x:c r="S17" s="18" t="str">
        <x:f>IF(A17="","",IF(OR(L17="",M17="",P17="D - Faible"),"Donnees manquantes","OK"))</x:f>
      </x:c>
      <x:c r="T17" s="18"/>
    </x:row>
    <x:row r="18">
      <x:c r="A18" s="18"/>
      <x:c r="B18" s="18"/>
      <x:c r="C18" s="18"/>
      <x:c r="D18" s="18"/>
      <x:c r="E18" s="18"/>
      <x:c r="F18" s="18"/>
      <x:c r="G18" s="18"/>
      <x:c r="H18" s="18"/>
      <x:c r="I18" s="23"/>
      <x:c r="J18" s="23"/>
      <x:c r="K18" s="23"/>
      <x:c r="L18" s="23"/>
      <x:c r="M18" s="19"/>
      <x:c r="N18" s="18"/>
      <x:c r="O18" s="18"/>
      <x:c r="P18" s="18"/>
      <x:c r="Q18" s="20" t="str">
        <x:f>IF(A18="","",IFERROR(IF(K18=I18,"",MAX(0,MIN(1,(L18-I18)/(K18-I18)))),""))</x:f>
      </x:c>
      <x:c r="R18" s="23" t="str">
        <x:f>IF(A18="","",IF(OR(K18="",L18=""),"",K18-L18))</x:f>
      </x:c>
      <x:c r="S18" s="18" t="str">
        <x:f>IF(A18="","",IF(OR(L18="",M18="",P18="D - Faible"),"Donnees manquantes","OK"))</x:f>
      </x:c>
      <x:c r="T18" s="18"/>
    </x:row>
    <x:row r="19">
      <x:c r="A19" s="18"/>
      <x:c r="B19" s="18"/>
      <x:c r="C19" s="18"/>
      <x:c r="D19" s="18"/>
      <x:c r="E19" s="18"/>
      <x:c r="F19" s="18"/>
      <x:c r="G19" s="18"/>
      <x:c r="H19" s="18"/>
      <x:c r="I19" s="23"/>
      <x:c r="J19" s="23"/>
      <x:c r="K19" s="23"/>
      <x:c r="L19" s="23"/>
      <x:c r="M19" s="19"/>
      <x:c r="N19" s="18"/>
      <x:c r="O19" s="18"/>
      <x:c r="P19" s="18"/>
      <x:c r="Q19" s="20" t="str">
        <x:f>IF(A19="","",IFERROR(IF(K19=I19,"",MAX(0,MIN(1,(L19-I19)/(K19-I19)))),""))</x:f>
      </x:c>
      <x:c r="R19" s="23" t="str">
        <x:f>IF(A19="","",IF(OR(K19="",L19=""),"",K19-L19))</x:f>
      </x:c>
      <x:c r="S19" s="18" t="str">
        <x:f>IF(A19="","",IF(OR(L19="",M19="",P19="D - Faible"),"Donnees manquantes","OK"))</x:f>
      </x:c>
      <x:c r="T19" s="18"/>
    </x:row>
    <x:row r="20">
      <x:c r="A20" s="18"/>
      <x:c r="B20" s="18"/>
      <x:c r="C20" s="18"/>
      <x:c r="D20" s="18"/>
      <x:c r="E20" s="18"/>
      <x:c r="F20" s="18"/>
      <x:c r="G20" s="18"/>
      <x:c r="H20" s="18"/>
      <x:c r="I20" s="23"/>
      <x:c r="J20" s="23"/>
      <x:c r="K20" s="23"/>
      <x:c r="L20" s="23"/>
      <x:c r="M20" s="19"/>
      <x:c r="N20" s="18"/>
      <x:c r="O20" s="18"/>
      <x:c r="P20" s="18"/>
      <x:c r="Q20" s="20" t="str">
        <x:f>IF(A20="","",IFERROR(IF(K20=I20,"",MAX(0,MIN(1,(L20-I20)/(K20-I20)))),""))</x:f>
      </x:c>
      <x:c r="R20" s="23" t="str">
        <x:f>IF(A20="","",IF(OR(K20="",L20=""),"",K20-L20))</x:f>
      </x:c>
      <x:c r="S20" s="18" t="str">
        <x:f>IF(A20="","",IF(OR(L20="",M20="",P20="D - Faible"),"Donnees manquantes","OK"))</x:f>
      </x:c>
      <x:c r="T20" s="18"/>
    </x:row>
    <x:row r="21">
      <x:c r="A21" s="18"/>
      <x:c r="B21" s="18"/>
      <x:c r="C21" s="18"/>
      <x:c r="D21" s="18"/>
      <x:c r="E21" s="18"/>
      <x:c r="F21" s="18"/>
      <x:c r="G21" s="18"/>
      <x:c r="H21" s="18"/>
      <x:c r="I21" s="23"/>
      <x:c r="J21" s="23"/>
      <x:c r="K21" s="23"/>
      <x:c r="L21" s="23"/>
      <x:c r="M21" s="19"/>
      <x:c r="N21" s="18"/>
      <x:c r="O21" s="18"/>
      <x:c r="P21" s="18"/>
      <x:c r="Q21" s="20" t="str">
        <x:f>IF(A21="","",IFERROR(IF(K21=I21,"",MAX(0,MIN(1,(L21-I21)/(K21-I21)))),""))</x:f>
      </x:c>
      <x:c r="R21" s="23" t="str">
        <x:f>IF(A21="","",IF(OR(K21="",L21=""),"",K21-L21))</x:f>
      </x:c>
      <x:c r="S21" s="18" t="str">
        <x:f>IF(A21="","",IF(OR(L21="",M21="",P21="D - Faible"),"Donnees manquantes","OK"))</x:f>
      </x:c>
      <x:c r="T21" s="18"/>
    </x:row>
    <x:row r="22">
      <x:c r="A22" s="18"/>
      <x:c r="B22" s="18"/>
      <x:c r="C22" s="18"/>
      <x:c r="D22" s="18"/>
      <x:c r="E22" s="18"/>
      <x:c r="F22" s="18"/>
      <x:c r="G22" s="18"/>
      <x:c r="H22" s="18"/>
      <x:c r="I22" s="23"/>
      <x:c r="J22" s="23"/>
      <x:c r="K22" s="23"/>
      <x:c r="L22" s="23"/>
      <x:c r="M22" s="19"/>
      <x:c r="N22" s="18"/>
      <x:c r="O22" s="18"/>
      <x:c r="P22" s="18"/>
      <x:c r="Q22" s="20" t="str">
        <x:f>IF(A22="","",IFERROR(IF(K22=I22,"",MAX(0,MIN(1,(L22-I22)/(K22-I22)))),""))</x:f>
      </x:c>
      <x:c r="R22" s="23" t="str">
        <x:f>IF(A22="","",IF(OR(K22="",L22=""),"",K22-L22))</x:f>
      </x:c>
      <x:c r="S22" s="18" t="str">
        <x:f>IF(A22="","",IF(OR(L22="",M22="",P22="D - Faible"),"Donnees manquantes","OK"))</x:f>
      </x:c>
      <x:c r="T22" s="18"/>
    </x:row>
    <x:row r="23">
      <x:c r="A23" s="18"/>
      <x:c r="B23" s="18"/>
      <x:c r="C23" s="18"/>
      <x:c r="D23" s="18"/>
      <x:c r="E23" s="18"/>
      <x:c r="F23" s="18"/>
      <x:c r="G23" s="18"/>
      <x:c r="H23" s="18"/>
      <x:c r="I23" s="23"/>
      <x:c r="J23" s="23"/>
      <x:c r="K23" s="23"/>
      <x:c r="L23" s="23"/>
      <x:c r="M23" s="19"/>
      <x:c r="N23" s="18"/>
      <x:c r="O23" s="18"/>
      <x:c r="P23" s="18"/>
      <x:c r="Q23" s="20" t="str">
        <x:f>IF(A23="","",IFERROR(IF(K23=I23,"",MAX(0,MIN(1,(L23-I23)/(K23-I23)))),""))</x:f>
      </x:c>
      <x:c r="R23" s="23" t="str">
        <x:f>IF(A23="","",IF(OR(K23="",L23=""),"",K23-L23))</x:f>
      </x:c>
      <x:c r="S23" s="18" t="str">
        <x:f>IF(A23="","",IF(OR(L23="",M23="",P23="D - Faible"),"Donnees manquantes","OK"))</x:f>
      </x:c>
      <x:c r="T23" s="18"/>
    </x:row>
    <x:row r="24">
      <x:c r="A24" s="18"/>
      <x:c r="B24" s="18"/>
      <x:c r="C24" s="18"/>
      <x:c r="D24" s="18"/>
      <x:c r="E24" s="18"/>
      <x:c r="F24" s="18"/>
      <x:c r="G24" s="18"/>
      <x:c r="H24" s="18"/>
      <x:c r="I24" s="23"/>
      <x:c r="J24" s="23"/>
      <x:c r="K24" s="23"/>
      <x:c r="L24" s="23"/>
      <x:c r="M24" s="19"/>
      <x:c r="N24" s="18"/>
      <x:c r="O24" s="18"/>
      <x:c r="P24" s="18"/>
      <x:c r="Q24" s="20" t="str">
        <x:f>IF(A24="","",IFERROR(IF(K24=I24,"",MAX(0,MIN(1,(L24-I24)/(K24-I24)))),""))</x:f>
      </x:c>
      <x:c r="R24" s="23" t="str">
        <x:f>IF(A24="","",IF(OR(K24="",L24=""),"",K24-L24))</x:f>
      </x:c>
      <x:c r="S24" s="18" t="str">
        <x:f>IF(A24="","",IF(OR(L24="",M24="",P24="D - Faible"),"Donnees manquantes","OK"))</x:f>
      </x:c>
      <x:c r="T24" s="18"/>
    </x:row>
    <x:row r="25">
      <x:c r="A25" s="18"/>
      <x:c r="B25" s="18"/>
      <x:c r="C25" s="18"/>
      <x:c r="D25" s="18"/>
      <x:c r="E25" s="18"/>
      <x:c r="F25" s="18"/>
      <x:c r="G25" s="18"/>
      <x:c r="H25" s="18"/>
      <x:c r="I25" s="23"/>
      <x:c r="J25" s="23"/>
      <x:c r="K25" s="23"/>
      <x:c r="L25" s="23"/>
      <x:c r="M25" s="19"/>
      <x:c r="N25" s="18"/>
      <x:c r="O25" s="18"/>
      <x:c r="P25" s="18"/>
      <x:c r="Q25" s="20" t="str">
        <x:f>IF(A25="","",IFERROR(IF(K25=I25,"",MAX(0,MIN(1,(L25-I25)/(K25-I25)))),""))</x:f>
      </x:c>
      <x:c r="R25" s="23" t="str">
        <x:f>IF(A25="","",IF(OR(K25="",L25=""),"",K25-L25))</x:f>
      </x:c>
      <x:c r="S25" s="18" t="str">
        <x:f>IF(A25="","",IF(OR(L25="",M25="",P25="D - Faible"),"Donnees manquantes","OK"))</x:f>
      </x:c>
      <x:c r="T25" s="18"/>
    </x:row>
    <x:row r="26">
      <x:c r="A26" s="18"/>
      <x:c r="B26" s="18"/>
      <x:c r="C26" s="18"/>
      <x:c r="D26" s="18"/>
      <x:c r="E26" s="18"/>
      <x:c r="F26" s="18"/>
      <x:c r="G26" s="18"/>
      <x:c r="H26" s="18"/>
      <x:c r="I26" s="23"/>
      <x:c r="J26" s="23"/>
      <x:c r="K26" s="23"/>
      <x:c r="L26" s="23"/>
      <x:c r="M26" s="19"/>
      <x:c r="N26" s="18"/>
      <x:c r="O26" s="18"/>
      <x:c r="P26" s="18"/>
      <x:c r="Q26" s="20" t="str">
        <x:f>IF(A26="","",IFERROR(IF(K26=I26,"",MAX(0,MIN(1,(L26-I26)/(K26-I26)))),""))</x:f>
      </x:c>
      <x:c r="R26" s="23" t="str">
        <x:f>IF(A26="","",IF(OR(K26="",L26=""),"",K26-L26))</x:f>
      </x:c>
      <x:c r="S26" s="18" t="str">
        <x:f>IF(A26="","",IF(OR(L26="",M26="",P26="D - Faible"),"Donnees manquantes","OK"))</x:f>
      </x:c>
      <x:c r="T26" s="18"/>
    </x:row>
    <x:row r="27">
      <x:c r="A27" s="18"/>
      <x:c r="B27" s="18"/>
      <x:c r="C27" s="18"/>
      <x:c r="D27" s="18"/>
      <x:c r="E27" s="18"/>
      <x:c r="F27" s="18"/>
      <x:c r="G27" s="18"/>
      <x:c r="H27" s="18"/>
      <x:c r="I27" s="23"/>
      <x:c r="J27" s="23"/>
      <x:c r="K27" s="23"/>
      <x:c r="L27" s="23"/>
      <x:c r="M27" s="19"/>
      <x:c r="N27" s="18"/>
      <x:c r="O27" s="18"/>
      <x:c r="P27" s="18"/>
      <x:c r="Q27" s="20" t="str">
        <x:f>IF(A27="","",IFERROR(IF(K27=I27,"",MAX(0,MIN(1,(L27-I27)/(K27-I27)))),""))</x:f>
      </x:c>
      <x:c r="R27" s="23" t="str">
        <x:f>IF(A27="","",IF(OR(K27="",L27=""),"",K27-L27))</x:f>
      </x:c>
      <x:c r="S27" s="18" t="str">
        <x:f>IF(A27="","",IF(OR(L27="",M27="",P27="D - Faible"),"Donnees manquantes","OK"))</x:f>
      </x:c>
      <x:c r="T27" s="18"/>
    </x:row>
    <x:row r="28">
      <x:c r="A28" s="18"/>
      <x:c r="B28" s="18"/>
      <x:c r="C28" s="18"/>
      <x:c r="D28" s="18"/>
      <x:c r="E28" s="18"/>
      <x:c r="F28" s="18"/>
      <x:c r="G28" s="18"/>
      <x:c r="H28" s="18"/>
      <x:c r="I28" s="23"/>
      <x:c r="J28" s="23"/>
      <x:c r="K28" s="23"/>
      <x:c r="L28" s="23"/>
      <x:c r="M28" s="19"/>
      <x:c r="N28" s="18"/>
      <x:c r="O28" s="18"/>
      <x:c r="P28" s="18"/>
      <x:c r="Q28" s="20" t="str">
        <x:f>IF(A28="","",IFERROR(IF(K28=I28,"",MAX(0,MIN(1,(L28-I28)/(K28-I28)))),""))</x:f>
      </x:c>
      <x:c r="R28" s="23" t="str">
        <x:f>IF(A28="","",IF(OR(K28="",L28=""),"",K28-L28))</x:f>
      </x:c>
      <x:c r="S28" s="18" t="str">
        <x:f>IF(A28="","",IF(OR(L28="",M28="",P28="D - Faible"),"Donnees manquantes","OK"))</x:f>
      </x:c>
      <x:c r="T28" s="18"/>
    </x:row>
    <x:row r="29">
      <x:c r="A29" s="18"/>
      <x:c r="B29" s="18"/>
      <x:c r="C29" s="18"/>
      <x:c r="D29" s="18"/>
      <x:c r="E29" s="18"/>
      <x:c r="F29" s="18"/>
      <x:c r="G29" s="18"/>
      <x:c r="H29" s="18"/>
      <x:c r="I29" s="23"/>
      <x:c r="J29" s="23"/>
      <x:c r="K29" s="23"/>
      <x:c r="L29" s="23"/>
      <x:c r="M29" s="19"/>
      <x:c r="N29" s="18"/>
      <x:c r="O29" s="18"/>
      <x:c r="P29" s="18"/>
      <x:c r="Q29" s="20" t="str">
        <x:f>IF(A29="","",IFERROR(IF(K29=I29,"",MAX(0,MIN(1,(L29-I29)/(K29-I29)))),""))</x:f>
      </x:c>
      <x:c r="R29" s="23" t="str">
        <x:f>IF(A29="","",IF(OR(K29="",L29=""),"",K29-L29))</x:f>
      </x:c>
      <x:c r="S29" s="18" t="str">
        <x:f>IF(A29="","",IF(OR(L29="",M29="",P29="D - Faible"),"Donnees manquantes","OK"))</x:f>
      </x:c>
      <x:c r="T29" s="18"/>
    </x:row>
    <x:row r="30">
      <x:c r="A30" s="18"/>
      <x:c r="B30" s="18"/>
      <x:c r="C30" s="18"/>
      <x:c r="D30" s="18"/>
      <x:c r="E30" s="18"/>
      <x:c r="F30" s="18"/>
      <x:c r="G30" s="18"/>
      <x:c r="H30" s="18"/>
      <x:c r="I30" s="23"/>
      <x:c r="J30" s="23"/>
      <x:c r="K30" s="23"/>
      <x:c r="L30" s="23"/>
      <x:c r="M30" s="19"/>
      <x:c r="N30" s="18"/>
      <x:c r="O30" s="18"/>
      <x:c r="P30" s="18"/>
      <x:c r="Q30" s="20" t="str">
        <x:f>IF(A30="","",IFERROR(IF(K30=I30,"",MAX(0,MIN(1,(L30-I30)/(K30-I30)))),""))</x:f>
      </x:c>
      <x:c r="R30" s="23" t="str">
        <x:f>IF(A30="","",IF(OR(K30="",L30=""),"",K30-L30))</x:f>
      </x:c>
      <x:c r="S30" s="18" t="str">
        <x:f>IF(A30="","",IF(OR(L30="",M30="",P30="D - Faible"),"Donnees manquantes","OK"))</x:f>
      </x:c>
      <x:c r="T30" s="18"/>
    </x:row>
    <x:row r="31">
      <x:c r="A31" s="18"/>
      <x:c r="B31" s="18"/>
      <x:c r="C31" s="18"/>
      <x:c r="D31" s="18"/>
      <x:c r="E31" s="18"/>
      <x:c r="F31" s="18"/>
      <x:c r="G31" s="18"/>
      <x:c r="H31" s="18"/>
      <x:c r="I31" s="23"/>
      <x:c r="J31" s="23"/>
      <x:c r="K31" s="23"/>
      <x:c r="L31" s="23"/>
      <x:c r="M31" s="19"/>
      <x:c r="N31" s="18"/>
      <x:c r="O31" s="18"/>
      <x:c r="P31" s="18"/>
      <x:c r="Q31" s="20" t="str">
        <x:f>IF(A31="","",IFERROR(IF(K31=I31,"",MAX(0,MIN(1,(L31-I31)/(K31-I31)))),""))</x:f>
      </x:c>
      <x:c r="R31" s="23" t="str">
        <x:f>IF(A31="","",IF(OR(K31="",L31=""),"",K31-L31))</x:f>
      </x:c>
      <x:c r="S31" s="18" t="str">
        <x:f>IF(A31="","",IF(OR(L31="",M31="",P31="D - Faible"),"Donnees manquantes","OK"))</x:f>
      </x:c>
      <x:c r="T31" s="18"/>
    </x:row>
    <x:row r="32">
      <x:c r="A32" s="18"/>
      <x:c r="B32" s="18"/>
      <x:c r="C32" s="18"/>
      <x:c r="D32" s="18"/>
      <x:c r="E32" s="18"/>
      <x:c r="F32" s="18"/>
      <x:c r="G32" s="18"/>
      <x:c r="H32" s="18"/>
      <x:c r="I32" s="23"/>
      <x:c r="J32" s="23"/>
      <x:c r="K32" s="23"/>
      <x:c r="L32" s="23"/>
      <x:c r="M32" s="19"/>
      <x:c r="N32" s="18"/>
      <x:c r="O32" s="18"/>
      <x:c r="P32" s="18"/>
      <x:c r="Q32" s="20" t="str">
        <x:f>IF(A32="","",IFERROR(IF(K32=I32,"",MAX(0,MIN(1,(L32-I32)/(K32-I32)))),""))</x:f>
      </x:c>
      <x:c r="R32" s="23" t="str">
        <x:f>IF(A32="","",IF(OR(K32="",L32=""),"",K32-L32))</x:f>
      </x:c>
      <x:c r="S32" s="18" t="str">
        <x:f>IF(A32="","",IF(OR(L32="",M32="",P32="D - Faible"),"Donnees manquantes","OK"))</x:f>
      </x:c>
      <x:c r="T32" s="18"/>
    </x:row>
    <x:row r="33">
      <x:c r="A33" s="18"/>
      <x:c r="B33" s="18"/>
      <x:c r="C33" s="18"/>
      <x:c r="D33" s="18"/>
      <x:c r="E33" s="18"/>
      <x:c r="F33" s="18"/>
      <x:c r="G33" s="18"/>
      <x:c r="H33" s="18"/>
      <x:c r="I33" s="23"/>
      <x:c r="J33" s="23"/>
      <x:c r="K33" s="23"/>
      <x:c r="L33" s="23"/>
      <x:c r="M33" s="19"/>
      <x:c r="N33" s="18"/>
      <x:c r="O33" s="18"/>
      <x:c r="P33" s="18"/>
      <x:c r="Q33" s="20" t="str">
        <x:f>IF(A33="","",IFERROR(IF(K33=I33,"",MAX(0,MIN(1,(L33-I33)/(K33-I33)))),""))</x:f>
      </x:c>
      <x:c r="R33" s="23" t="str">
        <x:f>IF(A33="","",IF(OR(K33="",L33=""),"",K33-L33))</x:f>
      </x:c>
      <x:c r="S33" s="18" t="str">
        <x:f>IF(A33="","",IF(OR(L33="",M33="",P33="D - Faible"),"Donnees manquantes","OK"))</x:f>
      </x:c>
      <x:c r="T33" s="18"/>
    </x:row>
    <x:row r="34">
      <x:c r="A34" s="18"/>
      <x:c r="B34" s="18"/>
      <x:c r="C34" s="18"/>
      <x:c r="D34" s="18"/>
      <x:c r="E34" s="18"/>
      <x:c r="F34" s="18"/>
      <x:c r="G34" s="18"/>
      <x:c r="H34" s="18"/>
      <x:c r="I34" s="23"/>
      <x:c r="J34" s="23"/>
      <x:c r="K34" s="23"/>
      <x:c r="L34" s="23"/>
      <x:c r="M34" s="19"/>
      <x:c r="N34" s="18"/>
      <x:c r="O34" s="18"/>
      <x:c r="P34" s="18"/>
      <x:c r="Q34" s="20" t="str">
        <x:f>IF(A34="","",IFERROR(IF(K34=I34,"",MAX(0,MIN(1,(L34-I34)/(K34-I34)))),""))</x:f>
      </x:c>
      <x:c r="R34" s="23" t="str">
        <x:f>IF(A34="","",IF(OR(K34="",L34=""),"",K34-L34))</x:f>
      </x:c>
      <x:c r="S34" s="18" t="str">
        <x:f>IF(A34="","",IF(OR(L34="",M34="",P34="D - Faible"),"Donnees manquantes","OK"))</x:f>
      </x:c>
      <x:c r="T34" s="18"/>
    </x:row>
    <x:row r="35">
      <x:c r="A35" s="18"/>
      <x:c r="B35" s="18"/>
      <x:c r="C35" s="18"/>
      <x:c r="D35" s="18"/>
      <x:c r="E35" s="18"/>
      <x:c r="F35" s="18"/>
      <x:c r="G35" s="18"/>
      <x:c r="H35" s="18"/>
      <x:c r="I35" s="23"/>
      <x:c r="J35" s="23"/>
      <x:c r="K35" s="23"/>
      <x:c r="L35" s="23"/>
      <x:c r="M35" s="19"/>
      <x:c r="N35" s="18"/>
      <x:c r="O35" s="18"/>
      <x:c r="P35" s="18"/>
      <x:c r="Q35" s="20" t="str">
        <x:f>IF(A35="","",IFERROR(IF(K35=I35,"",MAX(0,MIN(1,(L35-I35)/(K35-I35)))),""))</x:f>
      </x:c>
      <x:c r="R35" s="23" t="str">
        <x:f>IF(A35="","",IF(OR(K35="",L35=""),"",K35-L35))</x:f>
      </x:c>
      <x:c r="S35" s="18" t="str">
        <x:f>IF(A35="","",IF(OR(L35="",M35="",P35="D - Faible"),"Donnees manquantes","OK"))</x:f>
      </x:c>
      <x:c r="T35" s="18"/>
    </x:row>
    <x:row r="36">
      <x:c r="A36" s="18"/>
      <x:c r="B36" s="18"/>
      <x:c r="C36" s="18"/>
      <x:c r="D36" s="18"/>
      <x:c r="E36" s="18"/>
      <x:c r="F36" s="18"/>
      <x:c r="G36" s="18"/>
      <x:c r="H36" s="18"/>
      <x:c r="I36" s="23"/>
      <x:c r="J36" s="23"/>
      <x:c r="K36" s="23"/>
      <x:c r="L36" s="23"/>
      <x:c r="M36" s="19"/>
      <x:c r="N36" s="18"/>
      <x:c r="O36" s="18"/>
      <x:c r="P36" s="18"/>
      <x:c r="Q36" s="20" t="str">
        <x:f>IF(A36="","",IFERROR(IF(K36=I36,"",MAX(0,MIN(1,(L36-I36)/(K36-I36)))),""))</x:f>
      </x:c>
      <x:c r="R36" s="23" t="str">
        <x:f>IF(A36="","",IF(OR(K36="",L36=""),"",K36-L36))</x:f>
      </x:c>
      <x:c r="S36" s="18" t="str">
        <x:f>IF(A36="","",IF(OR(L36="",M36="",P36="D - Faible"),"Donnees manquantes","OK"))</x:f>
      </x:c>
      <x:c r="T36" s="18"/>
    </x:row>
    <x:row r="37">
      <x:c r="A37" s="18"/>
      <x:c r="B37" s="18"/>
      <x:c r="C37" s="18"/>
      <x:c r="D37" s="18"/>
      <x:c r="E37" s="18"/>
      <x:c r="F37" s="18"/>
      <x:c r="G37" s="18"/>
      <x:c r="H37" s="18"/>
      <x:c r="I37" s="23"/>
      <x:c r="J37" s="23"/>
      <x:c r="K37" s="23"/>
      <x:c r="L37" s="23"/>
      <x:c r="M37" s="19"/>
      <x:c r="N37" s="18"/>
      <x:c r="O37" s="18"/>
      <x:c r="P37" s="18"/>
      <x:c r="Q37" s="20" t="str">
        <x:f>IF(A37="","",IFERROR(IF(K37=I37,"",MAX(0,MIN(1,(L37-I37)/(K37-I37)))),""))</x:f>
      </x:c>
      <x:c r="R37" s="23" t="str">
        <x:f>IF(A37="","",IF(OR(K37="",L37=""),"",K37-L37))</x:f>
      </x:c>
      <x:c r="S37" s="18" t="str">
        <x:f>IF(A37="","",IF(OR(L37="",M37="",P37="D - Faible"),"Donnees manquantes","OK"))</x:f>
      </x:c>
      <x:c r="T37" s="18"/>
    </x:row>
    <x:row r="38">
      <x:c r="A38" s="18"/>
      <x:c r="B38" s="18"/>
      <x:c r="C38" s="18"/>
      <x:c r="D38" s="18"/>
      <x:c r="E38" s="18"/>
      <x:c r="F38" s="18"/>
      <x:c r="G38" s="18"/>
      <x:c r="H38" s="18"/>
      <x:c r="I38" s="23"/>
      <x:c r="J38" s="23"/>
      <x:c r="K38" s="23"/>
      <x:c r="L38" s="23"/>
      <x:c r="M38" s="19"/>
      <x:c r="N38" s="18"/>
      <x:c r="O38" s="18"/>
      <x:c r="P38" s="18"/>
      <x:c r="Q38" s="20" t="str">
        <x:f>IF(A38="","",IFERROR(IF(K38=I38,"",MAX(0,MIN(1,(L38-I38)/(K38-I38)))),""))</x:f>
      </x:c>
      <x:c r="R38" s="23" t="str">
        <x:f>IF(A38="","",IF(OR(K38="",L38=""),"",K38-L38))</x:f>
      </x:c>
      <x:c r="S38" s="18" t="str">
        <x:f>IF(A38="","",IF(OR(L38="",M38="",P38="D - Faible"),"Donnees manquantes","OK"))</x:f>
      </x:c>
      <x:c r="T38" s="18"/>
    </x:row>
    <x:row r="39">
      <x:c r="A39" s="18"/>
      <x:c r="B39" s="18"/>
      <x:c r="C39" s="18"/>
      <x:c r="D39" s="18"/>
      <x:c r="E39" s="18"/>
      <x:c r="F39" s="18"/>
      <x:c r="G39" s="18"/>
      <x:c r="H39" s="18"/>
      <x:c r="I39" s="23"/>
      <x:c r="J39" s="23"/>
      <x:c r="K39" s="23"/>
      <x:c r="L39" s="23"/>
      <x:c r="M39" s="19"/>
      <x:c r="N39" s="18"/>
      <x:c r="O39" s="18"/>
      <x:c r="P39" s="18"/>
      <x:c r="Q39" s="20" t="str">
        <x:f>IF(A39="","",IFERROR(IF(K39=I39,"",MAX(0,MIN(1,(L39-I39)/(K39-I39)))),""))</x:f>
      </x:c>
      <x:c r="R39" s="23" t="str">
        <x:f>IF(A39="","",IF(OR(K39="",L39=""),"",K39-L39))</x:f>
      </x:c>
      <x:c r="S39" s="18" t="str">
        <x:f>IF(A39="","",IF(OR(L39="",M39="",P39="D - Faible"),"Donnees manquantes","OK"))</x:f>
      </x:c>
      <x:c r="T39" s="18"/>
    </x:row>
    <x:row r="40">
      <x:c r="A40" s="18"/>
      <x:c r="B40" s="18"/>
      <x:c r="C40" s="18"/>
      <x:c r="D40" s="18"/>
      <x:c r="E40" s="18"/>
      <x:c r="F40" s="18"/>
      <x:c r="G40" s="18"/>
      <x:c r="H40" s="18"/>
      <x:c r="I40" s="23"/>
      <x:c r="J40" s="23"/>
      <x:c r="K40" s="23"/>
      <x:c r="L40" s="23"/>
      <x:c r="M40" s="19"/>
      <x:c r="N40" s="18"/>
      <x:c r="O40" s="18"/>
      <x:c r="P40" s="18"/>
      <x:c r="Q40" s="20" t="str">
        <x:f>IF(A40="","",IFERROR(IF(K40=I40,"",MAX(0,MIN(1,(L40-I40)/(K40-I40)))),""))</x:f>
      </x:c>
      <x:c r="R40" s="23" t="str">
        <x:f>IF(A40="","",IF(OR(K40="",L40=""),"",K40-L40))</x:f>
      </x:c>
      <x:c r="S40" s="18" t="str">
        <x:f>IF(A40="","",IF(OR(L40="",M40="",P40="D - Faible"),"Donnees manquantes","OK"))</x:f>
      </x:c>
      <x:c r="T40" s="18"/>
    </x:row>
    <x:row r="41">
      <x:c r="A41" s="18"/>
      <x:c r="B41" s="18"/>
      <x:c r="C41" s="18"/>
      <x:c r="D41" s="18"/>
      <x:c r="E41" s="18"/>
      <x:c r="F41" s="18"/>
      <x:c r="G41" s="18"/>
      <x:c r="H41" s="18"/>
      <x:c r="I41" s="23"/>
      <x:c r="J41" s="23"/>
      <x:c r="K41" s="23"/>
      <x:c r="L41" s="23"/>
      <x:c r="M41" s="19"/>
      <x:c r="N41" s="18"/>
      <x:c r="O41" s="18"/>
      <x:c r="P41" s="18"/>
      <x:c r="Q41" s="20" t="str">
        <x:f>IF(A41="","",IFERROR(IF(K41=I41,"",MAX(0,MIN(1,(L41-I41)/(K41-I41)))),""))</x:f>
      </x:c>
      <x:c r="R41" s="23" t="str">
        <x:f>IF(A41="","",IF(OR(K41="",L41=""),"",K41-L41))</x:f>
      </x:c>
      <x:c r="S41" s="18" t="str">
        <x:f>IF(A41="","",IF(OR(L41="",M41="",P41="D - Faible"),"Donnees manquantes","OK"))</x:f>
      </x:c>
      <x:c r="T41" s="18"/>
    </x:row>
    <x:row r="42">
      <x:c r="A42" s="18"/>
      <x:c r="B42" s="18"/>
      <x:c r="C42" s="18"/>
      <x:c r="D42" s="18"/>
      <x:c r="E42" s="18"/>
      <x:c r="F42" s="18"/>
      <x:c r="G42" s="18"/>
      <x:c r="H42" s="18"/>
      <x:c r="I42" s="23"/>
      <x:c r="J42" s="23"/>
      <x:c r="K42" s="23"/>
      <x:c r="L42" s="23"/>
      <x:c r="M42" s="19"/>
      <x:c r="N42" s="18"/>
      <x:c r="O42" s="18"/>
      <x:c r="P42" s="18"/>
      <x:c r="Q42" s="20" t="str">
        <x:f>IF(A42="","",IFERROR(IF(K42=I42,"",MAX(0,MIN(1,(L42-I42)/(K42-I42)))),""))</x:f>
      </x:c>
      <x:c r="R42" s="23" t="str">
        <x:f>IF(A42="","",IF(OR(K42="",L42=""),"",K42-L42))</x:f>
      </x:c>
      <x:c r="S42" s="18" t="str">
        <x:f>IF(A42="","",IF(OR(L42="",M42="",P42="D - Faible"),"Donnees manquantes","OK"))</x:f>
      </x:c>
      <x:c r="T42" s="18"/>
    </x:row>
    <x:row r="43">
      <x:c r="A43" s="18"/>
      <x:c r="B43" s="18"/>
      <x:c r="C43" s="18"/>
      <x:c r="D43" s="18"/>
      <x:c r="E43" s="18"/>
      <x:c r="F43" s="18"/>
      <x:c r="G43" s="18"/>
      <x:c r="H43" s="18"/>
      <x:c r="I43" s="23"/>
      <x:c r="J43" s="23"/>
      <x:c r="K43" s="23"/>
      <x:c r="L43" s="23"/>
      <x:c r="M43" s="19"/>
      <x:c r="N43" s="18"/>
      <x:c r="O43" s="18"/>
      <x:c r="P43" s="18"/>
      <x:c r="Q43" s="20" t="str">
        <x:f>IF(A43="","",IFERROR(IF(K43=I43,"",MAX(0,MIN(1,(L43-I43)/(K43-I43)))),""))</x:f>
      </x:c>
      <x:c r="R43" s="23" t="str">
        <x:f>IF(A43="","",IF(OR(K43="",L43=""),"",K43-L43))</x:f>
      </x:c>
      <x:c r="S43" s="18" t="str">
        <x:f>IF(A43="","",IF(OR(L43="",M43="",P43="D - Faible"),"Donnees manquantes","OK"))</x:f>
      </x:c>
      <x:c r="T43" s="18"/>
    </x:row>
    <x:row r="44">
      <x:c r="A44" s="18"/>
      <x:c r="B44" s="18"/>
      <x:c r="C44" s="18"/>
      <x:c r="D44" s="18"/>
      <x:c r="E44" s="18"/>
      <x:c r="F44" s="18"/>
      <x:c r="G44" s="18"/>
      <x:c r="H44" s="18"/>
      <x:c r="I44" s="23"/>
      <x:c r="J44" s="23"/>
      <x:c r="K44" s="23"/>
      <x:c r="L44" s="23"/>
      <x:c r="M44" s="19"/>
      <x:c r="N44" s="18"/>
      <x:c r="O44" s="18"/>
      <x:c r="P44" s="18"/>
      <x:c r="Q44" s="20" t="str">
        <x:f>IF(A44="","",IFERROR(IF(K44=I44,"",MAX(0,MIN(1,(L44-I44)/(K44-I44)))),""))</x:f>
      </x:c>
      <x:c r="R44" s="23" t="str">
        <x:f>IF(A44="","",IF(OR(K44="",L44=""),"",K44-L44))</x:f>
      </x:c>
      <x:c r="S44" s="18" t="str">
        <x:f>IF(A44="","",IF(OR(L44="",M44="",P44="D - Faible"),"Donnees manquantes","OK"))</x:f>
      </x:c>
      <x:c r="T44" s="18"/>
    </x:row>
  </x:sheetData>
  <x:mergeCells>
    <x:mergeCell ref="A1:J1"/>
    <x:mergeCell ref="A2:J2"/>
  </x:mergeCells>
  <x:conditionalFormatting sqref="S5:S44">
    <x:cfRule type="containsText" dxfId="16" priority="1" operator="containsText" text="Retard"/>
    <x:cfRule type="containsText" dxfId="17" priority="2" operator="containsText" text="critique"/>
    <x:cfRule type="containsText" dxfId="18" priority="3" operator="containsText" text="manquant"/>
    <x:cfRule type="containsText" dxfId="19"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C5:C44">
      <x:formula1>"CDP-ICLEI,C40,ICLEI/GPC,CoM SSA,CDN Senegal,Interne Dakar"</x:formula1>
    </x:dataValidation>
    <x:dataValidation type="list" errorStyle="warning" showInputMessage="1" showErrorMessage="1" errorTitle="Valeur inattendue" error="Cette colonne utilise une liste controlee." promptTitle="Liste controlee" prompt="Choisir une valeur dans la liste." sqref="D5:D44">
      <x:formula1>"Mitigation,Adaptation,Air,Mobilite,Energie,Dechets,Gouvernance"</x:formula1>
    </x:dataValidation>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N5:N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1dcac89436ea4d8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38.75" hidden="0" customWidth="1"/>
    <x:col min="4" max="4" width="16.25" hidden="0" customWidth="1"/>
    <x:col min="5" max="5" width="18.75" hidden="0" customWidth="1"/>
    <x:col min="6" max="6" width="21.25" hidden="0" customWidth="1"/>
    <x:col min="7" max="7" width="15.630000114440918" hidden="0" customWidth="1"/>
    <x:col min="8" max="8" width="21.25" hidden="0" customWidth="1"/>
    <x:col min="9" max="9" width="12.5" hidden="0" customWidth="1"/>
    <x:col min="10" max="10" width="13.75" hidden="0" customWidth="1"/>
    <x:col min="11" max="11" width="14.380000114440918" hidden="0" customWidth="1"/>
    <x:col min="12" max="12" width="13.130000114440918" hidden="0" customWidth="1"/>
    <x:col min="13" max="13" width="22.5" hidden="0" customWidth="1"/>
    <x:col min="14" max="14" width="27.5" hidden="0" customWidth="1"/>
    <x:col min="15" max="15" width="15" hidden="0" customWidth="1"/>
    <x:col min="16" max="16" width="16.8799991607666" hidden="0" customWidth="1"/>
    <x:col min="17" max="17" width="18.1299991607666" hidden="0" customWidth="1"/>
    <x:col min="18" max="18" width="28.75" hidden="0" customWidth="1"/>
  </x:cols>
  <x:sheetData>
    <x:row r="1" ht="25.5" customHeight="1">
      <x:c r="A1" s="2" t="str">
        <x:v>Actions climat detaillees</x:v>
      </x:c>
      <x:c r="B1" s="2"/>
      <x:c r="C1" s="2"/>
      <x:c r="D1" s="2"/>
      <x:c r="E1" s="2"/>
      <x:c r="F1" s="2"/>
      <x:c r="G1" s="2"/>
      <x:c r="H1" s="2"/>
      <x:c r="I1" s="2"/>
      <x:c r="J1" s="2"/>
    </x:row>
    <x:row r="2" ht="31.5" customHeight="1">
      <x:c r="A2" s="5" t="str">
        <x:v>Actions operationnelles rattachees aux projets et aux engagements climat.</x:v>
      </x:c>
      <x:c r="B2" s="5"/>
      <x:c r="C2" s="5"/>
      <x:c r="D2" s="5"/>
      <x:c r="E2" s="5"/>
      <x:c r="F2" s="5"/>
      <x:c r="G2" s="5"/>
      <x:c r="H2" s="5"/>
      <x:c r="I2" s="5"/>
      <x:c r="J2" s="5"/>
    </x:row>
    <x:row r="4" ht="28.5" customHeight="1">
      <x:c r="A4" s="16" t="str">
        <x:v>Action_ID</x:v>
      </x:c>
      <x:c r="B4" s="16" t="str">
        <x:v>Project_ID</x:v>
      </x:c>
      <x:c r="C4" s="16" t="str">
        <x:v>Action</x:v>
      </x:c>
      <x:c r="D4" s="16" t="str">
        <x:v>Type_action</x:v>
      </x:c>
      <x:c r="E4" s="16" t="str">
        <x:v>Secteur</x:v>
      </x:c>
      <x:c r="F4" s="16" t="str">
        <x:v>Responsable</x:v>
      </x:c>
      <x:c r="G4" s="16" t="str">
        <x:v>Statut</x:v>
      </x:c>
      <x:c r="H4" s="16" t="str">
        <x:v>Maturite</x:v>
      </x:c>
      <x:c r="I4" s="16" t="str">
        <x:v>Priorite</x:v>
      </x:c>
      <x:c r="J4" s="16" t="str">
        <x:v>Date_debut</x:v>
      </x:c>
      <x:c r="K4" s="16" t="str">
        <x:v>Date_echeance</x:v>
      </x:c>
      <x:c r="L4" s="16" t="str">
        <x:v>Realisation_pct</x:v>
      </x:c>
      <x:c r="M4" s="16" t="str">
        <x:v>Dependance</x:v>
      </x:c>
      <x:c r="N4" s="16" t="str">
        <x:v>Co_benefices</x:v>
      </x:c>
      <x:c r="O4" s="16" t="str">
        <x:v>Population_cible</x:v>
      </x:c>
      <x:c r="P4" s="16" t="str">
        <x:v>Alerte_retard</x:v>
      </x:c>
      <x:c r="Q4" s="16" t="str">
        <x:v>Alerte_maturite</x:v>
      </x:c>
      <x:c r="R4" s="16" t="str">
        <x:v>Commentaires</x:v>
      </x:c>
    </x:row>
    <x:row r="5">
      <x:c r="A5" s="18" t="str">
        <x:v>ACT-001</x:v>
      </x:c>
      <x:c r="B5" s="18" t="str">
        <x:v>PRJ-001</x:v>
      </x:c>
      <x:c r="C5" s="18" t="str">
        <x:v>Auditer les toitures prioritaires</x:v>
      </x:c>
      <x:c r="D5" s="18" t="str">
        <x:v>Etude</x:v>
      </x:c>
      <x:c r="E5" s="18" t="str">
        <x:v>Energie</x:v>
      </x:c>
      <x:c r="F5" s="18" t="str">
        <x:v>Direction Energie</x:v>
      </x:c>
      <x:c r="G5" s="18" t="str">
        <x:v>En cours</x:v>
      </x:c>
      <x:c r="H5" s="18" t="str">
        <x:v>5 - En mise en oeuvre</x:v>
      </x:c>
      <x:c r="I5" s="18" t="str">
        <x:v>Haute</x:v>
      </x:c>
      <x:c r="J5" s="19" t="n">
        <x:v>45672</x:v>
      </x:c>
      <x:c r="K5" s="19" t="n">
        <x:v>46203</x:v>
      </x:c>
      <x:c r="L5" s="20" t="n">
        <x:v>0.7</x:v>
      </x:c>
      <x:c r="M5" s="18" t="str">
        <x:v>Acces batiments</x:v>
      </x:c>
      <x:c r="N5" s="18" t="str">
        <x:v>Reduction facture energie</x:v>
      </x:c>
      <x:c r="O5" s="22" t="n">
        <x:v>120000</x:v>
      </x:c>
      <x:c r="P5" s="18" t="str">
        <x:f>IF(A5="","",IF(AND(K5&lt;TODAY(),G5&lt;&gt;"Termine"),"Retard","OK"))</x:f>
        <x:v>OK</x:v>
      </x:c>
      <x:c r="Q5" s="18" t="str">
        <x:f>IF(A5="","",IF(AND(H5="0 - Idee",K5&lt;TODAY()+60),"Maturite critique","OK"))</x:f>
        <x:v>OK</x:v>
      </x:c>
      <x:c r="R5" s="18" t="str"/>
    </x:row>
    <x:row r="6">
      <x:c r="A6" s="18" t="str">
        <x:v>ACT-002</x:v>
      </x:c>
      <x:c r="B6" s="18" t="str">
        <x:v>PRJ-002</x:v>
      </x:c>
      <x:c r="C6" s="18" t="str">
        <x:v>Installer trois plateformes de compostage pilotes</x:v>
      </x:c>
      <x:c r="D6" s="18" t="str">
        <x:v>Infrastructure</x:v>
      </x:c>
      <x:c r="E6" s="18" t="str">
        <x:v>Dechets</x:v>
      </x:c>
      <x:c r="F6" s="18" t="str">
        <x:v>Direction Dechets</x:v>
      </x:c>
      <x:c r="G6" s="18" t="str">
        <x:v>Finance</x:v>
      </x:c>
      <x:c r="H6" s="18" t="str">
        <x:v>4 - Pret a demarrer</x:v>
      </x:c>
      <x:c r="I6" s="18" t="str">
        <x:v>Critique</x:v>
      </x:c>
      <x:c r="J6" s="19" t="n">
        <x:v>46113</x:v>
      </x:c>
      <x:c r="K6" s="19" t="n">
        <x:v>46477</x:v>
      </x:c>
      <x:c r="L6" s="20" t="n">
        <x:v>0.12</x:v>
      </x:c>
      <x:c r="M6" s="18" t="str">
        <x:v>Foncier</x:v>
      </x:c>
      <x:c r="N6" s="18" t="str">
        <x:v>Emploi vert, salubrite</x:v>
      </x:c>
      <x:c r="O6" s="22" t="n">
        <x:v>85000</x:v>
      </x:c>
      <x:c r="P6" s="18" t="str">
        <x:f>IF(A6="","",IF(AND(K6&lt;TODAY(),G6&lt;&gt;"Termine"),"Retard","OK"))</x:f>
        <x:v>OK</x:v>
      </x:c>
      <x:c r="Q6" s="18" t="str">
        <x:f>IF(A6="","",IF(AND(H6="0 - Idee",K6&lt;TODAY()+60),"Maturite critique","OK"))</x:f>
        <x:v>OK</x:v>
      </x:c>
      <x:c r="R6" s="18" t="str"/>
    </x:row>
    <x:row r="7">
      <x:c r="A7" s="18" t="str">
        <x:v>ACT-003</x:v>
      </x:c>
      <x:c r="B7" s="18" t="str">
        <x:v>PRJ-003</x:v>
      </x:c>
      <x:c r="C7" s="18" t="str">
        <x:v>Realiser le diagnostic securite pietonne</x:v>
      </x:c>
      <x:c r="D7" s="18" t="str">
        <x:v>Etude</x:v>
      </x:c>
      <x:c r="E7" s="18" t="str">
        <x:v>Transport et mobilite</x:v>
      </x:c>
      <x:c r="F7" s="18" t="str">
        <x:v>Direction Mobilite</x:v>
      </x:c>
      <x:c r="G7" s="18" t="str">
        <x:v>En preparation</x:v>
      </x:c>
      <x:c r="H7" s="18" t="str">
        <x:v>2 - Etude faisabilite</x:v>
      </x:c>
      <x:c r="I7" s="18" t="str">
        <x:v>Haute</x:v>
      </x:c>
      <x:c r="J7" s="19" t="n">
        <x:v>46054</x:v>
      </x:c>
      <x:c r="K7" s="19" t="n">
        <x:v>46157</x:v>
      </x:c>
      <x:c r="L7" s="20" t="n">
        <x:v>0.4</x:v>
      </x:c>
      <x:c r="M7" s="18" t="str">
        <x:v>Donnees accidentologie</x:v>
      </x:c>
      <x:c r="N7" s="18" t="str">
        <x:v>Sante, inclusion</x:v>
      </x:c>
      <x:c r="O7" s="22" t="n">
        <x:v>180000</x:v>
      </x:c>
      <x:c r="P7" s="18" t="str">
        <x:f>IF(A7="","",IF(AND(K7&lt;TODAY(),G7&lt;&gt;"Termine"),"Retard","OK"))</x:f>
        <x:v>Retard</x:v>
      </x:c>
      <x:c r="Q7" s="18" t="str">
        <x:f>IF(A7="","",IF(AND(H7="0 - Idee",K7&lt;TODAY()+60),"Maturite critique","OK"))</x:f>
        <x:v>OK</x:v>
      </x:c>
      <x:c r="R7" s="18" t="str"/>
    </x:row>
    <x:row r="8">
      <x:c r="A8" s="18" t="str">
        <x:v>ACT-004</x:v>
      </x:c>
      <x:c r="B8" s="18" t="str">
        <x:v>PRJ-005</x:v>
      </x:c>
      <x:c r="C8" s="18" t="str">
        <x:v>Calibrer les capteurs PM2.5 et NO2</x:v>
      </x:c>
      <x:c r="D8" s="18" t="str">
        <x:v>MRV</x:v>
      </x:c>
      <x:c r="E8" s="18" t="str">
        <x:v>Qualite de l'air</x:v>
      </x:c>
      <x:c r="F8" s="18" t="str">
        <x:v>Direction Environnement</x:v>
      </x:c>
      <x:c r="G8" s="18" t="str">
        <x:v>En cours</x:v>
      </x:c>
      <x:c r="H8" s="18" t="str">
        <x:v>5 - En mise en oeuvre</x:v>
      </x:c>
      <x:c r="I8" s="18" t="str">
        <x:v>Moyenne</x:v>
      </x:c>
      <x:c r="J8" s="19" t="n">
        <x:v>45870</x:v>
      </x:c>
      <x:c r="K8" s="19" t="n">
        <x:v>46183</x:v>
      </x:c>
      <x:c r="L8" s="20" t="n">
        <x:v>0.55</x:v>
      </x:c>
      <x:c r="M8" s="18" t="str">
        <x:v>Laboratoire partenaire</x:v>
      </x:c>
      <x:c r="N8" s="18" t="str">
        <x:v>Sante publique</x:v>
      </x:c>
      <x:c r="O8" s="22" t="n">
        <x:v>1100000</x:v>
      </x:c>
      <x:c r="P8" s="18" t="str">
        <x:f>IF(A8="","",IF(AND(K8&lt;TODAY(),G8&lt;&gt;"Termine"),"Retard","OK"))</x:f>
        <x:v>OK</x:v>
      </x:c>
      <x:c r="Q8" s="18" t="str">
        <x:f>IF(A8="","",IF(AND(H8="0 - Idee",K8&lt;TODAY()+60),"Maturite critique","OK"))</x:f>
        <x:v>OK</x:v>
      </x:c>
      <x:c r="R8" s="18" t="str"/>
    </x:row>
    <x:row r="9">
      <x:c r="A9" s="18"/>
      <x:c r="B9" s="18"/>
      <x:c r="C9" s="18"/>
      <x:c r="D9" s="18"/>
      <x:c r="E9" s="18"/>
      <x:c r="F9" s="18"/>
      <x:c r="G9" s="18"/>
      <x:c r="H9" s="18"/>
      <x:c r="I9" s="18"/>
      <x:c r="J9" s="19"/>
      <x:c r="K9" s="19"/>
      <x:c r="L9" s="20"/>
      <x:c r="M9" s="18"/>
      <x:c r="N9" s="18"/>
      <x:c r="O9" s="22"/>
      <x:c r="P9" s="18" t="str">
        <x:f>IF(A9="","",IF(AND(K9&lt;TODAY(),G9&lt;&gt;"Termine"),"Retard","OK"))</x:f>
      </x:c>
      <x:c r="Q9" s="18" t="str">
        <x:f>IF(A9="","",IF(AND(H9="0 - Idee",K9&lt;TODAY()+60),"Maturite critique","OK"))</x:f>
      </x:c>
      <x:c r="R9" s="18"/>
    </x:row>
    <x:row r="10">
      <x:c r="A10" s="18"/>
      <x:c r="B10" s="18"/>
      <x:c r="C10" s="18"/>
      <x:c r="D10" s="18"/>
      <x:c r="E10" s="18"/>
      <x:c r="F10" s="18"/>
      <x:c r="G10" s="18"/>
      <x:c r="H10" s="18"/>
      <x:c r="I10" s="18"/>
      <x:c r="J10" s="19"/>
      <x:c r="K10" s="19"/>
      <x:c r="L10" s="20"/>
      <x:c r="M10" s="18"/>
      <x:c r="N10" s="18"/>
      <x:c r="O10" s="22"/>
      <x:c r="P10" s="18" t="str">
        <x:f>IF(A10="","",IF(AND(K10&lt;TODAY(),G10&lt;&gt;"Termine"),"Retard","OK"))</x:f>
      </x:c>
      <x:c r="Q10" s="18" t="str">
        <x:f>IF(A10="","",IF(AND(H10="0 - Idee",K10&lt;TODAY()+60),"Maturite critique","OK"))</x:f>
      </x:c>
      <x:c r="R10" s="18"/>
    </x:row>
    <x:row r="11">
      <x:c r="A11" s="18"/>
      <x:c r="B11" s="18"/>
      <x:c r="C11" s="18"/>
      <x:c r="D11" s="18"/>
      <x:c r="E11" s="18"/>
      <x:c r="F11" s="18"/>
      <x:c r="G11" s="18"/>
      <x:c r="H11" s="18"/>
      <x:c r="I11" s="18"/>
      <x:c r="J11" s="19"/>
      <x:c r="K11" s="19"/>
      <x:c r="L11" s="20"/>
      <x:c r="M11" s="18"/>
      <x:c r="N11" s="18"/>
      <x:c r="O11" s="22"/>
      <x:c r="P11" s="18" t="str">
        <x:f>IF(A11="","",IF(AND(K11&lt;TODAY(),G11&lt;&gt;"Termine"),"Retard","OK"))</x:f>
      </x:c>
      <x:c r="Q11" s="18" t="str">
        <x:f>IF(A11="","",IF(AND(H11="0 - Idee",K11&lt;TODAY()+60),"Maturite critique","OK"))</x:f>
      </x:c>
      <x:c r="R11" s="18"/>
    </x:row>
    <x:row r="12">
      <x:c r="A12" s="18"/>
      <x:c r="B12" s="18"/>
      <x:c r="C12" s="18"/>
      <x:c r="D12" s="18"/>
      <x:c r="E12" s="18"/>
      <x:c r="F12" s="18"/>
      <x:c r="G12" s="18"/>
      <x:c r="H12" s="18"/>
      <x:c r="I12" s="18"/>
      <x:c r="J12" s="19"/>
      <x:c r="K12" s="19"/>
      <x:c r="L12" s="20"/>
      <x:c r="M12" s="18"/>
      <x:c r="N12" s="18"/>
      <x:c r="O12" s="22"/>
      <x:c r="P12" s="18" t="str">
        <x:f>IF(A12="","",IF(AND(K12&lt;TODAY(),G12&lt;&gt;"Termine"),"Retard","OK"))</x:f>
      </x:c>
      <x:c r="Q12" s="18" t="str">
        <x:f>IF(A12="","",IF(AND(H12="0 - Idee",K12&lt;TODAY()+60),"Maturite critique","OK"))</x:f>
      </x:c>
      <x:c r="R12" s="18"/>
    </x:row>
    <x:row r="13">
      <x:c r="A13" s="18"/>
      <x:c r="B13" s="18"/>
      <x:c r="C13" s="18"/>
      <x:c r="D13" s="18"/>
      <x:c r="E13" s="18"/>
      <x:c r="F13" s="18"/>
      <x:c r="G13" s="18"/>
      <x:c r="H13" s="18"/>
      <x:c r="I13" s="18"/>
      <x:c r="J13" s="19"/>
      <x:c r="K13" s="19"/>
      <x:c r="L13" s="20"/>
      <x:c r="M13" s="18"/>
      <x:c r="N13" s="18"/>
      <x:c r="O13" s="22"/>
      <x:c r="P13" s="18" t="str">
        <x:f>IF(A13="","",IF(AND(K13&lt;TODAY(),G13&lt;&gt;"Termine"),"Retard","OK"))</x:f>
      </x:c>
      <x:c r="Q13" s="18" t="str">
        <x:f>IF(A13="","",IF(AND(H13="0 - Idee",K13&lt;TODAY()+60),"Maturite critique","OK"))</x:f>
      </x:c>
      <x:c r="R13" s="18"/>
    </x:row>
    <x:row r="14">
      <x:c r="A14" s="18"/>
      <x:c r="B14" s="18"/>
      <x:c r="C14" s="18"/>
      <x:c r="D14" s="18"/>
      <x:c r="E14" s="18"/>
      <x:c r="F14" s="18"/>
      <x:c r="G14" s="18"/>
      <x:c r="H14" s="18"/>
      <x:c r="I14" s="18"/>
      <x:c r="J14" s="19"/>
      <x:c r="K14" s="19"/>
      <x:c r="L14" s="20"/>
      <x:c r="M14" s="18"/>
      <x:c r="N14" s="18"/>
      <x:c r="O14" s="22"/>
      <x:c r="P14" s="18" t="str">
        <x:f>IF(A14="","",IF(AND(K14&lt;TODAY(),G14&lt;&gt;"Termine"),"Retard","OK"))</x:f>
      </x:c>
      <x:c r="Q14" s="18" t="str">
        <x:f>IF(A14="","",IF(AND(H14="0 - Idee",K14&lt;TODAY()+60),"Maturite critique","OK"))</x:f>
      </x:c>
      <x:c r="R14" s="18"/>
    </x:row>
    <x:row r="15">
      <x:c r="A15" s="18"/>
      <x:c r="B15" s="18"/>
      <x:c r="C15" s="18"/>
      <x:c r="D15" s="18"/>
      <x:c r="E15" s="18"/>
      <x:c r="F15" s="18"/>
      <x:c r="G15" s="18"/>
      <x:c r="H15" s="18"/>
      <x:c r="I15" s="18"/>
      <x:c r="J15" s="19"/>
      <x:c r="K15" s="19"/>
      <x:c r="L15" s="20"/>
      <x:c r="M15" s="18"/>
      <x:c r="N15" s="18"/>
      <x:c r="O15" s="22"/>
      <x:c r="P15" s="18" t="str">
        <x:f>IF(A15="","",IF(AND(K15&lt;TODAY(),G15&lt;&gt;"Termine"),"Retard","OK"))</x:f>
      </x:c>
      <x:c r="Q15" s="18" t="str">
        <x:f>IF(A15="","",IF(AND(H15="0 - Idee",K15&lt;TODAY()+60),"Maturite critique","OK"))</x:f>
      </x:c>
      <x:c r="R15" s="18"/>
    </x:row>
    <x:row r="16">
      <x:c r="A16" s="18"/>
      <x:c r="B16" s="18"/>
      <x:c r="C16" s="18"/>
      <x:c r="D16" s="18"/>
      <x:c r="E16" s="18"/>
      <x:c r="F16" s="18"/>
      <x:c r="G16" s="18"/>
      <x:c r="H16" s="18"/>
      <x:c r="I16" s="18"/>
      <x:c r="J16" s="19"/>
      <x:c r="K16" s="19"/>
      <x:c r="L16" s="20"/>
      <x:c r="M16" s="18"/>
      <x:c r="N16" s="18"/>
      <x:c r="O16" s="22"/>
      <x:c r="P16" s="18" t="str">
        <x:f>IF(A16="","",IF(AND(K16&lt;TODAY(),G16&lt;&gt;"Termine"),"Retard","OK"))</x:f>
      </x:c>
      <x:c r="Q16" s="18" t="str">
        <x:f>IF(A16="","",IF(AND(H16="0 - Idee",K16&lt;TODAY()+60),"Maturite critique","OK"))</x:f>
      </x:c>
      <x:c r="R16" s="18"/>
    </x:row>
    <x:row r="17">
      <x:c r="A17" s="18"/>
      <x:c r="B17" s="18"/>
      <x:c r="C17" s="18"/>
      <x:c r="D17" s="18"/>
      <x:c r="E17" s="18"/>
      <x:c r="F17" s="18"/>
      <x:c r="G17" s="18"/>
      <x:c r="H17" s="18"/>
      <x:c r="I17" s="18"/>
      <x:c r="J17" s="19"/>
      <x:c r="K17" s="19"/>
      <x:c r="L17" s="20"/>
      <x:c r="M17" s="18"/>
      <x:c r="N17" s="18"/>
      <x:c r="O17" s="22"/>
      <x:c r="P17" s="18" t="str">
        <x:f>IF(A17="","",IF(AND(K17&lt;TODAY(),G17&lt;&gt;"Termine"),"Retard","OK"))</x:f>
      </x:c>
      <x:c r="Q17" s="18" t="str">
        <x:f>IF(A17="","",IF(AND(H17="0 - Idee",K17&lt;TODAY()+60),"Maturite critique","OK"))</x:f>
      </x:c>
      <x:c r="R17" s="18"/>
    </x:row>
    <x:row r="18">
      <x:c r="A18" s="18"/>
      <x:c r="B18" s="18"/>
      <x:c r="C18" s="18"/>
      <x:c r="D18" s="18"/>
      <x:c r="E18" s="18"/>
      <x:c r="F18" s="18"/>
      <x:c r="G18" s="18"/>
      <x:c r="H18" s="18"/>
      <x:c r="I18" s="18"/>
      <x:c r="J18" s="19"/>
      <x:c r="K18" s="19"/>
      <x:c r="L18" s="20"/>
      <x:c r="M18" s="18"/>
      <x:c r="N18" s="18"/>
      <x:c r="O18" s="22"/>
      <x:c r="P18" s="18" t="str">
        <x:f>IF(A18="","",IF(AND(K18&lt;TODAY(),G18&lt;&gt;"Termine"),"Retard","OK"))</x:f>
      </x:c>
      <x:c r="Q18" s="18" t="str">
        <x:f>IF(A18="","",IF(AND(H18="0 - Idee",K18&lt;TODAY()+60),"Maturite critique","OK"))</x:f>
      </x:c>
      <x:c r="R18" s="18"/>
    </x:row>
    <x:row r="19">
      <x:c r="A19" s="18"/>
      <x:c r="B19" s="18"/>
      <x:c r="C19" s="18"/>
      <x:c r="D19" s="18"/>
      <x:c r="E19" s="18"/>
      <x:c r="F19" s="18"/>
      <x:c r="G19" s="18"/>
      <x:c r="H19" s="18"/>
      <x:c r="I19" s="18"/>
      <x:c r="J19" s="19"/>
      <x:c r="K19" s="19"/>
      <x:c r="L19" s="20"/>
      <x:c r="M19" s="18"/>
      <x:c r="N19" s="18"/>
      <x:c r="O19" s="22"/>
      <x:c r="P19" s="18" t="str">
        <x:f>IF(A19="","",IF(AND(K19&lt;TODAY(),G19&lt;&gt;"Termine"),"Retard","OK"))</x:f>
      </x:c>
      <x:c r="Q19" s="18" t="str">
        <x:f>IF(A19="","",IF(AND(H19="0 - Idee",K19&lt;TODAY()+60),"Maturite critique","OK"))</x:f>
      </x:c>
      <x:c r="R19" s="18"/>
    </x:row>
    <x:row r="20">
      <x:c r="A20" s="18"/>
      <x:c r="B20" s="18"/>
      <x:c r="C20" s="18"/>
      <x:c r="D20" s="18"/>
      <x:c r="E20" s="18"/>
      <x:c r="F20" s="18"/>
      <x:c r="G20" s="18"/>
      <x:c r="H20" s="18"/>
      <x:c r="I20" s="18"/>
      <x:c r="J20" s="19"/>
      <x:c r="K20" s="19"/>
      <x:c r="L20" s="20"/>
      <x:c r="M20" s="18"/>
      <x:c r="N20" s="18"/>
      <x:c r="O20" s="22"/>
      <x:c r="P20" s="18" t="str">
        <x:f>IF(A20="","",IF(AND(K20&lt;TODAY(),G20&lt;&gt;"Termine"),"Retard","OK"))</x:f>
      </x:c>
      <x:c r="Q20" s="18" t="str">
        <x:f>IF(A20="","",IF(AND(H20="0 - Idee",K20&lt;TODAY()+60),"Maturite critique","OK"))</x:f>
      </x:c>
      <x:c r="R20" s="18"/>
    </x:row>
    <x:row r="21">
      <x:c r="A21" s="18"/>
      <x:c r="B21" s="18"/>
      <x:c r="C21" s="18"/>
      <x:c r="D21" s="18"/>
      <x:c r="E21" s="18"/>
      <x:c r="F21" s="18"/>
      <x:c r="G21" s="18"/>
      <x:c r="H21" s="18"/>
      <x:c r="I21" s="18"/>
      <x:c r="J21" s="19"/>
      <x:c r="K21" s="19"/>
      <x:c r="L21" s="20"/>
      <x:c r="M21" s="18"/>
      <x:c r="N21" s="18"/>
      <x:c r="O21" s="22"/>
      <x:c r="P21" s="18" t="str">
        <x:f>IF(A21="","",IF(AND(K21&lt;TODAY(),G21&lt;&gt;"Termine"),"Retard","OK"))</x:f>
      </x:c>
      <x:c r="Q21" s="18" t="str">
        <x:f>IF(A21="","",IF(AND(H21="0 - Idee",K21&lt;TODAY()+60),"Maturite critique","OK"))</x:f>
      </x:c>
      <x:c r="R21" s="18"/>
    </x:row>
    <x:row r="22">
      <x:c r="A22" s="18"/>
      <x:c r="B22" s="18"/>
      <x:c r="C22" s="18"/>
      <x:c r="D22" s="18"/>
      <x:c r="E22" s="18"/>
      <x:c r="F22" s="18"/>
      <x:c r="G22" s="18"/>
      <x:c r="H22" s="18"/>
      <x:c r="I22" s="18"/>
      <x:c r="J22" s="19"/>
      <x:c r="K22" s="19"/>
      <x:c r="L22" s="20"/>
      <x:c r="M22" s="18"/>
      <x:c r="N22" s="18"/>
      <x:c r="O22" s="22"/>
      <x:c r="P22" s="18" t="str">
        <x:f>IF(A22="","",IF(AND(K22&lt;TODAY(),G22&lt;&gt;"Termine"),"Retard","OK"))</x:f>
      </x:c>
      <x:c r="Q22" s="18" t="str">
        <x:f>IF(A22="","",IF(AND(H22="0 - Idee",K22&lt;TODAY()+60),"Maturite critique","OK"))</x:f>
      </x:c>
      <x:c r="R22" s="18"/>
    </x:row>
    <x:row r="23">
      <x:c r="A23" s="18"/>
      <x:c r="B23" s="18"/>
      <x:c r="C23" s="18"/>
      <x:c r="D23" s="18"/>
      <x:c r="E23" s="18"/>
      <x:c r="F23" s="18"/>
      <x:c r="G23" s="18"/>
      <x:c r="H23" s="18"/>
      <x:c r="I23" s="18"/>
      <x:c r="J23" s="19"/>
      <x:c r="K23" s="19"/>
      <x:c r="L23" s="20"/>
      <x:c r="M23" s="18"/>
      <x:c r="N23" s="18"/>
      <x:c r="O23" s="22"/>
      <x:c r="P23" s="18" t="str">
        <x:f>IF(A23="","",IF(AND(K23&lt;TODAY(),G23&lt;&gt;"Termine"),"Retard","OK"))</x:f>
      </x:c>
      <x:c r="Q23" s="18" t="str">
        <x:f>IF(A23="","",IF(AND(H23="0 - Idee",K23&lt;TODAY()+60),"Maturite critique","OK"))</x:f>
      </x:c>
      <x:c r="R23" s="18"/>
    </x:row>
    <x:row r="24">
      <x:c r="A24" s="18"/>
      <x:c r="B24" s="18"/>
      <x:c r="C24" s="18"/>
      <x:c r="D24" s="18"/>
      <x:c r="E24" s="18"/>
      <x:c r="F24" s="18"/>
      <x:c r="G24" s="18"/>
      <x:c r="H24" s="18"/>
      <x:c r="I24" s="18"/>
      <x:c r="J24" s="19"/>
      <x:c r="K24" s="19"/>
      <x:c r="L24" s="20"/>
      <x:c r="M24" s="18"/>
      <x:c r="N24" s="18"/>
      <x:c r="O24" s="22"/>
      <x:c r="P24" s="18" t="str">
        <x:f>IF(A24="","",IF(AND(K24&lt;TODAY(),G24&lt;&gt;"Termine"),"Retard","OK"))</x:f>
      </x:c>
      <x:c r="Q24" s="18" t="str">
        <x:f>IF(A24="","",IF(AND(H24="0 - Idee",K24&lt;TODAY()+60),"Maturite critique","OK"))</x:f>
      </x:c>
      <x:c r="R24" s="18"/>
    </x:row>
    <x:row r="25">
      <x:c r="A25" s="18"/>
      <x:c r="B25" s="18"/>
      <x:c r="C25" s="18"/>
      <x:c r="D25" s="18"/>
      <x:c r="E25" s="18"/>
      <x:c r="F25" s="18"/>
      <x:c r="G25" s="18"/>
      <x:c r="H25" s="18"/>
      <x:c r="I25" s="18"/>
      <x:c r="J25" s="19"/>
      <x:c r="K25" s="19"/>
      <x:c r="L25" s="20"/>
      <x:c r="M25" s="18"/>
      <x:c r="N25" s="18"/>
      <x:c r="O25" s="22"/>
      <x:c r="P25" s="18" t="str">
        <x:f>IF(A25="","",IF(AND(K25&lt;TODAY(),G25&lt;&gt;"Termine"),"Retard","OK"))</x:f>
      </x:c>
      <x:c r="Q25" s="18" t="str">
        <x:f>IF(A25="","",IF(AND(H25="0 - Idee",K25&lt;TODAY()+60),"Maturite critique","OK"))</x:f>
      </x:c>
      <x:c r="R25" s="18"/>
    </x:row>
    <x:row r="26">
      <x:c r="A26" s="18"/>
      <x:c r="B26" s="18"/>
      <x:c r="C26" s="18"/>
      <x:c r="D26" s="18"/>
      <x:c r="E26" s="18"/>
      <x:c r="F26" s="18"/>
      <x:c r="G26" s="18"/>
      <x:c r="H26" s="18"/>
      <x:c r="I26" s="18"/>
      <x:c r="J26" s="19"/>
      <x:c r="K26" s="19"/>
      <x:c r="L26" s="20"/>
      <x:c r="M26" s="18"/>
      <x:c r="N26" s="18"/>
      <x:c r="O26" s="22"/>
      <x:c r="P26" s="18" t="str">
        <x:f>IF(A26="","",IF(AND(K26&lt;TODAY(),G26&lt;&gt;"Termine"),"Retard","OK"))</x:f>
      </x:c>
      <x:c r="Q26" s="18" t="str">
        <x:f>IF(A26="","",IF(AND(H26="0 - Idee",K26&lt;TODAY()+60),"Maturite critique","OK"))</x:f>
      </x:c>
      <x:c r="R26" s="18"/>
    </x:row>
    <x:row r="27">
      <x:c r="A27" s="18"/>
      <x:c r="B27" s="18"/>
      <x:c r="C27" s="18"/>
      <x:c r="D27" s="18"/>
      <x:c r="E27" s="18"/>
      <x:c r="F27" s="18"/>
      <x:c r="G27" s="18"/>
      <x:c r="H27" s="18"/>
      <x:c r="I27" s="18"/>
      <x:c r="J27" s="19"/>
      <x:c r="K27" s="19"/>
      <x:c r="L27" s="20"/>
      <x:c r="M27" s="18"/>
      <x:c r="N27" s="18"/>
      <x:c r="O27" s="22"/>
      <x:c r="P27" s="18" t="str">
        <x:f>IF(A27="","",IF(AND(K27&lt;TODAY(),G27&lt;&gt;"Termine"),"Retard","OK"))</x:f>
      </x:c>
      <x:c r="Q27" s="18" t="str">
        <x:f>IF(A27="","",IF(AND(H27="0 - Idee",K27&lt;TODAY()+60),"Maturite critique","OK"))</x:f>
      </x:c>
      <x:c r="R27" s="18"/>
    </x:row>
    <x:row r="28">
      <x:c r="A28" s="18"/>
      <x:c r="B28" s="18"/>
      <x:c r="C28" s="18"/>
      <x:c r="D28" s="18"/>
      <x:c r="E28" s="18"/>
      <x:c r="F28" s="18"/>
      <x:c r="G28" s="18"/>
      <x:c r="H28" s="18"/>
      <x:c r="I28" s="18"/>
      <x:c r="J28" s="19"/>
      <x:c r="K28" s="19"/>
      <x:c r="L28" s="20"/>
      <x:c r="M28" s="18"/>
      <x:c r="N28" s="18"/>
      <x:c r="O28" s="22"/>
      <x:c r="P28" s="18" t="str">
        <x:f>IF(A28="","",IF(AND(K28&lt;TODAY(),G28&lt;&gt;"Termine"),"Retard","OK"))</x:f>
      </x:c>
      <x:c r="Q28" s="18" t="str">
        <x:f>IF(A28="","",IF(AND(H28="0 - Idee",K28&lt;TODAY()+60),"Maturite critique","OK"))</x:f>
      </x:c>
      <x:c r="R28" s="18"/>
    </x:row>
    <x:row r="29">
      <x:c r="A29" s="18"/>
      <x:c r="B29" s="18"/>
      <x:c r="C29" s="18"/>
      <x:c r="D29" s="18"/>
      <x:c r="E29" s="18"/>
      <x:c r="F29" s="18"/>
      <x:c r="G29" s="18"/>
      <x:c r="H29" s="18"/>
      <x:c r="I29" s="18"/>
      <x:c r="J29" s="19"/>
      <x:c r="K29" s="19"/>
      <x:c r="L29" s="20"/>
      <x:c r="M29" s="18"/>
      <x:c r="N29" s="18"/>
      <x:c r="O29" s="22"/>
      <x:c r="P29" s="18" t="str">
        <x:f>IF(A29="","",IF(AND(K29&lt;TODAY(),G29&lt;&gt;"Termine"),"Retard","OK"))</x:f>
      </x:c>
      <x:c r="Q29" s="18" t="str">
        <x:f>IF(A29="","",IF(AND(H29="0 - Idee",K29&lt;TODAY()+60),"Maturite critique","OK"))</x:f>
      </x:c>
      <x:c r="R29" s="18"/>
    </x:row>
    <x:row r="30">
      <x:c r="A30" s="18"/>
      <x:c r="B30" s="18"/>
      <x:c r="C30" s="18"/>
      <x:c r="D30" s="18"/>
      <x:c r="E30" s="18"/>
      <x:c r="F30" s="18"/>
      <x:c r="G30" s="18"/>
      <x:c r="H30" s="18"/>
      <x:c r="I30" s="18"/>
      <x:c r="J30" s="19"/>
      <x:c r="K30" s="19"/>
      <x:c r="L30" s="20"/>
      <x:c r="M30" s="18"/>
      <x:c r="N30" s="18"/>
      <x:c r="O30" s="22"/>
      <x:c r="P30" s="18" t="str">
        <x:f>IF(A30="","",IF(AND(K30&lt;TODAY(),G30&lt;&gt;"Termine"),"Retard","OK"))</x:f>
      </x:c>
      <x:c r="Q30" s="18" t="str">
        <x:f>IF(A30="","",IF(AND(H30="0 - Idee",K30&lt;TODAY()+60),"Maturite critique","OK"))</x:f>
      </x:c>
      <x:c r="R30" s="18"/>
    </x:row>
    <x:row r="31">
      <x:c r="A31" s="18"/>
      <x:c r="B31" s="18"/>
      <x:c r="C31" s="18"/>
      <x:c r="D31" s="18"/>
      <x:c r="E31" s="18"/>
      <x:c r="F31" s="18"/>
      <x:c r="G31" s="18"/>
      <x:c r="H31" s="18"/>
      <x:c r="I31" s="18"/>
      <x:c r="J31" s="19"/>
      <x:c r="K31" s="19"/>
      <x:c r="L31" s="20"/>
      <x:c r="M31" s="18"/>
      <x:c r="N31" s="18"/>
      <x:c r="O31" s="22"/>
      <x:c r="P31" s="18" t="str">
        <x:f>IF(A31="","",IF(AND(K31&lt;TODAY(),G31&lt;&gt;"Termine"),"Retard","OK"))</x:f>
      </x:c>
      <x:c r="Q31" s="18" t="str">
        <x:f>IF(A31="","",IF(AND(H31="0 - Idee",K31&lt;TODAY()+60),"Maturite critique","OK"))</x:f>
      </x:c>
      <x:c r="R31" s="18"/>
    </x:row>
    <x:row r="32">
      <x:c r="A32" s="18"/>
      <x:c r="B32" s="18"/>
      <x:c r="C32" s="18"/>
      <x:c r="D32" s="18"/>
      <x:c r="E32" s="18"/>
      <x:c r="F32" s="18"/>
      <x:c r="G32" s="18"/>
      <x:c r="H32" s="18"/>
      <x:c r="I32" s="18"/>
      <x:c r="J32" s="19"/>
      <x:c r="K32" s="19"/>
      <x:c r="L32" s="20"/>
      <x:c r="M32" s="18"/>
      <x:c r="N32" s="18"/>
      <x:c r="O32" s="22"/>
      <x:c r="P32" s="18" t="str">
        <x:f>IF(A32="","",IF(AND(K32&lt;TODAY(),G32&lt;&gt;"Termine"),"Retard","OK"))</x:f>
      </x:c>
      <x:c r="Q32" s="18" t="str">
        <x:f>IF(A32="","",IF(AND(H32="0 - Idee",K32&lt;TODAY()+60),"Maturite critique","OK"))</x:f>
      </x:c>
      <x:c r="R32" s="18"/>
    </x:row>
    <x:row r="33">
      <x:c r="A33" s="18"/>
      <x:c r="B33" s="18"/>
      <x:c r="C33" s="18"/>
      <x:c r="D33" s="18"/>
      <x:c r="E33" s="18"/>
      <x:c r="F33" s="18"/>
      <x:c r="G33" s="18"/>
      <x:c r="H33" s="18"/>
      <x:c r="I33" s="18"/>
      <x:c r="J33" s="19"/>
      <x:c r="K33" s="19"/>
      <x:c r="L33" s="20"/>
      <x:c r="M33" s="18"/>
      <x:c r="N33" s="18"/>
      <x:c r="O33" s="22"/>
      <x:c r="P33" s="18" t="str">
        <x:f>IF(A33="","",IF(AND(K33&lt;TODAY(),G33&lt;&gt;"Termine"),"Retard","OK"))</x:f>
      </x:c>
      <x:c r="Q33" s="18" t="str">
        <x:f>IF(A33="","",IF(AND(H33="0 - Idee",K33&lt;TODAY()+60),"Maturite critique","OK"))</x:f>
      </x:c>
      <x:c r="R33" s="18"/>
    </x:row>
    <x:row r="34">
      <x:c r="A34" s="18"/>
      <x:c r="B34" s="18"/>
      <x:c r="C34" s="18"/>
      <x:c r="D34" s="18"/>
      <x:c r="E34" s="18"/>
      <x:c r="F34" s="18"/>
      <x:c r="G34" s="18"/>
      <x:c r="H34" s="18"/>
      <x:c r="I34" s="18"/>
      <x:c r="J34" s="19"/>
      <x:c r="K34" s="19"/>
      <x:c r="L34" s="20"/>
      <x:c r="M34" s="18"/>
      <x:c r="N34" s="18"/>
      <x:c r="O34" s="22"/>
      <x:c r="P34" s="18" t="str">
        <x:f>IF(A34="","",IF(AND(K34&lt;TODAY(),G34&lt;&gt;"Termine"),"Retard","OK"))</x:f>
      </x:c>
      <x:c r="Q34" s="18" t="str">
        <x:f>IF(A34="","",IF(AND(H34="0 - Idee",K34&lt;TODAY()+60),"Maturite critique","OK"))</x:f>
      </x:c>
      <x:c r="R34" s="18"/>
    </x:row>
    <x:row r="35">
      <x:c r="A35" s="18"/>
      <x:c r="B35" s="18"/>
      <x:c r="C35" s="18"/>
      <x:c r="D35" s="18"/>
      <x:c r="E35" s="18"/>
      <x:c r="F35" s="18"/>
      <x:c r="G35" s="18"/>
      <x:c r="H35" s="18"/>
      <x:c r="I35" s="18"/>
      <x:c r="J35" s="19"/>
      <x:c r="K35" s="19"/>
      <x:c r="L35" s="20"/>
      <x:c r="M35" s="18"/>
      <x:c r="N35" s="18"/>
      <x:c r="O35" s="22"/>
      <x:c r="P35" s="18" t="str">
        <x:f>IF(A35="","",IF(AND(K35&lt;TODAY(),G35&lt;&gt;"Termine"),"Retard","OK"))</x:f>
      </x:c>
      <x:c r="Q35" s="18" t="str">
        <x:f>IF(A35="","",IF(AND(H35="0 - Idee",K35&lt;TODAY()+60),"Maturite critique","OK"))</x:f>
      </x:c>
      <x:c r="R35" s="18"/>
    </x:row>
    <x:row r="36">
      <x:c r="A36" s="18"/>
      <x:c r="B36" s="18"/>
      <x:c r="C36" s="18"/>
      <x:c r="D36" s="18"/>
      <x:c r="E36" s="18"/>
      <x:c r="F36" s="18"/>
      <x:c r="G36" s="18"/>
      <x:c r="H36" s="18"/>
      <x:c r="I36" s="18"/>
      <x:c r="J36" s="19"/>
      <x:c r="K36" s="19"/>
      <x:c r="L36" s="20"/>
      <x:c r="M36" s="18"/>
      <x:c r="N36" s="18"/>
      <x:c r="O36" s="22"/>
      <x:c r="P36" s="18" t="str">
        <x:f>IF(A36="","",IF(AND(K36&lt;TODAY(),G36&lt;&gt;"Termine"),"Retard","OK"))</x:f>
      </x:c>
      <x:c r="Q36" s="18" t="str">
        <x:f>IF(A36="","",IF(AND(H36="0 - Idee",K36&lt;TODAY()+60),"Maturite critique","OK"))</x:f>
      </x:c>
      <x:c r="R36" s="18"/>
    </x:row>
    <x:row r="37">
      <x:c r="A37" s="18"/>
      <x:c r="B37" s="18"/>
      <x:c r="C37" s="18"/>
      <x:c r="D37" s="18"/>
      <x:c r="E37" s="18"/>
      <x:c r="F37" s="18"/>
      <x:c r="G37" s="18"/>
      <x:c r="H37" s="18"/>
      <x:c r="I37" s="18"/>
      <x:c r="J37" s="19"/>
      <x:c r="K37" s="19"/>
      <x:c r="L37" s="20"/>
      <x:c r="M37" s="18"/>
      <x:c r="N37" s="18"/>
      <x:c r="O37" s="22"/>
      <x:c r="P37" s="18" t="str">
        <x:f>IF(A37="","",IF(AND(K37&lt;TODAY(),G37&lt;&gt;"Termine"),"Retard","OK"))</x:f>
      </x:c>
      <x:c r="Q37" s="18" t="str">
        <x:f>IF(A37="","",IF(AND(H37="0 - Idee",K37&lt;TODAY()+60),"Maturite critique","OK"))</x:f>
      </x:c>
      <x:c r="R37" s="18"/>
    </x:row>
    <x:row r="38">
      <x:c r="A38" s="18"/>
      <x:c r="B38" s="18"/>
      <x:c r="C38" s="18"/>
      <x:c r="D38" s="18"/>
      <x:c r="E38" s="18"/>
      <x:c r="F38" s="18"/>
      <x:c r="G38" s="18"/>
      <x:c r="H38" s="18"/>
      <x:c r="I38" s="18"/>
      <x:c r="J38" s="19"/>
      <x:c r="K38" s="19"/>
      <x:c r="L38" s="20"/>
      <x:c r="M38" s="18"/>
      <x:c r="N38" s="18"/>
      <x:c r="O38" s="22"/>
      <x:c r="P38" s="18" t="str">
        <x:f>IF(A38="","",IF(AND(K38&lt;TODAY(),G38&lt;&gt;"Termine"),"Retard","OK"))</x:f>
      </x:c>
      <x:c r="Q38" s="18" t="str">
        <x:f>IF(A38="","",IF(AND(H38="0 - Idee",K38&lt;TODAY()+60),"Maturite critique","OK"))</x:f>
      </x:c>
      <x:c r="R38" s="18"/>
    </x:row>
    <x:row r="39">
      <x:c r="A39" s="18"/>
      <x:c r="B39" s="18"/>
      <x:c r="C39" s="18"/>
      <x:c r="D39" s="18"/>
      <x:c r="E39" s="18"/>
      <x:c r="F39" s="18"/>
      <x:c r="G39" s="18"/>
      <x:c r="H39" s="18"/>
      <x:c r="I39" s="18"/>
      <x:c r="J39" s="19"/>
      <x:c r="K39" s="19"/>
      <x:c r="L39" s="20"/>
      <x:c r="M39" s="18"/>
      <x:c r="N39" s="18"/>
      <x:c r="O39" s="22"/>
      <x:c r="P39" s="18" t="str">
        <x:f>IF(A39="","",IF(AND(K39&lt;TODAY(),G39&lt;&gt;"Termine"),"Retard","OK"))</x:f>
      </x:c>
      <x:c r="Q39" s="18" t="str">
        <x:f>IF(A39="","",IF(AND(H39="0 - Idee",K39&lt;TODAY()+60),"Maturite critique","OK"))</x:f>
      </x:c>
      <x:c r="R39" s="18"/>
    </x:row>
    <x:row r="40">
      <x:c r="A40" s="18"/>
      <x:c r="B40" s="18"/>
      <x:c r="C40" s="18"/>
      <x:c r="D40" s="18"/>
      <x:c r="E40" s="18"/>
      <x:c r="F40" s="18"/>
      <x:c r="G40" s="18"/>
      <x:c r="H40" s="18"/>
      <x:c r="I40" s="18"/>
      <x:c r="J40" s="19"/>
      <x:c r="K40" s="19"/>
      <x:c r="L40" s="20"/>
      <x:c r="M40" s="18"/>
      <x:c r="N40" s="18"/>
      <x:c r="O40" s="22"/>
      <x:c r="P40" s="18" t="str">
        <x:f>IF(A40="","",IF(AND(K40&lt;TODAY(),G40&lt;&gt;"Termine"),"Retard","OK"))</x:f>
      </x:c>
      <x:c r="Q40" s="18" t="str">
        <x:f>IF(A40="","",IF(AND(H40="0 - Idee",K40&lt;TODAY()+60),"Maturite critique","OK"))</x:f>
      </x:c>
      <x:c r="R40" s="18"/>
    </x:row>
    <x:row r="41">
      <x:c r="A41" s="18"/>
      <x:c r="B41" s="18"/>
      <x:c r="C41" s="18"/>
      <x:c r="D41" s="18"/>
      <x:c r="E41" s="18"/>
      <x:c r="F41" s="18"/>
      <x:c r="G41" s="18"/>
      <x:c r="H41" s="18"/>
      <x:c r="I41" s="18"/>
      <x:c r="J41" s="19"/>
      <x:c r="K41" s="19"/>
      <x:c r="L41" s="20"/>
      <x:c r="M41" s="18"/>
      <x:c r="N41" s="18"/>
      <x:c r="O41" s="22"/>
      <x:c r="P41" s="18" t="str">
        <x:f>IF(A41="","",IF(AND(K41&lt;TODAY(),G41&lt;&gt;"Termine"),"Retard","OK"))</x:f>
      </x:c>
      <x:c r="Q41" s="18" t="str">
        <x:f>IF(A41="","",IF(AND(H41="0 - Idee",K41&lt;TODAY()+60),"Maturite critique","OK"))</x:f>
      </x:c>
      <x:c r="R41" s="18"/>
    </x:row>
    <x:row r="42">
      <x:c r="A42" s="18"/>
      <x:c r="B42" s="18"/>
      <x:c r="C42" s="18"/>
      <x:c r="D42" s="18"/>
      <x:c r="E42" s="18"/>
      <x:c r="F42" s="18"/>
      <x:c r="G42" s="18"/>
      <x:c r="H42" s="18"/>
      <x:c r="I42" s="18"/>
      <x:c r="J42" s="19"/>
      <x:c r="K42" s="19"/>
      <x:c r="L42" s="20"/>
      <x:c r="M42" s="18"/>
      <x:c r="N42" s="18"/>
      <x:c r="O42" s="22"/>
      <x:c r="P42" s="18" t="str">
        <x:f>IF(A42="","",IF(AND(K42&lt;TODAY(),G42&lt;&gt;"Termine"),"Retard","OK"))</x:f>
      </x:c>
      <x:c r="Q42" s="18" t="str">
        <x:f>IF(A42="","",IF(AND(H42="0 - Idee",K42&lt;TODAY()+60),"Maturite critique","OK"))</x:f>
      </x:c>
      <x:c r="R42" s="18"/>
    </x:row>
    <x:row r="43">
      <x:c r="A43" s="18"/>
      <x:c r="B43" s="18"/>
      <x:c r="C43" s="18"/>
      <x:c r="D43" s="18"/>
      <x:c r="E43" s="18"/>
      <x:c r="F43" s="18"/>
      <x:c r="G43" s="18"/>
      <x:c r="H43" s="18"/>
      <x:c r="I43" s="18"/>
      <x:c r="J43" s="19"/>
      <x:c r="K43" s="19"/>
      <x:c r="L43" s="20"/>
      <x:c r="M43" s="18"/>
      <x:c r="N43" s="18"/>
      <x:c r="O43" s="22"/>
      <x:c r="P43" s="18" t="str">
        <x:f>IF(A43="","",IF(AND(K43&lt;TODAY(),G43&lt;&gt;"Termine"),"Retard","OK"))</x:f>
      </x:c>
      <x:c r="Q43" s="18" t="str">
        <x:f>IF(A43="","",IF(AND(H43="0 - Idee",K43&lt;TODAY()+60),"Maturite critique","OK"))</x:f>
      </x:c>
      <x:c r="R43" s="18"/>
    </x:row>
    <x:row r="44">
      <x:c r="A44" s="18"/>
      <x:c r="B44" s="18"/>
      <x:c r="C44" s="18"/>
      <x:c r="D44" s="18"/>
      <x:c r="E44" s="18"/>
      <x:c r="F44" s="18"/>
      <x:c r="G44" s="18"/>
      <x:c r="H44" s="18"/>
      <x:c r="I44" s="18"/>
      <x:c r="J44" s="19"/>
      <x:c r="K44" s="19"/>
      <x:c r="L44" s="20"/>
      <x:c r="M44" s="18"/>
      <x:c r="N44" s="18"/>
      <x:c r="O44" s="22"/>
      <x:c r="P44" s="18" t="str">
        <x:f>IF(A44="","",IF(AND(K44&lt;TODAY(),G44&lt;&gt;"Termine"),"Retard","OK"))</x:f>
      </x:c>
      <x:c r="Q44" s="18" t="str">
        <x:f>IF(A44="","",IF(AND(H44="0 - Idee",K44&lt;TODAY()+60),"Maturite critique","OK"))</x:f>
      </x:c>
      <x:c r="R44" s="18"/>
    </x:row>
  </x:sheetData>
  <x:mergeCells>
    <x:mergeCell ref="A1:J1"/>
    <x:mergeCell ref="A2:J2"/>
  </x:mergeCells>
  <x:conditionalFormatting sqref="P5:P44">
    <x:cfRule type="containsText" dxfId="20" priority="1" operator="containsText" text="Retard"/>
    <x:cfRule type="containsText" dxfId="21" priority="2" operator="containsText" text="critique"/>
    <x:cfRule type="containsText" dxfId="22" priority="3" operator="containsText" text="manquant"/>
    <x:cfRule type="containsText" dxfId="23" priority="4" operator="containsText" text="OK"/>
  </x:conditionalFormatting>
  <x:conditionalFormatting sqref="Q5:Q44">
    <x:cfRule type="containsText" dxfId="24" priority="5" operator="containsText" text="Retard"/>
    <x:cfRule type="containsText" dxfId="25" priority="6" operator="containsText" text="critique"/>
    <x:cfRule type="containsText" dxfId="26" priority="7" operator="containsText" text="manquant"/>
    <x:cfRule type="containsText" dxfId="27" priority="8"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4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H5:H4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I5:I44">
      <x:formula1>"Critique,Haute,Moyenne,Basse"</x:formula1>
    </x:dataValidation>
  </x:dataValidations>
  <x:pageMargins left="0.7" right="0.7" top="0.75" bottom="0.75" header="0.3" footer="0.3"/>
  <x:tableParts count="1">
    <x:tablePart xmlns:r="http://schemas.openxmlformats.org/officeDocument/2006/relationships" r:id="R5830c5a92ad247e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18.75" hidden="0" customWidth="1"/>
    <x:col min="4" max="4" width="22.5" hidden="0" customWidth="1"/>
    <x:col min="5" max="5" width="26.25" hidden="0" customWidth="1"/>
    <x:col min="6" max="6" width="12.5" hidden="0" customWidth="1"/>
    <x:col min="7" max="7" width="10" hidden="0" customWidth="1"/>
    <x:col min="8" max="8" width="16.25" hidden="0" customWidth="1"/>
    <x:col min="9" max="9" width="26.25" hidden="0" customWidth="1"/>
    <x:col min="10" max="10" width="16.8799991607666" hidden="0" customWidth="1"/>
    <x:col min="11" max="11" width="13.130000114440918" hidden="0" customWidth="1"/>
    <x:col min="12" max="12" width="18.75" hidden="0" customWidth="1"/>
    <x:col min="13" max="13" width="14.380000114440918" hidden="0" customWidth="1"/>
    <x:col min="14" max="14" width="16.8799991607666" hidden="0" customWidth="1"/>
    <x:col min="15" max="15" width="27.5" hidden="0" customWidth="1"/>
    <x:col min="16" max="16" width="18.1299991607666" hidden="0" customWidth="1"/>
  </x:cols>
  <x:sheetData>
    <x:row r="1" ht="25.5" customHeight="1">
      <x:c r="A1" s="2" t="str">
        <x:v>Inventaire GES consolide</x:v>
      </x:c>
      <x:c r="B1" s="2"/>
      <x:c r="C1" s="2"/>
      <x:c r="D1" s="2"/>
      <x:c r="E1" s="2"/>
      <x:c r="F1" s="2"/>
      <x:c r="G1" s="2"/>
      <x:c r="H1" s="2"/>
      <x:c r="I1" s="2"/>
      <x:c r="J1" s="2"/>
    </x:row>
    <x:row r="2" ht="31.5" customHeight="1">
      <x:c r="A2" s="5" t="str">
        <x:v>Emissions par annee, secteur GPC, scope et gaz. Cette table sert de base aux rapports CDP-ICLEI, C40, ICLEI/GPC, CoM SSA et CDN.</x:v>
      </x:c>
      <x:c r="B2" s="5"/>
      <x:c r="C2" s="5"/>
      <x:c r="D2" s="5"/>
      <x:c r="E2" s="5"/>
      <x:c r="F2" s="5"/>
      <x:c r="G2" s="5"/>
      <x:c r="H2" s="5"/>
      <x:c r="I2" s="5"/>
      <x:c r="J2" s="5"/>
    </x:row>
    <x:row r="4" ht="28.5" customHeight="1">
      <x:c r="A4" s="16" t="str">
        <x:v>Inventory_ID</x:v>
      </x:c>
      <x:c r="B4" s="16" t="str">
        <x:v>Annee</x:v>
      </x:c>
      <x:c r="C4" s="16" t="str">
        <x:v>Perimetre</x:v>
      </x:c>
      <x:c r="D4" s="16" t="str">
        <x:v>Secteur_GPC</x:v>
      </x:c>
      <x:c r="E4" s="16" t="str">
        <x:v>Sous_secteur_GPC</x:v>
      </x:c>
      <x:c r="F4" s="16" t="str">
        <x:v>Scope</x:v>
      </x:c>
      <x:c r="G4" s="16" t="str">
        <x:v>Gaz</x:v>
      </x:c>
      <x:c r="H4" s="16" t="str">
        <x:v>Emissions_tCO2e</x:v>
      </x:c>
      <x:c r="I4" s="16" t="str">
        <x:v>Methode</x:v>
      </x:c>
      <x:c r="J4" s="16" t="str">
        <x:v>Niveau_qualite</x:v>
      </x:c>
      <x:c r="K4" s="16" t="str">
        <x:v>Source_ID</x:v>
      </x:c>
      <x:c r="L4" s="16" t="str">
        <x:v>Responsable</x:v>
      </x:c>
      <x:c r="M4" s="16" t="str">
        <x:v>Date_validation</x:v>
      </x:c>
      <x:c r="N4" s="16" t="str">
        <x:v>Cadre_inventaire</x:v>
      </x:c>
      <x:c r="O4" s="16" t="str">
        <x:v>Commentaires</x:v>
      </x:c>
      <x:c r="P4" s="16" t="str">
        <x:v>Alerte_donnees</x:v>
      </x:c>
    </x:row>
    <x:row r="5">
      <x:c r="A5" s="18" t="str">
        <x:v>GES-2024-001</x:v>
      </x:c>
      <x:c r="B5" s="18" t="n">
        <x:v>2024</x:v>
      </x:c>
      <x:c r="C5" s="18" t="str">
        <x:v>Ville de Dakar</x:v>
      </x:c>
      <x:c r="D5" s="18" t="str">
        <x:v>Stationary energy</x:v>
      </x:c>
      <x:c r="E5" s="18" t="str">
        <x:v>Residential buildings</x:v>
      </x:c>
      <x:c r="F5" s="18" t="str">
        <x:v>Scope 2</x:v>
      </x:c>
      <x:c r="G5" s="18" t="str">
        <x:v>CO2e</x:v>
      </x:c>
      <x:c r="H5" s="22" t="n">
        <x:v>420000</x:v>
      </x:c>
      <x:c r="I5" s="18" t="str">
        <x:v>Facteurs emission electricite</x:v>
      </x:c>
      <x:c r="J5" s="18" t="str">
        <x:v>C - Estimee</x:v>
      </x:c>
      <x:c r="K5" s="18" t="str">
        <x:v>SRC-002</x:v>
      </x:c>
      <x:c r="L5" s="18" t="str">
        <x:v>Referent GES</x:v>
      </x:c>
      <x:c r="M5" s="19" t="n">
        <x:v>46142</x:v>
      </x:c>
      <x:c r="N5" s="18" t="str">
        <x:v>GPC BASIC</x:v>
      </x:c>
      <x:c r="O5" s="18" t="str"/>
      <x:c r="P5" s="18" t="str">
        <x:f>IF(A5="","",IF(OR(B5="",D5="",F5="",H5="",J5="D - Faible"),"Donnees a verifier","OK"))</x:f>
        <x:v>OK</x:v>
      </x:c>
    </x:row>
    <x:row r="6">
      <x:c r="A6" s="18" t="str">
        <x:v>GES-2024-002</x:v>
      </x:c>
      <x:c r="B6" s="18" t="n">
        <x:v>2024</x:v>
      </x:c>
      <x:c r="C6" s="18" t="str">
        <x:v>Ville de Dakar</x:v>
      </x:c>
      <x:c r="D6" s="18" t="str">
        <x:v>Transportation</x:v>
      </x:c>
      <x:c r="E6" s="18" t="str">
        <x:v>On-road</x:v>
      </x:c>
      <x:c r="F6" s="18" t="str">
        <x:v>Scope 1</x:v>
      </x:c>
      <x:c r="G6" s="18" t="str">
        <x:v>CO2e</x:v>
      </x:c>
      <x:c r="H6" s="22" t="n">
        <x:v>780000</x:v>
      </x:c>
      <x:c r="I6" s="18" t="str">
        <x:v>Consommation carburant estimee</x:v>
      </x:c>
      <x:c r="J6" s="18" t="str">
        <x:v>D - Faible</x:v>
      </x:c>
      <x:c r="K6" s="18" t="str">
        <x:v>SRC-004</x:v>
      </x:c>
      <x:c r="L6" s="18" t="str">
        <x:v>Referent GES</x:v>
      </x:c>
      <x:c r="M6" s="19" t="n">
        <x:v>46142</x:v>
      </x:c>
      <x:c r="N6" s="18" t="str">
        <x:v>GPC BASIC</x:v>
      </x:c>
      <x:c r="O6" s="18" t="str"/>
      <x:c r="P6" s="18" t="str">
        <x:f>IF(A6="","",IF(OR(B6="",D6="",F6="",H6="",J6="D - Faible"),"Donnees a verifier","OK"))</x:f>
        <x:v>Donnees a verifier</x:v>
      </x:c>
    </x:row>
    <x:row r="7">
      <x:c r="A7" s="18" t="str">
        <x:v>GES-2024-003</x:v>
      </x:c>
      <x:c r="B7" s="18" t="n">
        <x:v>2024</x:v>
      </x:c>
      <x:c r="C7" s="18" t="str">
        <x:v>Ville de Dakar</x:v>
      </x:c>
      <x:c r="D7" s="18" t="str">
        <x:v>Waste</x:v>
      </x:c>
      <x:c r="E7" s="18" t="str">
        <x:v>Solid waste disposal</x:v>
      </x:c>
      <x:c r="F7" s="18" t="str">
        <x:v>Scope 1</x:v>
      </x:c>
      <x:c r="G7" s="18" t="str">
        <x:v>CH4</x:v>
      </x:c>
      <x:c r="H7" s="22" t="n">
        <x:v>265000</x:v>
      </x:c>
      <x:c r="I7" s="18" t="str">
        <x:v>IPCC dechets</x:v>
      </x:c>
      <x:c r="J7" s="18" t="str">
        <x:v>C - Estimee</x:v>
      </x:c>
      <x:c r="K7" s="18" t="str">
        <x:v>SRC-002</x:v>
      </x:c>
      <x:c r="L7" s="18" t="str">
        <x:v>Referent GES</x:v>
      </x:c>
      <x:c r="M7" s="19" t="n">
        <x:v>46142</x:v>
      </x:c>
      <x:c r="N7" s="18" t="str">
        <x:v>GPC BASIC</x:v>
      </x:c>
      <x:c r="O7" s="18" t="str"/>
      <x:c r="P7" s="18" t="str">
        <x:f>IF(A7="","",IF(OR(B7="",D7="",F7="",H7="",J7="D - Faible"),"Donnees a verifier","OK"))</x:f>
        <x:v>OK</x:v>
      </x:c>
    </x:row>
    <x:row r="8">
      <x:c r="A8" s="18" t="str">
        <x:v>GES-2025-001</x:v>
      </x:c>
      <x:c r="B8" s="18" t="n">
        <x:v>2025</x:v>
      </x:c>
      <x:c r="C8" s="18" t="str">
        <x:v>Ville de Dakar</x:v>
      </x:c>
      <x:c r="D8" s="18" t="str">
        <x:v>Stationary energy</x:v>
      </x:c>
      <x:c r="E8" s="18" t="str">
        <x:v>Municipal buildings</x:v>
      </x:c>
      <x:c r="F8" s="18" t="str">
        <x:v>Scope 2</x:v>
      </x:c>
      <x:c r="G8" s="18" t="str">
        <x:v>CO2e</x:v>
      </x:c>
      <x:c r="H8" s="22" t="n">
        <x:v>38000</x:v>
      </x:c>
      <x:c r="I8" s="18" t="str">
        <x:v>Factures electricite</x:v>
      </x:c>
      <x:c r="J8" s="18" t="str">
        <x:v>B - Bonne</x:v>
      </x:c>
      <x:c r="K8" s="18" t="str">
        <x:v>SRC-001</x:v>
      </x:c>
      <x:c r="L8" s="18" t="str">
        <x:v>Referent GES</x:v>
      </x:c>
      <x:c r="M8" s="19" t="n">
        <x:v>46142</x:v>
      </x:c>
      <x:c r="N8" s="18" t="str">
        <x:v>Interne Dakar</x:v>
      </x:c>
      <x:c r="O8" s="18" t="str"/>
      <x:c r="P8" s="18" t="str">
        <x:f>IF(A8="","",IF(OR(B8="",D8="",F8="",H8="",J8="D - Faible"),"Donnees a verifier","OK"))</x:f>
        <x:v>OK</x:v>
      </x:c>
    </x:row>
    <x:row r="9">
      <x:c r="A9" s="18" t="str">
        <x:v>GES-2025-002</x:v>
      </x:c>
      <x:c r="B9" s="18" t="n">
        <x:v>2025</x:v>
      </x:c>
      <x:c r="C9" s="18" t="str">
        <x:v>Ville de Dakar</x:v>
      </x:c>
      <x:c r="D9" s="18" t="str">
        <x:v>Transportation</x:v>
      </x:c>
      <x:c r="E9" s="18" t="str">
        <x:v>Municipal fleet</x:v>
      </x:c>
      <x:c r="F9" s="18" t="str">
        <x:v>Scope 1</x:v>
      </x:c>
      <x:c r="G9" s="18" t="str">
        <x:v>CO2e</x:v>
      </x:c>
      <x:c r="H9" s="22" t="n">
        <x:v>12200</x:v>
      </x:c>
      <x:c r="I9" s="18" t="str">
        <x:v>Litres carburant</x:v>
      </x:c>
      <x:c r="J9" s="18" t="str">
        <x:v>B - Bonne</x:v>
      </x:c>
      <x:c r="K9" s="18" t="str">
        <x:v>SRC-004</x:v>
      </x:c>
      <x:c r="L9" s="18" t="str">
        <x:v>Referent GES</x:v>
      </x:c>
      <x:c r="M9" s="19" t="n">
        <x:v>46142</x:v>
      </x:c>
      <x:c r="N9" s="18" t="str">
        <x:v>Interne Dakar</x:v>
      </x:c>
      <x:c r="O9" s="18" t="str"/>
      <x:c r="P9" s="18" t="str">
        <x:f>IF(A9="","",IF(OR(B9="",D9="",F9="",H9="",J9="D - Faible"),"Donnees a verifier","OK"))</x:f>
        <x:v>OK</x:v>
      </x:c>
    </x:row>
    <x:row r="10">
      <x:c r="A10" s="18"/>
      <x:c r="B10" s="18"/>
      <x:c r="C10" s="18"/>
      <x:c r="D10" s="18"/>
      <x:c r="E10" s="18"/>
      <x:c r="F10" s="18"/>
      <x:c r="G10" s="18"/>
      <x:c r="H10" s="22"/>
      <x:c r="I10" s="18"/>
      <x:c r="J10" s="18"/>
      <x:c r="K10" s="18"/>
      <x:c r="L10" s="18"/>
      <x:c r="M10" s="19"/>
      <x:c r="N10" s="18"/>
      <x:c r="O10" s="18"/>
      <x:c r="P10" s="18" t="str">
        <x:f>IF(A10="","",IF(OR(B10="",D10="",F10="",H10="",J10="D - Faible"),"Donnees a verifier","OK"))</x:f>
      </x:c>
    </x:row>
    <x:row r="11">
      <x:c r="A11" s="18"/>
      <x:c r="B11" s="18"/>
      <x:c r="C11" s="18"/>
      <x:c r="D11" s="18"/>
      <x:c r="E11" s="18"/>
      <x:c r="F11" s="18"/>
      <x:c r="G11" s="18"/>
      <x:c r="H11" s="22"/>
      <x:c r="I11" s="18"/>
      <x:c r="J11" s="18"/>
      <x:c r="K11" s="18"/>
      <x:c r="L11" s="18"/>
      <x:c r="M11" s="19"/>
      <x:c r="N11" s="18"/>
      <x:c r="O11" s="18"/>
      <x:c r="P11" s="18" t="str">
        <x:f>IF(A11="","",IF(OR(B11="",D11="",F11="",H11="",J11="D - Faible"),"Donnees a verifier","OK"))</x:f>
      </x:c>
    </x:row>
    <x:row r="12">
      <x:c r="A12" s="18"/>
      <x:c r="B12" s="18"/>
      <x:c r="C12" s="18"/>
      <x:c r="D12" s="18"/>
      <x:c r="E12" s="18"/>
      <x:c r="F12" s="18"/>
      <x:c r="G12" s="18"/>
      <x:c r="H12" s="22"/>
      <x:c r="I12" s="18"/>
      <x:c r="J12" s="18"/>
      <x:c r="K12" s="18"/>
      <x:c r="L12" s="18"/>
      <x:c r="M12" s="19"/>
      <x:c r="N12" s="18"/>
      <x:c r="O12" s="18"/>
      <x:c r="P12" s="18" t="str">
        <x:f>IF(A12="","",IF(OR(B12="",D12="",F12="",H12="",J12="D - Faible"),"Donnees a verifier","OK"))</x:f>
      </x:c>
    </x:row>
    <x:row r="13">
      <x:c r="A13" s="18"/>
      <x:c r="B13" s="18"/>
      <x:c r="C13" s="18"/>
      <x:c r="D13" s="18"/>
      <x:c r="E13" s="18"/>
      <x:c r="F13" s="18"/>
      <x:c r="G13" s="18"/>
      <x:c r="H13" s="22"/>
      <x:c r="I13" s="18"/>
      <x:c r="J13" s="18"/>
      <x:c r="K13" s="18"/>
      <x:c r="L13" s="18"/>
      <x:c r="M13" s="19"/>
      <x:c r="N13" s="18"/>
      <x:c r="O13" s="18"/>
      <x:c r="P13" s="18" t="str">
        <x:f>IF(A13="","",IF(OR(B13="",D13="",F13="",H13="",J13="D - Faible"),"Donnees a verifier","OK"))</x:f>
      </x:c>
    </x:row>
    <x:row r="14">
      <x:c r="A14" s="18"/>
      <x:c r="B14" s="18"/>
      <x:c r="C14" s="18"/>
      <x:c r="D14" s="18"/>
      <x:c r="E14" s="18"/>
      <x:c r="F14" s="18"/>
      <x:c r="G14" s="18"/>
      <x:c r="H14" s="22"/>
      <x:c r="I14" s="18"/>
      <x:c r="J14" s="18"/>
      <x:c r="K14" s="18"/>
      <x:c r="L14" s="18"/>
      <x:c r="M14" s="19"/>
      <x:c r="N14" s="18"/>
      <x:c r="O14" s="18"/>
      <x:c r="P14" s="18" t="str">
        <x:f>IF(A14="","",IF(OR(B14="",D14="",F14="",H14="",J14="D - Faible"),"Donnees a verifier","OK"))</x:f>
      </x:c>
    </x:row>
    <x:row r="15">
      <x:c r="A15" s="18"/>
      <x:c r="B15" s="18"/>
      <x:c r="C15" s="18"/>
      <x:c r="D15" s="18"/>
      <x:c r="E15" s="18"/>
      <x:c r="F15" s="18"/>
      <x:c r="G15" s="18"/>
      <x:c r="H15" s="22"/>
      <x:c r="I15" s="18"/>
      <x:c r="J15" s="18"/>
      <x:c r="K15" s="18"/>
      <x:c r="L15" s="18"/>
      <x:c r="M15" s="19"/>
      <x:c r="N15" s="18"/>
      <x:c r="O15" s="18"/>
      <x:c r="P15" s="18" t="str">
        <x:f>IF(A15="","",IF(OR(B15="",D15="",F15="",H15="",J15="D - Faible"),"Donnees a verifier","OK"))</x:f>
      </x:c>
    </x:row>
    <x:row r="16">
      <x:c r="A16" s="18"/>
      <x:c r="B16" s="18"/>
      <x:c r="C16" s="18"/>
      <x:c r="D16" s="18"/>
      <x:c r="E16" s="18"/>
      <x:c r="F16" s="18"/>
      <x:c r="G16" s="18"/>
      <x:c r="H16" s="22"/>
      <x:c r="I16" s="18"/>
      <x:c r="J16" s="18"/>
      <x:c r="K16" s="18"/>
      <x:c r="L16" s="18"/>
      <x:c r="M16" s="19"/>
      <x:c r="N16" s="18"/>
      <x:c r="O16" s="18"/>
      <x:c r="P16" s="18" t="str">
        <x:f>IF(A16="","",IF(OR(B16="",D16="",F16="",H16="",J16="D - Faible"),"Donnees a verifier","OK"))</x:f>
      </x:c>
    </x:row>
    <x:row r="17">
      <x:c r="A17" s="18"/>
      <x:c r="B17" s="18"/>
      <x:c r="C17" s="18"/>
      <x:c r="D17" s="18"/>
      <x:c r="E17" s="18"/>
      <x:c r="F17" s="18"/>
      <x:c r="G17" s="18"/>
      <x:c r="H17" s="22"/>
      <x:c r="I17" s="18"/>
      <x:c r="J17" s="18"/>
      <x:c r="K17" s="18"/>
      <x:c r="L17" s="18"/>
      <x:c r="M17" s="19"/>
      <x:c r="N17" s="18"/>
      <x:c r="O17" s="18"/>
      <x:c r="P17" s="18" t="str">
        <x:f>IF(A17="","",IF(OR(B17="",D17="",F17="",H17="",J17="D - Faible"),"Donnees a verifier","OK"))</x:f>
      </x:c>
    </x:row>
    <x:row r="18">
      <x:c r="A18" s="18"/>
      <x:c r="B18" s="18"/>
      <x:c r="C18" s="18"/>
      <x:c r="D18" s="18"/>
      <x:c r="E18" s="18"/>
      <x:c r="F18" s="18"/>
      <x:c r="G18" s="18"/>
      <x:c r="H18" s="22"/>
      <x:c r="I18" s="18"/>
      <x:c r="J18" s="18"/>
      <x:c r="K18" s="18"/>
      <x:c r="L18" s="18"/>
      <x:c r="M18" s="19"/>
      <x:c r="N18" s="18"/>
      <x:c r="O18" s="18"/>
      <x:c r="P18" s="18" t="str">
        <x:f>IF(A18="","",IF(OR(B18="",D18="",F18="",H18="",J18="D - Faible"),"Donnees a verifier","OK"))</x:f>
      </x:c>
    </x:row>
    <x:row r="19">
      <x:c r="A19" s="18"/>
      <x:c r="B19" s="18"/>
      <x:c r="C19" s="18"/>
      <x:c r="D19" s="18"/>
      <x:c r="E19" s="18"/>
      <x:c r="F19" s="18"/>
      <x:c r="G19" s="18"/>
      <x:c r="H19" s="22"/>
      <x:c r="I19" s="18"/>
      <x:c r="J19" s="18"/>
      <x:c r="K19" s="18"/>
      <x:c r="L19" s="18"/>
      <x:c r="M19" s="19"/>
      <x:c r="N19" s="18"/>
      <x:c r="O19" s="18"/>
      <x:c r="P19" s="18" t="str">
        <x:f>IF(A19="","",IF(OR(B19="",D19="",F19="",H19="",J19="D - Faible"),"Donnees a verifier","OK"))</x:f>
      </x:c>
    </x:row>
    <x:row r="20">
      <x:c r="A20" s="18"/>
      <x:c r="B20" s="18"/>
      <x:c r="C20" s="18"/>
      <x:c r="D20" s="18"/>
      <x:c r="E20" s="18"/>
      <x:c r="F20" s="18"/>
      <x:c r="G20" s="18"/>
      <x:c r="H20" s="22"/>
      <x:c r="I20" s="18"/>
      <x:c r="J20" s="18"/>
      <x:c r="K20" s="18"/>
      <x:c r="L20" s="18"/>
      <x:c r="M20" s="19"/>
      <x:c r="N20" s="18"/>
      <x:c r="O20" s="18"/>
      <x:c r="P20" s="18" t="str">
        <x:f>IF(A20="","",IF(OR(B20="",D20="",F20="",H20="",J20="D - Faible"),"Donnees a verifier","OK"))</x:f>
      </x:c>
    </x:row>
    <x:row r="21">
      <x:c r="A21" s="18"/>
      <x:c r="B21" s="18"/>
      <x:c r="C21" s="18"/>
      <x:c r="D21" s="18"/>
      <x:c r="E21" s="18"/>
      <x:c r="F21" s="18"/>
      <x:c r="G21" s="18"/>
      <x:c r="H21" s="22"/>
      <x:c r="I21" s="18"/>
      <x:c r="J21" s="18"/>
      <x:c r="K21" s="18"/>
      <x:c r="L21" s="18"/>
      <x:c r="M21" s="19"/>
      <x:c r="N21" s="18"/>
      <x:c r="O21" s="18"/>
      <x:c r="P21" s="18" t="str">
        <x:f>IF(A21="","",IF(OR(B21="",D21="",F21="",H21="",J21="D - Faible"),"Donnees a verifier","OK"))</x:f>
      </x:c>
    </x:row>
    <x:row r="22">
      <x:c r="A22" s="18"/>
      <x:c r="B22" s="18"/>
      <x:c r="C22" s="18"/>
      <x:c r="D22" s="18"/>
      <x:c r="E22" s="18"/>
      <x:c r="F22" s="18"/>
      <x:c r="G22" s="18"/>
      <x:c r="H22" s="22"/>
      <x:c r="I22" s="18"/>
      <x:c r="J22" s="18"/>
      <x:c r="K22" s="18"/>
      <x:c r="L22" s="18"/>
      <x:c r="M22" s="19"/>
      <x:c r="N22" s="18"/>
      <x:c r="O22" s="18"/>
      <x:c r="P22" s="18" t="str">
        <x:f>IF(A22="","",IF(OR(B22="",D22="",F22="",H22="",J22="D - Faible"),"Donnees a verifier","OK"))</x:f>
      </x:c>
    </x:row>
    <x:row r="23">
      <x:c r="A23" s="18"/>
      <x:c r="B23" s="18"/>
      <x:c r="C23" s="18"/>
      <x:c r="D23" s="18"/>
      <x:c r="E23" s="18"/>
      <x:c r="F23" s="18"/>
      <x:c r="G23" s="18"/>
      <x:c r="H23" s="22"/>
      <x:c r="I23" s="18"/>
      <x:c r="J23" s="18"/>
      <x:c r="K23" s="18"/>
      <x:c r="L23" s="18"/>
      <x:c r="M23" s="19"/>
      <x:c r="N23" s="18"/>
      <x:c r="O23" s="18"/>
      <x:c r="P23" s="18" t="str">
        <x:f>IF(A23="","",IF(OR(B23="",D23="",F23="",H23="",J23="D - Faible"),"Donnees a verifier","OK"))</x:f>
      </x:c>
    </x:row>
    <x:row r="24">
      <x:c r="A24" s="18"/>
      <x:c r="B24" s="18"/>
      <x:c r="C24" s="18"/>
      <x:c r="D24" s="18"/>
      <x:c r="E24" s="18"/>
      <x:c r="F24" s="18"/>
      <x:c r="G24" s="18"/>
      <x:c r="H24" s="22"/>
      <x:c r="I24" s="18"/>
      <x:c r="J24" s="18"/>
      <x:c r="K24" s="18"/>
      <x:c r="L24" s="18"/>
      <x:c r="M24" s="19"/>
      <x:c r="N24" s="18"/>
      <x:c r="O24" s="18"/>
      <x:c r="P24" s="18" t="str">
        <x:f>IF(A24="","",IF(OR(B24="",D24="",F24="",H24="",J24="D - Faible"),"Donnees a verifier","OK"))</x:f>
      </x:c>
    </x:row>
    <x:row r="25">
      <x:c r="A25" s="18"/>
      <x:c r="B25" s="18"/>
      <x:c r="C25" s="18"/>
      <x:c r="D25" s="18"/>
      <x:c r="E25" s="18"/>
      <x:c r="F25" s="18"/>
      <x:c r="G25" s="18"/>
      <x:c r="H25" s="22"/>
      <x:c r="I25" s="18"/>
      <x:c r="J25" s="18"/>
      <x:c r="K25" s="18"/>
      <x:c r="L25" s="18"/>
      <x:c r="M25" s="19"/>
      <x:c r="N25" s="18"/>
      <x:c r="O25" s="18"/>
      <x:c r="P25" s="18" t="str">
        <x:f>IF(A25="","",IF(OR(B25="",D25="",F25="",H25="",J25="D - Faible"),"Donnees a verifier","OK"))</x:f>
      </x:c>
    </x:row>
    <x:row r="26">
      <x:c r="A26" s="18"/>
      <x:c r="B26" s="18"/>
      <x:c r="C26" s="18"/>
      <x:c r="D26" s="18"/>
      <x:c r="E26" s="18"/>
      <x:c r="F26" s="18"/>
      <x:c r="G26" s="18"/>
      <x:c r="H26" s="22"/>
      <x:c r="I26" s="18"/>
      <x:c r="J26" s="18"/>
      <x:c r="K26" s="18"/>
      <x:c r="L26" s="18"/>
      <x:c r="M26" s="19"/>
      <x:c r="N26" s="18"/>
      <x:c r="O26" s="18"/>
      <x:c r="P26" s="18" t="str">
        <x:f>IF(A26="","",IF(OR(B26="",D26="",F26="",H26="",J26="D - Faible"),"Donnees a verifier","OK"))</x:f>
      </x:c>
    </x:row>
    <x:row r="27">
      <x:c r="A27" s="18"/>
      <x:c r="B27" s="18"/>
      <x:c r="C27" s="18"/>
      <x:c r="D27" s="18"/>
      <x:c r="E27" s="18"/>
      <x:c r="F27" s="18"/>
      <x:c r="G27" s="18"/>
      <x:c r="H27" s="22"/>
      <x:c r="I27" s="18"/>
      <x:c r="J27" s="18"/>
      <x:c r="K27" s="18"/>
      <x:c r="L27" s="18"/>
      <x:c r="M27" s="19"/>
      <x:c r="N27" s="18"/>
      <x:c r="O27" s="18"/>
      <x:c r="P27" s="18" t="str">
        <x:f>IF(A27="","",IF(OR(B27="",D27="",F27="",H27="",J27="D - Faible"),"Donnees a verifier","OK"))</x:f>
      </x:c>
    </x:row>
    <x:row r="28">
      <x:c r="A28" s="18"/>
      <x:c r="B28" s="18"/>
      <x:c r="C28" s="18"/>
      <x:c r="D28" s="18"/>
      <x:c r="E28" s="18"/>
      <x:c r="F28" s="18"/>
      <x:c r="G28" s="18"/>
      <x:c r="H28" s="22"/>
      <x:c r="I28" s="18"/>
      <x:c r="J28" s="18"/>
      <x:c r="K28" s="18"/>
      <x:c r="L28" s="18"/>
      <x:c r="M28" s="19"/>
      <x:c r="N28" s="18"/>
      <x:c r="O28" s="18"/>
      <x:c r="P28" s="18" t="str">
        <x:f>IF(A28="","",IF(OR(B28="",D28="",F28="",H28="",J28="D - Faible"),"Donnees a verifier","OK"))</x:f>
      </x:c>
    </x:row>
    <x:row r="29">
      <x:c r="A29" s="18"/>
      <x:c r="B29" s="18"/>
      <x:c r="C29" s="18"/>
      <x:c r="D29" s="18"/>
      <x:c r="E29" s="18"/>
      <x:c r="F29" s="18"/>
      <x:c r="G29" s="18"/>
      <x:c r="H29" s="22"/>
      <x:c r="I29" s="18"/>
      <x:c r="J29" s="18"/>
      <x:c r="K29" s="18"/>
      <x:c r="L29" s="18"/>
      <x:c r="M29" s="19"/>
      <x:c r="N29" s="18"/>
      <x:c r="O29" s="18"/>
      <x:c r="P29" s="18" t="str">
        <x:f>IF(A29="","",IF(OR(B29="",D29="",F29="",H29="",J29="D - Faible"),"Donnees a verifier","OK"))</x:f>
      </x:c>
    </x:row>
    <x:row r="30">
      <x:c r="A30" s="18"/>
      <x:c r="B30" s="18"/>
      <x:c r="C30" s="18"/>
      <x:c r="D30" s="18"/>
      <x:c r="E30" s="18"/>
      <x:c r="F30" s="18"/>
      <x:c r="G30" s="18"/>
      <x:c r="H30" s="22"/>
      <x:c r="I30" s="18"/>
      <x:c r="J30" s="18"/>
      <x:c r="K30" s="18"/>
      <x:c r="L30" s="18"/>
      <x:c r="M30" s="19"/>
      <x:c r="N30" s="18"/>
      <x:c r="O30" s="18"/>
      <x:c r="P30" s="18" t="str">
        <x:f>IF(A30="","",IF(OR(B30="",D30="",F30="",H30="",J30="D - Faible"),"Donnees a verifier","OK"))</x:f>
      </x:c>
    </x:row>
    <x:row r="31">
      <x:c r="A31" s="18"/>
      <x:c r="B31" s="18"/>
      <x:c r="C31" s="18"/>
      <x:c r="D31" s="18"/>
      <x:c r="E31" s="18"/>
      <x:c r="F31" s="18"/>
      <x:c r="G31" s="18"/>
      <x:c r="H31" s="22"/>
      <x:c r="I31" s="18"/>
      <x:c r="J31" s="18"/>
      <x:c r="K31" s="18"/>
      <x:c r="L31" s="18"/>
      <x:c r="M31" s="19"/>
      <x:c r="N31" s="18"/>
      <x:c r="O31" s="18"/>
      <x:c r="P31" s="18" t="str">
        <x:f>IF(A31="","",IF(OR(B31="",D31="",F31="",H31="",J31="D - Faible"),"Donnees a verifier","OK"))</x:f>
      </x:c>
    </x:row>
    <x:row r="32">
      <x:c r="A32" s="18"/>
      <x:c r="B32" s="18"/>
      <x:c r="C32" s="18"/>
      <x:c r="D32" s="18"/>
      <x:c r="E32" s="18"/>
      <x:c r="F32" s="18"/>
      <x:c r="G32" s="18"/>
      <x:c r="H32" s="22"/>
      <x:c r="I32" s="18"/>
      <x:c r="J32" s="18"/>
      <x:c r="K32" s="18"/>
      <x:c r="L32" s="18"/>
      <x:c r="M32" s="19"/>
      <x:c r="N32" s="18"/>
      <x:c r="O32" s="18"/>
      <x:c r="P32" s="18" t="str">
        <x:f>IF(A32="","",IF(OR(B32="",D32="",F32="",H32="",J32="D - Faible"),"Donnees a verifier","OK"))</x:f>
      </x:c>
    </x:row>
    <x:row r="33">
      <x:c r="A33" s="18"/>
      <x:c r="B33" s="18"/>
      <x:c r="C33" s="18"/>
      <x:c r="D33" s="18"/>
      <x:c r="E33" s="18"/>
      <x:c r="F33" s="18"/>
      <x:c r="G33" s="18"/>
      <x:c r="H33" s="22"/>
      <x:c r="I33" s="18"/>
      <x:c r="J33" s="18"/>
      <x:c r="K33" s="18"/>
      <x:c r="L33" s="18"/>
      <x:c r="M33" s="19"/>
      <x:c r="N33" s="18"/>
      <x:c r="O33" s="18"/>
      <x:c r="P33" s="18" t="str">
        <x:f>IF(A33="","",IF(OR(B33="",D33="",F33="",H33="",J33="D - Faible"),"Donnees a verifier","OK"))</x:f>
      </x:c>
    </x:row>
    <x:row r="34">
      <x:c r="A34" s="18"/>
      <x:c r="B34" s="18"/>
      <x:c r="C34" s="18"/>
      <x:c r="D34" s="18"/>
      <x:c r="E34" s="18"/>
      <x:c r="F34" s="18"/>
      <x:c r="G34" s="18"/>
      <x:c r="H34" s="22"/>
      <x:c r="I34" s="18"/>
      <x:c r="J34" s="18"/>
      <x:c r="K34" s="18"/>
      <x:c r="L34" s="18"/>
      <x:c r="M34" s="19"/>
      <x:c r="N34" s="18"/>
      <x:c r="O34" s="18"/>
      <x:c r="P34" s="18" t="str">
        <x:f>IF(A34="","",IF(OR(B34="",D34="",F34="",H34="",J34="D - Faible"),"Donnees a verifier","OK"))</x:f>
      </x:c>
    </x:row>
    <x:row r="35">
      <x:c r="A35" s="18"/>
      <x:c r="B35" s="18"/>
      <x:c r="C35" s="18"/>
      <x:c r="D35" s="18"/>
      <x:c r="E35" s="18"/>
      <x:c r="F35" s="18"/>
      <x:c r="G35" s="18"/>
      <x:c r="H35" s="22"/>
      <x:c r="I35" s="18"/>
      <x:c r="J35" s="18"/>
      <x:c r="K35" s="18"/>
      <x:c r="L35" s="18"/>
      <x:c r="M35" s="19"/>
      <x:c r="N35" s="18"/>
      <x:c r="O35" s="18"/>
      <x:c r="P35" s="18" t="str">
        <x:f>IF(A35="","",IF(OR(B35="",D35="",F35="",H35="",J35="D - Faible"),"Donnees a verifier","OK"))</x:f>
      </x:c>
    </x:row>
    <x:row r="36">
      <x:c r="A36" s="18"/>
      <x:c r="B36" s="18"/>
      <x:c r="C36" s="18"/>
      <x:c r="D36" s="18"/>
      <x:c r="E36" s="18"/>
      <x:c r="F36" s="18"/>
      <x:c r="G36" s="18"/>
      <x:c r="H36" s="22"/>
      <x:c r="I36" s="18"/>
      <x:c r="J36" s="18"/>
      <x:c r="K36" s="18"/>
      <x:c r="L36" s="18"/>
      <x:c r="M36" s="19"/>
      <x:c r="N36" s="18"/>
      <x:c r="O36" s="18"/>
      <x:c r="P36" s="18" t="str">
        <x:f>IF(A36="","",IF(OR(B36="",D36="",F36="",H36="",J36="D - Faible"),"Donnees a verifier","OK"))</x:f>
      </x:c>
    </x:row>
    <x:row r="37">
      <x:c r="A37" s="18"/>
      <x:c r="B37" s="18"/>
      <x:c r="C37" s="18"/>
      <x:c r="D37" s="18"/>
      <x:c r="E37" s="18"/>
      <x:c r="F37" s="18"/>
      <x:c r="G37" s="18"/>
      <x:c r="H37" s="22"/>
      <x:c r="I37" s="18"/>
      <x:c r="J37" s="18"/>
      <x:c r="K37" s="18"/>
      <x:c r="L37" s="18"/>
      <x:c r="M37" s="19"/>
      <x:c r="N37" s="18"/>
      <x:c r="O37" s="18"/>
      <x:c r="P37" s="18" t="str">
        <x:f>IF(A37="","",IF(OR(B37="",D37="",F37="",H37="",J37="D - Faible"),"Donnees a verifier","OK"))</x:f>
      </x:c>
    </x:row>
    <x:row r="38">
      <x:c r="A38" s="18"/>
      <x:c r="B38" s="18"/>
      <x:c r="C38" s="18"/>
      <x:c r="D38" s="18"/>
      <x:c r="E38" s="18"/>
      <x:c r="F38" s="18"/>
      <x:c r="G38" s="18"/>
      <x:c r="H38" s="22"/>
      <x:c r="I38" s="18"/>
      <x:c r="J38" s="18"/>
      <x:c r="K38" s="18"/>
      <x:c r="L38" s="18"/>
      <x:c r="M38" s="19"/>
      <x:c r="N38" s="18"/>
      <x:c r="O38" s="18"/>
      <x:c r="P38" s="18" t="str">
        <x:f>IF(A38="","",IF(OR(B38="",D38="",F38="",H38="",J38="D - Faible"),"Donnees a verifier","OK"))</x:f>
      </x:c>
    </x:row>
    <x:row r="39">
      <x:c r="A39" s="18"/>
      <x:c r="B39" s="18"/>
      <x:c r="C39" s="18"/>
      <x:c r="D39" s="18"/>
      <x:c r="E39" s="18"/>
      <x:c r="F39" s="18"/>
      <x:c r="G39" s="18"/>
      <x:c r="H39" s="22"/>
      <x:c r="I39" s="18"/>
      <x:c r="J39" s="18"/>
      <x:c r="K39" s="18"/>
      <x:c r="L39" s="18"/>
      <x:c r="M39" s="19"/>
      <x:c r="N39" s="18"/>
      <x:c r="O39" s="18"/>
      <x:c r="P39" s="18" t="str">
        <x:f>IF(A39="","",IF(OR(B39="",D39="",F39="",H39="",J39="D - Faible"),"Donnees a verifier","OK"))</x:f>
      </x:c>
    </x:row>
    <x:row r="40">
      <x:c r="A40" s="18"/>
      <x:c r="B40" s="18"/>
      <x:c r="C40" s="18"/>
      <x:c r="D40" s="18"/>
      <x:c r="E40" s="18"/>
      <x:c r="F40" s="18"/>
      <x:c r="G40" s="18"/>
      <x:c r="H40" s="22"/>
      <x:c r="I40" s="18"/>
      <x:c r="J40" s="18"/>
      <x:c r="K40" s="18"/>
      <x:c r="L40" s="18"/>
      <x:c r="M40" s="19"/>
      <x:c r="N40" s="18"/>
      <x:c r="O40" s="18"/>
      <x:c r="P40" s="18" t="str">
        <x:f>IF(A40="","",IF(OR(B40="",D40="",F40="",H40="",J40="D - Faible"),"Donnees a verifier","OK"))</x:f>
      </x:c>
    </x:row>
    <x:row r="41">
      <x:c r="A41" s="18"/>
      <x:c r="B41" s="18"/>
      <x:c r="C41" s="18"/>
      <x:c r="D41" s="18"/>
      <x:c r="E41" s="18"/>
      <x:c r="F41" s="18"/>
      <x:c r="G41" s="18"/>
      <x:c r="H41" s="22"/>
      <x:c r="I41" s="18"/>
      <x:c r="J41" s="18"/>
      <x:c r="K41" s="18"/>
      <x:c r="L41" s="18"/>
      <x:c r="M41" s="19"/>
      <x:c r="N41" s="18"/>
      <x:c r="O41" s="18"/>
      <x:c r="P41" s="18" t="str">
        <x:f>IF(A41="","",IF(OR(B41="",D41="",F41="",H41="",J41="D - Faible"),"Donnees a verifier","OK"))</x:f>
      </x:c>
    </x:row>
    <x:row r="42">
      <x:c r="A42" s="18"/>
      <x:c r="B42" s="18"/>
      <x:c r="C42" s="18"/>
      <x:c r="D42" s="18"/>
      <x:c r="E42" s="18"/>
      <x:c r="F42" s="18"/>
      <x:c r="G42" s="18"/>
      <x:c r="H42" s="22"/>
      <x:c r="I42" s="18"/>
      <x:c r="J42" s="18"/>
      <x:c r="K42" s="18"/>
      <x:c r="L42" s="18"/>
      <x:c r="M42" s="19"/>
      <x:c r="N42" s="18"/>
      <x:c r="O42" s="18"/>
      <x:c r="P42" s="18" t="str">
        <x:f>IF(A42="","",IF(OR(B42="",D42="",F42="",H42="",J42="D - Faible"),"Donnees a verifier","OK"))</x:f>
      </x:c>
    </x:row>
    <x:row r="43">
      <x:c r="A43" s="18"/>
      <x:c r="B43" s="18"/>
      <x:c r="C43" s="18"/>
      <x:c r="D43" s="18"/>
      <x:c r="E43" s="18"/>
      <x:c r="F43" s="18"/>
      <x:c r="G43" s="18"/>
      <x:c r="H43" s="22"/>
      <x:c r="I43" s="18"/>
      <x:c r="J43" s="18"/>
      <x:c r="K43" s="18"/>
      <x:c r="L43" s="18"/>
      <x:c r="M43" s="19"/>
      <x:c r="N43" s="18"/>
      <x:c r="O43" s="18"/>
      <x:c r="P43" s="18" t="str">
        <x:f>IF(A43="","",IF(OR(B43="",D43="",F43="",H43="",J43="D - Faible"),"Donnees a verifier","OK"))</x:f>
      </x:c>
    </x:row>
    <x:row r="44">
      <x:c r="A44" s="18"/>
      <x:c r="B44" s="18"/>
      <x:c r="C44" s="18"/>
      <x:c r="D44" s="18"/>
      <x:c r="E44" s="18"/>
      <x:c r="F44" s="18"/>
      <x:c r="G44" s="18"/>
      <x:c r="H44" s="22"/>
      <x:c r="I44" s="18"/>
      <x:c r="J44" s="18"/>
      <x:c r="K44" s="18"/>
      <x:c r="L44" s="18"/>
      <x:c r="M44" s="19"/>
      <x:c r="N44" s="18"/>
      <x:c r="O44" s="18"/>
      <x:c r="P44" s="18" t="str">
        <x:f>IF(A44="","",IF(OR(B44="",D44="",F44="",H44="",J44="D - Faible"),"Donnees a verifier","OK"))</x:f>
      </x:c>
    </x:row>
  </x:sheetData>
  <x:mergeCells>
    <x:mergeCell ref="A1:J1"/>
    <x:mergeCell ref="A2:J2"/>
  </x:mergeCells>
  <x:conditionalFormatting sqref="P5:P44">
    <x:cfRule type="containsText" dxfId="28" priority="1" operator="containsText" text="Retard"/>
    <x:cfRule type="containsText" dxfId="29" priority="2" operator="containsText" text="critique"/>
    <x:cfRule type="containsText" dxfId="30" priority="3" operator="containsText" text="manquant"/>
    <x:cfRule type="containsText" dxfId="31"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D5:D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F5:F44">
      <x:formula1>"Scope 1,Scope 2,Scope 3,Hors scope"</x:formula1>
    </x:dataValidation>
    <x:dataValidation type="list" errorStyle="warning" showInputMessage="1" showErrorMessage="1" errorTitle="Valeur inattendue" error="Cette colonne utilise une liste controlee." promptTitle="Liste controlee" prompt="Choisir une valeur dans la liste." sqref="G5:G44">
      <x:formula1>"CO2,CH4,N2O,HFC,PFC,SF6,NF3,CO2e"</x:formula1>
    </x:dataValidation>
    <x:dataValidation type="list" errorStyle="warning" showInputMessage="1" showErrorMessage="1" errorTitle="Valeur inattendue" error="Cette colonne utilise une liste controlee." promptTitle="Liste controlee" prompt="Choisir une valeur dans la liste." sqref="J5:J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N5:N44">
      <x:formula1>"GPC BASIC,GPC BASIC+,Territorial,Interne Dakar"</x:formula1>
    </x:dataValidation>
  </x:dataValidations>
  <x:pageMargins left="0.7" right="0.7" top="0.75" bottom="0.75" header="0.3" footer="0.3"/>
  <x:tableParts count="1">
    <x:tablePart xmlns:r="http://schemas.openxmlformats.org/officeDocument/2006/relationships" r:id="R589d789d8aad4b3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22.5" hidden="0" customWidth="1"/>
    <x:col min="4" max="4" width="23.75" hidden="0" customWidth="1"/>
    <x:col min="5" max="5" width="32.5" hidden="0" customWidth="1"/>
    <x:col min="6" max="6" width="13.75" hidden="0" customWidth="1"/>
    <x:col min="7" max="7" width="11.25" hidden="0" customWidth="1"/>
    <x:col min="8" max="8" width="16.25" hidden="0" customWidth="1"/>
    <x:col min="9" max="9" width="16.25" hidden="0" customWidth="1"/>
    <x:col min="10" max="10" width="17.5" hidden="0" customWidth="1"/>
    <x:col min="11" max="11" width="11.25" hidden="0" customWidth="1"/>
    <x:col min="12" max="12" width="16.25" hidden="0" customWidth="1"/>
    <x:col min="13" max="13" width="13.130000114440918" hidden="0" customWidth="1"/>
    <x:col min="14" max="14" width="16.25" hidden="0" customWidth="1"/>
    <x:col min="15" max="15" width="14.380000114440918" hidden="0" customWidth="1"/>
    <x:col min="16" max="16" width="27.5" hidden="0" customWidth="1"/>
    <x:col min="17" max="17" width="18.1299991607666" hidden="0" customWidth="1"/>
  </x:cols>
  <x:sheetData>
    <x:row r="1" ht="25.5" customHeight="1">
      <x:c r="A1" s="2" t="str">
        <x:v>Donnees d'activite GES</x:v>
      </x:c>
      <x:c r="B1" s="2"/>
      <x:c r="C1" s="2"/>
      <x:c r="D1" s="2"/>
      <x:c r="E1" s="2"/>
      <x:c r="F1" s="2"/>
      <x:c r="G1" s="2"/>
      <x:c r="H1" s="2"/>
      <x:c r="I1" s="2"/>
      <x:c r="J1" s="2"/>
    </x:row>
    <x:row r="2" ht="31.5" customHeight="1">
      <x:c r="A2" s="5" t="str">
        <x:v>Donnees primaires et calcul automatique des emissions via facteurs d'emission.</x:v>
      </x:c>
      <x:c r="B2" s="5"/>
      <x:c r="C2" s="5"/>
      <x:c r="D2" s="5"/>
      <x:c r="E2" s="5"/>
      <x:c r="F2" s="5"/>
      <x:c r="G2" s="5"/>
      <x:c r="H2" s="5"/>
      <x:c r="I2" s="5"/>
      <x:c r="J2" s="5"/>
    </x:row>
    <x:row r="4" ht="28.5" customHeight="1">
      <x:c r="A4" s="16" t="str">
        <x:v>Activity_ID</x:v>
      </x:c>
      <x:c r="B4" s="16" t="str">
        <x:v>Annee</x:v>
      </x:c>
      <x:c r="C4" s="16" t="str">
        <x:v>Secteur_GPC</x:v>
      </x:c>
      <x:c r="D4" s="16" t="str">
        <x:v>Sous_secteur</x:v>
      </x:c>
      <x:c r="E4" s="16" t="str">
        <x:v>Activite</x:v>
      </x:c>
      <x:c r="F4" s="16" t="str">
        <x:v>Quantite</x:v>
      </x:c>
      <x:c r="G4" s="16" t="str">
        <x:v>Unite</x:v>
      </x:c>
      <x:c r="H4" s="16" t="str">
        <x:v>Facteur_ID</x:v>
      </x:c>
      <x:c r="I4" s="16" t="str">
        <x:v>Facteur_emission</x:v>
      </x:c>
      <x:c r="J4" s="16" t="str">
        <x:v>Unite_facteur</x:v>
      </x:c>
      <x:c r="K4" s="16" t="str">
        <x:v>PRG_GWP</x:v>
      </x:c>
      <x:c r="L4" s="16" t="str">
        <x:v>Emissions_tCO2e</x:v>
      </x:c>
      <x:c r="M4" s="16" t="str">
        <x:v>Source_ID</x:v>
      </x:c>
      <x:c r="N4" s="16" t="str">
        <x:v>Qualite</x:v>
      </x:c>
      <x:c r="O4" s="16" t="str">
        <x:v>Incertitude_pct</x:v>
      </x:c>
      <x:c r="P4" s="16" t="str">
        <x:v>Commentaires</x:v>
      </x:c>
      <x:c r="Q4" s="16" t="str">
        <x:v>Alerte_donnees</x:v>
      </x:c>
    </x:row>
    <x:row r="5">
      <x:c r="A5" s="18" t="str">
        <x:v>ACTGES-001</x:v>
      </x:c>
      <x:c r="B5" s="18" t="n">
        <x:v>2025</x:v>
      </x:c>
      <x:c r="C5" s="18" t="str">
        <x:v>Stationary energy</x:v>
      </x:c>
      <x:c r="D5" s="18" t="str">
        <x:v>Municipal buildings</x:v>
      </x:c>
      <x:c r="E5" s="18" t="str">
        <x:v>Electricite consommee mairie</x:v>
      </x:c>
      <x:c r="F5" s="24" t="n">
        <x:v>2200000</x:v>
      </x:c>
      <x:c r="G5" s="18" t="str">
        <x:v>kWh</x:v>
      </x:c>
      <x:c r="H5" s="18" t="str">
        <x:v>FE-EL-SN-001</x:v>
      </x:c>
      <x:c r="I5" s="25" t="n">
        <x:f>IF(H5="","",SWITCH(H5,"FE-EL-SN-001",0.00055,"FE-DIESEL-001",0.00268,"FE-GASOLINE-001",0.00231,"FE-WASTE-CH4-001",0.0009,"FE-LPG-001",0.00299,""))</x:f>
        <x:v>0.00055</x:v>
      </x:c>
      <x:c r="J5" s="18" t="str">
        <x:f>IF(H5="","",SWITCH(H5,"FE-EL-SN-001","tCO2e/kWh","FE-DIESEL-001","tCO2e/litre","FE-GASOLINE-001","tCO2e/litre","FE-WASTE-CH4-001","tCH4/tonne","FE-LPG-001","tCO2e/kg",""))</x:f>
        <x:v>tCO2e/kWh</x:v>
      </x:c>
      <x:c r="K5" s="24" t="n">
        <x:f>IF(H5="","",IF(H5="FE-WASTE-CH4-001",28,1))</x:f>
        <x:v>1</x:v>
      </x:c>
      <x:c r="L5" s="24" t="n">
        <x:f>IF(A5="","",IFERROR(F5*I5*K5,""))</x:f>
        <x:v>1210</x:v>
      </x:c>
      <x:c r="M5" s="18" t="str">
        <x:v>SRC-001</x:v>
      </x:c>
      <x:c r="N5" s="18" t="str">
        <x:v>B - Bonne</x:v>
      </x:c>
      <x:c r="O5" s="20" t="n">
        <x:v>0.12</x:v>
      </x:c>
      <x:c r="P5" s="18" t="str"/>
      <x:c r="Q5" s="18" t="str">
        <x:f>IF(A5="","",IF(OR(F5="",H5="",M5="",N5="D - Faible"),"Donnees manquantes","OK"))</x:f>
        <x:v>OK</x:v>
      </x:c>
    </x:row>
    <x:row r="6">
      <x:c r="A6" s="18" t="str">
        <x:v>ACTGES-002</x:v>
      </x:c>
      <x:c r="B6" s="18" t="n">
        <x:v>2025</x:v>
      </x:c>
      <x:c r="C6" s="18" t="str">
        <x:v>Transportation</x:v>
      </x:c>
      <x:c r="D6" s="18" t="str">
        <x:v>Municipal fleet</x:v>
      </x:c>
      <x:c r="E6" s="18" t="str">
        <x:v>Diesel vehicules municipaux</x:v>
      </x:c>
      <x:c r="F6" s="24" t="n">
        <x:v>420000</x:v>
      </x:c>
      <x:c r="G6" s="18" t="str">
        <x:v>litres</x:v>
      </x:c>
      <x:c r="H6" s="18" t="str">
        <x:v>FE-DIESEL-001</x:v>
      </x:c>
      <x:c r="I6" s="25" t="n">
        <x:f>IF(H6="","",SWITCH(H6,"FE-EL-SN-001",0.00055,"FE-DIESEL-001",0.00268,"FE-GASOLINE-001",0.00231,"FE-WASTE-CH4-001",0.0009,"FE-LPG-001",0.00299,""))</x:f>
        <x:v>0.00268</x:v>
      </x:c>
      <x:c r="J6" s="18" t="str">
        <x:f>IF(H6="","",SWITCH(H6,"FE-EL-SN-001","tCO2e/kWh","FE-DIESEL-001","tCO2e/litre","FE-GASOLINE-001","tCO2e/litre","FE-WASTE-CH4-001","tCH4/tonne","FE-LPG-001","tCO2e/kg",""))</x:f>
        <x:v>tCO2e/litre</x:v>
      </x:c>
      <x:c r="K6" s="24" t="n">
        <x:f>IF(H6="","",IF(H6="FE-WASTE-CH4-001",28,1))</x:f>
        <x:v>1</x:v>
      </x:c>
      <x:c r="L6" s="24" t="n">
        <x:f>IF(A6="","",IFERROR(F6*I6*K6,""))</x:f>
        <x:v>1125.6000000000001</x:v>
      </x:c>
      <x:c r="M6" s="18" t="str">
        <x:v>SRC-004</x:v>
      </x:c>
      <x:c r="N6" s="18" t="str">
        <x:v>B - Bonne</x:v>
      </x:c>
      <x:c r="O6" s="20" t="n">
        <x:v>0.15</x:v>
      </x:c>
      <x:c r="P6" s="18" t="str"/>
      <x:c r="Q6" s="18" t="str">
        <x:f>IF(A6="","",IF(OR(F6="",H6="",M6="",N6="D - Faible"),"Donnees manquantes","OK"))</x:f>
        <x:v>OK</x:v>
      </x:c>
    </x:row>
    <x:row r="7">
      <x:c r="A7" s="18" t="str">
        <x:v>ACTGES-003</x:v>
      </x:c>
      <x:c r="B7" s="18" t="n">
        <x:v>2025</x:v>
      </x:c>
      <x:c r="C7" s="18" t="str">
        <x:v>Waste</x:v>
      </x:c>
      <x:c r="D7" s="18" t="str">
        <x:v>Solid waste disposal</x:v>
      </x:c>
      <x:c r="E7" s="18" t="str">
        <x:v>Dechets enfouis</x:v>
      </x:c>
      <x:c r="F7" s="24" t="n">
        <x:v>185000</x:v>
      </x:c>
      <x:c r="G7" s="18" t="str">
        <x:v>tonnes</x:v>
      </x:c>
      <x:c r="H7" s="18" t="str">
        <x:v>FE-WASTE-CH4-001</x:v>
      </x:c>
      <x:c r="I7" s="25" t="n">
        <x:f>IF(H7="","",SWITCH(H7,"FE-EL-SN-001",0.00055,"FE-DIESEL-001",0.00268,"FE-GASOLINE-001",0.00231,"FE-WASTE-CH4-001",0.0009,"FE-LPG-001",0.00299,""))</x:f>
        <x:v>0.0009</x:v>
      </x:c>
      <x:c r="J7" s="18" t="str">
        <x:f>IF(H7="","",SWITCH(H7,"FE-EL-SN-001","tCO2e/kWh","FE-DIESEL-001","tCO2e/litre","FE-GASOLINE-001","tCO2e/litre","FE-WASTE-CH4-001","tCH4/tonne","FE-LPG-001","tCO2e/kg",""))</x:f>
        <x:v>tCH4/tonne</x:v>
      </x:c>
      <x:c r="K7" s="24" t="n">
        <x:f>IF(H7="","",IF(H7="FE-WASTE-CH4-001",28,1))</x:f>
        <x:v>28</x:v>
      </x:c>
      <x:c r="L7" s="24" t="n">
        <x:f>IF(A7="","",IFERROR(F7*I7*K7,""))</x:f>
        <x:v>4662</x:v>
      </x:c>
      <x:c r="M7" s="18" t="str">
        <x:v>SRC-002</x:v>
      </x:c>
      <x:c r="N7" s="18" t="str">
        <x:v>C - Estimee</x:v>
      </x:c>
      <x:c r="O7" s="20" t="n">
        <x:v>0.35</x:v>
      </x:c>
      <x:c r="P7" s="18" t="str"/>
      <x:c r="Q7" s="18" t="str">
        <x:f>IF(A7="","",IF(OR(F7="",H7="",M7="",N7="D - Faible"),"Donnees manquantes","OK"))</x:f>
        <x:v>OK</x:v>
      </x:c>
    </x:row>
    <x:row r="8">
      <x:c r="A8" s="18"/>
      <x:c r="B8" s="18"/>
      <x:c r="C8" s="18"/>
      <x:c r="D8" s="18"/>
      <x:c r="E8" s="18"/>
      <x:c r="F8" s="24"/>
      <x:c r="G8" s="18"/>
      <x:c r="H8" s="18"/>
      <x:c r="I8" s="25" t="str">
        <x:f>IF(H8="","",SWITCH(H8,"FE-EL-SN-001",0.00055,"FE-DIESEL-001",0.00268,"FE-GASOLINE-001",0.00231,"FE-WASTE-CH4-001",0.0009,"FE-LPG-001",0.00299,""))</x:f>
      </x:c>
      <x:c r="J8" s="18" t="str">
        <x:f>IF(H8="","",SWITCH(H8,"FE-EL-SN-001","tCO2e/kWh","FE-DIESEL-001","tCO2e/litre","FE-GASOLINE-001","tCO2e/litre","FE-WASTE-CH4-001","tCH4/tonne","FE-LPG-001","tCO2e/kg",""))</x:f>
      </x:c>
      <x:c r="K8" s="24" t="str">
        <x:f>IF(H8="","",IF(H8="FE-WASTE-CH4-001",28,1))</x:f>
      </x:c>
      <x:c r="L8" s="24" t="str">
        <x:f>IF(A8="","",IFERROR(F8*I8*K8,""))</x:f>
      </x:c>
      <x:c r="M8" s="18"/>
      <x:c r="N8" s="18"/>
      <x:c r="O8" s="20"/>
      <x:c r="P8" s="18"/>
      <x:c r="Q8" s="18" t="str">
        <x:f>IF(A8="","",IF(OR(F8="",H8="",M8="",N8="D - Faible"),"Donnees manquantes","OK"))</x:f>
      </x:c>
    </x:row>
    <x:row r="9">
      <x:c r="A9" s="18"/>
      <x:c r="B9" s="18"/>
      <x:c r="C9" s="18"/>
      <x:c r="D9" s="18"/>
      <x:c r="E9" s="18"/>
      <x:c r="F9" s="24"/>
      <x:c r="G9" s="18"/>
      <x:c r="H9" s="18"/>
      <x:c r="I9" s="25" t="str">
        <x:f>IF(H9="","",SWITCH(H9,"FE-EL-SN-001",0.00055,"FE-DIESEL-001",0.00268,"FE-GASOLINE-001",0.00231,"FE-WASTE-CH4-001",0.0009,"FE-LPG-001",0.00299,""))</x:f>
      </x:c>
      <x:c r="J9" s="18" t="str">
        <x:f>IF(H9="","",SWITCH(H9,"FE-EL-SN-001","tCO2e/kWh","FE-DIESEL-001","tCO2e/litre","FE-GASOLINE-001","tCO2e/litre","FE-WASTE-CH4-001","tCH4/tonne","FE-LPG-001","tCO2e/kg",""))</x:f>
      </x:c>
      <x:c r="K9" s="24" t="str">
        <x:f>IF(H9="","",IF(H9="FE-WASTE-CH4-001",28,1))</x:f>
      </x:c>
      <x:c r="L9" s="24" t="str">
        <x:f>IF(A9="","",IFERROR(F9*I9*K9,""))</x:f>
      </x:c>
      <x:c r="M9" s="18"/>
      <x:c r="N9" s="18"/>
      <x:c r="O9" s="20"/>
      <x:c r="P9" s="18"/>
      <x:c r="Q9" s="18" t="str">
        <x:f>IF(A9="","",IF(OR(F9="",H9="",M9="",N9="D - Faible"),"Donnees manquantes","OK"))</x:f>
      </x:c>
    </x:row>
    <x:row r="10">
      <x:c r="A10" s="18"/>
      <x:c r="B10" s="18"/>
      <x:c r="C10" s="18"/>
      <x:c r="D10" s="18"/>
      <x:c r="E10" s="18"/>
      <x:c r="F10" s="24"/>
      <x:c r="G10" s="18"/>
      <x:c r="H10" s="18"/>
      <x:c r="I10" s="25" t="str">
        <x:f>IF(H10="","",SWITCH(H10,"FE-EL-SN-001",0.00055,"FE-DIESEL-001",0.00268,"FE-GASOLINE-001",0.00231,"FE-WASTE-CH4-001",0.0009,"FE-LPG-001",0.00299,""))</x:f>
      </x:c>
      <x:c r="J10" s="18" t="str">
        <x:f>IF(H10="","",SWITCH(H10,"FE-EL-SN-001","tCO2e/kWh","FE-DIESEL-001","tCO2e/litre","FE-GASOLINE-001","tCO2e/litre","FE-WASTE-CH4-001","tCH4/tonne","FE-LPG-001","tCO2e/kg",""))</x:f>
      </x:c>
      <x:c r="K10" s="24" t="str">
        <x:f>IF(H10="","",IF(H10="FE-WASTE-CH4-001",28,1))</x:f>
      </x:c>
      <x:c r="L10" s="24" t="str">
        <x:f>IF(A10="","",IFERROR(F10*I10*K10,""))</x:f>
      </x:c>
      <x:c r="M10" s="18"/>
      <x:c r="N10" s="18"/>
      <x:c r="O10" s="20"/>
      <x:c r="P10" s="18"/>
      <x:c r="Q10" s="18" t="str">
        <x:f>IF(A10="","",IF(OR(F10="",H10="",M10="",N10="D - Faible"),"Donnees manquantes","OK"))</x:f>
      </x:c>
    </x:row>
    <x:row r="11">
      <x:c r="A11" s="18"/>
      <x:c r="B11" s="18"/>
      <x:c r="C11" s="18"/>
      <x:c r="D11" s="18"/>
      <x:c r="E11" s="18"/>
      <x:c r="F11" s="24"/>
      <x:c r="G11" s="18"/>
      <x:c r="H11" s="18"/>
      <x:c r="I11" s="25" t="str">
        <x:f>IF(H11="","",SWITCH(H11,"FE-EL-SN-001",0.00055,"FE-DIESEL-001",0.00268,"FE-GASOLINE-001",0.00231,"FE-WASTE-CH4-001",0.0009,"FE-LPG-001",0.00299,""))</x:f>
      </x:c>
      <x:c r="J11" s="18" t="str">
        <x:f>IF(H11="","",SWITCH(H11,"FE-EL-SN-001","tCO2e/kWh","FE-DIESEL-001","tCO2e/litre","FE-GASOLINE-001","tCO2e/litre","FE-WASTE-CH4-001","tCH4/tonne","FE-LPG-001","tCO2e/kg",""))</x:f>
      </x:c>
      <x:c r="K11" s="24" t="str">
        <x:f>IF(H11="","",IF(H11="FE-WASTE-CH4-001",28,1))</x:f>
      </x:c>
      <x:c r="L11" s="24" t="str">
        <x:f>IF(A11="","",IFERROR(F11*I11*K11,""))</x:f>
      </x:c>
      <x:c r="M11" s="18"/>
      <x:c r="N11" s="18"/>
      <x:c r="O11" s="20"/>
      <x:c r="P11" s="18"/>
      <x:c r="Q11" s="18" t="str">
        <x:f>IF(A11="","",IF(OR(F11="",H11="",M11="",N11="D - Faible"),"Donnees manquantes","OK"))</x:f>
      </x:c>
    </x:row>
    <x:row r="12">
      <x:c r="A12" s="18"/>
      <x:c r="B12" s="18"/>
      <x:c r="C12" s="18"/>
      <x:c r="D12" s="18"/>
      <x:c r="E12" s="18"/>
      <x:c r="F12" s="24"/>
      <x:c r="G12" s="18"/>
      <x:c r="H12" s="18"/>
      <x:c r="I12" s="25" t="str">
        <x:f>IF(H12="","",SWITCH(H12,"FE-EL-SN-001",0.00055,"FE-DIESEL-001",0.00268,"FE-GASOLINE-001",0.00231,"FE-WASTE-CH4-001",0.0009,"FE-LPG-001",0.00299,""))</x:f>
      </x:c>
      <x:c r="J12" s="18" t="str">
        <x:f>IF(H12="","",SWITCH(H12,"FE-EL-SN-001","tCO2e/kWh","FE-DIESEL-001","tCO2e/litre","FE-GASOLINE-001","tCO2e/litre","FE-WASTE-CH4-001","tCH4/tonne","FE-LPG-001","tCO2e/kg",""))</x:f>
      </x:c>
      <x:c r="K12" s="24" t="str">
        <x:f>IF(H12="","",IF(H12="FE-WASTE-CH4-001",28,1))</x:f>
      </x:c>
      <x:c r="L12" s="24" t="str">
        <x:f>IF(A12="","",IFERROR(F12*I12*K12,""))</x:f>
      </x:c>
      <x:c r="M12" s="18"/>
      <x:c r="N12" s="18"/>
      <x:c r="O12" s="20"/>
      <x:c r="P12" s="18"/>
      <x:c r="Q12" s="18" t="str">
        <x:f>IF(A12="","",IF(OR(F12="",H12="",M12="",N12="D - Faible"),"Donnees manquantes","OK"))</x:f>
      </x:c>
    </x:row>
    <x:row r="13">
      <x:c r="A13" s="18"/>
      <x:c r="B13" s="18"/>
      <x:c r="C13" s="18"/>
      <x:c r="D13" s="18"/>
      <x:c r="E13" s="18"/>
      <x:c r="F13" s="24"/>
      <x:c r="G13" s="18"/>
      <x:c r="H13" s="18"/>
      <x:c r="I13" s="25" t="str">
        <x:f>IF(H13="","",SWITCH(H13,"FE-EL-SN-001",0.00055,"FE-DIESEL-001",0.00268,"FE-GASOLINE-001",0.00231,"FE-WASTE-CH4-001",0.0009,"FE-LPG-001",0.00299,""))</x:f>
      </x:c>
      <x:c r="J13" s="18" t="str">
        <x:f>IF(H13="","",SWITCH(H13,"FE-EL-SN-001","tCO2e/kWh","FE-DIESEL-001","tCO2e/litre","FE-GASOLINE-001","tCO2e/litre","FE-WASTE-CH4-001","tCH4/tonne","FE-LPG-001","tCO2e/kg",""))</x:f>
      </x:c>
      <x:c r="K13" s="24" t="str">
        <x:f>IF(H13="","",IF(H13="FE-WASTE-CH4-001",28,1))</x:f>
      </x:c>
      <x:c r="L13" s="24" t="str">
        <x:f>IF(A13="","",IFERROR(F13*I13*K13,""))</x:f>
      </x:c>
      <x:c r="M13" s="18"/>
      <x:c r="N13" s="18"/>
      <x:c r="O13" s="20"/>
      <x:c r="P13" s="18"/>
      <x:c r="Q13" s="18" t="str">
        <x:f>IF(A13="","",IF(OR(F13="",H13="",M13="",N13="D - Faible"),"Donnees manquantes","OK"))</x:f>
      </x:c>
    </x:row>
    <x:row r="14">
      <x:c r="A14" s="18"/>
      <x:c r="B14" s="18"/>
      <x:c r="C14" s="18"/>
      <x:c r="D14" s="18"/>
      <x:c r="E14" s="18"/>
      <x:c r="F14" s="24"/>
      <x:c r="G14" s="18"/>
      <x:c r="H14" s="18"/>
      <x:c r="I14" s="25" t="str">
        <x:f>IF(H14="","",SWITCH(H14,"FE-EL-SN-001",0.00055,"FE-DIESEL-001",0.00268,"FE-GASOLINE-001",0.00231,"FE-WASTE-CH4-001",0.0009,"FE-LPG-001",0.00299,""))</x:f>
      </x:c>
      <x:c r="J14" s="18" t="str">
        <x:f>IF(H14="","",SWITCH(H14,"FE-EL-SN-001","tCO2e/kWh","FE-DIESEL-001","tCO2e/litre","FE-GASOLINE-001","tCO2e/litre","FE-WASTE-CH4-001","tCH4/tonne","FE-LPG-001","tCO2e/kg",""))</x:f>
      </x:c>
      <x:c r="K14" s="24" t="str">
        <x:f>IF(H14="","",IF(H14="FE-WASTE-CH4-001",28,1))</x:f>
      </x:c>
      <x:c r="L14" s="24" t="str">
        <x:f>IF(A14="","",IFERROR(F14*I14*K14,""))</x:f>
      </x:c>
      <x:c r="M14" s="18"/>
      <x:c r="N14" s="18"/>
      <x:c r="O14" s="20"/>
      <x:c r="P14" s="18"/>
      <x:c r="Q14" s="18" t="str">
        <x:f>IF(A14="","",IF(OR(F14="",H14="",M14="",N14="D - Faible"),"Donnees manquantes","OK"))</x:f>
      </x:c>
    </x:row>
    <x:row r="15">
      <x:c r="A15" s="18"/>
      <x:c r="B15" s="18"/>
      <x:c r="C15" s="18"/>
      <x:c r="D15" s="18"/>
      <x:c r="E15" s="18"/>
      <x:c r="F15" s="24"/>
      <x:c r="G15" s="18"/>
      <x:c r="H15" s="18"/>
      <x:c r="I15" s="25" t="str">
        <x:f>IF(H15="","",SWITCH(H15,"FE-EL-SN-001",0.00055,"FE-DIESEL-001",0.00268,"FE-GASOLINE-001",0.00231,"FE-WASTE-CH4-001",0.0009,"FE-LPG-001",0.00299,""))</x:f>
      </x:c>
      <x:c r="J15" s="18" t="str">
        <x:f>IF(H15="","",SWITCH(H15,"FE-EL-SN-001","tCO2e/kWh","FE-DIESEL-001","tCO2e/litre","FE-GASOLINE-001","tCO2e/litre","FE-WASTE-CH4-001","tCH4/tonne","FE-LPG-001","tCO2e/kg",""))</x:f>
      </x:c>
      <x:c r="K15" s="24" t="str">
        <x:f>IF(H15="","",IF(H15="FE-WASTE-CH4-001",28,1))</x:f>
      </x:c>
      <x:c r="L15" s="24" t="str">
        <x:f>IF(A15="","",IFERROR(F15*I15*K15,""))</x:f>
      </x:c>
      <x:c r="M15" s="18"/>
      <x:c r="N15" s="18"/>
      <x:c r="O15" s="20"/>
      <x:c r="P15" s="18"/>
      <x:c r="Q15" s="18" t="str">
        <x:f>IF(A15="","",IF(OR(F15="",H15="",M15="",N15="D - Faible"),"Donnees manquantes","OK"))</x:f>
      </x:c>
    </x:row>
    <x:row r="16">
      <x:c r="A16" s="18"/>
      <x:c r="B16" s="18"/>
      <x:c r="C16" s="18"/>
      <x:c r="D16" s="18"/>
      <x:c r="E16" s="18"/>
      <x:c r="F16" s="24"/>
      <x:c r="G16" s="18"/>
      <x:c r="H16" s="18"/>
      <x:c r="I16" s="25" t="str">
        <x:f>IF(H16="","",SWITCH(H16,"FE-EL-SN-001",0.00055,"FE-DIESEL-001",0.00268,"FE-GASOLINE-001",0.00231,"FE-WASTE-CH4-001",0.0009,"FE-LPG-001",0.00299,""))</x:f>
      </x:c>
      <x:c r="J16" s="18" t="str">
        <x:f>IF(H16="","",SWITCH(H16,"FE-EL-SN-001","tCO2e/kWh","FE-DIESEL-001","tCO2e/litre","FE-GASOLINE-001","tCO2e/litre","FE-WASTE-CH4-001","tCH4/tonne","FE-LPG-001","tCO2e/kg",""))</x:f>
      </x:c>
      <x:c r="K16" s="24" t="str">
        <x:f>IF(H16="","",IF(H16="FE-WASTE-CH4-001",28,1))</x:f>
      </x:c>
      <x:c r="L16" s="24" t="str">
        <x:f>IF(A16="","",IFERROR(F16*I16*K16,""))</x:f>
      </x:c>
      <x:c r="M16" s="18"/>
      <x:c r="N16" s="18"/>
      <x:c r="O16" s="20"/>
      <x:c r="P16" s="18"/>
      <x:c r="Q16" s="18" t="str">
        <x:f>IF(A16="","",IF(OR(F16="",H16="",M16="",N16="D - Faible"),"Donnees manquantes","OK"))</x:f>
      </x:c>
    </x:row>
    <x:row r="17">
      <x:c r="A17" s="18"/>
      <x:c r="B17" s="18"/>
      <x:c r="C17" s="18"/>
      <x:c r="D17" s="18"/>
      <x:c r="E17" s="18"/>
      <x:c r="F17" s="24"/>
      <x:c r="G17" s="18"/>
      <x:c r="H17" s="18"/>
      <x:c r="I17" s="25" t="str">
        <x:f>IF(H17="","",SWITCH(H17,"FE-EL-SN-001",0.00055,"FE-DIESEL-001",0.00268,"FE-GASOLINE-001",0.00231,"FE-WASTE-CH4-001",0.0009,"FE-LPG-001",0.00299,""))</x:f>
      </x:c>
      <x:c r="J17" s="18" t="str">
        <x:f>IF(H17="","",SWITCH(H17,"FE-EL-SN-001","tCO2e/kWh","FE-DIESEL-001","tCO2e/litre","FE-GASOLINE-001","tCO2e/litre","FE-WASTE-CH4-001","tCH4/tonne","FE-LPG-001","tCO2e/kg",""))</x:f>
      </x:c>
      <x:c r="K17" s="24" t="str">
        <x:f>IF(H17="","",IF(H17="FE-WASTE-CH4-001",28,1))</x:f>
      </x:c>
      <x:c r="L17" s="24" t="str">
        <x:f>IF(A17="","",IFERROR(F17*I17*K17,""))</x:f>
      </x:c>
      <x:c r="M17" s="18"/>
      <x:c r="N17" s="18"/>
      <x:c r="O17" s="20"/>
      <x:c r="P17" s="18"/>
      <x:c r="Q17" s="18" t="str">
        <x:f>IF(A17="","",IF(OR(F17="",H17="",M17="",N17="D - Faible"),"Donnees manquantes","OK"))</x:f>
      </x:c>
    </x:row>
    <x:row r="18">
      <x:c r="A18" s="18"/>
      <x:c r="B18" s="18"/>
      <x:c r="C18" s="18"/>
      <x:c r="D18" s="18"/>
      <x:c r="E18" s="18"/>
      <x:c r="F18" s="24"/>
      <x:c r="G18" s="18"/>
      <x:c r="H18" s="18"/>
      <x:c r="I18" s="25" t="str">
        <x:f>IF(H18="","",SWITCH(H18,"FE-EL-SN-001",0.00055,"FE-DIESEL-001",0.00268,"FE-GASOLINE-001",0.00231,"FE-WASTE-CH4-001",0.0009,"FE-LPG-001",0.00299,""))</x:f>
      </x:c>
      <x:c r="J18" s="18" t="str">
        <x:f>IF(H18="","",SWITCH(H18,"FE-EL-SN-001","tCO2e/kWh","FE-DIESEL-001","tCO2e/litre","FE-GASOLINE-001","tCO2e/litre","FE-WASTE-CH4-001","tCH4/tonne","FE-LPG-001","tCO2e/kg",""))</x:f>
      </x:c>
      <x:c r="K18" s="24" t="str">
        <x:f>IF(H18="","",IF(H18="FE-WASTE-CH4-001",28,1))</x:f>
      </x:c>
      <x:c r="L18" s="24" t="str">
        <x:f>IF(A18="","",IFERROR(F18*I18*K18,""))</x:f>
      </x:c>
      <x:c r="M18" s="18"/>
      <x:c r="N18" s="18"/>
      <x:c r="O18" s="20"/>
      <x:c r="P18" s="18"/>
      <x:c r="Q18" s="18" t="str">
        <x:f>IF(A18="","",IF(OR(F18="",H18="",M18="",N18="D - Faible"),"Donnees manquantes","OK"))</x:f>
      </x:c>
    </x:row>
    <x:row r="19">
      <x:c r="A19" s="18"/>
      <x:c r="B19" s="18"/>
      <x:c r="C19" s="18"/>
      <x:c r="D19" s="18"/>
      <x:c r="E19" s="18"/>
      <x:c r="F19" s="24"/>
      <x:c r="G19" s="18"/>
      <x:c r="H19" s="18"/>
      <x:c r="I19" s="25" t="str">
        <x:f>IF(H19="","",SWITCH(H19,"FE-EL-SN-001",0.00055,"FE-DIESEL-001",0.00268,"FE-GASOLINE-001",0.00231,"FE-WASTE-CH4-001",0.0009,"FE-LPG-001",0.00299,""))</x:f>
      </x:c>
      <x:c r="J19" s="18" t="str">
        <x:f>IF(H19="","",SWITCH(H19,"FE-EL-SN-001","tCO2e/kWh","FE-DIESEL-001","tCO2e/litre","FE-GASOLINE-001","tCO2e/litre","FE-WASTE-CH4-001","tCH4/tonne","FE-LPG-001","tCO2e/kg",""))</x:f>
      </x:c>
      <x:c r="K19" s="24" t="str">
        <x:f>IF(H19="","",IF(H19="FE-WASTE-CH4-001",28,1))</x:f>
      </x:c>
      <x:c r="L19" s="24" t="str">
        <x:f>IF(A19="","",IFERROR(F19*I19*K19,""))</x:f>
      </x:c>
      <x:c r="M19" s="18"/>
      <x:c r="N19" s="18"/>
      <x:c r="O19" s="20"/>
      <x:c r="P19" s="18"/>
      <x:c r="Q19" s="18" t="str">
        <x:f>IF(A19="","",IF(OR(F19="",H19="",M19="",N19="D - Faible"),"Donnees manquantes","OK"))</x:f>
      </x:c>
    </x:row>
    <x:row r="20">
      <x:c r="A20" s="18"/>
      <x:c r="B20" s="18"/>
      <x:c r="C20" s="18"/>
      <x:c r="D20" s="18"/>
      <x:c r="E20" s="18"/>
      <x:c r="F20" s="24"/>
      <x:c r="G20" s="18"/>
      <x:c r="H20" s="18"/>
      <x:c r="I20" s="25" t="str">
        <x:f>IF(H20="","",SWITCH(H20,"FE-EL-SN-001",0.00055,"FE-DIESEL-001",0.00268,"FE-GASOLINE-001",0.00231,"FE-WASTE-CH4-001",0.0009,"FE-LPG-001",0.00299,""))</x:f>
      </x:c>
      <x:c r="J20" s="18" t="str">
        <x:f>IF(H20="","",SWITCH(H20,"FE-EL-SN-001","tCO2e/kWh","FE-DIESEL-001","tCO2e/litre","FE-GASOLINE-001","tCO2e/litre","FE-WASTE-CH4-001","tCH4/tonne","FE-LPG-001","tCO2e/kg",""))</x:f>
      </x:c>
      <x:c r="K20" s="24" t="str">
        <x:f>IF(H20="","",IF(H20="FE-WASTE-CH4-001",28,1))</x:f>
      </x:c>
      <x:c r="L20" s="24" t="str">
        <x:f>IF(A20="","",IFERROR(F20*I20*K20,""))</x:f>
      </x:c>
      <x:c r="M20" s="18"/>
      <x:c r="N20" s="18"/>
      <x:c r="O20" s="20"/>
      <x:c r="P20" s="18"/>
      <x:c r="Q20" s="18" t="str">
        <x:f>IF(A20="","",IF(OR(F20="",H20="",M20="",N20="D - Faible"),"Donnees manquantes","OK"))</x:f>
      </x:c>
    </x:row>
    <x:row r="21">
      <x:c r="A21" s="18"/>
      <x:c r="B21" s="18"/>
      <x:c r="C21" s="18"/>
      <x:c r="D21" s="18"/>
      <x:c r="E21" s="18"/>
      <x:c r="F21" s="24"/>
      <x:c r="G21" s="18"/>
      <x:c r="H21" s="18"/>
      <x:c r="I21" s="25" t="str">
        <x:f>IF(H21="","",SWITCH(H21,"FE-EL-SN-001",0.00055,"FE-DIESEL-001",0.00268,"FE-GASOLINE-001",0.00231,"FE-WASTE-CH4-001",0.0009,"FE-LPG-001",0.00299,""))</x:f>
      </x:c>
      <x:c r="J21" s="18" t="str">
        <x:f>IF(H21="","",SWITCH(H21,"FE-EL-SN-001","tCO2e/kWh","FE-DIESEL-001","tCO2e/litre","FE-GASOLINE-001","tCO2e/litre","FE-WASTE-CH4-001","tCH4/tonne","FE-LPG-001","tCO2e/kg",""))</x:f>
      </x:c>
      <x:c r="K21" s="24" t="str">
        <x:f>IF(H21="","",IF(H21="FE-WASTE-CH4-001",28,1))</x:f>
      </x:c>
      <x:c r="L21" s="24" t="str">
        <x:f>IF(A21="","",IFERROR(F21*I21*K21,""))</x:f>
      </x:c>
      <x:c r="M21" s="18"/>
      <x:c r="N21" s="18"/>
      <x:c r="O21" s="20"/>
      <x:c r="P21" s="18"/>
      <x:c r="Q21" s="18" t="str">
        <x:f>IF(A21="","",IF(OR(F21="",H21="",M21="",N21="D - Faible"),"Donnees manquantes","OK"))</x:f>
      </x:c>
    </x:row>
    <x:row r="22">
      <x:c r="A22" s="18"/>
      <x:c r="B22" s="18"/>
      <x:c r="C22" s="18"/>
      <x:c r="D22" s="18"/>
      <x:c r="E22" s="18"/>
      <x:c r="F22" s="24"/>
      <x:c r="G22" s="18"/>
      <x:c r="H22" s="18"/>
      <x:c r="I22" s="25" t="str">
        <x:f>IF(H22="","",SWITCH(H22,"FE-EL-SN-001",0.00055,"FE-DIESEL-001",0.00268,"FE-GASOLINE-001",0.00231,"FE-WASTE-CH4-001",0.0009,"FE-LPG-001",0.00299,""))</x:f>
      </x:c>
      <x:c r="J22" s="18" t="str">
        <x:f>IF(H22="","",SWITCH(H22,"FE-EL-SN-001","tCO2e/kWh","FE-DIESEL-001","tCO2e/litre","FE-GASOLINE-001","tCO2e/litre","FE-WASTE-CH4-001","tCH4/tonne","FE-LPG-001","tCO2e/kg",""))</x:f>
      </x:c>
      <x:c r="K22" s="24" t="str">
        <x:f>IF(H22="","",IF(H22="FE-WASTE-CH4-001",28,1))</x:f>
      </x:c>
      <x:c r="L22" s="24" t="str">
        <x:f>IF(A22="","",IFERROR(F22*I22*K22,""))</x:f>
      </x:c>
      <x:c r="M22" s="18"/>
      <x:c r="N22" s="18"/>
      <x:c r="O22" s="20"/>
      <x:c r="P22" s="18"/>
      <x:c r="Q22" s="18" t="str">
        <x:f>IF(A22="","",IF(OR(F22="",H22="",M22="",N22="D - Faible"),"Donnees manquantes","OK"))</x:f>
      </x:c>
    </x:row>
    <x:row r="23">
      <x:c r="A23" s="18"/>
      <x:c r="B23" s="18"/>
      <x:c r="C23" s="18"/>
      <x:c r="D23" s="18"/>
      <x:c r="E23" s="18"/>
      <x:c r="F23" s="24"/>
      <x:c r="G23" s="18"/>
      <x:c r="H23" s="18"/>
      <x:c r="I23" s="25" t="str">
        <x:f>IF(H23="","",SWITCH(H23,"FE-EL-SN-001",0.00055,"FE-DIESEL-001",0.00268,"FE-GASOLINE-001",0.00231,"FE-WASTE-CH4-001",0.0009,"FE-LPG-001",0.00299,""))</x:f>
      </x:c>
      <x:c r="J23" s="18" t="str">
        <x:f>IF(H23="","",SWITCH(H23,"FE-EL-SN-001","tCO2e/kWh","FE-DIESEL-001","tCO2e/litre","FE-GASOLINE-001","tCO2e/litre","FE-WASTE-CH4-001","tCH4/tonne","FE-LPG-001","tCO2e/kg",""))</x:f>
      </x:c>
      <x:c r="K23" s="24" t="str">
        <x:f>IF(H23="","",IF(H23="FE-WASTE-CH4-001",28,1))</x:f>
      </x:c>
      <x:c r="L23" s="24" t="str">
        <x:f>IF(A23="","",IFERROR(F23*I23*K23,""))</x:f>
      </x:c>
      <x:c r="M23" s="18"/>
      <x:c r="N23" s="18"/>
      <x:c r="O23" s="20"/>
      <x:c r="P23" s="18"/>
      <x:c r="Q23" s="18" t="str">
        <x:f>IF(A23="","",IF(OR(F23="",H23="",M23="",N23="D - Faible"),"Donnees manquantes","OK"))</x:f>
      </x:c>
    </x:row>
    <x:row r="24">
      <x:c r="A24" s="18"/>
      <x:c r="B24" s="18"/>
      <x:c r="C24" s="18"/>
      <x:c r="D24" s="18"/>
      <x:c r="E24" s="18"/>
      <x:c r="F24" s="24"/>
      <x:c r="G24" s="18"/>
      <x:c r="H24" s="18"/>
      <x:c r="I24" s="25" t="str">
        <x:f>IF(H24="","",SWITCH(H24,"FE-EL-SN-001",0.00055,"FE-DIESEL-001",0.00268,"FE-GASOLINE-001",0.00231,"FE-WASTE-CH4-001",0.0009,"FE-LPG-001",0.00299,""))</x:f>
      </x:c>
      <x:c r="J24" s="18" t="str">
        <x:f>IF(H24="","",SWITCH(H24,"FE-EL-SN-001","tCO2e/kWh","FE-DIESEL-001","tCO2e/litre","FE-GASOLINE-001","tCO2e/litre","FE-WASTE-CH4-001","tCH4/tonne","FE-LPG-001","tCO2e/kg",""))</x:f>
      </x:c>
      <x:c r="K24" s="24" t="str">
        <x:f>IF(H24="","",IF(H24="FE-WASTE-CH4-001",28,1))</x:f>
      </x:c>
      <x:c r="L24" s="24" t="str">
        <x:f>IF(A24="","",IFERROR(F24*I24*K24,""))</x:f>
      </x:c>
      <x:c r="M24" s="18"/>
      <x:c r="N24" s="18"/>
      <x:c r="O24" s="20"/>
      <x:c r="P24" s="18"/>
      <x:c r="Q24" s="18" t="str">
        <x:f>IF(A24="","",IF(OR(F24="",H24="",M24="",N24="D - Faible"),"Donnees manquantes","OK"))</x:f>
      </x:c>
    </x:row>
    <x:row r="25">
      <x:c r="A25" s="18"/>
      <x:c r="B25" s="18"/>
      <x:c r="C25" s="18"/>
      <x:c r="D25" s="18"/>
      <x:c r="E25" s="18"/>
      <x:c r="F25" s="24"/>
      <x:c r="G25" s="18"/>
      <x:c r="H25" s="18"/>
      <x:c r="I25" s="25" t="str">
        <x:f>IF(H25="","",SWITCH(H25,"FE-EL-SN-001",0.00055,"FE-DIESEL-001",0.00268,"FE-GASOLINE-001",0.00231,"FE-WASTE-CH4-001",0.0009,"FE-LPG-001",0.00299,""))</x:f>
      </x:c>
      <x:c r="J25" s="18" t="str">
        <x:f>IF(H25="","",SWITCH(H25,"FE-EL-SN-001","tCO2e/kWh","FE-DIESEL-001","tCO2e/litre","FE-GASOLINE-001","tCO2e/litre","FE-WASTE-CH4-001","tCH4/tonne","FE-LPG-001","tCO2e/kg",""))</x:f>
      </x:c>
      <x:c r="K25" s="24" t="str">
        <x:f>IF(H25="","",IF(H25="FE-WASTE-CH4-001",28,1))</x:f>
      </x:c>
      <x:c r="L25" s="24" t="str">
        <x:f>IF(A25="","",IFERROR(F25*I25*K25,""))</x:f>
      </x:c>
      <x:c r="M25" s="18"/>
      <x:c r="N25" s="18"/>
      <x:c r="O25" s="20"/>
      <x:c r="P25" s="18"/>
      <x:c r="Q25" s="18" t="str">
        <x:f>IF(A25="","",IF(OR(F25="",H25="",M25="",N25="D - Faible"),"Donnees manquantes","OK"))</x:f>
      </x:c>
    </x:row>
    <x:row r="26">
      <x:c r="A26" s="18"/>
      <x:c r="B26" s="18"/>
      <x:c r="C26" s="18"/>
      <x:c r="D26" s="18"/>
      <x:c r="E26" s="18"/>
      <x:c r="F26" s="24"/>
      <x:c r="G26" s="18"/>
      <x:c r="H26" s="18"/>
      <x:c r="I26" s="25" t="str">
        <x:f>IF(H26="","",SWITCH(H26,"FE-EL-SN-001",0.00055,"FE-DIESEL-001",0.00268,"FE-GASOLINE-001",0.00231,"FE-WASTE-CH4-001",0.0009,"FE-LPG-001",0.00299,""))</x:f>
      </x:c>
      <x:c r="J26" s="18" t="str">
        <x:f>IF(H26="","",SWITCH(H26,"FE-EL-SN-001","tCO2e/kWh","FE-DIESEL-001","tCO2e/litre","FE-GASOLINE-001","tCO2e/litre","FE-WASTE-CH4-001","tCH4/tonne","FE-LPG-001","tCO2e/kg",""))</x:f>
      </x:c>
      <x:c r="K26" s="24" t="str">
        <x:f>IF(H26="","",IF(H26="FE-WASTE-CH4-001",28,1))</x:f>
      </x:c>
      <x:c r="L26" s="24" t="str">
        <x:f>IF(A26="","",IFERROR(F26*I26*K26,""))</x:f>
      </x:c>
      <x:c r="M26" s="18"/>
      <x:c r="N26" s="18"/>
      <x:c r="O26" s="20"/>
      <x:c r="P26" s="18"/>
      <x:c r="Q26" s="18" t="str">
        <x:f>IF(A26="","",IF(OR(F26="",H26="",M26="",N26="D - Faible"),"Donnees manquantes","OK"))</x:f>
      </x:c>
    </x:row>
    <x:row r="27">
      <x:c r="A27" s="18"/>
      <x:c r="B27" s="18"/>
      <x:c r="C27" s="18"/>
      <x:c r="D27" s="18"/>
      <x:c r="E27" s="18"/>
      <x:c r="F27" s="24"/>
      <x:c r="G27" s="18"/>
      <x:c r="H27" s="18"/>
      <x:c r="I27" s="25" t="str">
        <x:f>IF(H27="","",SWITCH(H27,"FE-EL-SN-001",0.00055,"FE-DIESEL-001",0.00268,"FE-GASOLINE-001",0.00231,"FE-WASTE-CH4-001",0.0009,"FE-LPG-001",0.00299,""))</x:f>
      </x:c>
      <x:c r="J27" s="18" t="str">
        <x:f>IF(H27="","",SWITCH(H27,"FE-EL-SN-001","tCO2e/kWh","FE-DIESEL-001","tCO2e/litre","FE-GASOLINE-001","tCO2e/litre","FE-WASTE-CH4-001","tCH4/tonne","FE-LPG-001","tCO2e/kg",""))</x:f>
      </x:c>
      <x:c r="K27" s="24" t="str">
        <x:f>IF(H27="","",IF(H27="FE-WASTE-CH4-001",28,1))</x:f>
      </x:c>
      <x:c r="L27" s="24" t="str">
        <x:f>IF(A27="","",IFERROR(F27*I27*K27,""))</x:f>
      </x:c>
      <x:c r="M27" s="18"/>
      <x:c r="N27" s="18"/>
      <x:c r="O27" s="20"/>
      <x:c r="P27" s="18"/>
      <x:c r="Q27" s="18" t="str">
        <x:f>IF(A27="","",IF(OR(F27="",H27="",M27="",N27="D - Faible"),"Donnees manquantes","OK"))</x:f>
      </x:c>
    </x:row>
    <x:row r="28">
      <x:c r="A28" s="18"/>
      <x:c r="B28" s="18"/>
      <x:c r="C28" s="18"/>
      <x:c r="D28" s="18"/>
      <x:c r="E28" s="18"/>
      <x:c r="F28" s="24"/>
      <x:c r="G28" s="18"/>
      <x:c r="H28" s="18"/>
      <x:c r="I28" s="25" t="str">
        <x:f>IF(H28="","",SWITCH(H28,"FE-EL-SN-001",0.00055,"FE-DIESEL-001",0.00268,"FE-GASOLINE-001",0.00231,"FE-WASTE-CH4-001",0.0009,"FE-LPG-001",0.00299,""))</x:f>
      </x:c>
      <x:c r="J28" s="18" t="str">
        <x:f>IF(H28="","",SWITCH(H28,"FE-EL-SN-001","tCO2e/kWh","FE-DIESEL-001","tCO2e/litre","FE-GASOLINE-001","tCO2e/litre","FE-WASTE-CH4-001","tCH4/tonne","FE-LPG-001","tCO2e/kg",""))</x:f>
      </x:c>
      <x:c r="K28" s="24" t="str">
        <x:f>IF(H28="","",IF(H28="FE-WASTE-CH4-001",28,1))</x:f>
      </x:c>
      <x:c r="L28" s="24" t="str">
        <x:f>IF(A28="","",IFERROR(F28*I28*K28,""))</x:f>
      </x:c>
      <x:c r="M28" s="18"/>
      <x:c r="N28" s="18"/>
      <x:c r="O28" s="20"/>
      <x:c r="P28" s="18"/>
      <x:c r="Q28" s="18" t="str">
        <x:f>IF(A28="","",IF(OR(F28="",H28="",M28="",N28="D - Faible"),"Donnees manquantes","OK"))</x:f>
      </x:c>
    </x:row>
    <x:row r="29">
      <x:c r="A29" s="18"/>
      <x:c r="B29" s="18"/>
      <x:c r="C29" s="18"/>
      <x:c r="D29" s="18"/>
      <x:c r="E29" s="18"/>
      <x:c r="F29" s="24"/>
      <x:c r="G29" s="18"/>
      <x:c r="H29" s="18"/>
      <x:c r="I29" s="25" t="str">
        <x:f>IF(H29="","",SWITCH(H29,"FE-EL-SN-001",0.00055,"FE-DIESEL-001",0.00268,"FE-GASOLINE-001",0.00231,"FE-WASTE-CH4-001",0.0009,"FE-LPG-001",0.00299,""))</x:f>
      </x:c>
      <x:c r="J29" s="18" t="str">
        <x:f>IF(H29="","",SWITCH(H29,"FE-EL-SN-001","tCO2e/kWh","FE-DIESEL-001","tCO2e/litre","FE-GASOLINE-001","tCO2e/litre","FE-WASTE-CH4-001","tCH4/tonne","FE-LPG-001","tCO2e/kg",""))</x:f>
      </x:c>
      <x:c r="K29" s="24" t="str">
        <x:f>IF(H29="","",IF(H29="FE-WASTE-CH4-001",28,1))</x:f>
      </x:c>
      <x:c r="L29" s="24" t="str">
        <x:f>IF(A29="","",IFERROR(F29*I29*K29,""))</x:f>
      </x:c>
      <x:c r="M29" s="18"/>
      <x:c r="N29" s="18"/>
      <x:c r="O29" s="20"/>
      <x:c r="P29" s="18"/>
      <x:c r="Q29" s="18" t="str">
        <x:f>IF(A29="","",IF(OR(F29="",H29="",M29="",N29="D - Faible"),"Donnees manquantes","OK"))</x:f>
      </x:c>
    </x:row>
    <x:row r="30">
      <x:c r="A30" s="18"/>
      <x:c r="B30" s="18"/>
      <x:c r="C30" s="18"/>
      <x:c r="D30" s="18"/>
      <x:c r="E30" s="18"/>
      <x:c r="F30" s="24"/>
      <x:c r="G30" s="18"/>
      <x:c r="H30" s="18"/>
      <x:c r="I30" s="25" t="str">
        <x:f>IF(H30="","",SWITCH(H30,"FE-EL-SN-001",0.00055,"FE-DIESEL-001",0.00268,"FE-GASOLINE-001",0.00231,"FE-WASTE-CH4-001",0.0009,"FE-LPG-001",0.00299,""))</x:f>
      </x:c>
      <x:c r="J30" s="18" t="str">
        <x:f>IF(H30="","",SWITCH(H30,"FE-EL-SN-001","tCO2e/kWh","FE-DIESEL-001","tCO2e/litre","FE-GASOLINE-001","tCO2e/litre","FE-WASTE-CH4-001","tCH4/tonne","FE-LPG-001","tCO2e/kg",""))</x:f>
      </x:c>
      <x:c r="K30" s="24" t="str">
        <x:f>IF(H30="","",IF(H30="FE-WASTE-CH4-001",28,1))</x:f>
      </x:c>
      <x:c r="L30" s="24" t="str">
        <x:f>IF(A30="","",IFERROR(F30*I30*K30,""))</x:f>
      </x:c>
      <x:c r="M30" s="18"/>
      <x:c r="N30" s="18"/>
      <x:c r="O30" s="20"/>
      <x:c r="P30" s="18"/>
      <x:c r="Q30" s="18" t="str">
        <x:f>IF(A30="","",IF(OR(F30="",H30="",M30="",N30="D - Faible"),"Donnees manquantes","OK"))</x:f>
      </x:c>
    </x:row>
    <x:row r="31">
      <x:c r="A31" s="18"/>
      <x:c r="B31" s="18"/>
      <x:c r="C31" s="18"/>
      <x:c r="D31" s="18"/>
      <x:c r="E31" s="18"/>
      <x:c r="F31" s="24"/>
      <x:c r="G31" s="18"/>
      <x:c r="H31" s="18"/>
      <x:c r="I31" s="25" t="str">
        <x:f>IF(H31="","",SWITCH(H31,"FE-EL-SN-001",0.00055,"FE-DIESEL-001",0.00268,"FE-GASOLINE-001",0.00231,"FE-WASTE-CH4-001",0.0009,"FE-LPG-001",0.00299,""))</x:f>
      </x:c>
      <x:c r="J31" s="18" t="str">
        <x:f>IF(H31="","",SWITCH(H31,"FE-EL-SN-001","tCO2e/kWh","FE-DIESEL-001","tCO2e/litre","FE-GASOLINE-001","tCO2e/litre","FE-WASTE-CH4-001","tCH4/tonne","FE-LPG-001","tCO2e/kg",""))</x:f>
      </x:c>
      <x:c r="K31" s="24" t="str">
        <x:f>IF(H31="","",IF(H31="FE-WASTE-CH4-001",28,1))</x:f>
      </x:c>
      <x:c r="L31" s="24" t="str">
        <x:f>IF(A31="","",IFERROR(F31*I31*K31,""))</x:f>
      </x:c>
      <x:c r="M31" s="18"/>
      <x:c r="N31" s="18"/>
      <x:c r="O31" s="20"/>
      <x:c r="P31" s="18"/>
      <x:c r="Q31" s="18" t="str">
        <x:f>IF(A31="","",IF(OR(F31="",H31="",M31="",N31="D - Faible"),"Donnees manquantes","OK"))</x:f>
      </x:c>
    </x:row>
    <x:row r="32">
      <x:c r="A32" s="18"/>
      <x:c r="B32" s="18"/>
      <x:c r="C32" s="18"/>
      <x:c r="D32" s="18"/>
      <x:c r="E32" s="18"/>
      <x:c r="F32" s="24"/>
      <x:c r="G32" s="18"/>
      <x:c r="H32" s="18"/>
      <x:c r="I32" s="25" t="str">
        <x:f>IF(H32="","",SWITCH(H32,"FE-EL-SN-001",0.00055,"FE-DIESEL-001",0.00268,"FE-GASOLINE-001",0.00231,"FE-WASTE-CH4-001",0.0009,"FE-LPG-001",0.00299,""))</x:f>
      </x:c>
      <x:c r="J32" s="18" t="str">
        <x:f>IF(H32="","",SWITCH(H32,"FE-EL-SN-001","tCO2e/kWh","FE-DIESEL-001","tCO2e/litre","FE-GASOLINE-001","tCO2e/litre","FE-WASTE-CH4-001","tCH4/tonne","FE-LPG-001","tCO2e/kg",""))</x:f>
      </x:c>
      <x:c r="K32" s="24" t="str">
        <x:f>IF(H32="","",IF(H32="FE-WASTE-CH4-001",28,1))</x:f>
      </x:c>
      <x:c r="L32" s="24" t="str">
        <x:f>IF(A32="","",IFERROR(F32*I32*K32,""))</x:f>
      </x:c>
      <x:c r="M32" s="18"/>
      <x:c r="N32" s="18"/>
      <x:c r="O32" s="20"/>
      <x:c r="P32" s="18"/>
      <x:c r="Q32" s="18" t="str">
        <x:f>IF(A32="","",IF(OR(F32="",H32="",M32="",N32="D - Faible"),"Donnees manquantes","OK"))</x:f>
      </x:c>
    </x:row>
    <x:row r="33">
      <x:c r="A33" s="18"/>
      <x:c r="B33" s="18"/>
      <x:c r="C33" s="18"/>
      <x:c r="D33" s="18"/>
      <x:c r="E33" s="18"/>
      <x:c r="F33" s="24"/>
      <x:c r="G33" s="18"/>
      <x:c r="H33" s="18"/>
      <x:c r="I33" s="25" t="str">
        <x:f>IF(H33="","",SWITCH(H33,"FE-EL-SN-001",0.00055,"FE-DIESEL-001",0.00268,"FE-GASOLINE-001",0.00231,"FE-WASTE-CH4-001",0.0009,"FE-LPG-001",0.00299,""))</x:f>
      </x:c>
      <x:c r="J33" s="18" t="str">
        <x:f>IF(H33="","",SWITCH(H33,"FE-EL-SN-001","tCO2e/kWh","FE-DIESEL-001","tCO2e/litre","FE-GASOLINE-001","tCO2e/litre","FE-WASTE-CH4-001","tCH4/tonne","FE-LPG-001","tCO2e/kg",""))</x:f>
      </x:c>
      <x:c r="K33" s="24" t="str">
        <x:f>IF(H33="","",IF(H33="FE-WASTE-CH4-001",28,1))</x:f>
      </x:c>
      <x:c r="L33" s="24" t="str">
        <x:f>IF(A33="","",IFERROR(F33*I33*K33,""))</x:f>
      </x:c>
      <x:c r="M33" s="18"/>
      <x:c r="N33" s="18"/>
      <x:c r="O33" s="20"/>
      <x:c r="P33" s="18"/>
      <x:c r="Q33" s="18" t="str">
        <x:f>IF(A33="","",IF(OR(F33="",H33="",M33="",N33="D - Faible"),"Donnees manquantes","OK"))</x:f>
      </x:c>
    </x:row>
    <x:row r="34">
      <x:c r="A34" s="18"/>
      <x:c r="B34" s="18"/>
      <x:c r="C34" s="18"/>
      <x:c r="D34" s="18"/>
      <x:c r="E34" s="18"/>
      <x:c r="F34" s="24"/>
      <x:c r="G34" s="18"/>
      <x:c r="H34" s="18"/>
      <x:c r="I34" s="25" t="str">
        <x:f>IF(H34="","",SWITCH(H34,"FE-EL-SN-001",0.00055,"FE-DIESEL-001",0.00268,"FE-GASOLINE-001",0.00231,"FE-WASTE-CH4-001",0.0009,"FE-LPG-001",0.00299,""))</x:f>
      </x:c>
      <x:c r="J34" s="18" t="str">
        <x:f>IF(H34="","",SWITCH(H34,"FE-EL-SN-001","tCO2e/kWh","FE-DIESEL-001","tCO2e/litre","FE-GASOLINE-001","tCO2e/litre","FE-WASTE-CH4-001","tCH4/tonne","FE-LPG-001","tCO2e/kg",""))</x:f>
      </x:c>
      <x:c r="K34" s="24" t="str">
        <x:f>IF(H34="","",IF(H34="FE-WASTE-CH4-001",28,1))</x:f>
      </x:c>
      <x:c r="L34" s="24" t="str">
        <x:f>IF(A34="","",IFERROR(F34*I34*K34,""))</x:f>
      </x:c>
      <x:c r="M34" s="18"/>
      <x:c r="N34" s="18"/>
      <x:c r="O34" s="20"/>
      <x:c r="P34" s="18"/>
      <x:c r="Q34" s="18" t="str">
        <x:f>IF(A34="","",IF(OR(F34="",H34="",M34="",N34="D - Faible"),"Donnees manquantes","OK"))</x:f>
      </x:c>
    </x:row>
    <x:row r="35">
      <x:c r="A35" s="18"/>
      <x:c r="B35" s="18"/>
      <x:c r="C35" s="18"/>
      <x:c r="D35" s="18"/>
      <x:c r="E35" s="18"/>
      <x:c r="F35" s="24"/>
      <x:c r="G35" s="18"/>
      <x:c r="H35" s="18"/>
      <x:c r="I35" s="25" t="str">
        <x:f>IF(H35="","",SWITCH(H35,"FE-EL-SN-001",0.00055,"FE-DIESEL-001",0.00268,"FE-GASOLINE-001",0.00231,"FE-WASTE-CH4-001",0.0009,"FE-LPG-001",0.00299,""))</x:f>
      </x:c>
      <x:c r="J35" s="18" t="str">
        <x:f>IF(H35="","",SWITCH(H35,"FE-EL-SN-001","tCO2e/kWh","FE-DIESEL-001","tCO2e/litre","FE-GASOLINE-001","tCO2e/litre","FE-WASTE-CH4-001","tCH4/tonne","FE-LPG-001","tCO2e/kg",""))</x:f>
      </x:c>
      <x:c r="K35" s="24" t="str">
        <x:f>IF(H35="","",IF(H35="FE-WASTE-CH4-001",28,1))</x:f>
      </x:c>
      <x:c r="L35" s="24" t="str">
        <x:f>IF(A35="","",IFERROR(F35*I35*K35,""))</x:f>
      </x:c>
      <x:c r="M35" s="18"/>
      <x:c r="N35" s="18"/>
      <x:c r="O35" s="20"/>
      <x:c r="P35" s="18"/>
      <x:c r="Q35" s="18" t="str">
        <x:f>IF(A35="","",IF(OR(F35="",H35="",M35="",N35="D - Faible"),"Donnees manquantes","OK"))</x:f>
      </x:c>
    </x:row>
    <x:row r="36">
      <x:c r="A36" s="18"/>
      <x:c r="B36" s="18"/>
      <x:c r="C36" s="18"/>
      <x:c r="D36" s="18"/>
      <x:c r="E36" s="18"/>
      <x:c r="F36" s="24"/>
      <x:c r="G36" s="18"/>
      <x:c r="H36" s="18"/>
      <x:c r="I36" s="25" t="str">
        <x:f>IF(H36="","",SWITCH(H36,"FE-EL-SN-001",0.00055,"FE-DIESEL-001",0.00268,"FE-GASOLINE-001",0.00231,"FE-WASTE-CH4-001",0.0009,"FE-LPG-001",0.00299,""))</x:f>
      </x:c>
      <x:c r="J36" s="18" t="str">
        <x:f>IF(H36="","",SWITCH(H36,"FE-EL-SN-001","tCO2e/kWh","FE-DIESEL-001","tCO2e/litre","FE-GASOLINE-001","tCO2e/litre","FE-WASTE-CH4-001","tCH4/tonne","FE-LPG-001","tCO2e/kg",""))</x:f>
      </x:c>
      <x:c r="K36" s="24" t="str">
        <x:f>IF(H36="","",IF(H36="FE-WASTE-CH4-001",28,1))</x:f>
      </x:c>
      <x:c r="L36" s="24" t="str">
        <x:f>IF(A36="","",IFERROR(F36*I36*K36,""))</x:f>
      </x:c>
      <x:c r="M36" s="18"/>
      <x:c r="N36" s="18"/>
      <x:c r="O36" s="20"/>
      <x:c r="P36" s="18"/>
      <x:c r="Q36" s="18" t="str">
        <x:f>IF(A36="","",IF(OR(F36="",H36="",M36="",N36="D - Faible"),"Donnees manquantes","OK"))</x:f>
      </x:c>
    </x:row>
    <x:row r="37">
      <x:c r="A37" s="18"/>
      <x:c r="B37" s="18"/>
      <x:c r="C37" s="18"/>
      <x:c r="D37" s="18"/>
      <x:c r="E37" s="18"/>
      <x:c r="F37" s="24"/>
      <x:c r="G37" s="18"/>
      <x:c r="H37" s="18"/>
      <x:c r="I37" s="25" t="str">
        <x:f>IF(H37="","",SWITCH(H37,"FE-EL-SN-001",0.00055,"FE-DIESEL-001",0.00268,"FE-GASOLINE-001",0.00231,"FE-WASTE-CH4-001",0.0009,"FE-LPG-001",0.00299,""))</x:f>
      </x:c>
      <x:c r="J37" s="18" t="str">
        <x:f>IF(H37="","",SWITCH(H37,"FE-EL-SN-001","tCO2e/kWh","FE-DIESEL-001","tCO2e/litre","FE-GASOLINE-001","tCO2e/litre","FE-WASTE-CH4-001","tCH4/tonne","FE-LPG-001","tCO2e/kg",""))</x:f>
      </x:c>
      <x:c r="K37" s="24" t="str">
        <x:f>IF(H37="","",IF(H37="FE-WASTE-CH4-001",28,1))</x:f>
      </x:c>
      <x:c r="L37" s="24" t="str">
        <x:f>IF(A37="","",IFERROR(F37*I37*K37,""))</x:f>
      </x:c>
      <x:c r="M37" s="18"/>
      <x:c r="N37" s="18"/>
      <x:c r="O37" s="20"/>
      <x:c r="P37" s="18"/>
      <x:c r="Q37" s="18" t="str">
        <x:f>IF(A37="","",IF(OR(F37="",H37="",M37="",N37="D - Faible"),"Donnees manquantes","OK"))</x:f>
      </x:c>
    </x:row>
    <x:row r="38">
      <x:c r="A38" s="18"/>
      <x:c r="B38" s="18"/>
      <x:c r="C38" s="18"/>
      <x:c r="D38" s="18"/>
      <x:c r="E38" s="18"/>
      <x:c r="F38" s="24"/>
      <x:c r="G38" s="18"/>
      <x:c r="H38" s="18"/>
      <x:c r="I38" s="25" t="str">
        <x:f>IF(H38="","",SWITCH(H38,"FE-EL-SN-001",0.00055,"FE-DIESEL-001",0.00268,"FE-GASOLINE-001",0.00231,"FE-WASTE-CH4-001",0.0009,"FE-LPG-001",0.00299,""))</x:f>
      </x:c>
      <x:c r="J38" s="18" t="str">
        <x:f>IF(H38="","",SWITCH(H38,"FE-EL-SN-001","tCO2e/kWh","FE-DIESEL-001","tCO2e/litre","FE-GASOLINE-001","tCO2e/litre","FE-WASTE-CH4-001","tCH4/tonne","FE-LPG-001","tCO2e/kg",""))</x:f>
      </x:c>
      <x:c r="K38" s="24" t="str">
        <x:f>IF(H38="","",IF(H38="FE-WASTE-CH4-001",28,1))</x:f>
      </x:c>
      <x:c r="L38" s="24" t="str">
        <x:f>IF(A38="","",IFERROR(F38*I38*K38,""))</x:f>
      </x:c>
      <x:c r="M38" s="18"/>
      <x:c r="N38" s="18"/>
      <x:c r="O38" s="20"/>
      <x:c r="P38" s="18"/>
      <x:c r="Q38" s="18" t="str">
        <x:f>IF(A38="","",IF(OR(F38="",H38="",M38="",N38="D - Faible"),"Donnees manquantes","OK"))</x:f>
      </x:c>
    </x:row>
    <x:row r="39">
      <x:c r="A39" s="18"/>
      <x:c r="B39" s="18"/>
      <x:c r="C39" s="18"/>
      <x:c r="D39" s="18"/>
      <x:c r="E39" s="18"/>
      <x:c r="F39" s="24"/>
      <x:c r="G39" s="18"/>
      <x:c r="H39" s="18"/>
      <x:c r="I39" s="25" t="str">
        <x:f>IF(H39="","",SWITCH(H39,"FE-EL-SN-001",0.00055,"FE-DIESEL-001",0.00268,"FE-GASOLINE-001",0.00231,"FE-WASTE-CH4-001",0.0009,"FE-LPG-001",0.00299,""))</x:f>
      </x:c>
      <x:c r="J39" s="18" t="str">
        <x:f>IF(H39="","",SWITCH(H39,"FE-EL-SN-001","tCO2e/kWh","FE-DIESEL-001","tCO2e/litre","FE-GASOLINE-001","tCO2e/litre","FE-WASTE-CH4-001","tCH4/tonne","FE-LPG-001","tCO2e/kg",""))</x:f>
      </x:c>
      <x:c r="K39" s="24" t="str">
        <x:f>IF(H39="","",IF(H39="FE-WASTE-CH4-001",28,1))</x:f>
      </x:c>
      <x:c r="L39" s="24" t="str">
        <x:f>IF(A39="","",IFERROR(F39*I39*K39,""))</x:f>
      </x:c>
      <x:c r="M39" s="18"/>
      <x:c r="N39" s="18"/>
      <x:c r="O39" s="20"/>
      <x:c r="P39" s="18"/>
      <x:c r="Q39" s="18" t="str">
        <x:f>IF(A39="","",IF(OR(F39="",H39="",M39="",N39="D - Faible"),"Donnees manquantes","OK"))</x:f>
      </x:c>
    </x:row>
    <x:row r="40">
      <x:c r="A40" s="18"/>
      <x:c r="B40" s="18"/>
      <x:c r="C40" s="18"/>
      <x:c r="D40" s="18"/>
      <x:c r="E40" s="18"/>
      <x:c r="F40" s="24"/>
      <x:c r="G40" s="18"/>
      <x:c r="H40" s="18"/>
      <x:c r="I40" s="25" t="str">
        <x:f>IF(H40="","",SWITCH(H40,"FE-EL-SN-001",0.00055,"FE-DIESEL-001",0.00268,"FE-GASOLINE-001",0.00231,"FE-WASTE-CH4-001",0.0009,"FE-LPG-001",0.00299,""))</x:f>
      </x:c>
      <x:c r="J40" s="18" t="str">
        <x:f>IF(H40="","",SWITCH(H40,"FE-EL-SN-001","tCO2e/kWh","FE-DIESEL-001","tCO2e/litre","FE-GASOLINE-001","tCO2e/litre","FE-WASTE-CH4-001","tCH4/tonne","FE-LPG-001","tCO2e/kg",""))</x:f>
      </x:c>
      <x:c r="K40" s="24" t="str">
        <x:f>IF(H40="","",IF(H40="FE-WASTE-CH4-001",28,1))</x:f>
      </x:c>
      <x:c r="L40" s="24" t="str">
        <x:f>IF(A40="","",IFERROR(F40*I40*K40,""))</x:f>
      </x:c>
      <x:c r="M40" s="18"/>
      <x:c r="N40" s="18"/>
      <x:c r="O40" s="20"/>
      <x:c r="P40" s="18"/>
      <x:c r="Q40" s="18" t="str">
        <x:f>IF(A40="","",IF(OR(F40="",H40="",M40="",N40="D - Faible"),"Donnees manquantes","OK"))</x:f>
      </x:c>
    </x:row>
    <x:row r="41">
      <x:c r="A41" s="18"/>
      <x:c r="B41" s="18"/>
      <x:c r="C41" s="18"/>
      <x:c r="D41" s="18"/>
      <x:c r="E41" s="18"/>
      <x:c r="F41" s="24"/>
      <x:c r="G41" s="18"/>
      <x:c r="H41" s="18"/>
      <x:c r="I41" s="25" t="str">
        <x:f>IF(H41="","",SWITCH(H41,"FE-EL-SN-001",0.00055,"FE-DIESEL-001",0.00268,"FE-GASOLINE-001",0.00231,"FE-WASTE-CH4-001",0.0009,"FE-LPG-001",0.00299,""))</x:f>
      </x:c>
      <x:c r="J41" s="18" t="str">
        <x:f>IF(H41="","",SWITCH(H41,"FE-EL-SN-001","tCO2e/kWh","FE-DIESEL-001","tCO2e/litre","FE-GASOLINE-001","tCO2e/litre","FE-WASTE-CH4-001","tCH4/tonne","FE-LPG-001","tCO2e/kg",""))</x:f>
      </x:c>
      <x:c r="K41" s="24" t="str">
        <x:f>IF(H41="","",IF(H41="FE-WASTE-CH4-001",28,1))</x:f>
      </x:c>
      <x:c r="L41" s="24" t="str">
        <x:f>IF(A41="","",IFERROR(F41*I41*K41,""))</x:f>
      </x:c>
      <x:c r="M41" s="18"/>
      <x:c r="N41" s="18"/>
      <x:c r="O41" s="20"/>
      <x:c r="P41" s="18"/>
      <x:c r="Q41" s="18" t="str">
        <x:f>IF(A41="","",IF(OR(F41="",H41="",M41="",N41="D - Faible"),"Donnees manquantes","OK"))</x:f>
      </x:c>
    </x:row>
    <x:row r="42">
      <x:c r="A42" s="18"/>
      <x:c r="B42" s="18"/>
      <x:c r="C42" s="18"/>
      <x:c r="D42" s="18"/>
      <x:c r="E42" s="18"/>
      <x:c r="F42" s="24"/>
      <x:c r="G42" s="18"/>
      <x:c r="H42" s="18"/>
      <x:c r="I42" s="25" t="str">
        <x:f>IF(H42="","",SWITCH(H42,"FE-EL-SN-001",0.00055,"FE-DIESEL-001",0.00268,"FE-GASOLINE-001",0.00231,"FE-WASTE-CH4-001",0.0009,"FE-LPG-001",0.00299,""))</x:f>
      </x:c>
      <x:c r="J42" s="18" t="str">
        <x:f>IF(H42="","",SWITCH(H42,"FE-EL-SN-001","tCO2e/kWh","FE-DIESEL-001","tCO2e/litre","FE-GASOLINE-001","tCO2e/litre","FE-WASTE-CH4-001","tCH4/tonne","FE-LPG-001","tCO2e/kg",""))</x:f>
      </x:c>
      <x:c r="K42" s="24" t="str">
        <x:f>IF(H42="","",IF(H42="FE-WASTE-CH4-001",28,1))</x:f>
      </x:c>
      <x:c r="L42" s="24" t="str">
        <x:f>IF(A42="","",IFERROR(F42*I42*K42,""))</x:f>
      </x:c>
      <x:c r="M42" s="18"/>
      <x:c r="N42" s="18"/>
      <x:c r="O42" s="20"/>
      <x:c r="P42" s="18"/>
      <x:c r="Q42" s="18" t="str">
        <x:f>IF(A42="","",IF(OR(F42="",H42="",M42="",N42="D - Faible"),"Donnees manquantes","OK"))</x:f>
      </x:c>
    </x:row>
    <x:row r="43">
      <x:c r="A43" s="18"/>
      <x:c r="B43" s="18"/>
      <x:c r="C43" s="18"/>
      <x:c r="D43" s="18"/>
      <x:c r="E43" s="18"/>
      <x:c r="F43" s="24"/>
      <x:c r="G43" s="18"/>
      <x:c r="H43" s="18"/>
      <x:c r="I43" s="25" t="str">
        <x:f>IF(H43="","",SWITCH(H43,"FE-EL-SN-001",0.00055,"FE-DIESEL-001",0.00268,"FE-GASOLINE-001",0.00231,"FE-WASTE-CH4-001",0.0009,"FE-LPG-001",0.00299,""))</x:f>
      </x:c>
      <x:c r="J43" s="18" t="str">
        <x:f>IF(H43="","",SWITCH(H43,"FE-EL-SN-001","tCO2e/kWh","FE-DIESEL-001","tCO2e/litre","FE-GASOLINE-001","tCO2e/litre","FE-WASTE-CH4-001","tCH4/tonne","FE-LPG-001","tCO2e/kg",""))</x:f>
      </x:c>
      <x:c r="K43" s="24" t="str">
        <x:f>IF(H43="","",IF(H43="FE-WASTE-CH4-001",28,1))</x:f>
      </x:c>
      <x:c r="L43" s="24" t="str">
        <x:f>IF(A43="","",IFERROR(F43*I43*K43,""))</x:f>
      </x:c>
      <x:c r="M43" s="18"/>
      <x:c r="N43" s="18"/>
      <x:c r="O43" s="20"/>
      <x:c r="P43" s="18"/>
      <x:c r="Q43" s="18" t="str">
        <x:f>IF(A43="","",IF(OR(F43="",H43="",M43="",N43="D - Faible"),"Donnees manquantes","OK"))</x:f>
      </x:c>
    </x:row>
    <x:row r="44">
      <x:c r="A44" s="18"/>
      <x:c r="B44" s="18"/>
      <x:c r="C44" s="18"/>
      <x:c r="D44" s="18"/>
      <x:c r="E44" s="18"/>
      <x:c r="F44" s="24"/>
      <x:c r="G44" s="18"/>
      <x:c r="H44" s="18"/>
      <x:c r="I44" s="25" t="str">
        <x:f>IF(H44="","",SWITCH(H44,"FE-EL-SN-001",0.00055,"FE-DIESEL-001",0.00268,"FE-GASOLINE-001",0.00231,"FE-WASTE-CH4-001",0.0009,"FE-LPG-001",0.00299,""))</x:f>
      </x:c>
      <x:c r="J44" s="18" t="str">
        <x:f>IF(H44="","",SWITCH(H44,"FE-EL-SN-001","tCO2e/kWh","FE-DIESEL-001","tCO2e/litre","FE-GASOLINE-001","tCO2e/litre","FE-WASTE-CH4-001","tCH4/tonne","FE-LPG-001","tCO2e/kg",""))</x:f>
      </x:c>
      <x:c r="K44" s="24" t="str">
        <x:f>IF(H44="","",IF(H44="FE-WASTE-CH4-001",28,1))</x:f>
      </x:c>
      <x:c r="L44" s="24" t="str">
        <x:f>IF(A44="","",IFERROR(F44*I44*K44,""))</x:f>
      </x:c>
      <x:c r="M44" s="18"/>
      <x:c r="N44" s="18"/>
      <x:c r="O44" s="20"/>
      <x:c r="P44" s="18"/>
      <x:c r="Q44" s="18" t="str">
        <x:f>IF(A44="","",IF(OR(F44="",H44="",M44="",N44="D - Faible"),"Donnees manquantes","OK"))</x:f>
      </x:c>
    </x:row>
  </x:sheetData>
  <x:mergeCells>
    <x:mergeCell ref="A1:J1"/>
    <x:mergeCell ref="A2:J2"/>
  </x:mergeCells>
  <x:conditionalFormatting sqref="Q5:Q44">
    <x:cfRule type="containsText" dxfId="32" priority="1" operator="containsText" text="Retard"/>
    <x:cfRule type="containsText" dxfId="33" priority="2" operator="containsText" text="critique"/>
    <x:cfRule type="containsText" dxfId="34" priority="3" operator="containsText" text="manquant"/>
    <x:cfRule type="containsText" dxfId="35"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N5:N44">
      <x:formula1>"A - Verifiee,B - Bonne,C - Estimee,D - Faible,A confirmer"</x:formula1>
    </x:dataValidation>
  </x:dataValidations>
  <x:pageMargins left="0.7" right="0.7" top="0.75" bottom="0.75" header="0.3" footer="0.3"/>
  <x:tableParts count="1">
    <x:tablePart xmlns:r="http://schemas.openxmlformats.org/officeDocument/2006/relationships" r:id="Red70ac823a94402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22.5" hidden="0" customWidth="1"/>
    <x:col min="4" max="4" width="27.5" hidden="0" customWidth="1"/>
    <x:col min="5" max="5" width="10" hidden="0" customWidth="1"/>
    <x:col min="6" max="6" width="16.25" hidden="0" customWidth="1"/>
    <x:col min="7" max="7" width="18.1299991607666" hidden="0" customWidth="1"/>
    <x:col min="8" max="8" width="11.25" hidden="0" customWidth="1"/>
    <x:col min="9" max="9" width="32.5" hidden="0" customWidth="1"/>
    <x:col min="10" max="10" width="10" hidden="0" customWidth="1"/>
    <x:col min="11" max="11" width="27.5" hidden="0" customWidth="1"/>
  </x:cols>
  <x:sheetData>
    <x:row r="1" ht="25.5" customHeight="1">
      <x:c r="A1" s="2" t="str">
        <x:v>Facteurs d'emission et PRG</x:v>
      </x:c>
      <x:c r="B1" s="2"/>
      <x:c r="C1" s="2"/>
      <x:c r="D1" s="2"/>
      <x:c r="E1" s="2"/>
      <x:c r="F1" s="2"/>
      <x:c r="G1" s="2"/>
      <x:c r="H1" s="2"/>
      <x:c r="I1" s="2"/>
      <x:c r="J1" s="2"/>
    </x:row>
    <x:row r="2" ht="31.5" customHeight="1">
      <x:c r="A2" s="5" t="str">
        <x:v>Facteurs indicatifs a remplacer ou valider avec les facteurs nationaux et sources officielles retenues.</x:v>
      </x:c>
      <x:c r="B2" s="5"/>
      <x:c r="C2" s="5"/>
      <x:c r="D2" s="5"/>
      <x:c r="E2" s="5"/>
      <x:c r="F2" s="5"/>
      <x:c r="G2" s="5"/>
      <x:c r="H2" s="5"/>
      <x:c r="I2" s="5"/>
      <x:c r="J2" s="5"/>
    </x:row>
    <x:row r="4" ht="28.5" customHeight="1">
      <x:c r="A4" s="16" t="str">
        <x:v>Facteur_ID</x:v>
      </x:c>
      <x:c r="B4" s="16" t="str">
        <x:v>Domaine</x:v>
      </x:c>
      <x:c r="C4" s="16" t="str">
        <x:v>Secteur_GPC_IPCC</x:v>
      </x:c>
      <x:c r="D4" s="16" t="str">
        <x:v>Source_energie_matiere</x:v>
      </x:c>
      <x:c r="E4" s="16" t="str">
        <x:v>Gaz</x:v>
      </x:c>
      <x:c r="F4" s="16" t="str">
        <x:v>Facteur_emission</x:v>
      </x:c>
      <x:c r="G4" s="16" t="str">
        <x:v>Unite_facteur</x:v>
      </x:c>
      <x:c r="H4" s="16" t="str">
        <x:v>PRG_GWP</x:v>
      </x:c>
      <x:c r="I4" s="16" t="str">
        <x:v>Source_officielle</x:v>
      </x:c>
      <x:c r="J4" s="16" t="str">
        <x:v>Annee</x:v>
      </x:c>
      <x:c r="K4" s="16" t="str">
        <x:v>Commentaires</x:v>
      </x:c>
      <x:c r="M4" s="12" t="str">
        <x:v>Important: les facteurs presents sont des valeurs de demarrage. Pour un inventaire officiel, remplacer par les facteurs nationaux, facteurs fournisseurs, IPCC ou sources validees par la Ville de Dakar.</x:v>
      </x:c>
    </x:row>
    <x:row r="5">
      <x:c r="A5" s="18" t="str">
        <x:v>FE-EL-SN-001</x:v>
      </x:c>
      <x:c r="B5" s="18" t="str">
        <x:v>Energie</x:v>
      </x:c>
      <x:c r="C5" s="18" t="str">
        <x:v>Scope 2 electricite</x:v>
      </x:c>
      <x:c r="D5" s="18" t="str">
        <x:v>Electricite reseau Senegal</x:v>
      </x:c>
      <x:c r="E5" s="18" t="str">
        <x:v>CO2e</x:v>
      </x:c>
      <x:c r="F5" s="25" t="n">
        <x:v>0.00055</x:v>
      </x:c>
      <x:c r="G5" s="18" t="str">
        <x:v>tCO2e/kWh</x:v>
      </x:c>
      <x:c r="H5" s="23" t="n">
        <x:v>1</x:v>
      </x:c>
      <x:c r="I5" s="18" t="str">
        <x:v>Facteur national / SENELEC a confirmer</x:v>
      </x:c>
      <x:c r="J5" s="18" t="n">
        <x:v>2025</x:v>
      </x:c>
      <x:c r="K5" s="18" t="str">
        <x:v>Valeur illustrative</x:v>
      </x:c>
    </x:row>
    <x:row r="6">
      <x:c r="A6" s="18" t="str">
        <x:v>FE-DIESEL-001</x:v>
      </x:c>
      <x:c r="B6" s="18" t="str">
        <x:v>Mobilite</x:v>
      </x:c>
      <x:c r="C6" s="18" t="str">
        <x:v>Combustion mobile</x:v>
      </x:c>
      <x:c r="D6" s="18" t="str">
        <x:v>Diesel</x:v>
      </x:c>
      <x:c r="E6" s="18" t="str">
        <x:v>CO2e</x:v>
      </x:c>
      <x:c r="F6" s="25" t="n">
        <x:v>0.00268</x:v>
      </x:c>
      <x:c r="G6" s="18" t="str">
        <x:v>tCO2e/litre</x:v>
      </x:c>
      <x:c r="H6" s="23" t="n">
        <x:v>1</x:v>
      </x:c>
      <x:c r="I6" s="18" t="str">
        <x:v>IPCC / facteur carburant a confirmer</x:v>
      </x:c>
      <x:c r="J6" s="18" t="n">
        <x:v>2025</x:v>
      </x:c>
      <x:c r="K6" s="18" t="str">
        <x:v>Valeur illustrative</x:v>
      </x:c>
    </x:row>
    <x:row r="7">
      <x:c r="A7" s="18" t="str">
        <x:v>FE-GASOLINE-001</x:v>
      </x:c>
      <x:c r="B7" s="18" t="str">
        <x:v>Mobilite</x:v>
      </x:c>
      <x:c r="C7" s="18" t="str">
        <x:v>Combustion mobile</x:v>
      </x:c>
      <x:c r="D7" s="18" t="str">
        <x:v>Essence</x:v>
      </x:c>
      <x:c r="E7" s="18" t="str">
        <x:v>CO2e</x:v>
      </x:c>
      <x:c r="F7" s="25" t="n">
        <x:v>0.00231</x:v>
      </x:c>
      <x:c r="G7" s="18" t="str">
        <x:v>tCO2e/litre</x:v>
      </x:c>
      <x:c r="H7" s="23" t="n">
        <x:v>1</x:v>
      </x:c>
      <x:c r="I7" s="18" t="str">
        <x:v>IPCC / facteur carburant a confirmer</x:v>
      </x:c>
      <x:c r="J7" s="18" t="n">
        <x:v>2025</x:v>
      </x:c>
      <x:c r="K7" s="18" t="str">
        <x:v>Valeur illustrative</x:v>
      </x:c>
    </x:row>
    <x:row r="8">
      <x:c r="A8" s="18" t="str">
        <x:v>FE-WASTE-CH4-001</x:v>
      </x:c>
      <x:c r="B8" s="18" t="str">
        <x:v>Dechets</x:v>
      </x:c>
      <x:c r="C8" s="18" t="str">
        <x:v>Solid waste disposal</x:v>
      </x:c>
      <x:c r="D8" s="18" t="str">
        <x:v>Dechets municipaux enfouis</x:v>
      </x:c>
      <x:c r="E8" s="18" t="str">
        <x:v>CH4</x:v>
      </x:c>
      <x:c r="F8" s="25" t="n">
        <x:v>0.0009</x:v>
      </x:c>
      <x:c r="G8" s="18" t="str">
        <x:v>tCH4/tonne</x:v>
      </x:c>
      <x:c r="H8" s="23" t="n">
        <x:v>28</x:v>
      </x:c>
      <x:c r="I8" s="18" t="str">
        <x:v>IPCC dechets a confirmer</x:v>
      </x:c>
      <x:c r="J8" s="18" t="n">
        <x:v>2025</x:v>
      </x:c>
      <x:c r="K8" s="18" t="str">
        <x:v>Valeur illustrative</x:v>
      </x:c>
    </x:row>
    <x:row r="9">
      <x:c r="A9" s="18" t="str">
        <x:v>FE-LPG-001</x:v>
      </x:c>
      <x:c r="B9" s="18" t="str">
        <x:v>Energie</x:v>
      </x:c>
      <x:c r="C9" s="18" t="str">
        <x:v>Combustion stationnaire</x:v>
      </x:c>
      <x:c r="D9" s="18" t="str">
        <x:v>GPL</x:v>
      </x:c>
      <x:c r="E9" s="18" t="str">
        <x:v>CO2e</x:v>
      </x:c>
      <x:c r="F9" s="25" t="n">
        <x:v>0.00299</x:v>
      </x:c>
      <x:c r="G9" s="18" t="str">
        <x:v>tCO2e/kg</x:v>
      </x:c>
      <x:c r="H9" s="23" t="n">
        <x:v>1</x:v>
      </x:c>
      <x:c r="I9" s="18" t="str">
        <x:v>IPCC / facteur a confirmer</x:v>
      </x:c>
      <x:c r="J9" s="18" t="n">
        <x:v>2025</x:v>
      </x:c>
      <x:c r="K9" s="18" t="str">
        <x:v>Valeur illustrative</x:v>
      </x:c>
    </x:row>
    <x:row r="10">
      <x:c r="A10" s="18"/>
      <x:c r="B10" s="18"/>
      <x:c r="C10" s="18"/>
      <x:c r="D10" s="18"/>
      <x:c r="E10" s="18"/>
      <x:c r="F10" s="25"/>
      <x:c r="G10" s="18"/>
      <x:c r="H10" s="23"/>
      <x:c r="I10" s="18"/>
      <x:c r="J10" s="18"/>
      <x:c r="K10" s="18"/>
    </x:row>
    <x:row r="11">
      <x:c r="A11" s="18"/>
      <x:c r="B11" s="18"/>
      <x:c r="C11" s="18"/>
      <x:c r="D11" s="18"/>
      <x:c r="E11" s="18"/>
      <x:c r="F11" s="25"/>
      <x:c r="G11" s="18"/>
      <x:c r="H11" s="23"/>
      <x:c r="I11" s="18"/>
      <x:c r="J11" s="18"/>
      <x:c r="K11" s="18"/>
    </x:row>
    <x:row r="12">
      <x:c r="A12" s="18"/>
      <x:c r="B12" s="18"/>
      <x:c r="C12" s="18"/>
      <x:c r="D12" s="18"/>
      <x:c r="E12" s="18"/>
      <x:c r="F12" s="25"/>
      <x:c r="G12" s="18"/>
      <x:c r="H12" s="23"/>
      <x:c r="I12" s="18"/>
      <x:c r="J12" s="18"/>
      <x:c r="K12" s="18"/>
    </x:row>
    <x:row r="13">
      <x:c r="A13" s="18"/>
      <x:c r="B13" s="18"/>
      <x:c r="C13" s="18"/>
      <x:c r="D13" s="18"/>
      <x:c r="E13" s="18"/>
      <x:c r="F13" s="25"/>
      <x:c r="G13" s="18"/>
      <x:c r="H13" s="23"/>
      <x:c r="I13" s="18"/>
      <x:c r="J13" s="18"/>
      <x:c r="K13" s="18"/>
    </x:row>
    <x:row r="14">
      <x:c r="A14" s="18"/>
      <x:c r="B14" s="18"/>
      <x:c r="C14" s="18"/>
      <x:c r="D14" s="18"/>
      <x:c r="E14" s="18"/>
      <x:c r="F14" s="25"/>
      <x:c r="G14" s="18"/>
      <x:c r="H14" s="23"/>
      <x:c r="I14" s="18"/>
      <x:c r="J14" s="18"/>
      <x:c r="K14" s="18"/>
    </x:row>
    <x:row r="15">
      <x:c r="A15" s="18"/>
      <x:c r="B15" s="18"/>
      <x:c r="C15" s="18"/>
      <x:c r="D15" s="18"/>
      <x:c r="E15" s="18"/>
      <x:c r="F15" s="25"/>
      <x:c r="G15" s="18"/>
      <x:c r="H15" s="23"/>
      <x:c r="I15" s="18"/>
      <x:c r="J15" s="18"/>
      <x:c r="K15" s="18"/>
    </x:row>
    <x:row r="16">
      <x:c r="A16" s="18"/>
      <x:c r="B16" s="18"/>
      <x:c r="C16" s="18"/>
      <x:c r="D16" s="18"/>
      <x:c r="E16" s="18"/>
      <x:c r="F16" s="25"/>
      <x:c r="G16" s="18"/>
      <x:c r="H16" s="23"/>
      <x:c r="I16" s="18"/>
      <x:c r="J16" s="18"/>
      <x:c r="K16" s="18"/>
    </x:row>
    <x:row r="17">
      <x:c r="A17" s="18"/>
      <x:c r="B17" s="18"/>
      <x:c r="C17" s="18"/>
      <x:c r="D17" s="18"/>
      <x:c r="E17" s="18"/>
      <x:c r="F17" s="25"/>
      <x:c r="G17" s="18"/>
      <x:c r="H17" s="23"/>
      <x:c r="I17" s="18"/>
      <x:c r="J17" s="18"/>
      <x:c r="K17" s="18"/>
    </x:row>
    <x:row r="18">
      <x:c r="A18" s="18"/>
      <x:c r="B18" s="18"/>
      <x:c r="C18" s="18"/>
      <x:c r="D18" s="18"/>
      <x:c r="E18" s="18"/>
      <x:c r="F18" s="25"/>
      <x:c r="G18" s="18"/>
      <x:c r="H18" s="23"/>
      <x:c r="I18" s="18"/>
      <x:c r="J18" s="18"/>
      <x:c r="K18" s="18"/>
    </x:row>
    <x:row r="19">
      <x:c r="A19" s="18"/>
      <x:c r="B19" s="18"/>
      <x:c r="C19" s="18"/>
      <x:c r="D19" s="18"/>
      <x:c r="E19" s="18"/>
      <x:c r="F19" s="25"/>
      <x:c r="G19" s="18"/>
      <x:c r="H19" s="23"/>
      <x:c r="I19" s="18"/>
      <x:c r="J19" s="18"/>
      <x:c r="K19" s="18"/>
    </x:row>
    <x:row r="20">
      <x:c r="A20" s="18"/>
      <x:c r="B20" s="18"/>
      <x:c r="C20" s="18"/>
      <x:c r="D20" s="18"/>
      <x:c r="E20" s="18"/>
      <x:c r="F20" s="25"/>
      <x:c r="G20" s="18"/>
      <x:c r="H20" s="23"/>
      <x:c r="I20" s="18"/>
      <x:c r="J20" s="18"/>
      <x:c r="K20" s="18"/>
    </x:row>
    <x:row r="21">
      <x:c r="A21" s="18"/>
      <x:c r="B21" s="18"/>
      <x:c r="C21" s="18"/>
      <x:c r="D21" s="18"/>
      <x:c r="E21" s="18"/>
      <x:c r="F21" s="25"/>
      <x:c r="G21" s="18"/>
      <x:c r="H21" s="23"/>
      <x:c r="I21" s="18"/>
      <x:c r="J21" s="18"/>
      <x:c r="K21" s="18"/>
    </x:row>
    <x:row r="22">
      <x:c r="A22" s="18"/>
      <x:c r="B22" s="18"/>
      <x:c r="C22" s="18"/>
      <x:c r="D22" s="18"/>
      <x:c r="E22" s="18"/>
      <x:c r="F22" s="25"/>
      <x:c r="G22" s="18"/>
      <x:c r="H22" s="23"/>
      <x:c r="I22" s="18"/>
      <x:c r="J22" s="18"/>
      <x:c r="K22" s="18"/>
    </x:row>
    <x:row r="23">
      <x:c r="A23" s="18"/>
      <x:c r="B23" s="18"/>
      <x:c r="C23" s="18"/>
      <x:c r="D23" s="18"/>
      <x:c r="E23" s="18"/>
      <x:c r="F23" s="25"/>
      <x:c r="G23" s="18"/>
      <x:c r="H23" s="23"/>
      <x:c r="I23" s="18"/>
      <x:c r="J23" s="18"/>
      <x:c r="K23" s="18"/>
    </x:row>
    <x:row r="24">
      <x:c r="A24" s="18"/>
      <x:c r="B24" s="18"/>
      <x:c r="C24" s="18"/>
      <x:c r="D24" s="18"/>
      <x:c r="E24" s="18"/>
      <x:c r="F24" s="25"/>
      <x:c r="G24" s="18"/>
      <x:c r="H24" s="23"/>
      <x:c r="I24" s="18"/>
      <x:c r="J24" s="18"/>
      <x:c r="K24" s="18"/>
    </x:row>
    <x:row r="25">
      <x:c r="A25" s="18"/>
      <x:c r="B25" s="18"/>
      <x:c r="C25" s="18"/>
      <x:c r="D25" s="18"/>
      <x:c r="E25" s="18"/>
      <x:c r="F25" s="25"/>
      <x:c r="G25" s="18"/>
      <x:c r="H25" s="23"/>
      <x:c r="I25" s="18"/>
      <x:c r="J25" s="18"/>
      <x:c r="K25" s="18"/>
    </x:row>
    <x:row r="26">
      <x:c r="A26" s="18"/>
      <x:c r="B26" s="18"/>
      <x:c r="C26" s="18"/>
      <x:c r="D26" s="18"/>
      <x:c r="E26" s="18"/>
      <x:c r="F26" s="25"/>
      <x:c r="G26" s="18"/>
      <x:c r="H26" s="23"/>
      <x:c r="I26" s="18"/>
      <x:c r="J26" s="18"/>
      <x:c r="K26" s="18"/>
    </x:row>
    <x:row r="27">
      <x:c r="A27" s="18"/>
      <x:c r="B27" s="18"/>
      <x:c r="C27" s="18"/>
      <x:c r="D27" s="18"/>
      <x:c r="E27" s="18"/>
      <x:c r="F27" s="25"/>
      <x:c r="G27" s="18"/>
      <x:c r="H27" s="23"/>
      <x:c r="I27" s="18"/>
      <x:c r="J27" s="18"/>
      <x:c r="K27" s="18"/>
    </x:row>
    <x:row r="28">
      <x:c r="A28" s="18"/>
      <x:c r="B28" s="18"/>
      <x:c r="C28" s="18"/>
      <x:c r="D28" s="18"/>
      <x:c r="E28" s="18"/>
      <x:c r="F28" s="25"/>
      <x:c r="G28" s="18"/>
      <x:c r="H28" s="23"/>
      <x:c r="I28" s="18"/>
      <x:c r="J28" s="18"/>
      <x:c r="K28" s="18"/>
    </x:row>
    <x:row r="29">
      <x:c r="A29" s="18"/>
      <x:c r="B29" s="18"/>
      <x:c r="C29" s="18"/>
      <x:c r="D29" s="18"/>
      <x:c r="E29" s="18"/>
      <x:c r="F29" s="25"/>
      <x:c r="G29" s="18"/>
      <x:c r="H29" s="23"/>
      <x:c r="I29" s="18"/>
      <x:c r="J29" s="18"/>
      <x:c r="K29" s="18"/>
    </x:row>
    <x:row r="30">
      <x:c r="A30" s="18"/>
      <x:c r="B30" s="18"/>
      <x:c r="C30" s="18"/>
      <x:c r="D30" s="18"/>
      <x:c r="E30" s="18"/>
      <x:c r="F30" s="25"/>
      <x:c r="G30" s="18"/>
      <x:c r="H30" s="23"/>
      <x:c r="I30" s="18"/>
      <x:c r="J30" s="18"/>
      <x:c r="K30" s="18"/>
    </x:row>
    <x:row r="31">
      <x:c r="A31" s="18"/>
      <x:c r="B31" s="18"/>
      <x:c r="C31" s="18"/>
      <x:c r="D31" s="18"/>
      <x:c r="E31" s="18"/>
      <x:c r="F31" s="25"/>
      <x:c r="G31" s="18"/>
      <x:c r="H31" s="23"/>
      <x:c r="I31" s="18"/>
      <x:c r="J31" s="18"/>
      <x:c r="K31" s="18"/>
    </x:row>
    <x:row r="32">
      <x:c r="A32" s="18"/>
      <x:c r="B32" s="18"/>
      <x:c r="C32" s="18"/>
      <x:c r="D32" s="18"/>
      <x:c r="E32" s="18"/>
      <x:c r="F32" s="25"/>
      <x:c r="G32" s="18"/>
      <x:c r="H32" s="23"/>
      <x:c r="I32" s="18"/>
      <x:c r="J32" s="18"/>
      <x:c r="K32" s="18"/>
    </x:row>
    <x:row r="33">
      <x:c r="A33" s="18"/>
      <x:c r="B33" s="18"/>
      <x:c r="C33" s="18"/>
      <x:c r="D33" s="18"/>
      <x:c r="E33" s="18"/>
      <x:c r="F33" s="25"/>
      <x:c r="G33" s="18"/>
      <x:c r="H33" s="23"/>
      <x:c r="I33" s="18"/>
      <x:c r="J33" s="18"/>
      <x:c r="K33" s="18"/>
    </x:row>
    <x:row r="34">
      <x:c r="A34" s="18"/>
      <x:c r="B34" s="18"/>
      <x:c r="C34" s="18"/>
      <x:c r="D34" s="18"/>
      <x:c r="E34" s="18"/>
      <x:c r="F34" s="25"/>
      <x:c r="G34" s="18"/>
      <x:c r="H34" s="23"/>
      <x:c r="I34" s="18"/>
      <x:c r="J34" s="18"/>
      <x:c r="K34" s="18"/>
    </x:row>
    <x:row r="35">
      <x:c r="A35" s="18"/>
      <x:c r="B35" s="18"/>
      <x:c r="C35" s="18"/>
      <x:c r="D35" s="18"/>
      <x:c r="E35" s="18"/>
      <x:c r="F35" s="25"/>
      <x:c r="G35" s="18"/>
      <x:c r="H35" s="23"/>
      <x:c r="I35" s="18"/>
      <x:c r="J35" s="18"/>
      <x:c r="K35" s="18"/>
    </x:row>
    <x:row r="36">
      <x:c r="A36" s="18"/>
      <x:c r="B36" s="18"/>
      <x:c r="C36" s="18"/>
      <x:c r="D36" s="18"/>
      <x:c r="E36" s="18"/>
      <x:c r="F36" s="25"/>
      <x:c r="G36" s="18"/>
      <x:c r="H36" s="23"/>
      <x:c r="I36" s="18"/>
      <x:c r="J36" s="18"/>
      <x:c r="K36" s="18"/>
    </x:row>
    <x:row r="37">
      <x:c r="A37" s="18"/>
      <x:c r="B37" s="18"/>
      <x:c r="C37" s="18"/>
      <x:c r="D37" s="18"/>
      <x:c r="E37" s="18"/>
      <x:c r="F37" s="25"/>
      <x:c r="G37" s="18"/>
      <x:c r="H37" s="23"/>
      <x:c r="I37" s="18"/>
      <x:c r="J37" s="18"/>
      <x:c r="K37" s="18"/>
    </x:row>
    <x:row r="38">
      <x:c r="A38" s="18"/>
      <x:c r="B38" s="18"/>
      <x:c r="C38" s="18"/>
      <x:c r="D38" s="18"/>
      <x:c r="E38" s="18"/>
      <x:c r="F38" s="25"/>
      <x:c r="G38" s="18"/>
      <x:c r="H38" s="23"/>
      <x:c r="I38" s="18"/>
      <x:c r="J38" s="18"/>
      <x:c r="K38" s="18"/>
    </x:row>
    <x:row r="39">
      <x:c r="A39" s="18"/>
      <x:c r="B39" s="18"/>
      <x:c r="C39" s="18"/>
      <x:c r="D39" s="18"/>
      <x:c r="E39" s="18"/>
      <x:c r="F39" s="25"/>
      <x:c r="G39" s="18"/>
      <x:c r="H39" s="23"/>
      <x:c r="I39" s="18"/>
      <x:c r="J39" s="18"/>
      <x:c r="K39" s="18"/>
    </x:row>
    <x:row r="40">
      <x:c r="A40" s="18"/>
      <x:c r="B40" s="18"/>
      <x:c r="C40" s="18"/>
      <x:c r="D40" s="18"/>
      <x:c r="E40" s="18"/>
      <x:c r="F40" s="25"/>
      <x:c r="G40" s="18"/>
      <x:c r="H40" s="23"/>
      <x:c r="I40" s="18"/>
      <x:c r="J40" s="18"/>
      <x:c r="K40" s="18"/>
    </x:row>
    <x:row r="41">
      <x:c r="A41" s="18"/>
      <x:c r="B41" s="18"/>
      <x:c r="C41" s="18"/>
      <x:c r="D41" s="18"/>
      <x:c r="E41" s="18"/>
      <x:c r="F41" s="25"/>
      <x:c r="G41" s="18"/>
      <x:c r="H41" s="23"/>
      <x:c r="I41" s="18"/>
      <x:c r="J41" s="18"/>
      <x:c r="K41" s="18"/>
    </x:row>
    <x:row r="42">
      <x:c r="A42" s="18"/>
      <x:c r="B42" s="18"/>
      <x:c r="C42" s="18"/>
      <x:c r="D42" s="18"/>
      <x:c r="E42" s="18"/>
      <x:c r="F42" s="25"/>
      <x:c r="G42" s="18"/>
      <x:c r="H42" s="23"/>
      <x:c r="I42" s="18"/>
      <x:c r="J42" s="18"/>
      <x:c r="K42" s="18"/>
    </x:row>
    <x:row r="43">
      <x:c r="A43" s="18"/>
      <x:c r="B43" s="18"/>
      <x:c r="C43" s="18"/>
      <x:c r="D43" s="18"/>
      <x:c r="E43" s="18"/>
      <x:c r="F43" s="25"/>
      <x:c r="G43" s="18"/>
      <x:c r="H43" s="23"/>
      <x:c r="I43" s="18"/>
      <x:c r="J43" s="18"/>
      <x:c r="K43" s="18"/>
    </x:row>
    <x:row r="44">
      <x:c r="A44" s="18"/>
      <x:c r="B44" s="18"/>
      <x:c r="C44" s="18"/>
      <x:c r="D44" s="18"/>
      <x:c r="E44" s="18"/>
      <x:c r="F44" s="25"/>
      <x:c r="G44" s="18"/>
      <x:c r="H44" s="23"/>
      <x:c r="I44" s="18"/>
      <x:c r="J44" s="18"/>
      <x:c r="K44" s="18"/>
    </x:row>
    <x:row r="45">
      <x:c r="A45" s="18"/>
      <x:c r="B45" s="18"/>
      <x:c r="C45" s="18"/>
      <x:c r="D45" s="18"/>
      <x:c r="E45" s="18"/>
      <x:c r="F45" s="25"/>
      <x:c r="G45" s="18"/>
      <x:c r="H45" s="23"/>
      <x:c r="I45" s="18"/>
      <x:c r="J45" s="18"/>
      <x:c r="K45" s="18"/>
    </x:row>
    <x:row r="46">
      <x:c r="A46" s="18"/>
      <x:c r="B46" s="18"/>
      <x:c r="C46" s="18"/>
      <x:c r="D46" s="18"/>
      <x:c r="E46" s="18"/>
      <x:c r="F46" s="25"/>
      <x:c r="G46" s="18"/>
      <x:c r="H46" s="23"/>
      <x:c r="I46" s="18"/>
      <x:c r="J46" s="18"/>
      <x:c r="K46" s="18"/>
    </x:row>
    <x:row r="47">
      <x:c r="A47" s="18"/>
      <x:c r="B47" s="18"/>
      <x:c r="C47" s="18"/>
      <x:c r="D47" s="18"/>
      <x:c r="E47" s="18"/>
      <x:c r="F47" s="25"/>
      <x:c r="G47" s="18"/>
      <x:c r="H47" s="23"/>
      <x:c r="I47" s="18"/>
      <x:c r="J47" s="18"/>
      <x:c r="K47" s="18"/>
    </x:row>
    <x:row r="48">
      <x:c r="A48" s="18"/>
      <x:c r="B48" s="18"/>
      <x:c r="C48" s="18"/>
      <x:c r="D48" s="18"/>
      <x:c r="E48" s="18"/>
      <x:c r="F48" s="25"/>
      <x:c r="G48" s="18"/>
      <x:c r="H48" s="23"/>
      <x:c r="I48" s="18"/>
      <x:c r="J48" s="18"/>
      <x:c r="K48" s="18"/>
    </x:row>
    <x:row r="49">
      <x:c r="A49" s="18"/>
      <x:c r="B49" s="18"/>
      <x:c r="C49" s="18"/>
      <x:c r="D49" s="18"/>
      <x:c r="E49" s="18"/>
      <x:c r="F49" s="25"/>
      <x:c r="G49" s="18"/>
      <x:c r="H49" s="23"/>
      <x:c r="I49" s="18"/>
      <x:c r="J49" s="18"/>
      <x:c r="K49" s="18"/>
    </x:row>
    <x:row r="50">
      <x:c r="A50" s="18"/>
      <x:c r="B50" s="18"/>
      <x:c r="C50" s="18"/>
      <x:c r="D50" s="18"/>
      <x:c r="E50" s="18"/>
      <x:c r="F50" s="25"/>
      <x:c r="G50" s="18"/>
      <x:c r="H50" s="23"/>
      <x:c r="I50" s="18"/>
      <x:c r="J50" s="18"/>
      <x:c r="K50" s="18"/>
    </x:row>
    <x:row r="51">
      <x:c r="A51" s="18"/>
      <x:c r="B51" s="18"/>
      <x:c r="C51" s="18"/>
      <x:c r="D51" s="18"/>
      <x:c r="E51" s="18"/>
      <x:c r="F51" s="25"/>
      <x:c r="G51" s="18"/>
      <x:c r="H51" s="23"/>
      <x:c r="I51" s="18"/>
      <x:c r="J51" s="18"/>
      <x:c r="K51" s="18"/>
    </x:row>
    <x:row r="52">
      <x:c r="A52" s="18"/>
      <x:c r="B52" s="18"/>
      <x:c r="C52" s="18"/>
      <x:c r="D52" s="18"/>
      <x:c r="E52" s="18"/>
      <x:c r="F52" s="25"/>
      <x:c r="G52" s="18"/>
      <x:c r="H52" s="23"/>
      <x:c r="I52" s="18"/>
      <x:c r="J52" s="18"/>
      <x:c r="K52" s="18"/>
    </x:row>
    <x:row r="53">
      <x:c r="A53" s="18"/>
      <x:c r="B53" s="18"/>
      <x:c r="C53" s="18"/>
      <x:c r="D53" s="18"/>
      <x:c r="E53" s="18"/>
      <x:c r="F53" s="25"/>
      <x:c r="G53" s="18"/>
      <x:c r="H53" s="23"/>
      <x:c r="I53" s="18"/>
      <x:c r="J53" s="18"/>
      <x:c r="K53" s="18"/>
    </x:row>
    <x:row r="54">
      <x:c r="A54" s="18"/>
      <x:c r="B54" s="18"/>
      <x:c r="C54" s="18"/>
      <x:c r="D54" s="18"/>
      <x:c r="E54" s="18"/>
      <x:c r="F54" s="25"/>
      <x:c r="G54" s="18"/>
      <x:c r="H54" s="23"/>
      <x:c r="I54" s="18"/>
      <x:c r="J54" s="18"/>
      <x:c r="K54" s="18"/>
    </x:row>
    <x:row r="55">
      <x:c r="A55" s="18"/>
      <x:c r="B55" s="18"/>
      <x:c r="C55" s="18"/>
      <x:c r="D55" s="18"/>
      <x:c r="E55" s="18"/>
      <x:c r="F55" s="25"/>
      <x:c r="G55" s="18"/>
      <x:c r="H55" s="23"/>
      <x:c r="I55" s="18"/>
      <x:c r="J55" s="18"/>
      <x:c r="K55" s="18"/>
    </x:row>
    <x:row r="56">
      <x:c r="A56" s="18"/>
      <x:c r="B56" s="18"/>
      <x:c r="C56" s="18"/>
      <x:c r="D56" s="18"/>
      <x:c r="E56" s="18"/>
      <x:c r="F56" s="25"/>
      <x:c r="G56" s="18"/>
      <x:c r="H56" s="23"/>
      <x:c r="I56" s="18"/>
      <x:c r="J56" s="18"/>
      <x:c r="K56" s="18"/>
    </x:row>
    <x:row r="57">
      <x:c r="A57" s="18"/>
      <x:c r="B57" s="18"/>
      <x:c r="C57" s="18"/>
      <x:c r="D57" s="18"/>
      <x:c r="E57" s="18"/>
      <x:c r="F57" s="25"/>
      <x:c r="G57" s="18"/>
      <x:c r="H57" s="23"/>
      <x:c r="I57" s="18"/>
      <x:c r="J57" s="18"/>
      <x:c r="K57" s="18"/>
    </x:row>
    <x:row r="58">
      <x:c r="A58" s="18"/>
      <x:c r="B58" s="18"/>
      <x:c r="C58" s="18"/>
      <x:c r="D58" s="18"/>
      <x:c r="E58" s="18"/>
      <x:c r="F58" s="25"/>
      <x:c r="G58" s="18"/>
      <x:c r="H58" s="23"/>
      <x:c r="I58" s="18"/>
      <x:c r="J58" s="18"/>
      <x:c r="K58" s="18"/>
    </x:row>
    <x:row r="59">
      <x:c r="A59" s="18"/>
      <x:c r="B59" s="18"/>
      <x:c r="C59" s="18"/>
      <x:c r="D59" s="18"/>
      <x:c r="E59" s="18"/>
      <x:c r="F59" s="25"/>
      <x:c r="G59" s="18"/>
      <x:c r="H59" s="23"/>
      <x:c r="I59" s="18"/>
      <x:c r="J59" s="18"/>
      <x:c r="K59" s="18"/>
    </x:row>
    <x:row r="60">
      <x:c r="A60" s="18"/>
      <x:c r="B60" s="18"/>
      <x:c r="C60" s="18"/>
      <x:c r="D60" s="18"/>
      <x:c r="E60" s="18"/>
      <x:c r="F60" s="25"/>
      <x:c r="G60" s="18"/>
      <x:c r="H60" s="23"/>
      <x:c r="I60" s="18"/>
      <x:c r="J60" s="18"/>
      <x:c r="K60" s="18"/>
    </x:row>
    <x:row r="61">
      <x:c r="A61" s="18"/>
      <x:c r="B61" s="18"/>
      <x:c r="C61" s="18"/>
      <x:c r="D61" s="18"/>
      <x:c r="E61" s="18"/>
      <x:c r="F61" s="25"/>
      <x:c r="G61" s="18"/>
      <x:c r="H61" s="23"/>
      <x:c r="I61" s="18"/>
      <x:c r="J61" s="18"/>
      <x:c r="K61" s="18"/>
    </x:row>
    <x:row r="62">
      <x:c r="A62" s="18"/>
      <x:c r="B62" s="18"/>
      <x:c r="C62" s="18"/>
      <x:c r="D62" s="18"/>
      <x:c r="E62" s="18"/>
      <x:c r="F62" s="25"/>
      <x:c r="G62" s="18"/>
      <x:c r="H62" s="23"/>
      <x:c r="I62" s="18"/>
      <x:c r="J62" s="18"/>
      <x:c r="K62" s="18"/>
    </x:row>
    <x:row r="63">
      <x:c r="A63" s="18"/>
      <x:c r="B63" s="18"/>
      <x:c r="C63" s="18"/>
      <x:c r="D63" s="18"/>
      <x:c r="E63" s="18"/>
      <x:c r="F63" s="25"/>
      <x:c r="G63" s="18"/>
      <x:c r="H63" s="23"/>
      <x:c r="I63" s="18"/>
      <x:c r="J63" s="18"/>
      <x:c r="K63" s="18"/>
    </x:row>
    <x:row r="64">
      <x:c r="A64" s="18"/>
      <x:c r="B64" s="18"/>
      <x:c r="C64" s="18"/>
      <x:c r="D64" s="18"/>
      <x:c r="E64" s="18"/>
      <x:c r="F64" s="25"/>
      <x:c r="G64" s="18"/>
      <x:c r="H64" s="23"/>
      <x:c r="I64" s="18"/>
      <x:c r="J64" s="18"/>
      <x:c r="K64" s="18"/>
    </x:row>
    <x:row r="65">
      <x:c r="A65" s="18"/>
      <x:c r="B65" s="18"/>
      <x:c r="C65" s="18"/>
      <x:c r="D65" s="18"/>
      <x:c r="E65" s="18"/>
      <x:c r="F65" s="25"/>
      <x:c r="G65" s="18"/>
      <x:c r="H65" s="23"/>
      <x:c r="I65" s="18"/>
      <x:c r="J65" s="18"/>
      <x:c r="K65" s="18"/>
    </x:row>
    <x:row r="66">
      <x:c r="A66" s="18"/>
      <x:c r="B66" s="18"/>
      <x:c r="C66" s="18"/>
      <x:c r="D66" s="18"/>
      <x:c r="E66" s="18"/>
      <x:c r="F66" s="25"/>
      <x:c r="G66" s="18"/>
      <x:c r="H66" s="23"/>
      <x:c r="I66" s="18"/>
      <x:c r="J66" s="18"/>
      <x:c r="K66" s="18"/>
    </x:row>
    <x:row r="67">
      <x:c r="A67" s="18"/>
      <x:c r="B67" s="18"/>
      <x:c r="C67" s="18"/>
      <x:c r="D67" s="18"/>
      <x:c r="E67" s="18"/>
      <x:c r="F67" s="25"/>
      <x:c r="G67" s="18"/>
      <x:c r="H67" s="23"/>
      <x:c r="I67" s="18"/>
      <x:c r="J67" s="18"/>
      <x:c r="K67" s="18"/>
    </x:row>
    <x:row r="68">
      <x:c r="A68" s="18"/>
      <x:c r="B68" s="18"/>
      <x:c r="C68" s="18"/>
      <x:c r="D68" s="18"/>
      <x:c r="E68" s="18"/>
      <x:c r="F68" s="25"/>
      <x:c r="G68" s="18"/>
      <x:c r="H68" s="23"/>
      <x:c r="I68" s="18"/>
      <x:c r="J68" s="18"/>
      <x:c r="K68" s="18"/>
    </x:row>
    <x:row r="69">
      <x:c r="A69" s="18"/>
      <x:c r="B69" s="18"/>
      <x:c r="C69" s="18"/>
      <x:c r="D69" s="18"/>
      <x:c r="E69" s="18"/>
      <x:c r="F69" s="25"/>
      <x:c r="G69" s="18"/>
      <x:c r="H69" s="23"/>
      <x:c r="I69" s="18"/>
      <x:c r="J69" s="18"/>
      <x:c r="K69" s="18"/>
    </x:row>
    <x:row r="70">
      <x:c r="A70" s="18"/>
      <x:c r="B70" s="18"/>
      <x:c r="C70" s="18"/>
      <x:c r="D70" s="18"/>
      <x:c r="E70" s="18"/>
      <x:c r="F70" s="25"/>
      <x:c r="G70" s="18"/>
      <x:c r="H70" s="23"/>
      <x:c r="I70" s="18"/>
      <x:c r="J70" s="18"/>
      <x:c r="K70" s="18"/>
    </x:row>
    <x:row r="71">
      <x:c r="A71" s="18"/>
      <x:c r="B71" s="18"/>
      <x:c r="C71" s="18"/>
      <x:c r="D71" s="18"/>
      <x:c r="E71" s="18"/>
      <x:c r="F71" s="25"/>
      <x:c r="G71" s="18"/>
      <x:c r="H71" s="23"/>
      <x:c r="I71" s="18"/>
      <x:c r="J71" s="18"/>
      <x:c r="K71" s="18"/>
    </x:row>
    <x:row r="72">
      <x:c r="A72" s="18"/>
      <x:c r="B72" s="18"/>
      <x:c r="C72" s="18"/>
      <x:c r="D72" s="18"/>
      <x:c r="E72" s="18"/>
      <x:c r="F72" s="25"/>
      <x:c r="G72" s="18"/>
      <x:c r="H72" s="23"/>
      <x:c r="I72" s="18"/>
      <x:c r="J72" s="18"/>
      <x:c r="K72" s="18"/>
    </x:row>
    <x:row r="73">
      <x:c r="A73" s="18"/>
      <x:c r="B73" s="18"/>
      <x:c r="C73" s="18"/>
      <x:c r="D73" s="18"/>
      <x:c r="E73" s="18"/>
      <x:c r="F73" s="25"/>
      <x:c r="G73" s="18"/>
      <x:c r="H73" s="23"/>
      <x:c r="I73" s="18"/>
      <x:c r="J73" s="18"/>
      <x:c r="K73" s="18"/>
    </x:row>
    <x:row r="74">
      <x:c r="A74" s="18"/>
      <x:c r="B74" s="18"/>
      <x:c r="C74" s="18"/>
      <x:c r="D74" s="18"/>
      <x:c r="E74" s="18"/>
      <x:c r="F74" s="25"/>
      <x:c r="G74" s="18"/>
      <x:c r="H74" s="23"/>
      <x:c r="I74" s="18"/>
      <x:c r="J74" s="18"/>
      <x:c r="K74" s="18"/>
    </x:row>
    <x:row r="75">
      <x:c r="A75" s="18"/>
      <x:c r="B75" s="18"/>
      <x:c r="C75" s="18"/>
      <x:c r="D75" s="18"/>
      <x:c r="E75" s="18"/>
      <x:c r="F75" s="25"/>
      <x:c r="G75" s="18"/>
      <x:c r="H75" s="23"/>
      <x:c r="I75" s="18"/>
      <x:c r="J75" s="18"/>
      <x:c r="K75" s="18"/>
    </x:row>
    <x:row r="76">
      <x:c r="A76" s="18"/>
      <x:c r="B76" s="18"/>
      <x:c r="C76" s="18"/>
      <x:c r="D76" s="18"/>
      <x:c r="E76" s="18"/>
      <x:c r="F76" s="25"/>
      <x:c r="G76" s="18"/>
      <x:c r="H76" s="23"/>
      <x:c r="I76" s="18"/>
      <x:c r="J76" s="18"/>
      <x:c r="K76" s="18"/>
    </x:row>
    <x:row r="77">
      <x:c r="A77" s="18"/>
      <x:c r="B77" s="18"/>
      <x:c r="C77" s="18"/>
      <x:c r="D77" s="18"/>
      <x:c r="E77" s="18"/>
      <x:c r="F77" s="25"/>
      <x:c r="G77" s="18"/>
      <x:c r="H77" s="23"/>
      <x:c r="I77" s="18"/>
      <x:c r="J77" s="18"/>
      <x:c r="K77" s="18"/>
    </x:row>
    <x:row r="78">
      <x:c r="A78" s="18"/>
      <x:c r="B78" s="18"/>
      <x:c r="C78" s="18"/>
      <x:c r="D78" s="18"/>
      <x:c r="E78" s="18"/>
      <x:c r="F78" s="25"/>
      <x:c r="G78" s="18"/>
      <x:c r="H78" s="23"/>
      <x:c r="I78" s="18"/>
      <x:c r="J78" s="18"/>
      <x:c r="K78" s="18"/>
    </x:row>
    <x:row r="79">
      <x:c r="A79" s="18"/>
      <x:c r="B79" s="18"/>
      <x:c r="C79" s="18"/>
      <x:c r="D79" s="18"/>
      <x:c r="E79" s="18"/>
      <x:c r="F79" s="25"/>
      <x:c r="G79" s="18"/>
      <x:c r="H79" s="23"/>
      <x:c r="I79" s="18"/>
      <x:c r="J79" s="18"/>
      <x:c r="K79" s="18"/>
    </x:row>
    <x:row r="80">
      <x:c r="A80" s="18"/>
      <x:c r="B80" s="18"/>
      <x:c r="C80" s="18"/>
      <x:c r="D80" s="18"/>
      <x:c r="E80" s="18"/>
      <x:c r="F80" s="25"/>
      <x:c r="G80" s="18"/>
      <x:c r="H80" s="23"/>
      <x:c r="I80" s="18"/>
      <x:c r="J80" s="18"/>
      <x:c r="K80" s="18"/>
    </x:row>
    <x:row r="81">
      <x:c r="A81" s="18"/>
      <x:c r="B81" s="18"/>
      <x:c r="C81" s="18"/>
      <x:c r="D81" s="18"/>
      <x:c r="E81" s="18"/>
      <x:c r="F81" s="25"/>
      <x:c r="G81" s="18"/>
      <x:c r="H81" s="23"/>
      <x:c r="I81" s="18"/>
      <x:c r="J81" s="18"/>
      <x:c r="K81" s="18"/>
    </x:row>
    <x:row r="82">
      <x:c r="A82" s="18"/>
      <x:c r="B82" s="18"/>
      <x:c r="C82" s="18"/>
      <x:c r="D82" s="18"/>
      <x:c r="E82" s="18"/>
      <x:c r="F82" s="25"/>
      <x:c r="G82" s="18"/>
      <x:c r="H82" s="23"/>
      <x:c r="I82" s="18"/>
      <x:c r="J82" s="18"/>
      <x:c r="K82" s="18"/>
    </x:row>
    <x:row r="83">
      <x:c r="A83" s="18"/>
      <x:c r="B83" s="18"/>
      <x:c r="C83" s="18"/>
      <x:c r="D83" s="18"/>
      <x:c r="E83" s="18"/>
      <x:c r="F83" s="25"/>
      <x:c r="G83" s="18"/>
      <x:c r="H83" s="23"/>
      <x:c r="I83" s="18"/>
      <x:c r="J83" s="18"/>
      <x:c r="K83" s="18"/>
    </x:row>
    <x:row r="84">
      <x:c r="A84" s="18"/>
      <x:c r="B84" s="18"/>
      <x:c r="C84" s="18"/>
      <x:c r="D84" s="18"/>
      <x:c r="E84" s="18"/>
      <x:c r="F84" s="25"/>
      <x:c r="G84" s="18"/>
      <x:c r="H84" s="23"/>
      <x:c r="I84" s="18"/>
      <x:c r="J84" s="18"/>
      <x:c r="K84" s="18"/>
    </x:row>
    <x:row r="85">
      <x:c r="A85" s="18"/>
      <x:c r="B85" s="18"/>
      <x:c r="C85" s="18"/>
      <x:c r="D85" s="18"/>
      <x:c r="E85" s="18"/>
      <x:c r="F85" s="25"/>
      <x:c r="G85" s="18"/>
      <x:c r="H85" s="23"/>
      <x:c r="I85" s="18"/>
      <x:c r="J85" s="18"/>
      <x:c r="K85" s="18"/>
    </x:row>
    <x:row r="86">
      <x:c r="A86" s="18"/>
      <x:c r="B86" s="18"/>
      <x:c r="C86" s="18"/>
      <x:c r="D86" s="18"/>
      <x:c r="E86" s="18"/>
      <x:c r="F86" s="25"/>
      <x:c r="G86" s="18"/>
      <x:c r="H86" s="23"/>
      <x:c r="I86" s="18"/>
      <x:c r="J86" s="18"/>
      <x:c r="K86" s="18"/>
    </x:row>
    <x:row r="87">
      <x:c r="A87" s="18"/>
      <x:c r="B87" s="18"/>
      <x:c r="C87" s="18"/>
      <x:c r="D87" s="18"/>
      <x:c r="E87" s="18"/>
      <x:c r="F87" s="25"/>
      <x:c r="G87" s="18"/>
      <x:c r="H87" s="23"/>
      <x:c r="I87" s="18"/>
      <x:c r="J87" s="18"/>
      <x:c r="K87" s="18"/>
    </x:row>
    <x:row r="88">
      <x:c r="A88" s="18"/>
      <x:c r="B88" s="18"/>
      <x:c r="C88" s="18"/>
      <x:c r="D88" s="18"/>
      <x:c r="E88" s="18"/>
      <x:c r="F88" s="25"/>
      <x:c r="G88" s="18"/>
      <x:c r="H88" s="23"/>
      <x:c r="I88" s="18"/>
      <x:c r="J88" s="18"/>
      <x:c r="K88" s="18"/>
    </x:row>
    <x:row r="89">
      <x:c r="A89" s="18"/>
      <x:c r="B89" s="18"/>
      <x:c r="C89" s="18"/>
      <x:c r="D89" s="18"/>
      <x:c r="E89" s="18"/>
      <x:c r="F89" s="25"/>
      <x:c r="G89" s="18"/>
      <x:c r="H89" s="23"/>
      <x:c r="I89" s="18"/>
      <x:c r="J89" s="18"/>
      <x:c r="K89" s="18"/>
    </x:row>
    <x:row r="90">
      <x:c r="A90" s="18"/>
      <x:c r="B90" s="18"/>
      <x:c r="C90" s="18"/>
      <x:c r="D90" s="18"/>
      <x:c r="E90" s="18"/>
      <x:c r="F90" s="25"/>
      <x:c r="G90" s="18"/>
      <x:c r="H90" s="23"/>
      <x:c r="I90" s="18"/>
      <x:c r="J90" s="18"/>
      <x:c r="K90" s="18"/>
    </x:row>
    <x:row r="91">
      <x:c r="A91" s="18"/>
      <x:c r="B91" s="18"/>
      <x:c r="C91" s="18"/>
      <x:c r="D91" s="18"/>
      <x:c r="E91" s="18"/>
      <x:c r="F91" s="25"/>
      <x:c r="G91" s="18"/>
      <x:c r="H91" s="23"/>
      <x:c r="I91" s="18"/>
      <x:c r="J91" s="18"/>
      <x:c r="K91" s="18"/>
    </x:row>
    <x:row r="92">
      <x:c r="A92" s="18"/>
      <x:c r="B92" s="18"/>
      <x:c r="C92" s="18"/>
      <x:c r="D92" s="18"/>
      <x:c r="E92" s="18"/>
      <x:c r="F92" s="25"/>
      <x:c r="G92" s="18"/>
      <x:c r="H92" s="23"/>
      <x:c r="I92" s="18"/>
      <x:c r="J92" s="18"/>
      <x:c r="K92" s="18"/>
    </x:row>
    <x:row r="93">
      <x:c r="A93" s="18"/>
      <x:c r="B93" s="18"/>
      <x:c r="C93" s="18"/>
      <x:c r="D93" s="18"/>
      <x:c r="E93" s="18"/>
      <x:c r="F93" s="25"/>
      <x:c r="G93" s="18"/>
      <x:c r="H93" s="23"/>
      <x:c r="I93" s="18"/>
      <x:c r="J93" s="18"/>
      <x:c r="K93" s="18"/>
    </x:row>
    <x:row r="94">
      <x:c r="A94" s="18"/>
      <x:c r="B94" s="18"/>
      <x:c r="C94" s="18"/>
      <x:c r="D94" s="18"/>
      <x:c r="E94" s="18"/>
      <x:c r="F94" s="25"/>
      <x:c r="G94" s="18"/>
      <x:c r="H94" s="23"/>
      <x:c r="I94" s="18"/>
      <x:c r="J94" s="18"/>
      <x:c r="K94" s="18"/>
    </x:row>
    <x:row r="95">
      <x:c r="A95" s="18"/>
      <x:c r="B95" s="18"/>
      <x:c r="C95" s="18"/>
      <x:c r="D95" s="18"/>
      <x:c r="E95" s="18"/>
      <x:c r="F95" s="25"/>
      <x:c r="G95" s="18"/>
      <x:c r="H95" s="23"/>
      <x:c r="I95" s="18"/>
      <x:c r="J95" s="18"/>
      <x:c r="K95" s="18"/>
    </x:row>
    <x:row r="96">
      <x:c r="A96" s="18"/>
      <x:c r="B96" s="18"/>
      <x:c r="C96" s="18"/>
      <x:c r="D96" s="18"/>
      <x:c r="E96" s="18"/>
      <x:c r="F96" s="25"/>
      <x:c r="G96" s="18"/>
      <x:c r="H96" s="23"/>
      <x:c r="I96" s="18"/>
      <x:c r="J96" s="18"/>
      <x:c r="K96" s="18"/>
    </x:row>
    <x:row r="97">
      <x:c r="A97" s="18"/>
      <x:c r="B97" s="18"/>
      <x:c r="C97" s="18"/>
      <x:c r="D97" s="18"/>
      <x:c r="E97" s="18"/>
      <x:c r="F97" s="25"/>
      <x:c r="G97" s="18"/>
      <x:c r="H97" s="23"/>
      <x:c r="I97" s="18"/>
      <x:c r="J97" s="18"/>
      <x:c r="K97" s="18"/>
    </x:row>
    <x:row r="98">
      <x:c r="A98" s="18"/>
      <x:c r="B98" s="18"/>
      <x:c r="C98" s="18"/>
      <x:c r="D98" s="18"/>
      <x:c r="E98" s="18"/>
      <x:c r="F98" s="25"/>
      <x:c r="G98" s="18"/>
      <x:c r="H98" s="23"/>
      <x:c r="I98" s="18"/>
      <x:c r="J98" s="18"/>
      <x:c r="K98" s="18"/>
    </x:row>
    <x:row r="99">
      <x:c r="A99" s="18"/>
      <x:c r="B99" s="18"/>
      <x:c r="C99" s="18"/>
      <x:c r="D99" s="18"/>
      <x:c r="E99" s="18"/>
      <x:c r="F99" s="25"/>
      <x:c r="G99" s="18"/>
      <x:c r="H99" s="23"/>
      <x:c r="I99" s="18"/>
      <x:c r="J99" s="18"/>
      <x:c r="K99" s="18"/>
    </x:row>
    <x:row r="100">
      <x:c r="A100" s="18"/>
      <x:c r="B100" s="18"/>
      <x:c r="C100" s="18"/>
      <x:c r="D100" s="18"/>
      <x:c r="E100" s="18"/>
      <x:c r="F100" s="25"/>
      <x:c r="G100" s="18"/>
      <x:c r="H100" s="23"/>
      <x:c r="I100" s="18"/>
      <x:c r="J100" s="18"/>
      <x:c r="K100" s="18"/>
    </x:row>
    <x:row r="101">
      <x:c r="A101" s="18"/>
      <x:c r="B101" s="18"/>
      <x:c r="C101" s="18"/>
      <x:c r="D101" s="18"/>
      <x:c r="E101" s="18"/>
      <x:c r="F101" s="25"/>
      <x:c r="G101" s="18"/>
      <x:c r="H101" s="23"/>
      <x:c r="I101" s="18"/>
      <x:c r="J101" s="18"/>
      <x:c r="K101" s="18"/>
    </x:row>
    <x:row r="102">
      <x:c r="A102" s="18"/>
      <x:c r="B102" s="18"/>
      <x:c r="C102" s="18"/>
      <x:c r="D102" s="18"/>
      <x:c r="E102" s="18"/>
      <x:c r="F102" s="25"/>
      <x:c r="G102" s="18"/>
      <x:c r="H102" s="23"/>
      <x:c r="I102" s="18"/>
      <x:c r="J102" s="18"/>
      <x:c r="K102" s="18"/>
    </x:row>
    <x:row r="103">
      <x:c r="A103" s="18"/>
      <x:c r="B103" s="18"/>
      <x:c r="C103" s="18"/>
      <x:c r="D103" s="18"/>
      <x:c r="E103" s="18"/>
      <x:c r="F103" s="25"/>
      <x:c r="G103" s="18"/>
      <x:c r="H103" s="23"/>
      <x:c r="I103" s="18"/>
      <x:c r="J103" s="18"/>
      <x:c r="K103" s="18"/>
    </x:row>
    <x:row r="104">
      <x:c r="A104" s="18"/>
      <x:c r="B104" s="18"/>
      <x:c r="C104" s="18"/>
      <x:c r="D104" s="18"/>
      <x:c r="E104" s="18"/>
      <x:c r="F104" s="25"/>
      <x:c r="G104" s="18"/>
      <x:c r="H104" s="23"/>
      <x:c r="I104" s="18"/>
      <x:c r="J104" s="18"/>
      <x:c r="K104" s="18"/>
    </x:row>
  </x:sheetData>
  <x:mergeCells>
    <x:mergeCell ref="A1:J1"/>
    <x:mergeCell ref="A2:J2"/>
    <x:mergeCell ref="M4:Q9"/>
  </x:mergeCells>
  <x:dataValidations count="2">
    <x:dataValidation type="list" errorStyle="warning" showInputMessage="1" showErrorMessage="1" errorTitle="Valeur inattendue" error="Cette colonne utilise une liste controlee." promptTitle="Liste controlee" prompt="Choisir une valeur dans la liste." sqref="B5:B10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E5:E104">
      <x:formula1>"CO2,CH4,N2O,HFC,PFC,SF6,NF3,CO2e"</x:formula1>
    </x:dataValidation>
  </x:dataValidations>
  <x:pageMargins left="0.7" right="0.7" top="0.75" bottom="0.75" header="0.3" footer="0.3"/>
  <x:tableParts count="1">
    <x:tablePart xmlns:r="http://schemas.openxmlformats.org/officeDocument/2006/relationships" r:id="Rc0f9d13463194e8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5" hidden="0" customWidth="1"/>
    <x:col min="2" max="2" width="16.25" hidden="0" customWidth="1"/>
    <x:col min="3" max="3" width="16.25" hidden="0" customWidth="1"/>
    <x:col min="4" max="4" width="11.25" hidden="0" customWidth="1"/>
    <x:col min="5" max="5" width="11.25" hidden="0" customWidth="1"/>
    <x:col min="6" max="6" width="13.75" hidden="0" customWidth="1"/>
    <x:col min="7" max="7" width="10" hidden="0" customWidth="1"/>
    <x:col min="8" max="8" width="11.25" hidden="0" customWidth="1"/>
    <x:col min="9" max="9" width="14.380000114440918" hidden="0" customWidth="1"/>
    <x:col min="10" max="10" width="11.25" hidden="0" customWidth="1"/>
    <x:col min="11" max="11" width="15.630000114440918" hidden="0" customWidth="1"/>
    <x:col min="12" max="12" width="13.130000114440918" hidden="0" customWidth="1"/>
    <x:col min="13" max="13" width="16.25" hidden="0" customWidth="1"/>
    <x:col min="14" max="14" width="14.380000114440918" hidden="0" customWidth="1"/>
    <x:col min="15" max="15" width="16.8799991607666" hidden="0" customWidth="1"/>
    <x:col min="16" max="16" width="27.5" hidden="0" customWidth="1"/>
  </x:cols>
  <x:sheetData>
    <x:row r="1" ht="25.5" customHeight="1">
      <x:c r="A1" s="2" t="str">
        <x:v>Donnees qualite de l'air</x:v>
      </x:c>
      <x:c r="B1" s="2"/>
      <x:c r="C1" s="2"/>
      <x:c r="D1" s="2"/>
      <x:c r="E1" s="2"/>
      <x:c r="F1" s="2"/>
      <x:c r="G1" s="2"/>
      <x:c r="H1" s="2"/>
      <x:c r="I1" s="2"/>
      <x:c r="J1" s="2"/>
    </x:row>
    <x:row r="2" ht="31.5" customHeight="1">
      <x:c r="A2" s="5" t="str">
        <x:v>Mesures de pollution atmospherique avec calcul automatique des depassements.</x:v>
      </x:c>
      <x:c r="B2" s="5"/>
      <x:c r="C2" s="5"/>
      <x:c r="D2" s="5"/>
      <x:c r="E2" s="5"/>
      <x:c r="F2" s="5"/>
      <x:c r="G2" s="5"/>
      <x:c r="H2" s="5"/>
      <x:c r="I2" s="5"/>
      <x:c r="J2" s="5"/>
    </x:row>
    <x:row r="4" ht="28.5" customHeight="1">
      <x:c r="A4" s="16" t="str">
        <x:v>Air_ID</x:v>
      </x:c>
      <x:c r="B4" s="16" t="str">
        <x:v>Station</x:v>
      </x:c>
      <x:c r="C4" s="16" t="str">
        <x:v>Quartier</x:v>
      </x:c>
      <x:c r="D4" s="16" t="str">
        <x:v>Latitude</x:v>
      </x:c>
      <x:c r="E4" s="16" t="str">
        <x:v>Longitude</x:v>
      </x:c>
      <x:c r="F4" s="16" t="str">
        <x:v>Date</x:v>
      </x:c>
      <x:c r="G4" s="16" t="str">
        <x:v>Heure</x:v>
      </x:c>
      <x:c r="H4" s="16" t="str">
        <x:v>Polluant</x:v>
      </x:c>
      <x:c r="I4" s="16" t="str">
        <x:v>Concentration</x:v>
      </x:c>
      <x:c r="J4" s="16" t="str">
        <x:v>Unite</x:v>
      </x:c>
      <x:c r="K4" s="16" t="str">
        <x:v>Seuil_reference</x:v>
      </x:c>
      <x:c r="L4" s="16" t="str">
        <x:v>Source_ID</x:v>
      </x:c>
      <x:c r="M4" s="16" t="str">
        <x:v>Qualite_donnee</x:v>
      </x:c>
      <x:c r="N4" s="16" t="str">
        <x:v>Depassement</x:v>
      </x:c>
      <x:c r="O4" s="16" t="str">
        <x:v>Alerte_donnee</x:v>
      </x:c>
      <x:c r="P4" s="16" t="str">
        <x:v>Commentaires</x:v>
      </x:c>
    </x:row>
    <x:row r="5">
      <x:c r="A5" s="18" t="str">
        <x:v>AIR-001</x:v>
      </x:c>
      <x:c r="B5" s="18" t="str">
        <x:v>Plateau-01</x:v>
      </x:c>
      <x:c r="C5" s="18" t="str">
        <x:v>Plateau</x:v>
      </x:c>
      <x:c r="D5" s="26" t="n">
        <x:v>14.667</x:v>
      </x:c>
      <x:c r="E5" s="26" t="n">
        <x:v>-17.438</x:v>
      </x:c>
      <x:c r="F5" s="19" t="n">
        <x:v>46143</x:v>
      </x:c>
      <x:c r="G5" s="18" t="str">
        <x:v>08:00</x:v>
      </x:c>
      <x:c r="H5" s="18" t="str">
        <x:v>PM2.5</x:v>
      </x:c>
      <x:c r="I5" s="27" t="n">
        <x:v>28</x:v>
      </x:c>
      <x:c r="J5" s="27" t="str">
        <x:v>ug/m3</x:v>
      </x:c>
      <x:c r="K5" s="27" t="n">
        <x:v>15</x:v>
      </x:c>
      <x:c r="L5" s="18" t="str">
        <x:v>SRC-003</x:v>
      </x:c>
      <x:c r="M5" s="18" t="str">
        <x:v>C - Estimee</x:v>
      </x:c>
      <x:c r="N5" s="18" t="str">
        <x:f>IF(A5="","",IF(OR(I5="",K5=""),"",IF(I5&gt;K5,"Oui","Non")))</x:f>
        <x:v>Oui</x:v>
      </x:c>
      <x:c r="O5" s="18" t="str">
        <x:f>IF(A5="","",IF(OR(I5="",K5="",M5="D - Faible"),"Donnees manquantes",IF(N5="Oui","Depassement","OK")))</x:f>
        <x:v>Depassement</x:v>
      </x:c>
      <x:c r="P5" s="18" t="str"/>
    </x:row>
    <x:row r="6">
      <x:c r="A6" s="18" t="str">
        <x:v>AIR-002</x:v>
      </x:c>
      <x:c r="B6" s="18" t="str">
        <x:v>Medina-01</x:v>
      </x:c>
      <x:c r="C6" s="18" t="str">
        <x:v>Medina</x:v>
      </x:c>
      <x:c r="D6" s="26" t="n">
        <x:v>14.682</x:v>
      </x:c>
      <x:c r="E6" s="26" t="n">
        <x:v>-17.448</x:v>
      </x:c>
      <x:c r="F6" s="19" t="n">
        <x:v>46143</x:v>
      </x:c>
      <x:c r="G6" s="18" t="str">
        <x:v>08:00</x:v>
      </x:c>
      <x:c r="H6" s="18" t="str">
        <x:v>NO2</x:v>
      </x:c>
      <x:c r="I6" s="27" t="n">
        <x:v>42</x:v>
      </x:c>
      <x:c r="J6" s="27" t="str">
        <x:v>ug/m3</x:v>
      </x:c>
      <x:c r="K6" s="27" t="n">
        <x:v>25</x:v>
      </x:c>
      <x:c r="L6" s="18" t="str">
        <x:v>SRC-003</x:v>
      </x:c>
      <x:c r="M6" s="18" t="str">
        <x:v>C - Estimee</x:v>
      </x:c>
      <x:c r="N6" s="18" t="str">
        <x:f>IF(A6="","",IF(OR(I6="",K6=""),"",IF(I6&gt;K6,"Oui","Non")))</x:f>
        <x:v>Oui</x:v>
      </x:c>
      <x:c r="O6" s="18" t="str">
        <x:f>IF(A6="","",IF(OR(I6="",K6="",M6="D - Faible"),"Donnees manquantes",IF(N6="Oui","Depassement","OK")))</x:f>
        <x:v>Depassement</x:v>
      </x:c>
      <x:c r="P6" s="18" t="str"/>
    </x:row>
    <x:row r="7">
      <x:c r="A7" s="18" t="str">
        <x:v>AIR-003</x:v>
      </x:c>
      <x:c r="B7" s="18" t="str">
        <x:v>Yoff-01</x:v>
      </x:c>
      <x:c r="C7" s="18" t="str">
        <x:v>Yoff</x:v>
      </x:c>
      <x:c r="D7" s="26" t="n">
        <x:v>14.758</x:v>
      </x:c>
      <x:c r="E7" s="26" t="n">
        <x:v>-17.473</x:v>
      </x:c>
      <x:c r="F7" s="19" t="n">
        <x:v>46143</x:v>
      </x:c>
      <x:c r="G7" s="18" t="str">
        <x:v>08:00</x:v>
      </x:c>
      <x:c r="H7" s="18" t="str">
        <x:v>PM10</x:v>
      </x:c>
      <x:c r="I7" s="27" t="n">
        <x:v>62</x:v>
      </x:c>
      <x:c r="J7" s="27" t="str">
        <x:v>ug/m3</x:v>
      </x:c>
      <x:c r="K7" s="27" t="n">
        <x:v>45</x:v>
      </x:c>
      <x:c r="L7" s="18" t="str">
        <x:v>SRC-003</x:v>
      </x:c>
      <x:c r="M7" s="18" t="str">
        <x:v>C - Estimee</x:v>
      </x:c>
      <x:c r="N7" s="18" t="str">
        <x:f>IF(A7="","",IF(OR(I7="",K7=""),"",IF(I7&gt;K7,"Oui","Non")))</x:f>
        <x:v>Oui</x:v>
      </x:c>
      <x:c r="O7" s="18" t="str">
        <x:f>IF(A7="","",IF(OR(I7="",K7="",M7="D - Faible"),"Donnees manquantes",IF(N7="Oui","Depassement","OK")))</x:f>
        <x:v>Depassement</x:v>
      </x:c>
      <x:c r="P7" s="18" t="str"/>
    </x:row>
    <x:row r="8">
      <x:c r="A8" s="18" t="str">
        <x:v>AIR-004</x:v>
      </x:c>
      <x:c r="B8" s="18" t="str">
        <x:v>Plateau-01</x:v>
      </x:c>
      <x:c r="C8" s="18" t="str">
        <x:v>Plateau</x:v>
      </x:c>
      <x:c r="D8" s="26" t="n">
        <x:v>14.667</x:v>
      </x:c>
      <x:c r="E8" s="26" t="n">
        <x:v>-17.438</x:v>
      </x:c>
      <x:c r="F8" s="19" t="n">
        <x:v>46144</x:v>
      </x:c>
      <x:c r="G8" s="18" t="str">
        <x:v>08:00</x:v>
      </x:c>
      <x:c r="H8" s="18" t="str">
        <x:v>PM2.5</x:v>
      </x:c>
      <x:c r="I8" s="27" t="n">
        <x:v>22</x:v>
      </x:c>
      <x:c r="J8" s="27" t="str">
        <x:v>ug/m3</x:v>
      </x:c>
      <x:c r="K8" s="27" t="n">
        <x:v>15</x:v>
      </x:c>
      <x:c r="L8" s="18" t="str">
        <x:v>SRC-003</x:v>
      </x:c>
      <x:c r="M8" s="18" t="str">
        <x:v>C - Estimee</x:v>
      </x:c>
      <x:c r="N8" s="18" t="str">
        <x:f>IF(A8="","",IF(OR(I8="",K8=""),"",IF(I8&gt;K8,"Oui","Non")))</x:f>
        <x:v>Oui</x:v>
      </x:c>
      <x:c r="O8" s="18" t="str">
        <x:f>IF(A8="","",IF(OR(I8="",K8="",M8="D - Faible"),"Donnees manquantes",IF(N8="Oui","Depassement","OK")))</x:f>
        <x:v>Depassement</x:v>
      </x:c>
      <x:c r="P8" s="18" t="str"/>
    </x:row>
    <x:row r="9">
      <x:c r="A9" s="18"/>
      <x:c r="B9" s="18"/>
      <x:c r="C9" s="18"/>
      <x:c r="D9" s="26"/>
      <x:c r="E9" s="26"/>
      <x:c r="F9" s="19"/>
      <x:c r="G9" s="18"/>
      <x:c r="H9" s="18"/>
      <x:c r="I9" s="27"/>
      <x:c r="J9" s="27"/>
      <x:c r="K9" s="27"/>
      <x:c r="L9" s="18"/>
      <x:c r="M9" s="18"/>
      <x:c r="N9" s="18" t="str">
        <x:f>IF(A9="","",IF(OR(I9="",K9=""),"",IF(I9&gt;K9,"Oui","Non")))</x:f>
      </x:c>
      <x:c r="O9" s="18" t="str">
        <x:f>IF(A9="","",IF(OR(I9="",K9="",M9="D - Faible"),"Donnees manquantes",IF(N9="Oui","Depassement","OK")))</x:f>
      </x:c>
      <x:c r="P9" s="18"/>
    </x:row>
    <x:row r="10">
      <x:c r="A10" s="18"/>
      <x:c r="B10" s="18"/>
      <x:c r="C10" s="18"/>
      <x:c r="D10" s="26"/>
      <x:c r="E10" s="26"/>
      <x:c r="F10" s="19"/>
      <x:c r="G10" s="18"/>
      <x:c r="H10" s="18"/>
      <x:c r="I10" s="27"/>
      <x:c r="J10" s="27"/>
      <x:c r="K10" s="27"/>
      <x:c r="L10" s="18"/>
      <x:c r="M10" s="18"/>
      <x:c r="N10" s="18" t="str">
        <x:f>IF(A10="","",IF(OR(I10="",K10=""),"",IF(I10&gt;K10,"Oui","Non")))</x:f>
      </x:c>
      <x:c r="O10" s="18" t="str">
        <x:f>IF(A10="","",IF(OR(I10="",K10="",M10="D - Faible"),"Donnees manquantes",IF(N10="Oui","Depassement","OK")))</x:f>
      </x:c>
      <x:c r="P10" s="18"/>
    </x:row>
    <x:row r="11">
      <x:c r="A11" s="18"/>
      <x:c r="B11" s="18"/>
      <x:c r="C11" s="18"/>
      <x:c r="D11" s="26"/>
      <x:c r="E11" s="26"/>
      <x:c r="F11" s="19"/>
      <x:c r="G11" s="18"/>
      <x:c r="H11" s="18"/>
      <x:c r="I11" s="27"/>
      <x:c r="J11" s="27"/>
      <x:c r="K11" s="27"/>
      <x:c r="L11" s="18"/>
      <x:c r="M11" s="18"/>
      <x:c r="N11" s="18" t="str">
        <x:f>IF(A11="","",IF(OR(I11="",K11=""),"",IF(I11&gt;K11,"Oui","Non")))</x:f>
      </x:c>
      <x:c r="O11" s="18" t="str">
        <x:f>IF(A11="","",IF(OR(I11="",K11="",M11="D - Faible"),"Donnees manquantes",IF(N11="Oui","Depassement","OK")))</x:f>
      </x:c>
      <x:c r="P11" s="18"/>
    </x:row>
    <x:row r="12">
      <x:c r="A12" s="18"/>
      <x:c r="B12" s="18"/>
      <x:c r="C12" s="18"/>
      <x:c r="D12" s="26"/>
      <x:c r="E12" s="26"/>
      <x:c r="F12" s="19"/>
      <x:c r="G12" s="18"/>
      <x:c r="H12" s="18"/>
      <x:c r="I12" s="27"/>
      <x:c r="J12" s="27"/>
      <x:c r="K12" s="27"/>
      <x:c r="L12" s="18"/>
      <x:c r="M12" s="18"/>
      <x:c r="N12" s="18" t="str">
        <x:f>IF(A12="","",IF(OR(I12="",K12=""),"",IF(I12&gt;K12,"Oui","Non")))</x:f>
      </x:c>
      <x:c r="O12" s="18" t="str">
        <x:f>IF(A12="","",IF(OR(I12="",K12="",M12="D - Faible"),"Donnees manquantes",IF(N12="Oui","Depassement","OK")))</x:f>
      </x:c>
      <x:c r="P12" s="18"/>
    </x:row>
    <x:row r="13">
      <x:c r="A13" s="18"/>
      <x:c r="B13" s="18"/>
      <x:c r="C13" s="18"/>
      <x:c r="D13" s="26"/>
      <x:c r="E13" s="26"/>
      <x:c r="F13" s="19"/>
      <x:c r="G13" s="18"/>
      <x:c r="H13" s="18"/>
      <x:c r="I13" s="27"/>
      <x:c r="J13" s="27"/>
      <x:c r="K13" s="27"/>
      <x:c r="L13" s="18"/>
      <x:c r="M13" s="18"/>
      <x:c r="N13" s="18" t="str">
        <x:f>IF(A13="","",IF(OR(I13="",K13=""),"",IF(I13&gt;K13,"Oui","Non")))</x:f>
      </x:c>
      <x:c r="O13" s="18" t="str">
        <x:f>IF(A13="","",IF(OR(I13="",K13="",M13="D - Faible"),"Donnees manquantes",IF(N13="Oui","Depassement","OK")))</x:f>
      </x:c>
      <x:c r="P13" s="18"/>
    </x:row>
    <x:row r="14">
      <x:c r="A14" s="18"/>
      <x:c r="B14" s="18"/>
      <x:c r="C14" s="18"/>
      <x:c r="D14" s="26"/>
      <x:c r="E14" s="26"/>
      <x:c r="F14" s="19"/>
      <x:c r="G14" s="18"/>
      <x:c r="H14" s="18"/>
      <x:c r="I14" s="27"/>
      <x:c r="J14" s="27"/>
      <x:c r="K14" s="27"/>
      <x:c r="L14" s="18"/>
      <x:c r="M14" s="18"/>
      <x:c r="N14" s="18" t="str">
        <x:f>IF(A14="","",IF(OR(I14="",K14=""),"",IF(I14&gt;K14,"Oui","Non")))</x:f>
      </x:c>
      <x:c r="O14" s="18" t="str">
        <x:f>IF(A14="","",IF(OR(I14="",K14="",M14="D - Faible"),"Donnees manquantes",IF(N14="Oui","Depassement","OK")))</x:f>
      </x:c>
      <x:c r="P14" s="18"/>
    </x:row>
    <x:row r="15">
      <x:c r="A15" s="18"/>
      <x:c r="B15" s="18"/>
      <x:c r="C15" s="18"/>
      <x:c r="D15" s="26"/>
      <x:c r="E15" s="26"/>
      <x:c r="F15" s="19"/>
      <x:c r="G15" s="18"/>
      <x:c r="H15" s="18"/>
      <x:c r="I15" s="27"/>
      <x:c r="J15" s="27"/>
      <x:c r="K15" s="27"/>
      <x:c r="L15" s="18"/>
      <x:c r="M15" s="18"/>
      <x:c r="N15" s="18" t="str">
        <x:f>IF(A15="","",IF(OR(I15="",K15=""),"",IF(I15&gt;K15,"Oui","Non")))</x:f>
      </x:c>
      <x:c r="O15" s="18" t="str">
        <x:f>IF(A15="","",IF(OR(I15="",K15="",M15="D - Faible"),"Donnees manquantes",IF(N15="Oui","Depassement","OK")))</x:f>
      </x:c>
      <x:c r="P15" s="18"/>
    </x:row>
    <x:row r="16">
      <x:c r="A16" s="18"/>
      <x:c r="B16" s="18"/>
      <x:c r="C16" s="18"/>
      <x:c r="D16" s="26"/>
      <x:c r="E16" s="26"/>
      <x:c r="F16" s="19"/>
      <x:c r="G16" s="18"/>
      <x:c r="H16" s="18"/>
      <x:c r="I16" s="27"/>
      <x:c r="J16" s="27"/>
      <x:c r="K16" s="27"/>
      <x:c r="L16" s="18"/>
      <x:c r="M16" s="18"/>
      <x:c r="N16" s="18" t="str">
        <x:f>IF(A16="","",IF(OR(I16="",K16=""),"",IF(I16&gt;K16,"Oui","Non")))</x:f>
      </x:c>
      <x:c r="O16" s="18" t="str">
        <x:f>IF(A16="","",IF(OR(I16="",K16="",M16="D - Faible"),"Donnees manquantes",IF(N16="Oui","Depassement","OK")))</x:f>
      </x:c>
      <x:c r="P16" s="18"/>
    </x:row>
    <x:row r="17">
      <x:c r="A17" s="18"/>
      <x:c r="B17" s="18"/>
      <x:c r="C17" s="18"/>
      <x:c r="D17" s="26"/>
      <x:c r="E17" s="26"/>
      <x:c r="F17" s="19"/>
      <x:c r="G17" s="18"/>
      <x:c r="H17" s="18"/>
      <x:c r="I17" s="27"/>
      <x:c r="J17" s="27"/>
      <x:c r="K17" s="27"/>
      <x:c r="L17" s="18"/>
      <x:c r="M17" s="18"/>
      <x:c r="N17" s="18" t="str">
        <x:f>IF(A17="","",IF(OR(I17="",K17=""),"",IF(I17&gt;K17,"Oui","Non")))</x:f>
      </x:c>
      <x:c r="O17" s="18" t="str">
        <x:f>IF(A17="","",IF(OR(I17="",K17="",M17="D - Faible"),"Donnees manquantes",IF(N17="Oui","Depassement","OK")))</x:f>
      </x:c>
      <x:c r="P17" s="18"/>
    </x:row>
    <x:row r="18">
      <x:c r="A18" s="18"/>
      <x:c r="B18" s="18"/>
      <x:c r="C18" s="18"/>
      <x:c r="D18" s="26"/>
      <x:c r="E18" s="26"/>
      <x:c r="F18" s="19"/>
      <x:c r="G18" s="18"/>
      <x:c r="H18" s="18"/>
      <x:c r="I18" s="27"/>
      <x:c r="J18" s="27"/>
      <x:c r="K18" s="27"/>
      <x:c r="L18" s="18"/>
      <x:c r="M18" s="18"/>
      <x:c r="N18" s="18" t="str">
        <x:f>IF(A18="","",IF(OR(I18="",K18=""),"",IF(I18&gt;K18,"Oui","Non")))</x:f>
      </x:c>
      <x:c r="O18" s="18" t="str">
        <x:f>IF(A18="","",IF(OR(I18="",K18="",M18="D - Faible"),"Donnees manquantes",IF(N18="Oui","Depassement","OK")))</x:f>
      </x:c>
      <x:c r="P18" s="18"/>
    </x:row>
    <x:row r="19">
      <x:c r="A19" s="18"/>
      <x:c r="B19" s="18"/>
      <x:c r="C19" s="18"/>
      <x:c r="D19" s="26"/>
      <x:c r="E19" s="26"/>
      <x:c r="F19" s="19"/>
      <x:c r="G19" s="18"/>
      <x:c r="H19" s="18"/>
      <x:c r="I19" s="27"/>
      <x:c r="J19" s="27"/>
      <x:c r="K19" s="27"/>
      <x:c r="L19" s="18"/>
      <x:c r="M19" s="18"/>
      <x:c r="N19" s="18" t="str">
        <x:f>IF(A19="","",IF(OR(I19="",K19=""),"",IF(I19&gt;K19,"Oui","Non")))</x:f>
      </x:c>
      <x:c r="O19" s="18" t="str">
        <x:f>IF(A19="","",IF(OR(I19="",K19="",M19="D - Faible"),"Donnees manquantes",IF(N19="Oui","Depassement","OK")))</x:f>
      </x:c>
      <x:c r="P19" s="18"/>
    </x:row>
    <x:row r="20">
      <x:c r="A20" s="18"/>
      <x:c r="B20" s="18"/>
      <x:c r="C20" s="18"/>
      <x:c r="D20" s="26"/>
      <x:c r="E20" s="26"/>
      <x:c r="F20" s="19"/>
      <x:c r="G20" s="18"/>
      <x:c r="H20" s="18"/>
      <x:c r="I20" s="27"/>
      <x:c r="J20" s="27"/>
      <x:c r="K20" s="27"/>
      <x:c r="L20" s="18"/>
      <x:c r="M20" s="18"/>
      <x:c r="N20" s="18" t="str">
        <x:f>IF(A20="","",IF(OR(I20="",K20=""),"",IF(I20&gt;K20,"Oui","Non")))</x:f>
      </x:c>
      <x:c r="O20" s="18" t="str">
        <x:f>IF(A20="","",IF(OR(I20="",K20="",M20="D - Faible"),"Donnees manquantes",IF(N20="Oui","Depassement","OK")))</x:f>
      </x:c>
      <x:c r="P20" s="18"/>
    </x:row>
    <x:row r="21">
      <x:c r="A21" s="18"/>
      <x:c r="B21" s="18"/>
      <x:c r="C21" s="18"/>
      <x:c r="D21" s="26"/>
      <x:c r="E21" s="26"/>
      <x:c r="F21" s="19"/>
      <x:c r="G21" s="18"/>
      <x:c r="H21" s="18"/>
      <x:c r="I21" s="27"/>
      <x:c r="J21" s="27"/>
      <x:c r="K21" s="27"/>
      <x:c r="L21" s="18"/>
      <x:c r="M21" s="18"/>
      <x:c r="N21" s="18" t="str">
        <x:f>IF(A21="","",IF(OR(I21="",K21=""),"",IF(I21&gt;K21,"Oui","Non")))</x:f>
      </x:c>
      <x:c r="O21" s="18" t="str">
        <x:f>IF(A21="","",IF(OR(I21="",K21="",M21="D - Faible"),"Donnees manquantes",IF(N21="Oui","Depassement","OK")))</x:f>
      </x:c>
      <x:c r="P21" s="18"/>
    </x:row>
    <x:row r="22">
      <x:c r="A22" s="18"/>
      <x:c r="B22" s="18"/>
      <x:c r="C22" s="18"/>
      <x:c r="D22" s="26"/>
      <x:c r="E22" s="26"/>
      <x:c r="F22" s="19"/>
      <x:c r="G22" s="18"/>
      <x:c r="H22" s="18"/>
      <x:c r="I22" s="27"/>
      <x:c r="J22" s="27"/>
      <x:c r="K22" s="27"/>
      <x:c r="L22" s="18"/>
      <x:c r="M22" s="18"/>
      <x:c r="N22" s="18" t="str">
        <x:f>IF(A22="","",IF(OR(I22="",K22=""),"",IF(I22&gt;K22,"Oui","Non")))</x:f>
      </x:c>
      <x:c r="O22" s="18" t="str">
        <x:f>IF(A22="","",IF(OR(I22="",K22="",M22="D - Faible"),"Donnees manquantes",IF(N22="Oui","Depassement","OK")))</x:f>
      </x:c>
      <x:c r="P22" s="18"/>
    </x:row>
    <x:row r="23">
      <x:c r="A23" s="18"/>
      <x:c r="B23" s="18"/>
      <x:c r="C23" s="18"/>
      <x:c r="D23" s="26"/>
      <x:c r="E23" s="26"/>
      <x:c r="F23" s="19"/>
      <x:c r="G23" s="18"/>
      <x:c r="H23" s="18"/>
      <x:c r="I23" s="27"/>
      <x:c r="J23" s="27"/>
      <x:c r="K23" s="27"/>
      <x:c r="L23" s="18"/>
      <x:c r="M23" s="18"/>
      <x:c r="N23" s="18" t="str">
        <x:f>IF(A23="","",IF(OR(I23="",K23=""),"",IF(I23&gt;K23,"Oui","Non")))</x:f>
      </x:c>
      <x:c r="O23" s="18" t="str">
        <x:f>IF(A23="","",IF(OR(I23="",K23="",M23="D - Faible"),"Donnees manquantes",IF(N23="Oui","Depassement","OK")))</x:f>
      </x:c>
      <x:c r="P23" s="18"/>
    </x:row>
    <x:row r="24">
      <x:c r="A24" s="18"/>
      <x:c r="B24" s="18"/>
      <x:c r="C24" s="18"/>
      <x:c r="D24" s="26"/>
      <x:c r="E24" s="26"/>
      <x:c r="F24" s="19"/>
      <x:c r="G24" s="18"/>
      <x:c r="H24" s="18"/>
      <x:c r="I24" s="27"/>
      <x:c r="J24" s="27"/>
      <x:c r="K24" s="27"/>
      <x:c r="L24" s="18"/>
      <x:c r="M24" s="18"/>
      <x:c r="N24" s="18" t="str">
        <x:f>IF(A24="","",IF(OR(I24="",K24=""),"",IF(I24&gt;K24,"Oui","Non")))</x:f>
      </x:c>
      <x:c r="O24" s="18" t="str">
        <x:f>IF(A24="","",IF(OR(I24="",K24="",M24="D - Faible"),"Donnees manquantes",IF(N24="Oui","Depassement","OK")))</x:f>
      </x:c>
      <x:c r="P24" s="18"/>
    </x:row>
    <x:row r="25">
      <x:c r="A25" s="18"/>
      <x:c r="B25" s="18"/>
      <x:c r="C25" s="18"/>
      <x:c r="D25" s="26"/>
      <x:c r="E25" s="26"/>
      <x:c r="F25" s="19"/>
      <x:c r="G25" s="18"/>
      <x:c r="H25" s="18"/>
      <x:c r="I25" s="27"/>
      <x:c r="J25" s="27"/>
      <x:c r="K25" s="27"/>
      <x:c r="L25" s="18"/>
      <x:c r="M25" s="18"/>
      <x:c r="N25" s="18" t="str">
        <x:f>IF(A25="","",IF(OR(I25="",K25=""),"",IF(I25&gt;K25,"Oui","Non")))</x:f>
      </x:c>
      <x:c r="O25" s="18" t="str">
        <x:f>IF(A25="","",IF(OR(I25="",K25="",M25="D - Faible"),"Donnees manquantes",IF(N25="Oui","Depassement","OK")))</x:f>
      </x:c>
      <x:c r="P25" s="18"/>
    </x:row>
    <x:row r="26">
      <x:c r="A26" s="18"/>
      <x:c r="B26" s="18"/>
      <x:c r="C26" s="18"/>
      <x:c r="D26" s="26"/>
      <x:c r="E26" s="26"/>
      <x:c r="F26" s="19"/>
      <x:c r="G26" s="18"/>
      <x:c r="H26" s="18"/>
      <x:c r="I26" s="27"/>
      <x:c r="J26" s="27"/>
      <x:c r="K26" s="27"/>
      <x:c r="L26" s="18"/>
      <x:c r="M26" s="18"/>
      <x:c r="N26" s="18" t="str">
        <x:f>IF(A26="","",IF(OR(I26="",K26=""),"",IF(I26&gt;K26,"Oui","Non")))</x:f>
      </x:c>
      <x:c r="O26" s="18" t="str">
        <x:f>IF(A26="","",IF(OR(I26="",K26="",M26="D - Faible"),"Donnees manquantes",IF(N26="Oui","Depassement","OK")))</x:f>
      </x:c>
      <x:c r="P26" s="18"/>
    </x:row>
    <x:row r="27">
      <x:c r="A27" s="18"/>
      <x:c r="B27" s="18"/>
      <x:c r="C27" s="18"/>
      <x:c r="D27" s="26"/>
      <x:c r="E27" s="26"/>
      <x:c r="F27" s="19"/>
      <x:c r="G27" s="18"/>
      <x:c r="H27" s="18"/>
      <x:c r="I27" s="27"/>
      <x:c r="J27" s="27"/>
      <x:c r="K27" s="27"/>
      <x:c r="L27" s="18"/>
      <x:c r="M27" s="18"/>
      <x:c r="N27" s="18" t="str">
        <x:f>IF(A27="","",IF(OR(I27="",K27=""),"",IF(I27&gt;K27,"Oui","Non")))</x:f>
      </x:c>
      <x:c r="O27" s="18" t="str">
        <x:f>IF(A27="","",IF(OR(I27="",K27="",M27="D - Faible"),"Donnees manquantes",IF(N27="Oui","Depassement","OK")))</x:f>
      </x:c>
      <x:c r="P27" s="18"/>
    </x:row>
    <x:row r="28">
      <x:c r="A28" s="18"/>
      <x:c r="B28" s="18"/>
      <x:c r="C28" s="18"/>
      <x:c r="D28" s="26"/>
      <x:c r="E28" s="26"/>
      <x:c r="F28" s="19"/>
      <x:c r="G28" s="18"/>
      <x:c r="H28" s="18"/>
      <x:c r="I28" s="27"/>
      <x:c r="J28" s="27"/>
      <x:c r="K28" s="27"/>
      <x:c r="L28" s="18"/>
      <x:c r="M28" s="18"/>
      <x:c r="N28" s="18" t="str">
        <x:f>IF(A28="","",IF(OR(I28="",K28=""),"",IF(I28&gt;K28,"Oui","Non")))</x:f>
      </x:c>
      <x:c r="O28" s="18" t="str">
        <x:f>IF(A28="","",IF(OR(I28="",K28="",M28="D - Faible"),"Donnees manquantes",IF(N28="Oui","Depassement","OK")))</x:f>
      </x:c>
      <x:c r="P28" s="18"/>
    </x:row>
    <x:row r="29">
      <x:c r="A29" s="18"/>
      <x:c r="B29" s="18"/>
      <x:c r="C29" s="18"/>
      <x:c r="D29" s="26"/>
      <x:c r="E29" s="26"/>
      <x:c r="F29" s="19"/>
      <x:c r="G29" s="18"/>
      <x:c r="H29" s="18"/>
      <x:c r="I29" s="27"/>
      <x:c r="J29" s="27"/>
      <x:c r="K29" s="27"/>
      <x:c r="L29" s="18"/>
      <x:c r="M29" s="18"/>
      <x:c r="N29" s="18" t="str">
        <x:f>IF(A29="","",IF(OR(I29="",K29=""),"",IF(I29&gt;K29,"Oui","Non")))</x:f>
      </x:c>
      <x:c r="O29" s="18" t="str">
        <x:f>IF(A29="","",IF(OR(I29="",K29="",M29="D - Faible"),"Donnees manquantes",IF(N29="Oui","Depassement","OK")))</x:f>
      </x:c>
      <x:c r="P29" s="18"/>
    </x:row>
    <x:row r="30">
      <x:c r="A30" s="18"/>
      <x:c r="B30" s="18"/>
      <x:c r="C30" s="18"/>
      <x:c r="D30" s="26"/>
      <x:c r="E30" s="26"/>
      <x:c r="F30" s="19"/>
      <x:c r="G30" s="18"/>
      <x:c r="H30" s="18"/>
      <x:c r="I30" s="27"/>
      <x:c r="J30" s="27"/>
      <x:c r="K30" s="27"/>
      <x:c r="L30" s="18"/>
      <x:c r="M30" s="18"/>
      <x:c r="N30" s="18" t="str">
        <x:f>IF(A30="","",IF(OR(I30="",K30=""),"",IF(I30&gt;K30,"Oui","Non")))</x:f>
      </x:c>
      <x:c r="O30" s="18" t="str">
        <x:f>IF(A30="","",IF(OR(I30="",K30="",M30="D - Faible"),"Donnees manquantes",IF(N30="Oui","Depassement","OK")))</x:f>
      </x:c>
      <x:c r="P30" s="18"/>
    </x:row>
    <x:row r="31">
      <x:c r="A31" s="18"/>
      <x:c r="B31" s="18"/>
      <x:c r="C31" s="18"/>
      <x:c r="D31" s="26"/>
      <x:c r="E31" s="26"/>
      <x:c r="F31" s="19"/>
      <x:c r="G31" s="18"/>
      <x:c r="H31" s="18"/>
      <x:c r="I31" s="27"/>
      <x:c r="J31" s="27"/>
      <x:c r="K31" s="27"/>
      <x:c r="L31" s="18"/>
      <x:c r="M31" s="18"/>
      <x:c r="N31" s="18" t="str">
        <x:f>IF(A31="","",IF(OR(I31="",K31=""),"",IF(I31&gt;K31,"Oui","Non")))</x:f>
      </x:c>
      <x:c r="O31" s="18" t="str">
        <x:f>IF(A31="","",IF(OR(I31="",K31="",M31="D - Faible"),"Donnees manquantes",IF(N31="Oui","Depassement","OK")))</x:f>
      </x:c>
      <x:c r="P31" s="18"/>
    </x:row>
    <x:row r="32">
      <x:c r="A32" s="18"/>
      <x:c r="B32" s="18"/>
      <x:c r="C32" s="18"/>
      <x:c r="D32" s="26"/>
      <x:c r="E32" s="26"/>
      <x:c r="F32" s="19"/>
      <x:c r="G32" s="18"/>
      <x:c r="H32" s="18"/>
      <x:c r="I32" s="27"/>
      <x:c r="J32" s="27"/>
      <x:c r="K32" s="27"/>
      <x:c r="L32" s="18"/>
      <x:c r="M32" s="18"/>
      <x:c r="N32" s="18" t="str">
        <x:f>IF(A32="","",IF(OR(I32="",K32=""),"",IF(I32&gt;K32,"Oui","Non")))</x:f>
      </x:c>
      <x:c r="O32" s="18" t="str">
        <x:f>IF(A32="","",IF(OR(I32="",K32="",M32="D - Faible"),"Donnees manquantes",IF(N32="Oui","Depassement","OK")))</x:f>
      </x:c>
      <x:c r="P32" s="18"/>
    </x:row>
    <x:row r="33">
      <x:c r="A33" s="18"/>
      <x:c r="B33" s="18"/>
      <x:c r="C33" s="18"/>
      <x:c r="D33" s="26"/>
      <x:c r="E33" s="26"/>
      <x:c r="F33" s="19"/>
      <x:c r="G33" s="18"/>
      <x:c r="H33" s="18"/>
      <x:c r="I33" s="27"/>
      <x:c r="J33" s="27"/>
      <x:c r="K33" s="27"/>
      <x:c r="L33" s="18"/>
      <x:c r="M33" s="18"/>
      <x:c r="N33" s="18" t="str">
        <x:f>IF(A33="","",IF(OR(I33="",K33=""),"",IF(I33&gt;K33,"Oui","Non")))</x:f>
      </x:c>
      <x:c r="O33" s="18" t="str">
        <x:f>IF(A33="","",IF(OR(I33="",K33="",M33="D - Faible"),"Donnees manquantes",IF(N33="Oui","Depassement","OK")))</x:f>
      </x:c>
      <x:c r="P33" s="18"/>
    </x:row>
    <x:row r="34">
      <x:c r="A34" s="18"/>
      <x:c r="B34" s="18"/>
      <x:c r="C34" s="18"/>
      <x:c r="D34" s="26"/>
      <x:c r="E34" s="26"/>
      <x:c r="F34" s="19"/>
      <x:c r="G34" s="18"/>
      <x:c r="H34" s="18"/>
      <x:c r="I34" s="27"/>
      <x:c r="J34" s="27"/>
      <x:c r="K34" s="27"/>
      <x:c r="L34" s="18"/>
      <x:c r="M34" s="18"/>
      <x:c r="N34" s="18" t="str">
        <x:f>IF(A34="","",IF(OR(I34="",K34=""),"",IF(I34&gt;K34,"Oui","Non")))</x:f>
      </x:c>
      <x:c r="O34" s="18" t="str">
        <x:f>IF(A34="","",IF(OR(I34="",K34="",M34="D - Faible"),"Donnees manquantes",IF(N34="Oui","Depassement","OK")))</x:f>
      </x:c>
      <x:c r="P34" s="18"/>
    </x:row>
    <x:row r="35">
      <x:c r="A35" s="18"/>
      <x:c r="B35" s="18"/>
      <x:c r="C35" s="18"/>
      <x:c r="D35" s="26"/>
      <x:c r="E35" s="26"/>
      <x:c r="F35" s="19"/>
      <x:c r="G35" s="18"/>
      <x:c r="H35" s="18"/>
      <x:c r="I35" s="27"/>
      <x:c r="J35" s="27"/>
      <x:c r="K35" s="27"/>
      <x:c r="L35" s="18"/>
      <x:c r="M35" s="18"/>
      <x:c r="N35" s="18" t="str">
        <x:f>IF(A35="","",IF(OR(I35="",K35=""),"",IF(I35&gt;K35,"Oui","Non")))</x:f>
      </x:c>
      <x:c r="O35" s="18" t="str">
        <x:f>IF(A35="","",IF(OR(I35="",K35="",M35="D - Faible"),"Donnees manquantes",IF(N35="Oui","Depassement","OK")))</x:f>
      </x:c>
      <x:c r="P35" s="18"/>
    </x:row>
    <x:row r="36">
      <x:c r="A36" s="18"/>
      <x:c r="B36" s="18"/>
      <x:c r="C36" s="18"/>
      <x:c r="D36" s="26"/>
      <x:c r="E36" s="26"/>
      <x:c r="F36" s="19"/>
      <x:c r="G36" s="18"/>
      <x:c r="H36" s="18"/>
      <x:c r="I36" s="27"/>
      <x:c r="J36" s="27"/>
      <x:c r="K36" s="27"/>
      <x:c r="L36" s="18"/>
      <x:c r="M36" s="18"/>
      <x:c r="N36" s="18" t="str">
        <x:f>IF(A36="","",IF(OR(I36="",K36=""),"",IF(I36&gt;K36,"Oui","Non")))</x:f>
      </x:c>
      <x:c r="O36" s="18" t="str">
        <x:f>IF(A36="","",IF(OR(I36="",K36="",M36="D - Faible"),"Donnees manquantes",IF(N36="Oui","Depassement","OK")))</x:f>
      </x:c>
      <x:c r="P36" s="18"/>
    </x:row>
    <x:row r="37">
      <x:c r="A37" s="18"/>
      <x:c r="B37" s="18"/>
      <x:c r="C37" s="18"/>
      <x:c r="D37" s="26"/>
      <x:c r="E37" s="26"/>
      <x:c r="F37" s="19"/>
      <x:c r="G37" s="18"/>
      <x:c r="H37" s="18"/>
      <x:c r="I37" s="27"/>
      <x:c r="J37" s="27"/>
      <x:c r="K37" s="27"/>
      <x:c r="L37" s="18"/>
      <x:c r="M37" s="18"/>
      <x:c r="N37" s="18" t="str">
        <x:f>IF(A37="","",IF(OR(I37="",K37=""),"",IF(I37&gt;K37,"Oui","Non")))</x:f>
      </x:c>
      <x:c r="O37" s="18" t="str">
        <x:f>IF(A37="","",IF(OR(I37="",K37="",M37="D - Faible"),"Donnees manquantes",IF(N37="Oui","Depassement","OK")))</x:f>
      </x:c>
      <x:c r="P37" s="18"/>
    </x:row>
    <x:row r="38">
      <x:c r="A38" s="18"/>
      <x:c r="B38" s="18"/>
      <x:c r="C38" s="18"/>
      <x:c r="D38" s="26"/>
      <x:c r="E38" s="26"/>
      <x:c r="F38" s="19"/>
      <x:c r="G38" s="18"/>
      <x:c r="H38" s="18"/>
      <x:c r="I38" s="27"/>
      <x:c r="J38" s="27"/>
      <x:c r="K38" s="27"/>
      <x:c r="L38" s="18"/>
      <x:c r="M38" s="18"/>
      <x:c r="N38" s="18" t="str">
        <x:f>IF(A38="","",IF(OR(I38="",K38=""),"",IF(I38&gt;K38,"Oui","Non")))</x:f>
      </x:c>
      <x:c r="O38" s="18" t="str">
        <x:f>IF(A38="","",IF(OR(I38="",K38="",M38="D - Faible"),"Donnees manquantes",IF(N38="Oui","Depassement","OK")))</x:f>
      </x:c>
      <x:c r="P38" s="18"/>
    </x:row>
    <x:row r="39">
      <x:c r="A39" s="18"/>
      <x:c r="B39" s="18"/>
      <x:c r="C39" s="18"/>
      <x:c r="D39" s="26"/>
      <x:c r="E39" s="26"/>
      <x:c r="F39" s="19"/>
      <x:c r="G39" s="18"/>
      <x:c r="H39" s="18"/>
      <x:c r="I39" s="27"/>
      <x:c r="J39" s="27"/>
      <x:c r="K39" s="27"/>
      <x:c r="L39" s="18"/>
      <x:c r="M39" s="18"/>
      <x:c r="N39" s="18" t="str">
        <x:f>IF(A39="","",IF(OR(I39="",K39=""),"",IF(I39&gt;K39,"Oui","Non")))</x:f>
      </x:c>
      <x:c r="O39" s="18" t="str">
        <x:f>IF(A39="","",IF(OR(I39="",K39="",M39="D - Faible"),"Donnees manquantes",IF(N39="Oui","Depassement","OK")))</x:f>
      </x:c>
      <x:c r="P39" s="18"/>
    </x:row>
    <x:row r="40">
      <x:c r="A40" s="18"/>
      <x:c r="B40" s="18"/>
      <x:c r="C40" s="18"/>
      <x:c r="D40" s="26"/>
      <x:c r="E40" s="26"/>
      <x:c r="F40" s="19"/>
      <x:c r="G40" s="18"/>
      <x:c r="H40" s="18"/>
      <x:c r="I40" s="27"/>
      <x:c r="J40" s="27"/>
      <x:c r="K40" s="27"/>
      <x:c r="L40" s="18"/>
      <x:c r="M40" s="18"/>
      <x:c r="N40" s="18" t="str">
        <x:f>IF(A40="","",IF(OR(I40="",K40=""),"",IF(I40&gt;K40,"Oui","Non")))</x:f>
      </x:c>
      <x:c r="O40" s="18" t="str">
        <x:f>IF(A40="","",IF(OR(I40="",K40="",M40="D - Faible"),"Donnees manquantes",IF(N40="Oui","Depassement","OK")))</x:f>
      </x:c>
      <x:c r="P40" s="18"/>
    </x:row>
    <x:row r="41">
      <x:c r="A41" s="18"/>
      <x:c r="B41" s="18"/>
      <x:c r="C41" s="18"/>
      <x:c r="D41" s="26"/>
      <x:c r="E41" s="26"/>
      <x:c r="F41" s="19"/>
      <x:c r="G41" s="18"/>
      <x:c r="H41" s="18"/>
      <x:c r="I41" s="27"/>
      <x:c r="J41" s="27"/>
      <x:c r="K41" s="27"/>
      <x:c r="L41" s="18"/>
      <x:c r="M41" s="18"/>
      <x:c r="N41" s="18" t="str">
        <x:f>IF(A41="","",IF(OR(I41="",K41=""),"",IF(I41&gt;K41,"Oui","Non")))</x:f>
      </x:c>
      <x:c r="O41" s="18" t="str">
        <x:f>IF(A41="","",IF(OR(I41="",K41="",M41="D - Faible"),"Donnees manquantes",IF(N41="Oui","Depassement","OK")))</x:f>
      </x:c>
      <x:c r="P41" s="18"/>
    </x:row>
    <x:row r="42">
      <x:c r="A42" s="18"/>
      <x:c r="B42" s="18"/>
      <x:c r="C42" s="18"/>
      <x:c r="D42" s="26"/>
      <x:c r="E42" s="26"/>
      <x:c r="F42" s="19"/>
      <x:c r="G42" s="18"/>
      <x:c r="H42" s="18"/>
      <x:c r="I42" s="27"/>
      <x:c r="J42" s="27"/>
      <x:c r="K42" s="27"/>
      <x:c r="L42" s="18"/>
      <x:c r="M42" s="18"/>
      <x:c r="N42" s="18" t="str">
        <x:f>IF(A42="","",IF(OR(I42="",K42=""),"",IF(I42&gt;K42,"Oui","Non")))</x:f>
      </x:c>
      <x:c r="O42" s="18" t="str">
        <x:f>IF(A42="","",IF(OR(I42="",K42="",M42="D - Faible"),"Donnees manquantes",IF(N42="Oui","Depassement","OK")))</x:f>
      </x:c>
      <x:c r="P42" s="18"/>
    </x:row>
    <x:row r="43">
      <x:c r="A43" s="18"/>
      <x:c r="B43" s="18"/>
      <x:c r="C43" s="18"/>
      <x:c r="D43" s="26"/>
      <x:c r="E43" s="26"/>
      <x:c r="F43" s="19"/>
      <x:c r="G43" s="18"/>
      <x:c r="H43" s="18"/>
      <x:c r="I43" s="27"/>
      <x:c r="J43" s="27"/>
      <x:c r="K43" s="27"/>
      <x:c r="L43" s="18"/>
      <x:c r="M43" s="18"/>
      <x:c r="N43" s="18" t="str">
        <x:f>IF(A43="","",IF(OR(I43="",K43=""),"",IF(I43&gt;K43,"Oui","Non")))</x:f>
      </x:c>
      <x:c r="O43" s="18" t="str">
        <x:f>IF(A43="","",IF(OR(I43="",K43="",M43="D - Faible"),"Donnees manquantes",IF(N43="Oui","Depassement","OK")))</x:f>
      </x:c>
      <x:c r="P43" s="18"/>
    </x:row>
    <x:row r="44">
      <x:c r="A44" s="18"/>
      <x:c r="B44" s="18"/>
      <x:c r="C44" s="18"/>
      <x:c r="D44" s="26"/>
      <x:c r="E44" s="26"/>
      <x:c r="F44" s="19"/>
      <x:c r="G44" s="18"/>
      <x:c r="H44" s="18"/>
      <x:c r="I44" s="27"/>
      <x:c r="J44" s="27"/>
      <x:c r="K44" s="27"/>
      <x:c r="L44" s="18"/>
      <x:c r="M44" s="18"/>
      <x:c r="N44" s="18" t="str">
        <x:f>IF(A44="","",IF(OR(I44="",K44=""),"",IF(I44&gt;K44,"Oui","Non")))</x:f>
      </x:c>
      <x:c r="O44" s="18" t="str">
        <x:f>IF(A44="","",IF(OR(I44="",K44="",M44="D - Faible"),"Donnees manquantes",IF(N44="Oui","Depassement","OK")))</x:f>
      </x:c>
      <x:c r="P44" s="18"/>
    </x:row>
  </x:sheetData>
  <x:mergeCells>
    <x:mergeCell ref="A1:J1"/>
    <x:mergeCell ref="A2:J2"/>
  </x:mergeCells>
  <x:conditionalFormatting sqref="O5:O44">
    <x:cfRule type="containsText" dxfId="36" priority="1" operator="containsText" text="Retard"/>
    <x:cfRule type="containsText" dxfId="37" priority="2" operator="containsText" text="critique"/>
    <x:cfRule type="containsText" dxfId="38" priority="3" operator="containsText" text="manquant"/>
    <x:cfRule type="containsText" dxfId="39"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C5:C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44">
      <x:formula1>"PM2.5,PM10,NO2,SO2,O3,CO"</x:formula1>
    </x:dataValidation>
    <x:dataValidation type="list" errorStyle="warning" showInputMessage="1" showErrorMessage="1" errorTitle="Valeur inattendue" error="Cette colonne utilise une liste controlee." promptTitle="Liste controlee" prompt="Choisir une valeur dans la liste." sqref="M5:M44">
      <x:formula1>"A - Verifiee,B - Bonne,C - Estimee,D - Faible,A confirmer"</x:formula1>
    </x:dataValidation>
  </x:dataValidations>
  <x:pageMargins left="0.7" right="0.7" top="0.75" bottom="0.75" header="0.3" footer="0.3"/>
  <x:tableParts count="1">
    <x:tablePart xmlns:r="http://schemas.openxmlformats.org/officeDocument/2006/relationships" r:id="R3844e3389ad04de4"/>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13.75" hidden="0" customWidth="1"/>
    <x:col min="4" max="4" width="20" hidden="0" customWidth="1"/>
    <x:col min="5" max="5" width="16.25" hidden="0" customWidth="1"/>
    <x:col min="6" max="6" width="12.5" hidden="0" customWidth="1"/>
    <x:col min="7" max="7" width="15" hidden="0" customWidth="1"/>
    <x:col min="8" max="8" width="15" hidden="0" customWidth="1"/>
    <x:col min="9" max="9" width="15" hidden="0" customWidth="1"/>
    <x:col min="10" max="10" width="15" hidden="0" customWidth="1"/>
    <x:col min="11" max="11" width="11.880000114440918" hidden="0" customWidth="1"/>
    <x:col min="12" max="12" width="16.25" hidden="0" customWidth="1"/>
    <x:col min="13" max="13" width="16.25" hidden="0" customWidth="1"/>
    <x:col min="14" max="14" width="14.380000114440918" hidden="0" customWidth="1"/>
    <x:col min="15" max="15" width="13.130000114440918" hidden="0" customWidth="1"/>
    <x:col min="16" max="16" width="16.25" hidden="0" customWidth="1"/>
    <x:col min="17" max="17" width="18.1299991607666" hidden="0" customWidth="1"/>
  </x:cols>
  <x:sheetData>
    <x:row r="1" ht="25.5" customHeight="1">
      <x:c r="A1" s="2" t="str">
        <x:v>Donnees mobilite</x:v>
      </x:c>
      <x:c r="B1" s="2"/>
      <x:c r="C1" s="2"/>
      <x:c r="D1" s="2"/>
      <x:c r="E1" s="2"/>
      <x:c r="F1" s="2"/>
      <x:c r="G1" s="2"/>
      <x:c r="H1" s="2"/>
      <x:c r="I1" s="2"/>
      <x:c r="J1" s="2"/>
    </x:row>
    <x:row r="2" ht="31.5" customHeight="1">
      <x:c r="A2" s="5" t="str">
        <x:v>Suivi des modes, consommations, parts modales et emissions transport.</x:v>
      </x:c>
      <x:c r="B2" s="5"/>
      <x:c r="C2" s="5"/>
      <x:c r="D2" s="5"/>
      <x:c r="E2" s="5"/>
      <x:c r="F2" s="5"/>
      <x:c r="G2" s="5"/>
      <x:c r="H2" s="5"/>
      <x:c r="I2" s="5"/>
      <x:c r="J2" s="5"/>
    </x:row>
    <x:row r="4" ht="28.5" customHeight="1">
      <x:c r="A4" s="16" t="str">
        <x:v>Mobilite_ID</x:v>
      </x:c>
      <x:c r="B4" s="16" t="str">
        <x:v>Annee</x:v>
      </x:c>
      <x:c r="C4" s="16" t="str">
        <x:v>Mode</x:v>
      </x:c>
      <x:c r="D4" s="16" t="str">
        <x:v>Segment</x:v>
      </x:c>
      <x:c r="E4" s="16" t="str">
        <x:v>Carburant_energie</x:v>
      </x:c>
      <x:c r="F4" s="16" t="str">
        <x:v>Vehicules</x:v>
      </x:c>
      <x:c r="G4" s="16" t="str">
        <x:v>Distance_km</x:v>
      </x:c>
      <x:c r="H4" s="16" t="str">
        <x:v>Passagers</x:v>
      </x:c>
      <x:c r="I4" s="16" t="str">
        <x:v>Voyages</x:v>
      </x:c>
      <x:c r="J4" s="16" t="str">
        <x:v>Consommation</x:v>
      </x:c>
      <x:c r="K4" s="16" t="str">
        <x:v>Unite_conso</x:v>
      </x:c>
      <x:c r="L4" s="16" t="str">
        <x:v>Facteur_ID</x:v>
      </x:c>
      <x:c r="M4" s="16" t="str">
        <x:v>Emissions_tCO2e</x:v>
      </x:c>
      <x:c r="N4" s="16" t="str">
        <x:v>Part_modale_pct</x:v>
      </x:c>
      <x:c r="O4" s="16" t="str">
        <x:v>Source_ID</x:v>
      </x:c>
      <x:c r="P4" s="16" t="str">
        <x:v>Qualite</x:v>
      </x:c>
      <x:c r="Q4" s="16" t="str">
        <x:v>Alerte_donnees</x:v>
      </x:c>
    </x:row>
    <x:row r="5">
      <x:c r="A5" s="18" t="str">
        <x:v>MOB-001</x:v>
      </x:c>
      <x:c r="B5" s="18" t="n">
        <x:v>2025</x:v>
      </x:c>
      <x:c r="C5" s="18" t="str">
        <x:v>Bus</x:v>
      </x:c>
      <x:c r="D5" s="18" t="str">
        <x:v>Transport collectif</x:v>
      </x:c>
      <x:c r="E5" s="18" t="str">
        <x:v>Diesel</x:v>
      </x:c>
      <x:c r="F5" s="18" t="n">
        <x:v>420</x:v>
      </x:c>
      <x:c r="G5" s="22" t="n">
        <x:v>18500000</x:v>
      </x:c>
      <x:c r="H5" s="22" t="n">
        <x:v>72000000</x:v>
      </x:c>
      <x:c r="I5" s="22" t="n">
        <x:v>9800000</x:v>
      </x:c>
      <x:c r="J5" s="22" t="n">
        <x:v>6500000</x:v>
      </x:c>
      <x:c r="K5" s="18" t="str">
        <x:v>litres</x:v>
      </x:c>
      <x:c r="L5" s="18" t="str">
        <x:v>FE-DIESEL-001</x:v>
      </x:c>
      <x:c r="M5" s="28" t="n">
        <x:f>IF(A5="","",IFERROR(J5*SWITCH(L5,"FE-DIESEL-001",0.00268,"FE-GASOLINE-001",0.00231,"FE-EL-SN-001",0.00055,0)*SWITCH(L5,"FE-WASTE-CH4-001",28,1),0))</x:f>
        <x:v>0</x:v>
      </x:c>
      <x:c r="N5" s="20" t="n">
        <x:v>0.18</x:v>
      </x:c>
      <x:c r="O5" s="18" t="str">
        <x:v>SRC-004</x:v>
      </x:c>
      <x:c r="P5" s="18" t="str">
        <x:v>B - Bonne</x:v>
      </x:c>
      <x:c r="Q5" s="18" t="str">
        <x:f>IF(A5="","",IF(OR(B5="",C5="",O5="",P5="D - Faible"),"Donnees manquantes","OK"))</x:f>
        <x:v>OK</x:v>
      </x:c>
    </x:row>
    <x:row r="6">
      <x:c r="A6" s="18" t="str">
        <x:v>MOB-002</x:v>
      </x:c>
      <x:c r="B6" s="18" t="n">
        <x:v>2025</x:v>
      </x:c>
      <x:c r="C6" s="18" t="str">
        <x:v>Taxis</x:v>
      </x:c>
      <x:c r="D6" s="18" t="str">
        <x:v>Transport routier</x:v>
      </x:c>
      <x:c r="E6" s="18" t="str">
        <x:v>Essence</x:v>
      </x:c>
      <x:c r="F6" s="18" t="n">
        <x:v>10500</x:v>
      </x:c>
      <x:c r="G6" s="22" t="n">
        <x:v>145000000</x:v>
      </x:c>
      <x:c r="H6" s="22" t="n">
        <x:v>120000000</x:v>
      </x:c>
      <x:c r="I6" s="22" t="n">
        <x:v>45000000</x:v>
      </x:c>
      <x:c r="J6" s="22" t="n">
        <x:v>18000000</x:v>
      </x:c>
      <x:c r="K6" s="18" t="str">
        <x:v>litres</x:v>
      </x:c>
      <x:c r="L6" s="18" t="str">
        <x:v>FE-GASOLINE-001</x:v>
      </x:c>
      <x:c r="M6" s="28" t="n">
        <x:f>IF(A6="","",IFERROR(J6*SWITCH(L6,"FE-DIESEL-001",0.00268,"FE-GASOLINE-001",0.00231,"FE-EL-SN-001",0.00055,0)*SWITCH(L6,"FE-WASTE-CH4-001",28,1),0))</x:f>
        <x:v>0</x:v>
      </x:c>
      <x:c r="N6" s="20" t="n">
        <x:v>0.22</x:v>
      </x:c>
      <x:c r="O6" s="18" t="str">
        <x:v>SRC-004</x:v>
      </x:c>
      <x:c r="P6" s="18" t="str">
        <x:v>C - Estimee</x:v>
      </x:c>
      <x:c r="Q6" s="18" t="str">
        <x:f>IF(A6="","",IF(OR(B6="",C6="",O6="",P6="D - Faible"),"Donnees manquantes","OK"))</x:f>
        <x:v>OK</x:v>
      </x:c>
    </x:row>
    <x:row r="7">
      <x:c r="A7" s="18" t="str">
        <x:v>MOB-003</x:v>
      </x:c>
      <x:c r="B7" s="18" t="n">
        <x:v>2025</x:v>
      </x:c>
      <x:c r="C7" s="18" t="str">
        <x:v>Marche</x:v>
      </x:c>
      <x:c r="D7" s="18" t="str">
        <x:v>Mobilite active</x:v>
      </x:c>
      <x:c r="E7" s="18" t="str">
        <x:v>Aucun</x:v>
      </x:c>
      <x:c r="F7" s="18"/>
      <x:c r="G7" s="22"/>
      <x:c r="H7" s="22" t="n">
        <x:v>210000000</x:v>
      </x:c>
      <x:c r="I7" s="22" t="n">
        <x:v>210000000</x:v>
      </x:c>
      <x:c r="J7" s="22" t="n">
        <x:v>0</x:v>
      </x:c>
      <x:c r="K7" s="18" t="str">
        <x:v>NA</x:v>
      </x:c>
      <x:c r="L7" s="18" t="str"/>
      <x:c r="M7" s="28" t="n">
        <x:f>IF(A7="","",IFERROR(J7*SWITCH(L7,"FE-DIESEL-001",0.00268,"FE-GASOLINE-001",0.00231,"FE-EL-SN-001",0.00055,0)*SWITCH(L7,"FE-WASTE-CH4-001",28,1),0))</x:f>
        <x:v>0</x:v>
      </x:c>
      <x:c r="N7" s="20" t="n">
        <x:v>0.35</x:v>
      </x:c>
      <x:c r="O7" s="18" t="str">
        <x:v>SRC-004</x:v>
      </x:c>
      <x:c r="P7" s="18" t="str">
        <x:v>C - Estimee</x:v>
      </x:c>
      <x:c r="Q7" s="18" t="str">
        <x:f>IF(A7="","",IF(OR(B7="",C7="",O7="",P7="D - Faible"),"Donnees manquantes","OK"))</x:f>
        <x:v>OK</x:v>
      </x:c>
    </x:row>
    <x:row r="8">
      <x:c r="A8" s="18"/>
      <x:c r="B8" s="18"/>
      <x:c r="C8" s="18"/>
      <x:c r="D8" s="18"/>
      <x:c r="E8" s="18"/>
      <x:c r="F8" s="18"/>
      <x:c r="G8" s="22"/>
      <x:c r="H8" s="22"/>
      <x:c r="I8" s="22"/>
      <x:c r="J8" s="22"/>
      <x:c r="K8" s="18"/>
      <x:c r="L8" s="18"/>
      <x:c r="M8" s="28" t="str">
        <x:f>IF(A8="","",IFERROR(J8*SWITCH(L8,"FE-DIESEL-001",0.00268,"FE-GASOLINE-001",0.00231,"FE-EL-SN-001",0.00055,0)*SWITCH(L8,"FE-WASTE-CH4-001",28,1),0))</x:f>
      </x:c>
      <x:c r="N8" s="20"/>
      <x:c r="O8" s="18"/>
      <x:c r="P8" s="18"/>
      <x:c r="Q8" s="18" t="str">
        <x:f>IF(A8="","",IF(OR(B8="",C8="",O8="",P8="D - Faible"),"Donnees manquantes","OK"))</x:f>
      </x:c>
    </x:row>
    <x:row r="9">
      <x:c r="A9" s="18"/>
      <x:c r="B9" s="18"/>
      <x:c r="C9" s="18"/>
      <x:c r="D9" s="18"/>
      <x:c r="E9" s="18"/>
      <x:c r="F9" s="18"/>
      <x:c r="G9" s="22"/>
      <x:c r="H9" s="22"/>
      <x:c r="I9" s="22"/>
      <x:c r="J9" s="22"/>
      <x:c r="K9" s="18"/>
      <x:c r="L9" s="18"/>
      <x:c r="M9" s="28" t="str">
        <x:f>IF(A9="","",IFERROR(J9*SWITCH(L9,"FE-DIESEL-001",0.00268,"FE-GASOLINE-001",0.00231,"FE-EL-SN-001",0.00055,0)*SWITCH(L9,"FE-WASTE-CH4-001",28,1),0))</x:f>
      </x:c>
      <x:c r="N9" s="20"/>
      <x:c r="O9" s="18"/>
      <x:c r="P9" s="18"/>
      <x:c r="Q9" s="18" t="str">
        <x:f>IF(A9="","",IF(OR(B9="",C9="",O9="",P9="D - Faible"),"Donnees manquantes","OK"))</x:f>
      </x:c>
    </x:row>
    <x:row r="10">
      <x:c r="A10" s="18"/>
      <x:c r="B10" s="18"/>
      <x:c r="C10" s="18"/>
      <x:c r="D10" s="18"/>
      <x:c r="E10" s="18"/>
      <x:c r="F10" s="18"/>
      <x:c r="G10" s="22"/>
      <x:c r="H10" s="22"/>
      <x:c r="I10" s="22"/>
      <x:c r="J10" s="22"/>
      <x:c r="K10" s="18"/>
      <x:c r="L10" s="18"/>
      <x:c r="M10" s="28" t="str">
        <x:f>IF(A10="","",IFERROR(J10*SWITCH(L10,"FE-DIESEL-001",0.00268,"FE-GASOLINE-001",0.00231,"FE-EL-SN-001",0.00055,0)*SWITCH(L10,"FE-WASTE-CH4-001",28,1),0))</x:f>
      </x:c>
      <x:c r="N10" s="20"/>
      <x:c r="O10" s="18"/>
      <x:c r="P10" s="18"/>
      <x:c r="Q10" s="18" t="str">
        <x:f>IF(A10="","",IF(OR(B10="",C10="",O10="",P10="D - Faible"),"Donnees manquantes","OK"))</x:f>
      </x:c>
    </x:row>
    <x:row r="11">
      <x:c r="A11" s="18"/>
      <x:c r="B11" s="18"/>
      <x:c r="C11" s="18"/>
      <x:c r="D11" s="18"/>
      <x:c r="E11" s="18"/>
      <x:c r="F11" s="18"/>
      <x:c r="G11" s="22"/>
      <x:c r="H11" s="22"/>
      <x:c r="I11" s="22"/>
      <x:c r="J11" s="22"/>
      <x:c r="K11" s="18"/>
      <x:c r="L11" s="18"/>
      <x:c r="M11" s="28" t="str">
        <x:f>IF(A11="","",IFERROR(J11*SWITCH(L11,"FE-DIESEL-001",0.00268,"FE-GASOLINE-001",0.00231,"FE-EL-SN-001",0.00055,0)*SWITCH(L11,"FE-WASTE-CH4-001",28,1),0))</x:f>
      </x:c>
      <x:c r="N11" s="20"/>
      <x:c r="O11" s="18"/>
      <x:c r="P11" s="18"/>
      <x:c r="Q11" s="18" t="str">
        <x:f>IF(A11="","",IF(OR(B11="",C11="",O11="",P11="D - Faible"),"Donnees manquantes","OK"))</x:f>
      </x:c>
    </x:row>
    <x:row r="12">
      <x:c r="A12" s="18"/>
      <x:c r="B12" s="18"/>
      <x:c r="C12" s="18"/>
      <x:c r="D12" s="18"/>
      <x:c r="E12" s="18"/>
      <x:c r="F12" s="18"/>
      <x:c r="G12" s="22"/>
      <x:c r="H12" s="22"/>
      <x:c r="I12" s="22"/>
      <x:c r="J12" s="22"/>
      <x:c r="K12" s="18"/>
      <x:c r="L12" s="18"/>
      <x:c r="M12" s="28" t="str">
        <x:f>IF(A12="","",IFERROR(J12*SWITCH(L12,"FE-DIESEL-001",0.00268,"FE-GASOLINE-001",0.00231,"FE-EL-SN-001",0.00055,0)*SWITCH(L12,"FE-WASTE-CH4-001",28,1),0))</x:f>
      </x:c>
      <x:c r="N12" s="20"/>
      <x:c r="O12" s="18"/>
      <x:c r="P12" s="18"/>
      <x:c r="Q12" s="18" t="str">
        <x:f>IF(A12="","",IF(OR(B12="",C12="",O12="",P12="D - Faible"),"Donnees manquantes","OK"))</x:f>
      </x:c>
    </x:row>
    <x:row r="13">
      <x:c r="A13" s="18"/>
      <x:c r="B13" s="18"/>
      <x:c r="C13" s="18"/>
      <x:c r="D13" s="18"/>
      <x:c r="E13" s="18"/>
      <x:c r="F13" s="18"/>
      <x:c r="G13" s="22"/>
      <x:c r="H13" s="22"/>
      <x:c r="I13" s="22"/>
      <x:c r="J13" s="22"/>
      <x:c r="K13" s="18"/>
      <x:c r="L13" s="18"/>
      <x:c r="M13" s="28" t="str">
        <x:f>IF(A13="","",IFERROR(J13*SWITCH(L13,"FE-DIESEL-001",0.00268,"FE-GASOLINE-001",0.00231,"FE-EL-SN-001",0.00055,0)*SWITCH(L13,"FE-WASTE-CH4-001",28,1),0))</x:f>
      </x:c>
      <x:c r="N13" s="20"/>
      <x:c r="O13" s="18"/>
      <x:c r="P13" s="18"/>
      <x:c r="Q13" s="18" t="str">
        <x:f>IF(A13="","",IF(OR(B13="",C13="",O13="",P13="D - Faible"),"Donnees manquantes","OK"))</x:f>
      </x:c>
    </x:row>
    <x:row r="14">
      <x:c r="A14" s="18"/>
      <x:c r="B14" s="18"/>
      <x:c r="C14" s="18"/>
      <x:c r="D14" s="18"/>
      <x:c r="E14" s="18"/>
      <x:c r="F14" s="18"/>
      <x:c r="G14" s="22"/>
      <x:c r="H14" s="22"/>
      <x:c r="I14" s="22"/>
      <x:c r="J14" s="22"/>
      <x:c r="K14" s="18"/>
      <x:c r="L14" s="18"/>
      <x:c r="M14" s="28" t="str">
        <x:f>IF(A14="","",IFERROR(J14*SWITCH(L14,"FE-DIESEL-001",0.00268,"FE-GASOLINE-001",0.00231,"FE-EL-SN-001",0.00055,0)*SWITCH(L14,"FE-WASTE-CH4-001",28,1),0))</x:f>
      </x:c>
      <x:c r="N14" s="20"/>
      <x:c r="O14" s="18"/>
      <x:c r="P14" s="18"/>
      <x:c r="Q14" s="18" t="str">
        <x:f>IF(A14="","",IF(OR(B14="",C14="",O14="",P14="D - Faible"),"Donnees manquantes","OK"))</x:f>
      </x:c>
    </x:row>
    <x:row r="15">
      <x:c r="A15" s="18"/>
      <x:c r="B15" s="18"/>
      <x:c r="C15" s="18"/>
      <x:c r="D15" s="18"/>
      <x:c r="E15" s="18"/>
      <x:c r="F15" s="18"/>
      <x:c r="G15" s="22"/>
      <x:c r="H15" s="22"/>
      <x:c r="I15" s="22"/>
      <x:c r="J15" s="22"/>
      <x:c r="K15" s="18"/>
      <x:c r="L15" s="18"/>
      <x:c r="M15" s="28" t="str">
        <x:f>IF(A15="","",IFERROR(J15*SWITCH(L15,"FE-DIESEL-001",0.00268,"FE-GASOLINE-001",0.00231,"FE-EL-SN-001",0.00055,0)*SWITCH(L15,"FE-WASTE-CH4-001",28,1),0))</x:f>
      </x:c>
      <x:c r="N15" s="20"/>
      <x:c r="O15" s="18"/>
      <x:c r="P15" s="18"/>
      <x:c r="Q15" s="18" t="str">
        <x:f>IF(A15="","",IF(OR(B15="",C15="",O15="",P15="D - Faible"),"Donnees manquantes","OK"))</x:f>
      </x:c>
    </x:row>
    <x:row r="16">
      <x:c r="A16" s="18"/>
      <x:c r="B16" s="18"/>
      <x:c r="C16" s="18"/>
      <x:c r="D16" s="18"/>
      <x:c r="E16" s="18"/>
      <x:c r="F16" s="18"/>
      <x:c r="G16" s="22"/>
      <x:c r="H16" s="22"/>
      <x:c r="I16" s="22"/>
      <x:c r="J16" s="22"/>
      <x:c r="K16" s="18"/>
      <x:c r="L16" s="18"/>
      <x:c r="M16" s="28" t="str">
        <x:f>IF(A16="","",IFERROR(J16*SWITCH(L16,"FE-DIESEL-001",0.00268,"FE-GASOLINE-001",0.00231,"FE-EL-SN-001",0.00055,0)*SWITCH(L16,"FE-WASTE-CH4-001",28,1),0))</x:f>
      </x:c>
      <x:c r="N16" s="20"/>
      <x:c r="O16" s="18"/>
      <x:c r="P16" s="18"/>
      <x:c r="Q16" s="18" t="str">
        <x:f>IF(A16="","",IF(OR(B16="",C16="",O16="",P16="D - Faible"),"Donnees manquantes","OK"))</x:f>
      </x:c>
    </x:row>
    <x:row r="17">
      <x:c r="A17" s="18"/>
      <x:c r="B17" s="18"/>
      <x:c r="C17" s="18"/>
      <x:c r="D17" s="18"/>
      <x:c r="E17" s="18"/>
      <x:c r="F17" s="18"/>
      <x:c r="G17" s="22"/>
      <x:c r="H17" s="22"/>
      <x:c r="I17" s="22"/>
      <x:c r="J17" s="22"/>
      <x:c r="K17" s="18"/>
      <x:c r="L17" s="18"/>
      <x:c r="M17" s="28" t="str">
        <x:f>IF(A17="","",IFERROR(J17*SWITCH(L17,"FE-DIESEL-001",0.00268,"FE-GASOLINE-001",0.00231,"FE-EL-SN-001",0.00055,0)*SWITCH(L17,"FE-WASTE-CH4-001",28,1),0))</x:f>
      </x:c>
      <x:c r="N17" s="20"/>
      <x:c r="O17" s="18"/>
      <x:c r="P17" s="18"/>
      <x:c r="Q17" s="18" t="str">
        <x:f>IF(A17="","",IF(OR(B17="",C17="",O17="",P17="D - Faible"),"Donnees manquantes","OK"))</x:f>
      </x:c>
    </x:row>
    <x:row r="18">
      <x:c r="A18" s="18"/>
      <x:c r="B18" s="18"/>
      <x:c r="C18" s="18"/>
      <x:c r="D18" s="18"/>
      <x:c r="E18" s="18"/>
      <x:c r="F18" s="18"/>
      <x:c r="G18" s="22"/>
      <x:c r="H18" s="22"/>
      <x:c r="I18" s="22"/>
      <x:c r="J18" s="22"/>
      <x:c r="K18" s="18"/>
      <x:c r="L18" s="18"/>
      <x:c r="M18" s="28" t="str">
        <x:f>IF(A18="","",IFERROR(J18*SWITCH(L18,"FE-DIESEL-001",0.00268,"FE-GASOLINE-001",0.00231,"FE-EL-SN-001",0.00055,0)*SWITCH(L18,"FE-WASTE-CH4-001",28,1),0))</x:f>
      </x:c>
      <x:c r="N18" s="20"/>
      <x:c r="O18" s="18"/>
      <x:c r="P18" s="18"/>
      <x:c r="Q18" s="18" t="str">
        <x:f>IF(A18="","",IF(OR(B18="",C18="",O18="",P18="D - Faible"),"Donnees manquantes","OK"))</x:f>
      </x:c>
    </x:row>
    <x:row r="19">
      <x:c r="A19" s="18"/>
      <x:c r="B19" s="18"/>
      <x:c r="C19" s="18"/>
      <x:c r="D19" s="18"/>
      <x:c r="E19" s="18"/>
      <x:c r="F19" s="18"/>
      <x:c r="G19" s="22"/>
      <x:c r="H19" s="22"/>
      <x:c r="I19" s="22"/>
      <x:c r="J19" s="22"/>
      <x:c r="K19" s="18"/>
      <x:c r="L19" s="18"/>
      <x:c r="M19" s="28" t="str">
        <x:f>IF(A19="","",IFERROR(J19*SWITCH(L19,"FE-DIESEL-001",0.00268,"FE-GASOLINE-001",0.00231,"FE-EL-SN-001",0.00055,0)*SWITCH(L19,"FE-WASTE-CH4-001",28,1),0))</x:f>
      </x:c>
      <x:c r="N19" s="20"/>
      <x:c r="O19" s="18"/>
      <x:c r="P19" s="18"/>
      <x:c r="Q19" s="18" t="str">
        <x:f>IF(A19="","",IF(OR(B19="",C19="",O19="",P19="D - Faible"),"Donnees manquantes","OK"))</x:f>
      </x:c>
    </x:row>
    <x:row r="20">
      <x:c r="A20" s="18"/>
      <x:c r="B20" s="18"/>
      <x:c r="C20" s="18"/>
      <x:c r="D20" s="18"/>
      <x:c r="E20" s="18"/>
      <x:c r="F20" s="18"/>
      <x:c r="G20" s="22"/>
      <x:c r="H20" s="22"/>
      <x:c r="I20" s="22"/>
      <x:c r="J20" s="22"/>
      <x:c r="K20" s="18"/>
      <x:c r="L20" s="18"/>
      <x:c r="M20" s="28" t="str">
        <x:f>IF(A20="","",IFERROR(J20*SWITCH(L20,"FE-DIESEL-001",0.00268,"FE-GASOLINE-001",0.00231,"FE-EL-SN-001",0.00055,0)*SWITCH(L20,"FE-WASTE-CH4-001",28,1),0))</x:f>
      </x:c>
      <x:c r="N20" s="20"/>
      <x:c r="O20" s="18"/>
      <x:c r="P20" s="18"/>
      <x:c r="Q20" s="18" t="str">
        <x:f>IF(A20="","",IF(OR(B20="",C20="",O20="",P20="D - Faible"),"Donnees manquantes","OK"))</x:f>
      </x:c>
    </x:row>
    <x:row r="21">
      <x:c r="A21" s="18"/>
      <x:c r="B21" s="18"/>
      <x:c r="C21" s="18"/>
      <x:c r="D21" s="18"/>
      <x:c r="E21" s="18"/>
      <x:c r="F21" s="18"/>
      <x:c r="G21" s="22"/>
      <x:c r="H21" s="22"/>
      <x:c r="I21" s="22"/>
      <x:c r="J21" s="22"/>
      <x:c r="K21" s="18"/>
      <x:c r="L21" s="18"/>
      <x:c r="M21" s="28" t="str">
        <x:f>IF(A21="","",IFERROR(J21*SWITCH(L21,"FE-DIESEL-001",0.00268,"FE-GASOLINE-001",0.00231,"FE-EL-SN-001",0.00055,0)*SWITCH(L21,"FE-WASTE-CH4-001",28,1),0))</x:f>
      </x:c>
      <x:c r="N21" s="20"/>
      <x:c r="O21" s="18"/>
      <x:c r="P21" s="18"/>
      <x:c r="Q21" s="18" t="str">
        <x:f>IF(A21="","",IF(OR(B21="",C21="",O21="",P21="D - Faible"),"Donnees manquantes","OK"))</x:f>
      </x:c>
    </x:row>
    <x:row r="22">
      <x:c r="A22" s="18"/>
      <x:c r="B22" s="18"/>
      <x:c r="C22" s="18"/>
      <x:c r="D22" s="18"/>
      <x:c r="E22" s="18"/>
      <x:c r="F22" s="18"/>
      <x:c r="G22" s="22"/>
      <x:c r="H22" s="22"/>
      <x:c r="I22" s="22"/>
      <x:c r="J22" s="22"/>
      <x:c r="K22" s="18"/>
      <x:c r="L22" s="18"/>
      <x:c r="M22" s="28" t="str">
        <x:f>IF(A22="","",IFERROR(J22*SWITCH(L22,"FE-DIESEL-001",0.00268,"FE-GASOLINE-001",0.00231,"FE-EL-SN-001",0.00055,0)*SWITCH(L22,"FE-WASTE-CH4-001",28,1),0))</x:f>
      </x:c>
      <x:c r="N22" s="20"/>
      <x:c r="O22" s="18"/>
      <x:c r="P22" s="18"/>
      <x:c r="Q22" s="18" t="str">
        <x:f>IF(A22="","",IF(OR(B22="",C22="",O22="",P22="D - Faible"),"Donnees manquantes","OK"))</x:f>
      </x:c>
    </x:row>
    <x:row r="23">
      <x:c r="A23" s="18"/>
      <x:c r="B23" s="18"/>
      <x:c r="C23" s="18"/>
      <x:c r="D23" s="18"/>
      <x:c r="E23" s="18"/>
      <x:c r="F23" s="18"/>
      <x:c r="G23" s="22"/>
      <x:c r="H23" s="22"/>
      <x:c r="I23" s="22"/>
      <x:c r="J23" s="22"/>
      <x:c r="K23" s="18"/>
      <x:c r="L23" s="18"/>
      <x:c r="M23" s="28" t="str">
        <x:f>IF(A23="","",IFERROR(J23*SWITCH(L23,"FE-DIESEL-001",0.00268,"FE-GASOLINE-001",0.00231,"FE-EL-SN-001",0.00055,0)*SWITCH(L23,"FE-WASTE-CH4-001",28,1),0))</x:f>
      </x:c>
      <x:c r="N23" s="20"/>
      <x:c r="O23" s="18"/>
      <x:c r="P23" s="18"/>
      <x:c r="Q23" s="18" t="str">
        <x:f>IF(A23="","",IF(OR(B23="",C23="",O23="",P23="D - Faible"),"Donnees manquantes","OK"))</x:f>
      </x:c>
    </x:row>
    <x:row r="24">
      <x:c r="A24" s="18"/>
      <x:c r="B24" s="18"/>
      <x:c r="C24" s="18"/>
      <x:c r="D24" s="18"/>
      <x:c r="E24" s="18"/>
      <x:c r="F24" s="18"/>
      <x:c r="G24" s="22"/>
      <x:c r="H24" s="22"/>
      <x:c r="I24" s="22"/>
      <x:c r="J24" s="22"/>
      <x:c r="K24" s="18"/>
      <x:c r="L24" s="18"/>
      <x:c r="M24" s="28" t="str">
        <x:f>IF(A24="","",IFERROR(J24*SWITCH(L24,"FE-DIESEL-001",0.00268,"FE-GASOLINE-001",0.00231,"FE-EL-SN-001",0.00055,0)*SWITCH(L24,"FE-WASTE-CH4-001",28,1),0))</x:f>
      </x:c>
      <x:c r="N24" s="20"/>
      <x:c r="O24" s="18"/>
      <x:c r="P24" s="18"/>
      <x:c r="Q24" s="18" t="str">
        <x:f>IF(A24="","",IF(OR(B24="",C24="",O24="",P24="D - Faible"),"Donnees manquantes","OK"))</x:f>
      </x:c>
    </x:row>
    <x:row r="25">
      <x:c r="A25" s="18"/>
      <x:c r="B25" s="18"/>
      <x:c r="C25" s="18"/>
      <x:c r="D25" s="18"/>
      <x:c r="E25" s="18"/>
      <x:c r="F25" s="18"/>
      <x:c r="G25" s="22"/>
      <x:c r="H25" s="22"/>
      <x:c r="I25" s="22"/>
      <x:c r="J25" s="22"/>
      <x:c r="K25" s="18"/>
      <x:c r="L25" s="18"/>
      <x:c r="M25" s="28" t="str">
        <x:f>IF(A25="","",IFERROR(J25*SWITCH(L25,"FE-DIESEL-001",0.00268,"FE-GASOLINE-001",0.00231,"FE-EL-SN-001",0.00055,0)*SWITCH(L25,"FE-WASTE-CH4-001",28,1),0))</x:f>
      </x:c>
      <x:c r="N25" s="20"/>
      <x:c r="O25" s="18"/>
      <x:c r="P25" s="18"/>
      <x:c r="Q25" s="18" t="str">
        <x:f>IF(A25="","",IF(OR(B25="",C25="",O25="",P25="D - Faible"),"Donnees manquantes","OK"))</x:f>
      </x:c>
    </x:row>
    <x:row r="26">
      <x:c r="A26" s="18"/>
      <x:c r="B26" s="18"/>
      <x:c r="C26" s="18"/>
      <x:c r="D26" s="18"/>
      <x:c r="E26" s="18"/>
      <x:c r="F26" s="18"/>
      <x:c r="G26" s="22"/>
      <x:c r="H26" s="22"/>
      <x:c r="I26" s="22"/>
      <x:c r="J26" s="22"/>
      <x:c r="K26" s="18"/>
      <x:c r="L26" s="18"/>
      <x:c r="M26" s="28" t="str">
        <x:f>IF(A26="","",IFERROR(J26*SWITCH(L26,"FE-DIESEL-001",0.00268,"FE-GASOLINE-001",0.00231,"FE-EL-SN-001",0.00055,0)*SWITCH(L26,"FE-WASTE-CH4-001",28,1),0))</x:f>
      </x:c>
      <x:c r="N26" s="20"/>
      <x:c r="O26" s="18"/>
      <x:c r="P26" s="18"/>
      <x:c r="Q26" s="18" t="str">
        <x:f>IF(A26="","",IF(OR(B26="",C26="",O26="",P26="D - Faible"),"Donnees manquantes","OK"))</x:f>
      </x:c>
    </x:row>
    <x:row r="27">
      <x:c r="A27" s="18"/>
      <x:c r="B27" s="18"/>
      <x:c r="C27" s="18"/>
      <x:c r="D27" s="18"/>
      <x:c r="E27" s="18"/>
      <x:c r="F27" s="18"/>
      <x:c r="G27" s="22"/>
      <x:c r="H27" s="22"/>
      <x:c r="I27" s="22"/>
      <x:c r="J27" s="22"/>
      <x:c r="K27" s="18"/>
      <x:c r="L27" s="18"/>
      <x:c r="M27" s="28" t="str">
        <x:f>IF(A27="","",IFERROR(J27*SWITCH(L27,"FE-DIESEL-001",0.00268,"FE-GASOLINE-001",0.00231,"FE-EL-SN-001",0.00055,0)*SWITCH(L27,"FE-WASTE-CH4-001",28,1),0))</x:f>
      </x:c>
      <x:c r="N27" s="20"/>
      <x:c r="O27" s="18"/>
      <x:c r="P27" s="18"/>
      <x:c r="Q27" s="18" t="str">
        <x:f>IF(A27="","",IF(OR(B27="",C27="",O27="",P27="D - Faible"),"Donnees manquantes","OK"))</x:f>
      </x:c>
    </x:row>
    <x:row r="28">
      <x:c r="A28" s="18"/>
      <x:c r="B28" s="18"/>
      <x:c r="C28" s="18"/>
      <x:c r="D28" s="18"/>
      <x:c r="E28" s="18"/>
      <x:c r="F28" s="18"/>
      <x:c r="G28" s="22"/>
      <x:c r="H28" s="22"/>
      <x:c r="I28" s="22"/>
      <x:c r="J28" s="22"/>
      <x:c r="K28" s="18"/>
      <x:c r="L28" s="18"/>
      <x:c r="M28" s="28" t="str">
        <x:f>IF(A28="","",IFERROR(J28*SWITCH(L28,"FE-DIESEL-001",0.00268,"FE-GASOLINE-001",0.00231,"FE-EL-SN-001",0.00055,0)*SWITCH(L28,"FE-WASTE-CH4-001",28,1),0))</x:f>
      </x:c>
      <x:c r="N28" s="20"/>
      <x:c r="O28" s="18"/>
      <x:c r="P28" s="18"/>
      <x:c r="Q28" s="18" t="str">
        <x:f>IF(A28="","",IF(OR(B28="",C28="",O28="",P28="D - Faible"),"Donnees manquantes","OK"))</x:f>
      </x:c>
    </x:row>
    <x:row r="29">
      <x:c r="A29" s="18"/>
      <x:c r="B29" s="18"/>
      <x:c r="C29" s="18"/>
      <x:c r="D29" s="18"/>
      <x:c r="E29" s="18"/>
      <x:c r="F29" s="18"/>
      <x:c r="G29" s="22"/>
      <x:c r="H29" s="22"/>
      <x:c r="I29" s="22"/>
      <x:c r="J29" s="22"/>
      <x:c r="K29" s="18"/>
      <x:c r="L29" s="18"/>
      <x:c r="M29" s="28" t="str">
        <x:f>IF(A29="","",IFERROR(J29*SWITCH(L29,"FE-DIESEL-001",0.00268,"FE-GASOLINE-001",0.00231,"FE-EL-SN-001",0.00055,0)*SWITCH(L29,"FE-WASTE-CH4-001",28,1),0))</x:f>
      </x:c>
      <x:c r="N29" s="20"/>
      <x:c r="O29" s="18"/>
      <x:c r="P29" s="18"/>
      <x:c r="Q29" s="18" t="str">
        <x:f>IF(A29="","",IF(OR(B29="",C29="",O29="",P29="D - Faible"),"Donnees manquantes","OK"))</x:f>
      </x:c>
    </x:row>
    <x:row r="30">
      <x:c r="A30" s="18"/>
      <x:c r="B30" s="18"/>
      <x:c r="C30" s="18"/>
      <x:c r="D30" s="18"/>
      <x:c r="E30" s="18"/>
      <x:c r="F30" s="18"/>
      <x:c r="G30" s="22"/>
      <x:c r="H30" s="22"/>
      <x:c r="I30" s="22"/>
      <x:c r="J30" s="22"/>
      <x:c r="K30" s="18"/>
      <x:c r="L30" s="18"/>
      <x:c r="M30" s="28" t="str">
        <x:f>IF(A30="","",IFERROR(J30*SWITCH(L30,"FE-DIESEL-001",0.00268,"FE-GASOLINE-001",0.00231,"FE-EL-SN-001",0.00055,0)*SWITCH(L30,"FE-WASTE-CH4-001",28,1),0))</x:f>
      </x:c>
      <x:c r="N30" s="20"/>
      <x:c r="O30" s="18"/>
      <x:c r="P30" s="18"/>
      <x:c r="Q30" s="18" t="str">
        <x:f>IF(A30="","",IF(OR(B30="",C30="",O30="",P30="D - Faible"),"Donnees manquantes","OK"))</x:f>
      </x:c>
    </x:row>
    <x:row r="31">
      <x:c r="A31" s="18"/>
      <x:c r="B31" s="18"/>
      <x:c r="C31" s="18"/>
      <x:c r="D31" s="18"/>
      <x:c r="E31" s="18"/>
      <x:c r="F31" s="18"/>
      <x:c r="G31" s="22"/>
      <x:c r="H31" s="22"/>
      <x:c r="I31" s="22"/>
      <x:c r="J31" s="22"/>
      <x:c r="K31" s="18"/>
      <x:c r="L31" s="18"/>
      <x:c r="M31" s="28" t="str">
        <x:f>IF(A31="","",IFERROR(J31*SWITCH(L31,"FE-DIESEL-001",0.00268,"FE-GASOLINE-001",0.00231,"FE-EL-SN-001",0.00055,0)*SWITCH(L31,"FE-WASTE-CH4-001",28,1),0))</x:f>
      </x:c>
      <x:c r="N31" s="20"/>
      <x:c r="O31" s="18"/>
      <x:c r="P31" s="18"/>
      <x:c r="Q31" s="18" t="str">
        <x:f>IF(A31="","",IF(OR(B31="",C31="",O31="",P31="D - Faible"),"Donnees manquantes","OK"))</x:f>
      </x:c>
    </x:row>
    <x:row r="32">
      <x:c r="A32" s="18"/>
      <x:c r="B32" s="18"/>
      <x:c r="C32" s="18"/>
      <x:c r="D32" s="18"/>
      <x:c r="E32" s="18"/>
      <x:c r="F32" s="18"/>
      <x:c r="G32" s="22"/>
      <x:c r="H32" s="22"/>
      <x:c r="I32" s="22"/>
      <x:c r="J32" s="22"/>
      <x:c r="K32" s="18"/>
      <x:c r="L32" s="18"/>
      <x:c r="M32" s="28" t="str">
        <x:f>IF(A32="","",IFERROR(J32*SWITCH(L32,"FE-DIESEL-001",0.00268,"FE-GASOLINE-001",0.00231,"FE-EL-SN-001",0.00055,0)*SWITCH(L32,"FE-WASTE-CH4-001",28,1),0))</x:f>
      </x:c>
      <x:c r="N32" s="20"/>
      <x:c r="O32" s="18"/>
      <x:c r="P32" s="18"/>
      <x:c r="Q32" s="18" t="str">
        <x:f>IF(A32="","",IF(OR(B32="",C32="",O32="",P32="D - Faible"),"Donnees manquantes","OK"))</x:f>
      </x:c>
    </x:row>
    <x:row r="33">
      <x:c r="A33" s="18"/>
      <x:c r="B33" s="18"/>
      <x:c r="C33" s="18"/>
      <x:c r="D33" s="18"/>
      <x:c r="E33" s="18"/>
      <x:c r="F33" s="18"/>
      <x:c r="G33" s="22"/>
      <x:c r="H33" s="22"/>
      <x:c r="I33" s="22"/>
      <x:c r="J33" s="22"/>
      <x:c r="K33" s="18"/>
      <x:c r="L33" s="18"/>
      <x:c r="M33" s="28" t="str">
        <x:f>IF(A33="","",IFERROR(J33*SWITCH(L33,"FE-DIESEL-001",0.00268,"FE-GASOLINE-001",0.00231,"FE-EL-SN-001",0.00055,0)*SWITCH(L33,"FE-WASTE-CH4-001",28,1),0))</x:f>
      </x:c>
      <x:c r="N33" s="20"/>
      <x:c r="O33" s="18"/>
      <x:c r="P33" s="18"/>
      <x:c r="Q33" s="18" t="str">
        <x:f>IF(A33="","",IF(OR(B33="",C33="",O33="",P33="D - Faible"),"Donnees manquantes","OK"))</x:f>
      </x:c>
    </x:row>
    <x:row r="34">
      <x:c r="A34" s="18"/>
      <x:c r="B34" s="18"/>
      <x:c r="C34" s="18"/>
      <x:c r="D34" s="18"/>
      <x:c r="E34" s="18"/>
      <x:c r="F34" s="18"/>
      <x:c r="G34" s="22"/>
      <x:c r="H34" s="22"/>
      <x:c r="I34" s="22"/>
      <x:c r="J34" s="22"/>
      <x:c r="K34" s="18"/>
      <x:c r="L34" s="18"/>
      <x:c r="M34" s="28" t="str">
        <x:f>IF(A34="","",IFERROR(J34*SWITCH(L34,"FE-DIESEL-001",0.00268,"FE-GASOLINE-001",0.00231,"FE-EL-SN-001",0.00055,0)*SWITCH(L34,"FE-WASTE-CH4-001",28,1),0))</x:f>
      </x:c>
      <x:c r="N34" s="20"/>
      <x:c r="O34" s="18"/>
      <x:c r="P34" s="18"/>
      <x:c r="Q34" s="18" t="str">
        <x:f>IF(A34="","",IF(OR(B34="",C34="",O34="",P34="D - Faible"),"Donnees manquantes","OK"))</x:f>
      </x:c>
    </x:row>
    <x:row r="35">
      <x:c r="A35" s="18"/>
      <x:c r="B35" s="18"/>
      <x:c r="C35" s="18"/>
      <x:c r="D35" s="18"/>
      <x:c r="E35" s="18"/>
      <x:c r="F35" s="18"/>
      <x:c r="G35" s="22"/>
      <x:c r="H35" s="22"/>
      <x:c r="I35" s="22"/>
      <x:c r="J35" s="22"/>
      <x:c r="K35" s="18"/>
      <x:c r="L35" s="18"/>
      <x:c r="M35" s="28" t="str">
        <x:f>IF(A35="","",IFERROR(J35*SWITCH(L35,"FE-DIESEL-001",0.00268,"FE-GASOLINE-001",0.00231,"FE-EL-SN-001",0.00055,0)*SWITCH(L35,"FE-WASTE-CH4-001",28,1),0))</x:f>
      </x:c>
      <x:c r="N35" s="20"/>
      <x:c r="O35" s="18"/>
      <x:c r="P35" s="18"/>
      <x:c r="Q35" s="18" t="str">
        <x:f>IF(A35="","",IF(OR(B35="",C35="",O35="",P35="D - Faible"),"Donnees manquantes","OK"))</x:f>
      </x:c>
    </x:row>
    <x:row r="36">
      <x:c r="A36" s="18"/>
      <x:c r="B36" s="18"/>
      <x:c r="C36" s="18"/>
      <x:c r="D36" s="18"/>
      <x:c r="E36" s="18"/>
      <x:c r="F36" s="18"/>
      <x:c r="G36" s="22"/>
      <x:c r="H36" s="22"/>
      <x:c r="I36" s="22"/>
      <x:c r="J36" s="22"/>
      <x:c r="K36" s="18"/>
      <x:c r="L36" s="18"/>
      <x:c r="M36" s="28" t="str">
        <x:f>IF(A36="","",IFERROR(J36*SWITCH(L36,"FE-DIESEL-001",0.00268,"FE-GASOLINE-001",0.00231,"FE-EL-SN-001",0.00055,0)*SWITCH(L36,"FE-WASTE-CH4-001",28,1),0))</x:f>
      </x:c>
      <x:c r="N36" s="20"/>
      <x:c r="O36" s="18"/>
      <x:c r="P36" s="18"/>
      <x:c r="Q36" s="18" t="str">
        <x:f>IF(A36="","",IF(OR(B36="",C36="",O36="",P36="D - Faible"),"Donnees manquantes","OK"))</x:f>
      </x:c>
    </x:row>
    <x:row r="37">
      <x:c r="A37" s="18"/>
      <x:c r="B37" s="18"/>
      <x:c r="C37" s="18"/>
      <x:c r="D37" s="18"/>
      <x:c r="E37" s="18"/>
      <x:c r="F37" s="18"/>
      <x:c r="G37" s="22"/>
      <x:c r="H37" s="22"/>
      <x:c r="I37" s="22"/>
      <x:c r="J37" s="22"/>
      <x:c r="K37" s="18"/>
      <x:c r="L37" s="18"/>
      <x:c r="M37" s="28" t="str">
        <x:f>IF(A37="","",IFERROR(J37*SWITCH(L37,"FE-DIESEL-001",0.00268,"FE-GASOLINE-001",0.00231,"FE-EL-SN-001",0.00055,0)*SWITCH(L37,"FE-WASTE-CH4-001",28,1),0))</x:f>
      </x:c>
      <x:c r="N37" s="20"/>
      <x:c r="O37" s="18"/>
      <x:c r="P37" s="18"/>
      <x:c r="Q37" s="18" t="str">
        <x:f>IF(A37="","",IF(OR(B37="",C37="",O37="",P37="D - Faible"),"Donnees manquantes","OK"))</x:f>
      </x:c>
    </x:row>
    <x:row r="38">
      <x:c r="A38" s="18"/>
      <x:c r="B38" s="18"/>
      <x:c r="C38" s="18"/>
      <x:c r="D38" s="18"/>
      <x:c r="E38" s="18"/>
      <x:c r="F38" s="18"/>
      <x:c r="G38" s="22"/>
      <x:c r="H38" s="22"/>
      <x:c r="I38" s="22"/>
      <x:c r="J38" s="22"/>
      <x:c r="K38" s="18"/>
      <x:c r="L38" s="18"/>
      <x:c r="M38" s="28" t="str">
        <x:f>IF(A38="","",IFERROR(J38*SWITCH(L38,"FE-DIESEL-001",0.00268,"FE-GASOLINE-001",0.00231,"FE-EL-SN-001",0.00055,0)*SWITCH(L38,"FE-WASTE-CH4-001",28,1),0))</x:f>
      </x:c>
      <x:c r="N38" s="20"/>
      <x:c r="O38" s="18"/>
      <x:c r="P38" s="18"/>
      <x:c r="Q38" s="18" t="str">
        <x:f>IF(A38="","",IF(OR(B38="",C38="",O38="",P38="D - Faible"),"Donnees manquantes","OK"))</x:f>
      </x:c>
    </x:row>
    <x:row r="39">
      <x:c r="A39" s="18"/>
      <x:c r="B39" s="18"/>
      <x:c r="C39" s="18"/>
      <x:c r="D39" s="18"/>
      <x:c r="E39" s="18"/>
      <x:c r="F39" s="18"/>
      <x:c r="G39" s="22"/>
      <x:c r="H39" s="22"/>
      <x:c r="I39" s="22"/>
      <x:c r="J39" s="22"/>
      <x:c r="K39" s="18"/>
      <x:c r="L39" s="18"/>
      <x:c r="M39" s="28" t="str">
        <x:f>IF(A39="","",IFERROR(J39*SWITCH(L39,"FE-DIESEL-001",0.00268,"FE-GASOLINE-001",0.00231,"FE-EL-SN-001",0.00055,0)*SWITCH(L39,"FE-WASTE-CH4-001",28,1),0))</x:f>
      </x:c>
      <x:c r="N39" s="20"/>
      <x:c r="O39" s="18"/>
      <x:c r="P39" s="18"/>
      <x:c r="Q39" s="18" t="str">
        <x:f>IF(A39="","",IF(OR(B39="",C39="",O39="",P39="D - Faible"),"Donnees manquantes","OK"))</x:f>
      </x:c>
    </x:row>
    <x:row r="40">
      <x:c r="A40" s="18"/>
      <x:c r="B40" s="18"/>
      <x:c r="C40" s="18"/>
      <x:c r="D40" s="18"/>
      <x:c r="E40" s="18"/>
      <x:c r="F40" s="18"/>
      <x:c r="G40" s="22"/>
      <x:c r="H40" s="22"/>
      <x:c r="I40" s="22"/>
      <x:c r="J40" s="22"/>
      <x:c r="K40" s="18"/>
      <x:c r="L40" s="18"/>
      <x:c r="M40" s="28" t="str">
        <x:f>IF(A40="","",IFERROR(J40*SWITCH(L40,"FE-DIESEL-001",0.00268,"FE-GASOLINE-001",0.00231,"FE-EL-SN-001",0.00055,0)*SWITCH(L40,"FE-WASTE-CH4-001",28,1),0))</x:f>
      </x:c>
      <x:c r="N40" s="20"/>
      <x:c r="O40" s="18"/>
      <x:c r="P40" s="18"/>
      <x:c r="Q40" s="18" t="str">
        <x:f>IF(A40="","",IF(OR(B40="",C40="",O40="",P40="D - Faible"),"Donnees manquantes","OK"))</x:f>
      </x:c>
    </x:row>
    <x:row r="41">
      <x:c r="A41" s="18"/>
      <x:c r="B41" s="18"/>
      <x:c r="C41" s="18"/>
      <x:c r="D41" s="18"/>
      <x:c r="E41" s="18"/>
      <x:c r="F41" s="18"/>
      <x:c r="G41" s="22"/>
      <x:c r="H41" s="22"/>
      <x:c r="I41" s="22"/>
      <x:c r="J41" s="22"/>
      <x:c r="K41" s="18"/>
      <x:c r="L41" s="18"/>
      <x:c r="M41" s="28" t="str">
        <x:f>IF(A41="","",IFERROR(J41*SWITCH(L41,"FE-DIESEL-001",0.00268,"FE-GASOLINE-001",0.00231,"FE-EL-SN-001",0.00055,0)*SWITCH(L41,"FE-WASTE-CH4-001",28,1),0))</x:f>
      </x:c>
      <x:c r="N41" s="20"/>
      <x:c r="O41" s="18"/>
      <x:c r="P41" s="18"/>
      <x:c r="Q41" s="18" t="str">
        <x:f>IF(A41="","",IF(OR(B41="",C41="",O41="",P41="D - Faible"),"Donnees manquantes","OK"))</x:f>
      </x:c>
    </x:row>
    <x:row r="42">
      <x:c r="A42" s="18"/>
      <x:c r="B42" s="18"/>
      <x:c r="C42" s="18"/>
      <x:c r="D42" s="18"/>
      <x:c r="E42" s="18"/>
      <x:c r="F42" s="18"/>
      <x:c r="G42" s="22"/>
      <x:c r="H42" s="22"/>
      <x:c r="I42" s="22"/>
      <x:c r="J42" s="22"/>
      <x:c r="K42" s="18"/>
      <x:c r="L42" s="18"/>
      <x:c r="M42" s="28" t="str">
        <x:f>IF(A42="","",IFERROR(J42*SWITCH(L42,"FE-DIESEL-001",0.00268,"FE-GASOLINE-001",0.00231,"FE-EL-SN-001",0.00055,0)*SWITCH(L42,"FE-WASTE-CH4-001",28,1),0))</x:f>
      </x:c>
      <x:c r="N42" s="20"/>
      <x:c r="O42" s="18"/>
      <x:c r="P42" s="18"/>
      <x:c r="Q42" s="18" t="str">
        <x:f>IF(A42="","",IF(OR(B42="",C42="",O42="",P42="D - Faible"),"Donnees manquantes","OK"))</x:f>
      </x:c>
    </x:row>
    <x:row r="43">
      <x:c r="A43" s="18"/>
      <x:c r="B43" s="18"/>
      <x:c r="C43" s="18"/>
      <x:c r="D43" s="18"/>
      <x:c r="E43" s="18"/>
      <x:c r="F43" s="18"/>
      <x:c r="G43" s="22"/>
      <x:c r="H43" s="22"/>
      <x:c r="I43" s="22"/>
      <x:c r="J43" s="22"/>
      <x:c r="K43" s="18"/>
      <x:c r="L43" s="18"/>
      <x:c r="M43" s="28" t="str">
        <x:f>IF(A43="","",IFERROR(J43*SWITCH(L43,"FE-DIESEL-001",0.00268,"FE-GASOLINE-001",0.00231,"FE-EL-SN-001",0.00055,0)*SWITCH(L43,"FE-WASTE-CH4-001",28,1),0))</x:f>
      </x:c>
      <x:c r="N43" s="20"/>
      <x:c r="O43" s="18"/>
      <x:c r="P43" s="18"/>
      <x:c r="Q43" s="18" t="str">
        <x:f>IF(A43="","",IF(OR(B43="",C43="",O43="",P43="D - Faible"),"Donnees manquantes","OK"))</x:f>
      </x:c>
    </x:row>
    <x:row r="44">
      <x:c r="A44" s="18"/>
      <x:c r="B44" s="18"/>
      <x:c r="C44" s="18"/>
      <x:c r="D44" s="18"/>
      <x:c r="E44" s="18"/>
      <x:c r="F44" s="18"/>
      <x:c r="G44" s="22"/>
      <x:c r="H44" s="22"/>
      <x:c r="I44" s="22"/>
      <x:c r="J44" s="22"/>
      <x:c r="K44" s="18"/>
      <x:c r="L44" s="18"/>
      <x:c r="M44" s="28" t="str">
        <x:f>IF(A44="","",IFERROR(J44*SWITCH(L44,"FE-DIESEL-001",0.00268,"FE-GASOLINE-001",0.00231,"FE-EL-SN-001",0.00055,0)*SWITCH(L44,"FE-WASTE-CH4-001",28,1),0))</x:f>
      </x:c>
      <x:c r="N44" s="20"/>
      <x:c r="O44" s="18"/>
      <x:c r="P44" s="18"/>
      <x:c r="Q44" s="18" t="str">
        <x:f>IF(A44="","",IF(OR(B44="",C44="",O44="",P44="D - Faible"),"Donnees manquantes","OK"))</x:f>
      </x:c>
    </x:row>
  </x:sheetData>
  <x:mergeCells>
    <x:mergeCell ref="A1:J1"/>
    <x:mergeCell ref="A2:J2"/>
  </x:mergeCells>
  <x:conditionalFormatting sqref="Q5:Q44">
    <x:cfRule type="containsText" dxfId="40" priority="1" operator="containsText" text="Retard"/>
    <x:cfRule type="containsText" dxfId="41" priority="2" operator="containsText" text="critique"/>
    <x:cfRule type="containsText" dxfId="42" priority="3" operator="containsText" text="manquant"/>
    <x:cfRule type="containsText" dxfId="43"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"Bus,BRT,Taxis,Vehicules prives,Deux roues,Marche,Velo,Flotte municipale,Fret"</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b5c1635311c447cb"/>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3.75" hidden="0" customWidth="1"/>
    <x:col min="4" max="4" width="20.6299991607666" hidden="0" customWidth="1"/>
    <x:col min="5" max="5" width="16.25" hidden="0" customWidth="1"/>
    <x:col min="6" max="6" width="18.1299991607666" hidden="0" customWidth="1"/>
    <x:col min="7" max="7" width="15" hidden="0" customWidth="1"/>
    <x:col min="8" max="8" width="11.25" hidden="0" customWidth="1"/>
    <x:col min="9" max="9" width="16.25" hidden="0" customWidth="1"/>
    <x:col min="10" max="10" width="16.25" hidden="0" customWidth="1"/>
    <x:col min="11" max="11" width="16.25" hidden="0" customWidth="1"/>
    <x:col min="12" max="12" width="15" hidden="0" customWidth="1"/>
    <x:col min="13" max="13" width="21.25" hidden="0" customWidth="1"/>
    <x:col min="14" max="14" width="13.130000114440918" hidden="0" customWidth="1"/>
    <x:col min="15" max="15" width="16.25" hidden="0" customWidth="1"/>
    <x:col min="16" max="16" width="18.1299991607666" hidden="0" customWidth="1"/>
  </x:cols>
  <x:sheetData>
    <x:row r="1" ht="25.5" customHeight="1">
      <x:c r="A1" s="2" t="str">
        <x:v>Donnees energie</x:v>
      </x:c>
      <x:c r="B1" s="2"/>
      <x:c r="C1" s="2"/>
      <x:c r="D1" s="2"/>
      <x:c r="E1" s="2"/>
      <x:c r="F1" s="2"/>
      <x:c r="G1" s="2"/>
      <x:c r="H1" s="2"/>
      <x:c r="I1" s="2"/>
      <x:c r="J1" s="2"/>
    </x:row>
    <x:row r="2" ht="31.5" customHeight="1">
      <x:c r="A2" s="5" t="str">
        <x:v>Consommations energetiques municipales et territoriales, couts et emissions.</x:v>
      </x:c>
      <x:c r="B2" s="5"/>
      <x:c r="C2" s="5"/>
      <x:c r="D2" s="5"/>
      <x:c r="E2" s="5"/>
      <x:c r="F2" s="5"/>
      <x:c r="G2" s="5"/>
      <x:c r="H2" s="5"/>
      <x:c r="I2" s="5"/>
      <x:c r="J2" s="5"/>
    </x:row>
    <x:row r="4" ht="28.5" customHeight="1">
      <x:c r="A4" s="16" t="str">
        <x:v>Energie_ID</x:v>
      </x:c>
      <x:c r="B4" s="16" t="str">
        <x:v>Annee</x:v>
      </x:c>
      <x:c r="C4" s="16" t="str">
        <x:v>Site_zone</x:v>
      </x:c>
      <x:c r="D4" s="16" t="str">
        <x:v>Type_patrimoine</x:v>
      </x:c>
      <x:c r="E4" s="16" t="str">
        <x:v>Usage</x:v>
      </x:c>
      <x:c r="F4" s="16" t="str">
        <x:v>Source_energie</x:v>
      </x:c>
      <x:c r="G4" s="16" t="str">
        <x:v>Consommation</x:v>
      </x:c>
      <x:c r="H4" s="16" t="str">
        <x:v>Unite</x:v>
      </x:c>
      <x:c r="I4" s="16" t="str">
        <x:v>Cout_XOF</x:v>
      </x:c>
      <x:c r="J4" s="16" t="str">
        <x:v>Facteur_ID</x:v>
      </x:c>
      <x:c r="K4" s="16" t="str">
        <x:v>Emissions_tCO2e</x:v>
      </x:c>
      <x:c r="L4" s="16" t="str">
        <x:v>Part_renouvelable_pct</x:v>
      </x:c>
      <x:c r="M4" s="16" t="str">
        <x:v>Responsable</x:v>
      </x:c>
      <x:c r="N4" s="16" t="str">
        <x:v>Source_ID</x:v>
      </x:c>
      <x:c r="O4" s="16" t="str">
        <x:v>Qualite</x:v>
      </x:c>
      <x:c r="P4" s="16" t="str">
        <x:v>Alerte_donnees</x:v>
      </x:c>
    </x:row>
    <x:row r="5">
      <x:c r="A5" s="18" t="str">
        <x:v>ENE-001</x:v>
      </x:c>
      <x:c r="B5" s="18" t="n">
        <x:v>2025</x:v>
      </x:c>
      <x:c r="C5" s="18" t="str">
        <x:v>Hotel de Ville</x:v>
      </x:c>
      <x:c r="D5" s="18" t="str">
        <x:v>Batiment municipal</x:v>
      </x:c>
      <x:c r="E5" s="18" t="str">
        <x:v>Electricite</x:v>
      </x:c>
      <x:c r="F5" s="18" t="str">
        <x:v>Electricite reseau</x:v>
      </x:c>
      <x:c r="G5" s="24" t="n">
        <x:v>950000</x:v>
      </x:c>
      <x:c r="H5" s="18" t="str">
        <x:v>kWh</x:v>
      </x:c>
      <x:c r="I5" s="21" t="n">
        <x:v>165000000</x:v>
      </x:c>
      <x:c r="J5" s="18" t="str">
        <x:v>FE-EL-SN-001</x:v>
      </x:c>
      <x:c r="K5" s="28" t="n">
        <x:f>IF(A5="","",IFERROR(G5*SWITCH(J5,"FE-EL-SN-001",0.00055,"FE-LPG-001",0.00299,0)*SWITCH(J5,"FE-WASTE-CH4-001",28,1),0))</x:f>
        <x:v>0</x:v>
      </x:c>
      <x:c r="L5" s="20" t="n">
        <x:v>0.05</x:v>
      </x:c>
      <x:c r="M5" s="18" t="str">
        <x:v>Direction Energie</x:v>
      </x:c>
      <x:c r="N5" s="18" t="str">
        <x:v>SRC-001</x:v>
      </x:c>
      <x:c r="O5" s="18" t="str">
        <x:v>B - Bonne</x:v>
      </x:c>
      <x:c r="P5" s="18" t="str">
        <x:f>IF(A5="","",IF(OR(B5="",C5="",G5="",N5="",O5="D - Faible"),"Donnees manquantes","OK"))</x:f>
        <x:v>OK</x:v>
      </x:c>
    </x:row>
    <x:row r="6">
      <x:c r="A6" s="18" t="str">
        <x:v>ENE-002</x:v>
      </x:c>
      <x:c r="B6" s="18" t="n">
        <x:v>2025</x:v>
      </x:c>
      <x:c r="C6" s="18" t="str">
        <x:v>Eclairage public Grand Dakar</x:v>
      </x:c>
      <x:c r="D6" s="18" t="str">
        <x:v>Eclairage public</x:v>
      </x:c>
      <x:c r="E6" s="18" t="str">
        <x:v>Eclairage</x:v>
      </x:c>
      <x:c r="F6" s="18" t="str">
        <x:v>Electricite reseau</x:v>
      </x:c>
      <x:c r="G6" s="24" t="n">
        <x:v>4200000</x:v>
      </x:c>
      <x:c r="H6" s="18" t="str">
        <x:v>kWh</x:v>
      </x:c>
      <x:c r="I6" s="21" t="n">
        <x:v>690000000</x:v>
      </x:c>
      <x:c r="J6" s="18" t="str">
        <x:v>FE-EL-SN-001</x:v>
      </x:c>
      <x:c r="K6" s="28" t="n">
        <x:f>IF(A6="","",IFERROR(G6*SWITCH(J6,"FE-EL-SN-001",0.00055,"FE-LPG-001",0.00299,0)*SWITCH(J6,"FE-WASTE-CH4-001",28,1),0))</x:f>
        <x:v>0</x:v>
      </x:c>
      <x:c r="L6" s="20" t="n">
        <x:v>0.02</x:v>
      </x:c>
      <x:c r="M6" s="18" t="str">
        <x:v>Direction Energie</x:v>
      </x:c>
      <x:c r="N6" s="18" t="str">
        <x:v>SRC-001</x:v>
      </x:c>
      <x:c r="O6" s="18" t="str">
        <x:v>C - Estimee</x:v>
      </x:c>
      <x:c r="P6" s="18" t="str">
        <x:f>IF(A6="","",IF(OR(B6="",C6="",G6="",N6="",O6="D - Faible"),"Donnees manquantes","OK"))</x:f>
        <x:v>OK</x:v>
      </x:c>
    </x:row>
    <x:row r="7">
      <x:c r="A7" s="18" t="str">
        <x:v>ENE-003</x:v>
      </x:c>
      <x:c r="B7" s="18" t="n">
        <x:v>2025</x:v>
      </x:c>
      <x:c r="C7" s="18" t="str">
        <x:v>Sites solaires municipaux</x:v>
      </x:c>
      <x:c r="D7" s="18" t="str">
        <x:v>Batiment municipal</x:v>
      </x:c>
      <x:c r="E7" s="18" t="str">
        <x:v>Production solaire</x:v>
      </x:c>
      <x:c r="F7" s="18" t="str">
        <x:v>Solaire PV</x:v>
      </x:c>
      <x:c r="G7" s="24" t="n">
        <x:v>320000</x:v>
      </x:c>
      <x:c r="H7" s="18" t="str">
        <x:v>kWh</x:v>
      </x:c>
      <x:c r="I7" s="21" t="n">
        <x:v>0</x:v>
      </x:c>
      <x:c r="J7" s="18" t="str"/>
      <x:c r="K7" s="28" t="n">
        <x:f>IF(A7="","",IFERROR(G7*SWITCH(J7,"FE-EL-SN-001",0.00055,"FE-LPG-001",0.00299,0)*SWITCH(J7,"FE-WASTE-CH4-001",28,1),0))</x:f>
        <x:v>0</x:v>
      </x:c>
      <x:c r="L7" s="20" t="n">
        <x:v>1</x:v>
      </x:c>
      <x:c r="M7" s="18" t="str">
        <x:v>Direction Energie</x:v>
      </x:c>
      <x:c r="N7" s="18" t="str">
        <x:v>SRC-001</x:v>
      </x:c>
      <x:c r="O7" s="18" t="str">
        <x:v>B - Bonne</x:v>
      </x:c>
      <x:c r="P7" s="18" t="str">
        <x:f>IF(A7="","",IF(OR(B7="",C7="",G7="",N7="",O7="D - Faible"),"Donnees manquantes","OK"))</x:f>
        <x:v>OK</x:v>
      </x:c>
    </x:row>
    <x:row r="8">
      <x:c r="A8" s="18"/>
      <x:c r="B8" s="18"/>
      <x:c r="C8" s="18"/>
      <x:c r="D8" s="18"/>
      <x:c r="E8" s="18"/>
      <x:c r="F8" s="18"/>
      <x:c r="G8" s="24"/>
      <x:c r="H8" s="18"/>
      <x:c r="I8" s="21"/>
      <x:c r="J8" s="18"/>
      <x:c r="K8" s="28" t="str">
        <x:f>IF(A8="","",IFERROR(G8*SWITCH(J8,"FE-EL-SN-001",0.00055,"FE-LPG-001",0.00299,0)*SWITCH(J8,"FE-WASTE-CH4-001",28,1),0))</x:f>
      </x:c>
      <x:c r="L8" s="20"/>
      <x:c r="M8" s="18"/>
      <x:c r="N8" s="18"/>
      <x:c r="O8" s="18"/>
      <x:c r="P8" s="18" t="str">
        <x:f>IF(A8="","",IF(OR(B8="",C8="",G8="",N8="",O8="D - Faible"),"Donnees manquantes","OK"))</x:f>
      </x:c>
    </x:row>
    <x:row r="9">
      <x:c r="A9" s="18"/>
      <x:c r="B9" s="18"/>
      <x:c r="C9" s="18"/>
      <x:c r="D9" s="18"/>
      <x:c r="E9" s="18"/>
      <x:c r="F9" s="18"/>
      <x:c r="G9" s="24"/>
      <x:c r="H9" s="18"/>
      <x:c r="I9" s="21"/>
      <x:c r="J9" s="18"/>
      <x:c r="K9" s="28" t="str">
        <x:f>IF(A9="","",IFERROR(G9*SWITCH(J9,"FE-EL-SN-001",0.00055,"FE-LPG-001",0.00299,0)*SWITCH(J9,"FE-WASTE-CH4-001",28,1),0))</x:f>
      </x:c>
      <x:c r="L9" s="20"/>
      <x:c r="M9" s="18"/>
      <x:c r="N9" s="18"/>
      <x:c r="O9" s="18"/>
      <x:c r="P9" s="18" t="str">
        <x:f>IF(A9="","",IF(OR(B9="",C9="",G9="",N9="",O9="D - Faible"),"Donnees manquantes","OK"))</x:f>
      </x:c>
    </x:row>
    <x:row r="10">
      <x:c r="A10" s="18"/>
      <x:c r="B10" s="18"/>
      <x:c r="C10" s="18"/>
      <x:c r="D10" s="18"/>
      <x:c r="E10" s="18"/>
      <x:c r="F10" s="18"/>
      <x:c r="G10" s="24"/>
      <x:c r="H10" s="18"/>
      <x:c r="I10" s="21"/>
      <x:c r="J10" s="18"/>
      <x:c r="K10" s="28" t="str">
        <x:f>IF(A10="","",IFERROR(G10*SWITCH(J10,"FE-EL-SN-001",0.00055,"FE-LPG-001",0.00299,0)*SWITCH(J10,"FE-WASTE-CH4-001",28,1),0))</x:f>
      </x:c>
      <x:c r="L10" s="20"/>
      <x:c r="M10" s="18"/>
      <x:c r="N10" s="18"/>
      <x:c r="O10" s="18"/>
      <x:c r="P10" s="18" t="str">
        <x:f>IF(A10="","",IF(OR(B10="",C10="",G10="",N10="",O10="D - Faible"),"Donnees manquantes","OK"))</x:f>
      </x:c>
    </x:row>
    <x:row r="11">
      <x:c r="A11" s="18"/>
      <x:c r="B11" s="18"/>
      <x:c r="C11" s="18"/>
      <x:c r="D11" s="18"/>
      <x:c r="E11" s="18"/>
      <x:c r="F11" s="18"/>
      <x:c r="G11" s="24"/>
      <x:c r="H11" s="18"/>
      <x:c r="I11" s="21"/>
      <x:c r="J11" s="18"/>
      <x:c r="K11" s="28" t="str">
        <x:f>IF(A11="","",IFERROR(G11*SWITCH(J11,"FE-EL-SN-001",0.00055,"FE-LPG-001",0.00299,0)*SWITCH(J11,"FE-WASTE-CH4-001",28,1),0))</x:f>
      </x:c>
      <x:c r="L11" s="20"/>
      <x:c r="M11" s="18"/>
      <x:c r="N11" s="18"/>
      <x:c r="O11" s="18"/>
      <x:c r="P11" s="18" t="str">
        <x:f>IF(A11="","",IF(OR(B11="",C11="",G11="",N11="",O11="D - Faible"),"Donnees manquantes","OK"))</x:f>
      </x:c>
    </x:row>
    <x:row r="12">
      <x:c r="A12" s="18"/>
      <x:c r="B12" s="18"/>
      <x:c r="C12" s="18"/>
      <x:c r="D12" s="18"/>
      <x:c r="E12" s="18"/>
      <x:c r="F12" s="18"/>
      <x:c r="G12" s="24"/>
      <x:c r="H12" s="18"/>
      <x:c r="I12" s="21"/>
      <x:c r="J12" s="18"/>
      <x:c r="K12" s="28" t="str">
        <x:f>IF(A12="","",IFERROR(G12*SWITCH(J12,"FE-EL-SN-001",0.00055,"FE-LPG-001",0.00299,0)*SWITCH(J12,"FE-WASTE-CH4-001",28,1),0))</x:f>
      </x:c>
      <x:c r="L12" s="20"/>
      <x:c r="M12" s="18"/>
      <x:c r="N12" s="18"/>
      <x:c r="O12" s="18"/>
      <x:c r="P12" s="18" t="str">
        <x:f>IF(A12="","",IF(OR(B12="",C12="",G12="",N12="",O12="D - Faible"),"Donnees manquantes","OK"))</x:f>
      </x:c>
    </x:row>
    <x:row r="13">
      <x:c r="A13" s="18"/>
      <x:c r="B13" s="18"/>
      <x:c r="C13" s="18"/>
      <x:c r="D13" s="18"/>
      <x:c r="E13" s="18"/>
      <x:c r="F13" s="18"/>
      <x:c r="G13" s="24"/>
      <x:c r="H13" s="18"/>
      <x:c r="I13" s="21"/>
      <x:c r="J13" s="18"/>
      <x:c r="K13" s="28" t="str">
        <x:f>IF(A13="","",IFERROR(G13*SWITCH(J13,"FE-EL-SN-001",0.00055,"FE-LPG-001",0.00299,0)*SWITCH(J13,"FE-WASTE-CH4-001",28,1),0))</x:f>
      </x:c>
      <x:c r="L13" s="20"/>
      <x:c r="M13" s="18"/>
      <x:c r="N13" s="18"/>
      <x:c r="O13" s="18"/>
      <x:c r="P13" s="18" t="str">
        <x:f>IF(A13="","",IF(OR(B13="",C13="",G13="",N13="",O13="D - Faible"),"Donnees manquantes","OK"))</x:f>
      </x:c>
    </x:row>
    <x:row r="14">
      <x:c r="A14" s="18"/>
      <x:c r="B14" s="18"/>
      <x:c r="C14" s="18"/>
      <x:c r="D14" s="18"/>
      <x:c r="E14" s="18"/>
      <x:c r="F14" s="18"/>
      <x:c r="G14" s="24"/>
      <x:c r="H14" s="18"/>
      <x:c r="I14" s="21"/>
      <x:c r="J14" s="18"/>
      <x:c r="K14" s="28" t="str">
        <x:f>IF(A14="","",IFERROR(G14*SWITCH(J14,"FE-EL-SN-001",0.00055,"FE-LPG-001",0.00299,0)*SWITCH(J14,"FE-WASTE-CH4-001",28,1),0))</x:f>
      </x:c>
      <x:c r="L14" s="20"/>
      <x:c r="M14" s="18"/>
      <x:c r="N14" s="18"/>
      <x:c r="O14" s="18"/>
      <x:c r="P14" s="18" t="str">
        <x:f>IF(A14="","",IF(OR(B14="",C14="",G14="",N14="",O14="D - Faible"),"Donnees manquantes","OK"))</x:f>
      </x:c>
    </x:row>
    <x:row r="15">
      <x:c r="A15" s="18"/>
      <x:c r="B15" s="18"/>
      <x:c r="C15" s="18"/>
      <x:c r="D15" s="18"/>
      <x:c r="E15" s="18"/>
      <x:c r="F15" s="18"/>
      <x:c r="G15" s="24"/>
      <x:c r="H15" s="18"/>
      <x:c r="I15" s="21"/>
      <x:c r="J15" s="18"/>
      <x:c r="K15" s="28" t="str">
        <x:f>IF(A15="","",IFERROR(G15*SWITCH(J15,"FE-EL-SN-001",0.00055,"FE-LPG-001",0.00299,0)*SWITCH(J15,"FE-WASTE-CH4-001",28,1),0))</x:f>
      </x:c>
      <x:c r="L15" s="20"/>
      <x:c r="M15" s="18"/>
      <x:c r="N15" s="18"/>
      <x:c r="O15" s="18"/>
      <x:c r="P15" s="18" t="str">
        <x:f>IF(A15="","",IF(OR(B15="",C15="",G15="",N15="",O15="D - Faible"),"Donnees manquantes","OK"))</x:f>
      </x:c>
    </x:row>
    <x:row r="16">
      <x:c r="A16" s="18"/>
      <x:c r="B16" s="18"/>
      <x:c r="C16" s="18"/>
      <x:c r="D16" s="18"/>
      <x:c r="E16" s="18"/>
      <x:c r="F16" s="18"/>
      <x:c r="G16" s="24"/>
      <x:c r="H16" s="18"/>
      <x:c r="I16" s="21"/>
      <x:c r="J16" s="18"/>
      <x:c r="K16" s="28" t="str">
        <x:f>IF(A16="","",IFERROR(G16*SWITCH(J16,"FE-EL-SN-001",0.00055,"FE-LPG-001",0.00299,0)*SWITCH(J16,"FE-WASTE-CH4-001",28,1),0))</x:f>
      </x:c>
      <x:c r="L16" s="20"/>
      <x:c r="M16" s="18"/>
      <x:c r="N16" s="18"/>
      <x:c r="O16" s="18"/>
      <x:c r="P16" s="18" t="str">
        <x:f>IF(A16="","",IF(OR(B16="",C16="",G16="",N16="",O16="D - Faible"),"Donnees manquantes","OK"))</x:f>
      </x:c>
    </x:row>
    <x:row r="17">
      <x:c r="A17" s="18"/>
      <x:c r="B17" s="18"/>
      <x:c r="C17" s="18"/>
      <x:c r="D17" s="18"/>
      <x:c r="E17" s="18"/>
      <x:c r="F17" s="18"/>
      <x:c r="G17" s="24"/>
      <x:c r="H17" s="18"/>
      <x:c r="I17" s="21"/>
      <x:c r="J17" s="18"/>
      <x:c r="K17" s="28" t="str">
        <x:f>IF(A17="","",IFERROR(G17*SWITCH(J17,"FE-EL-SN-001",0.00055,"FE-LPG-001",0.00299,0)*SWITCH(J17,"FE-WASTE-CH4-001",28,1),0))</x:f>
      </x:c>
      <x:c r="L17" s="20"/>
      <x:c r="M17" s="18"/>
      <x:c r="N17" s="18"/>
      <x:c r="O17" s="18"/>
      <x:c r="P17" s="18" t="str">
        <x:f>IF(A17="","",IF(OR(B17="",C17="",G17="",N17="",O17="D - Faible"),"Donnees manquantes","OK"))</x:f>
      </x:c>
    </x:row>
    <x:row r="18">
      <x:c r="A18" s="18"/>
      <x:c r="B18" s="18"/>
      <x:c r="C18" s="18"/>
      <x:c r="D18" s="18"/>
      <x:c r="E18" s="18"/>
      <x:c r="F18" s="18"/>
      <x:c r="G18" s="24"/>
      <x:c r="H18" s="18"/>
      <x:c r="I18" s="21"/>
      <x:c r="J18" s="18"/>
      <x:c r="K18" s="28" t="str">
        <x:f>IF(A18="","",IFERROR(G18*SWITCH(J18,"FE-EL-SN-001",0.00055,"FE-LPG-001",0.00299,0)*SWITCH(J18,"FE-WASTE-CH4-001",28,1),0))</x:f>
      </x:c>
      <x:c r="L18" s="20"/>
      <x:c r="M18" s="18"/>
      <x:c r="N18" s="18"/>
      <x:c r="O18" s="18"/>
      <x:c r="P18" s="18" t="str">
        <x:f>IF(A18="","",IF(OR(B18="",C18="",G18="",N18="",O18="D - Faible"),"Donnees manquantes","OK"))</x:f>
      </x:c>
    </x:row>
    <x:row r="19">
      <x:c r="A19" s="18"/>
      <x:c r="B19" s="18"/>
      <x:c r="C19" s="18"/>
      <x:c r="D19" s="18"/>
      <x:c r="E19" s="18"/>
      <x:c r="F19" s="18"/>
      <x:c r="G19" s="24"/>
      <x:c r="H19" s="18"/>
      <x:c r="I19" s="21"/>
      <x:c r="J19" s="18"/>
      <x:c r="K19" s="28" t="str">
        <x:f>IF(A19="","",IFERROR(G19*SWITCH(J19,"FE-EL-SN-001",0.00055,"FE-LPG-001",0.00299,0)*SWITCH(J19,"FE-WASTE-CH4-001",28,1),0))</x:f>
      </x:c>
      <x:c r="L19" s="20"/>
      <x:c r="M19" s="18"/>
      <x:c r="N19" s="18"/>
      <x:c r="O19" s="18"/>
      <x:c r="P19" s="18" t="str">
        <x:f>IF(A19="","",IF(OR(B19="",C19="",G19="",N19="",O19="D - Faible"),"Donnees manquantes","OK"))</x:f>
      </x:c>
    </x:row>
    <x:row r="20">
      <x:c r="A20" s="18"/>
      <x:c r="B20" s="18"/>
      <x:c r="C20" s="18"/>
      <x:c r="D20" s="18"/>
      <x:c r="E20" s="18"/>
      <x:c r="F20" s="18"/>
      <x:c r="G20" s="24"/>
      <x:c r="H20" s="18"/>
      <x:c r="I20" s="21"/>
      <x:c r="J20" s="18"/>
      <x:c r="K20" s="28" t="str">
        <x:f>IF(A20="","",IFERROR(G20*SWITCH(J20,"FE-EL-SN-001",0.00055,"FE-LPG-001",0.00299,0)*SWITCH(J20,"FE-WASTE-CH4-001",28,1),0))</x:f>
      </x:c>
      <x:c r="L20" s="20"/>
      <x:c r="M20" s="18"/>
      <x:c r="N20" s="18"/>
      <x:c r="O20" s="18"/>
      <x:c r="P20" s="18" t="str">
        <x:f>IF(A20="","",IF(OR(B20="",C20="",G20="",N20="",O20="D - Faible"),"Donnees manquantes","OK"))</x:f>
      </x:c>
    </x:row>
    <x:row r="21">
      <x:c r="A21" s="18"/>
      <x:c r="B21" s="18"/>
      <x:c r="C21" s="18"/>
      <x:c r="D21" s="18"/>
      <x:c r="E21" s="18"/>
      <x:c r="F21" s="18"/>
      <x:c r="G21" s="24"/>
      <x:c r="H21" s="18"/>
      <x:c r="I21" s="21"/>
      <x:c r="J21" s="18"/>
      <x:c r="K21" s="28" t="str">
        <x:f>IF(A21="","",IFERROR(G21*SWITCH(J21,"FE-EL-SN-001",0.00055,"FE-LPG-001",0.00299,0)*SWITCH(J21,"FE-WASTE-CH4-001",28,1),0))</x:f>
      </x:c>
      <x:c r="L21" s="20"/>
      <x:c r="M21" s="18"/>
      <x:c r="N21" s="18"/>
      <x:c r="O21" s="18"/>
      <x:c r="P21" s="18" t="str">
        <x:f>IF(A21="","",IF(OR(B21="",C21="",G21="",N21="",O21="D - Faible"),"Donnees manquantes","OK"))</x:f>
      </x:c>
    </x:row>
    <x:row r="22">
      <x:c r="A22" s="18"/>
      <x:c r="B22" s="18"/>
      <x:c r="C22" s="18"/>
      <x:c r="D22" s="18"/>
      <x:c r="E22" s="18"/>
      <x:c r="F22" s="18"/>
      <x:c r="G22" s="24"/>
      <x:c r="H22" s="18"/>
      <x:c r="I22" s="21"/>
      <x:c r="J22" s="18"/>
      <x:c r="K22" s="28" t="str">
        <x:f>IF(A22="","",IFERROR(G22*SWITCH(J22,"FE-EL-SN-001",0.00055,"FE-LPG-001",0.00299,0)*SWITCH(J22,"FE-WASTE-CH4-001",28,1),0))</x:f>
      </x:c>
      <x:c r="L22" s="20"/>
      <x:c r="M22" s="18"/>
      <x:c r="N22" s="18"/>
      <x:c r="O22" s="18"/>
      <x:c r="P22" s="18" t="str">
        <x:f>IF(A22="","",IF(OR(B22="",C22="",G22="",N22="",O22="D - Faible"),"Donnees manquantes","OK"))</x:f>
      </x:c>
    </x:row>
    <x:row r="23">
      <x:c r="A23" s="18"/>
      <x:c r="B23" s="18"/>
      <x:c r="C23" s="18"/>
      <x:c r="D23" s="18"/>
      <x:c r="E23" s="18"/>
      <x:c r="F23" s="18"/>
      <x:c r="G23" s="24"/>
      <x:c r="H23" s="18"/>
      <x:c r="I23" s="21"/>
      <x:c r="J23" s="18"/>
      <x:c r="K23" s="28" t="str">
        <x:f>IF(A23="","",IFERROR(G23*SWITCH(J23,"FE-EL-SN-001",0.00055,"FE-LPG-001",0.00299,0)*SWITCH(J23,"FE-WASTE-CH4-001",28,1),0))</x:f>
      </x:c>
      <x:c r="L23" s="20"/>
      <x:c r="M23" s="18"/>
      <x:c r="N23" s="18"/>
      <x:c r="O23" s="18"/>
      <x:c r="P23" s="18" t="str">
        <x:f>IF(A23="","",IF(OR(B23="",C23="",G23="",N23="",O23="D - Faible"),"Donnees manquantes","OK"))</x:f>
      </x:c>
    </x:row>
    <x:row r="24">
      <x:c r="A24" s="18"/>
      <x:c r="B24" s="18"/>
      <x:c r="C24" s="18"/>
      <x:c r="D24" s="18"/>
      <x:c r="E24" s="18"/>
      <x:c r="F24" s="18"/>
      <x:c r="G24" s="24"/>
      <x:c r="H24" s="18"/>
      <x:c r="I24" s="21"/>
      <x:c r="J24" s="18"/>
      <x:c r="K24" s="28" t="str">
        <x:f>IF(A24="","",IFERROR(G24*SWITCH(J24,"FE-EL-SN-001",0.00055,"FE-LPG-001",0.00299,0)*SWITCH(J24,"FE-WASTE-CH4-001",28,1),0))</x:f>
      </x:c>
      <x:c r="L24" s="20"/>
      <x:c r="M24" s="18"/>
      <x:c r="N24" s="18"/>
      <x:c r="O24" s="18"/>
      <x:c r="P24" s="18" t="str">
        <x:f>IF(A24="","",IF(OR(B24="",C24="",G24="",N24="",O24="D - Faible"),"Donnees manquantes","OK"))</x:f>
      </x:c>
    </x:row>
    <x:row r="25">
      <x:c r="A25" s="18"/>
      <x:c r="B25" s="18"/>
      <x:c r="C25" s="18"/>
      <x:c r="D25" s="18"/>
      <x:c r="E25" s="18"/>
      <x:c r="F25" s="18"/>
      <x:c r="G25" s="24"/>
      <x:c r="H25" s="18"/>
      <x:c r="I25" s="21"/>
      <x:c r="J25" s="18"/>
      <x:c r="K25" s="28" t="str">
        <x:f>IF(A25="","",IFERROR(G25*SWITCH(J25,"FE-EL-SN-001",0.00055,"FE-LPG-001",0.00299,0)*SWITCH(J25,"FE-WASTE-CH4-001",28,1),0))</x:f>
      </x:c>
      <x:c r="L25" s="20"/>
      <x:c r="M25" s="18"/>
      <x:c r="N25" s="18"/>
      <x:c r="O25" s="18"/>
      <x:c r="P25" s="18" t="str">
        <x:f>IF(A25="","",IF(OR(B25="",C25="",G25="",N25="",O25="D - Faible"),"Donnees manquantes","OK"))</x:f>
      </x:c>
    </x:row>
    <x:row r="26">
      <x:c r="A26" s="18"/>
      <x:c r="B26" s="18"/>
      <x:c r="C26" s="18"/>
      <x:c r="D26" s="18"/>
      <x:c r="E26" s="18"/>
      <x:c r="F26" s="18"/>
      <x:c r="G26" s="24"/>
      <x:c r="H26" s="18"/>
      <x:c r="I26" s="21"/>
      <x:c r="J26" s="18"/>
      <x:c r="K26" s="28" t="str">
        <x:f>IF(A26="","",IFERROR(G26*SWITCH(J26,"FE-EL-SN-001",0.00055,"FE-LPG-001",0.00299,0)*SWITCH(J26,"FE-WASTE-CH4-001",28,1),0))</x:f>
      </x:c>
      <x:c r="L26" s="20"/>
      <x:c r="M26" s="18"/>
      <x:c r="N26" s="18"/>
      <x:c r="O26" s="18"/>
      <x:c r="P26" s="18" t="str">
        <x:f>IF(A26="","",IF(OR(B26="",C26="",G26="",N26="",O26="D - Faible"),"Donnees manquantes","OK"))</x:f>
      </x:c>
    </x:row>
    <x:row r="27">
      <x:c r="A27" s="18"/>
      <x:c r="B27" s="18"/>
      <x:c r="C27" s="18"/>
      <x:c r="D27" s="18"/>
      <x:c r="E27" s="18"/>
      <x:c r="F27" s="18"/>
      <x:c r="G27" s="24"/>
      <x:c r="H27" s="18"/>
      <x:c r="I27" s="21"/>
      <x:c r="J27" s="18"/>
      <x:c r="K27" s="28" t="str">
        <x:f>IF(A27="","",IFERROR(G27*SWITCH(J27,"FE-EL-SN-001",0.00055,"FE-LPG-001",0.00299,0)*SWITCH(J27,"FE-WASTE-CH4-001",28,1),0))</x:f>
      </x:c>
      <x:c r="L27" s="20"/>
      <x:c r="M27" s="18"/>
      <x:c r="N27" s="18"/>
      <x:c r="O27" s="18"/>
      <x:c r="P27" s="18" t="str">
        <x:f>IF(A27="","",IF(OR(B27="",C27="",G27="",N27="",O27="D - Faible"),"Donnees manquantes","OK"))</x:f>
      </x:c>
    </x:row>
    <x:row r="28">
      <x:c r="A28" s="18"/>
      <x:c r="B28" s="18"/>
      <x:c r="C28" s="18"/>
      <x:c r="D28" s="18"/>
      <x:c r="E28" s="18"/>
      <x:c r="F28" s="18"/>
      <x:c r="G28" s="24"/>
      <x:c r="H28" s="18"/>
      <x:c r="I28" s="21"/>
      <x:c r="J28" s="18"/>
      <x:c r="K28" s="28" t="str">
        <x:f>IF(A28="","",IFERROR(G28*SWITCH(J28,"FE-EL-SN-001",0.00055,"FE-LPG-001",0.00299,0)*SWITCH(J28,"FE-WASTE-CH4-001",28,1),0))</x:f>
      </x:c>
      <x:c r="L28" s="20"/>
      <x:c r="M28" s="18"/>
      <x:c r="N28" s="18"/>
      <x:c r="O28" s="18"/>
      <x:c r="P28" s="18" t="str">
        <x:f>IF(A28="","",IF(OR(B28="",C28="",G28="",N28="",O28="D - Faible"),"Donnees manquantes","OK"))</x:f>
      </x:c>
    </x:row>
    <x:row r="29">
      <x:c r="A29" s="18"/>
      <x:c r="B29" s="18"/>
      <x:c r="C29" s="18"/>
      <x:c r="D29" s="18"/>
      <x:c r="E29" s="18"/>
      <x:c r="F29" s="18"/>
      <x:c r="G29" s="24"/>
      <x:c r="H29" s="18"/>
      <x:c r="I29" s="21"/>
      <x:c r="J29" s="18"/>
      <x:c r="K29" s="28" t="str">
        <x:f>IF(A29="","",IFERROR(G29*SWITCH(J29,"FE-EL-SN-001",0.00055,"FE-LPG-001",0.00299,0)*SWITCH(J29,"FE-WASTE-CH4-001",28,1),0))</x:f>
      </x:c>
      <x:c r="L29" s="20"/>
      <x:c r="M29" s="18"/>
      <x:c r="N29" s="18"/>
      <x:c r="O29" s="18"/>
      <x:c r="P29" s="18" t="str">
        <x:f>IF(A29="","",IF(OR(B29="",C29="",G29="",N29="",O29="D - Faible"),"Donnees manquantes","OK"))</x:f>
      </x:c>
    </x:row>
    <x:row r="30">
      <x:c r="A30" s="18"/>
      <x:c r="B30" s="18"/>
      <x:c r="C30" s="18"/>
      <x:c r="D30" s="18"/>
      <x:c r="E30" s="18"/>
      <x:c r="F30" s="18"/>
      <x:c r="G30" s="24"/>
      <x:c r="H30" s="18"/>
      <x:c r="I30" s="21"/>
      <x:c r="J30" s="18"/>
      <x:c r="K30" s="28" t="str">
        <x:f>IF(A30="","",IFERROR(G30*SWITCH(J30,"FE-EL-SN-001",0.00055,"FE-LPG-001",0.00299,0)*SWITCH(J30,"FE-WASTE-CH4-001",28,1),0))</x:f>
      </x:c>
      <x:c r="L30" s="20"/>
      <x:c r="M30" s="18"/>
      <x:c r="N30" s="18"/>
      <x:c r="O30" s="18"/>
      <x:c r="P30" s="18" t="str">
        <x:f>IF(A30="","",IF(OR(B30="",C30="",G30="",N30="",O30="D - Faible"),"Donnees manquantes","OK"))</x:f>
      </x:c>
    </x:row>
    <x:row r="31">
      <x:c r="A31" s="18"/>
      <x:c r="B31" s="18"/>
      <x:c r="C31" s="18"/>
      <x:c r="D31" s="18"/>
      <x:c r="E31" s="18"/>
      <x:c r="F31" s="18"/>
      <x:c r="G31" s="24"/>
      <x:c r="H31" s="18"/>
      <x:c r="I31" s="21"/>
      <x:c r="J31" s="18"/>
      <x:c r="K31" s="28" t="str">
        <x:f>IF(A31="","",IFERROR(G31*SWITCH(J31,"FE-EL-SN-001",0.00055,"FE-LPG-001",0.00299,0)*SWITCH(J31,"FE-WASTE-CH4-001",28,1),0))</x:f>
      </x:c>
      <x:c r="L31" s="20"/>
      <x:c r="M31" s="18"/>
      <x:c r="N31" s="18"/>
      <x:c r="O31" s="18"/>
      <x:c r="P31" s="18" t="str">
        <x:f>IF(A31="","",IF(OR(B31="",C31="",G31="",N31="",O31="D - Faible"),"Donnees manquantes","OK"))</x:f>
      </x:c>
    </x:row>
    <x:row r="32">
      <x:c r="A32" s="18"/>
      <x:c r="B32" s="18"/>
      <x:c r="C32" s="18"/>
      <x:c r="D32" s="18"/>
      <x:c r="E32" s="18"/>
      <x:c r="F32" s="18"/>
      <x:c r="G32" s="24"/>
      <x:c r="H32" s="18"/>
      <x:c r="I32" s="21"/>
      <x:c r="J32" s="18"/>
      <x:c r="K32" s="28" t="str">
        <x:f>IF(A32="","",IFERROR(G32*SWITCH(J32,"FE-EL-SN-001",0.00055,"FE-LPG-001",0.00299,0)*SWITCH(J32,"FE-WASTE-CH4-001",28,1),0))</x:f>
      </x:c>
      <x:c r="L32" s="20"/>
      <x:c r="M32" s="18"/>
      <x:c r="N32" s="18"/>
      <x:c r="O32" s="18"/>
      <x:c r="P32" s="18" t="str">
        <x:f>IF(A32="","",IF(OR(B32="",C32="",G32="",N32="",O32="D - Faible"),"Donnees manquantes","OK"))</x:f>
      </x:c>
    </x:row>
    <x:row r="33">
      <x:c r="A33" s="18"/>
      <x:c r="B33" s="18"/>
      <x:c r="C33" s="18"/>
      <x:c r="D33" s="18"/>
      <x:c r="E33" s="18"/>
      <x:c r="F33" s="18"/>
      <x:c r="G33" s="24"/>
      <x:c r="H33" s="18"/>
      <x:c r="I33" s="21"/>
      <x:c r="J33" s="18"/>
      <x:c r="K33" s="28" t="str">
        <x:f>IF(A33="","",IFERROR(G33*SWITCH(J33,"FE-EL-SN-001",0.00055,"FE-LPG-001",0.00299,0)*SWITCH(J33,"FE-WASTE-CH4-001",28,1),0))</x:f>
      </x:c>
      <x:c r="L33" s="20"/>
      <x:c r="M33" s="18"/>
      <x:c r="N33" s="18"/>
      <x:c r="O33" s="18"/>
      <x:c r="P33" s="18" t="str">
        <x:f>IF(A33="","",IF(OR(B33="",C33="",G33="",N33="",O33="D - Faible"),"Donnees manquantes","OK"))</x:f>
      </x:c>
    </x:row>
    <x:row r="34">
      <x:c r="A34" s="18"/>
      <x:c r="B34" s="18"/>
      <x:c r="C34" s="18"/>
      <x:c r="D34" s="18"/>
      <x:c r="E34" s="18"/>
      <x:c r="F34" s="18"/>
      <x:c r="G34" s="24"/>
      <x:c r="H34" s="18"/>
      <x:c r="I34" s="21"/>
      <x:c r="J34" s="18"/>
      <x:c r="K34" s="28" t="str">
        <x:f>IF(A34="","",IFERROR(G34*SWITCH(J34,"FE-EL-SN-001",0.00055,"FE-LPG-001",0.00299,0)*SWITCH(J34,"FE-WASTE-CH4-001",28,1),0))</x:f>
      </x:c>
      <x:c r="L34" s="20"/>
      <x:c r="M34" s="18"/>
      <x:c r="N34" s="18"/>
      <x:c r="O34" s="18"/>
      <x:c r="P34" s="18" t="str">
        <x:f>IF(A34="","",IF(OR(B34="",C34="",G34="",N34="",O34="D - Faible"),"Donnees manquantes","OK"))</x:f>
      </x:c>
    </x:row>
    <x:row r="35">
      <x:c r="A35" s="18"/>
      <x:c r="B35" s="18"/>
      <x:c r="C35" s="18"/>
      <x:c r="D35" s="18"/>
      <x:c r="E35" s="18"/>
      <x:c r="F35" s="18"/>
      <x:c r="G35" s="24"/>
      <x:c r="H35" s="18"/>
      <x:c r="I35" s="21"/>
      <x:c r="J35" s="18"/>
      <x:c r="K35" s="28" t="str">
        <x:f>IF(A35="","",IFERROR(G35*SWITCH(J35,"FE-EL-SN-001",0.00055,"FE-LPG-001",0.00299,0)*SWITCH(J35,"FE-WASTE-CH4-001",28,1),0))</x:f>
      </x:c>
      <x:c r="L35" s="20"/>
      <x:c r="M35" s="18"/>
      <x:c r="N35" s="18"/>
      <x:c r="O35" s="18"/>
      <x:c r="P35" s="18" t="str">
        <x:f>IF(A35="","",IF(OR(B35="",C35="",G35="",N35="",O35="D - Faible"),"Donnees manquantes","OK"))</x:f>
      </x:c>
    </x:row>
    <x:row r="36">
      <x:c r="A36" s="18"/>
      <x:c r="B36" s="18"/>
      <x:c r="C36" s="18"/>
      <x:c r="D36" s="18"/>
      <x:c r="E36" s="18"/>
      <x:c r="F36" s="18"/>
      <x:c r="G36" s="24"/>
      <x:c r="H36" s="18"/>
      <x:c r="I36" s="21"/>
      <x:c r="J36" s="18"/>
      <x:c r="K36" s="28" t="str">
        <x:f>IF(A36="","",IFERROR(G36*SWITCH(J36,"FE-EL-SN-001",0.00055,"FE-LPG-001",0.00299,0)*SWITCH(J36,"FE-WASTE-CH4-001",28,1),0))</x:f>
      </x:c>
      <x:c r="L36" s="20"/>
      <x:c r="M36" s="18"/>
      <x:c r="N36" s="18"/>
      <x:c r="O36" s="18"/>
      <x:c r="P36" s="18" t="str">
        <x:f>IF(A36="","",IF(OR(B36="",C36="",G36="",N36="",O36="D - Faible"),"Donnees manquantes","OK"))</x:f>
      </x:c>
    </x:row>
    <x:row r="37">
      <x:c r="A37" s="18"/>
      <x:c r="B37" s="18"/>
      <x:c r="C37" s="18"/>
      <x:c r="D37" s="18"/>
      <x:c r="E37" s="18"/>
      <x:c r="F37" s="18"/>
      <x:c r="G37" s="24"/>
      <x:c r="H37" s="18"/>
      <x:c r="I37" s="21"/>
      <x:c r="J37" s="18"/>
      <x:c r="K37" s="28" t="str">
        <x:f>IF(A37="","",IFERROR(G37*SWITCH(J37,"FE-EL-SN-001",0.00055,"FE-LPG-001",0.00299,0)*SWITCH(J37,"FE-WASTE-CH4-001",28,1),0))</x:f>
      </x:c>
      <x:c r="L37" s="20"/>
      <x:c r="M37" s="18"/>
      <x:c r="N37" s="18"/>
      <x:c r="O37" s="18"/>
      <x:c r="P37" s="18" t="str">
        <x:f>IF(A37="","",IF(OR(B37="",C37="",G37="",N37="",O37="D - Faible"),"Donnees manquantes","OK"))</x:f>
      </x:c>
    </x:row>
    <x:row r="38">
      <x:c r="A38" s="18"/>
      <x:c r="B38" s="18"/>
      <x:c r="C38" s="18"/>
      <x:c r="D38" s="18"/>
      <x:c r="E38" s="18"/>
      <x:c r="F38" s="18"/>
      <x:c r="G38" s="24"/>
      <x:c r="H38" s="18"/>
      <x:c r="I38" s="21"/>
      <x:c r="J38" s="18"/>
      <x:c r="K38" s="28" t="str">
        <x:f>IF(A38="","",IFERROR(G38*SWITCH(J38,"FE-EL-SN-001",0.00055,"FE-LPG-001",0.00299,0)*SWITCH(J38,"FE-WASTE-CH4-001",28,1),0))</x:f>
      </x:c>
      <x:c r="L38" s="20"/>
      <x:c r="M38" s="18"/>
      <x:c r="N38" s="18"/>
      <x:c r="O38" s="18"/>
      <x:c r="P38" s="18" t="str">
        <x:f>IF(A38="","",IF(OR(B38="",C38="",G38="",N38="",O38="D - Faible"),"Donnees manquantes","OK"))</x:f>
      </x:c>
    </x:row>
    <x:row r="39">
      <x:c r="A39" s="18"/>
      <x:c r="B39" s="18"/>
      <x:c r="C39" s="18"/>
      <x:c r="D39" s="18"/>
      <x:c r="E39" s="18"/>
      <x:c r="F39" s="18"/>
      <x:c r="G39" s="24"/>
      <x:c r="H39" s="18"/>
      <x:c r="I39" s="21"/>
      <x:c r="J39" s="18"/>
      <x:c r="K39" s="28" t="str">
        <x:f>IF(A39="","",IFERROR(G39*SWITCH(J39,"FE-EL-SN-001",0.00055,"FE-LPG-001",0.00299,0)*SWITCH(J39,"FE-WASTE-CH4-001",28,1),0))</x:f>
      </x:c>
      <x:c r="L39" s="20"/>
      <x:c r="M39" s="18"/>
      <x:c r="N39" s="18"/>
      <x:c r="O39" s="18"/>
      <x:c r="P39" s="18" t="str">
        <x:f>IF(A39="","",IF(OR(B39="",C39="",G39="",N39="",O39="D - Faible"),"Donnees manquantes","OK"))</x:f>
      </x:c>
    </x:row>
    <x:row r="40">
      <x:c r="A40" s="18"/>
      <x:c r="B40" s="18"/>
      <x:c r="C40" s="18"/>
      <x:c r="D40" s="18"/>
      <x:c r="E40" s="18"/>
      <x:c r="F40" s="18"/>
      <x:c r="G40" s="24"/>
      <x:c r="H40" s="18"/>
      <x:c r="I40" s="21"/>
      <x:c r="J40" s="18"/>
      <x:c r="K40" s="28" t="str">
        <x:f>IF(A40="","",IFERROR(G40*SWITCH(J40,"FE-EL-SN-001",0.00055,"FE-LPG-001",0.00299,0)*SWITCH(J40,"FE-WASTE-CH4-001",28,1),0))</x:f>
      </x:c>
      <x:c r="L40" s="20"/>
      <x:c r="M40" s="18"/>
      <x:c r="N40" s="18"/>
      <x:c r="O40" s="18"/>
      <x:c r="P40" s="18" t="str">
        <x:f>IF(A40="","",IF(OR(B40="",C40="",G40="",N40="",O40="D - Faible"),"Donnees manquantes","OK"))</x:f>
      </x:c>
    </x:row>
    <x:row r="41">
      <x:c r="A41" s="18"/>
      <x:c r="B41" s="18"/>
      <x:c r="C41" s="18"/>
      <x:c r="D41" s="18"/>
      <x:c r="E41" s="18"/>
      <x:c r="F41" s="18"/>
      <x:c r="G41" s="24"/>
      <x:c r="H41" s="18"/>
      <x:c r="I41" s="21"/>
      <x:c r="J41" s="18"/>
      <x:c r="K41" s="28" t="str">
        <x:f>IF(A41="","",IFERROR(G41*SWITCH(J41,"FE-EL-SN-001",0.00055,"FE-LPG-001",0.00299,0)*SWITCH(J41,"FE-WASTE-CH4-001",28,1),0))</x:f>
      </x:c>
      <x:c r="L41" s="20"/>
      <x:c r="M41" s="18"/>
      <x:c r="N41" s="18"/>
      <x:c r="O41" s="18"/>
      <x:c r="P41" s="18" t="str">
        <x:f>IF(A41="","",IF(OR(B41="",C41="",G41="",N41="",O41="D - Faible"),"Donnees manquantes","OK"))</x:f>
      </x:c>
    </x:row>
    <x:row r="42">
      <x:c r="A42" s="18"/>
      <x:c r="B42" s="18"/>
      <x:c r="C42" s="18"/>
      <x:c r="D42" s="18"/>
      <x:c r="E42" s="18"/>
      <x:c r="F42" s="18"/>
      <x:c r="G42" s="24"/>
      <x:c r="H42" s="18"/>
      <x:c r="I42" s="21"/>
      <x:c r="J42" s="18"/>
      <x:c r="K42" s="28" t="str">
        <x:f>IF(A42="","",IFERROR(G42*SWITCH(J42,"FE-EL-SN-001",0.00055,"FE-LPG-001",0.00299,0)*SWITCH(J42,"FE-WASTE-CH4-001",28,1),0))</x:f>
      </x:c>
      <x:c r="L42" s="20"/>
      <x:c r="M42" s="18"/>
      <x:c r="N42" s="18"/>
      <x:c r="O42" s="18"/>
      <x:c r="P42" s="18" t="str">
        <x:f>IF(A42="","",IF(OR(B42="",C42="",G42="",N42="",O42="D - Faible"),"Donnees manquantes","OK"))</x:f>
      </x:c>
    </x:row>
    <x:row r="43">
      <x:c r="A43" s="18"/>
      <x:c r="B43" s="18"/>
      <x:c r="C43" s="18"/>
      <x:c r="D43" s="18"/>
      <x:c r="E43" s="18"/>
      <x:c r="F43" s="18"/>
      <x:c r="G43" s="24"/>
      <x:c r="H43" s="18"/>
      <x:c r="I43" s="21"/>
      <x:c r="J43" s="18"/>
      <x:c r="K43" s="28" t="str">
        <x:f>IF(A43="","",IFERROR(G43*SWITCH(J43,"FE-EL-SN-001",0.00055,"FE-LPG-001",0.00299,0)*SWITCH(J43,"FE-WASTE-CH4-001",28,1),0))</x:f>
      </x:c>
      <x:c r="L43" s="20"/>
      <x:c r="M43" s="18"/>
      <x:c r="N43" s="18"/>
      <x:c r="O43" s="18"/>
      <x:c r="P43" s="18" t="str">
        <x:f>IF(A43="","",IF(OR(B43="",C43="",G43="",N43="",O43="D - Faible"),"Donnees manquantes","OK"))</x:f>
      </x:c>
    </x:row>
    <x:row r="44">
      <x:c r="A44" s="18"/>
      <x:c r="B44" s="18"/>
      <x:c r="C44" s="18"/>
      <x:c r="D44" s="18"/>
      <x:c r="E44" s="18"/>
      <x:c r="F44" s="18"/>
      <x:c r="G44" s="24"/>
      <x:c r="H44" s="18"/>
      <x:c r="I44" s="21"/>
      <x:c r="J44" s="18"/>
      <x:c r="K44" s="28" t="str">
        <x:f>IF(A44="","",IFERROR(G44*SWITCH(J44,"FE-EL-SN-001",0.00055,"FE-LPG-001",0.00299,0)*SWITCH(J44,"FE-WASTE-CH4-001",28,1),0))</x:f>
      </x:c>
      <x:c r="L44" s="20"/>
      <x:c r="M44" s="18"/>
      <x:c r="N44" s="18"/>
      <x:c r="O44" s="18"/>
      <x:c r="P44" s="18" t="str">
        <x:f>IF(A44="","",IF(OR(B44="",C44="",G44="",N44="",O44="D - Faible"),"Donnees manquantes","OK"))</x:f>
      </x:c>
    </x:row>
  </x:sheetData>
  <x:mergeCells>
    <x:mergeCell ref="A1:J1"/>
    <x:mergeCell ref="A2:J2"/>
  </x:mergeCells>
  <x:conditionalFormatting sqref="P5:P44">
    <x:cfRule type="containsText" dxfId="44" priority="1" operator="containsText" text="Retard"/>
    <x:cfRule type="containsText" dxfId="45" priority="2" operator="containsText" text="critique"/>
    <x:cfRule type="containsText" dxfId="46" priority="3" operator="containsText" text="manquant"/>
    <x:cfRule type="containsText" dxfId="4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O5:O44">
      <x:formula1>"A - Verifiee,B - Bonne,C - Estimee,D - Faible,A confirmer"</x:formula1>
    </x:dataValidation>
  </x:dataValidations>
  <x:pageMargins left="0.7" right="0.7" top="0.75" bottom="0.75" header="0.3" footer="0.3"/>
  <x:tableParts count="1">
    <x:tablePart xmlns:r="http://schemas.openxmlformats.org/officeDocument/2006/relationships" r:id="Rdf7a851445374823"/>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2.5" hidden="0" customWidth="1"/>
    <x:col min="4" max="4" width="20" hidden="0" customWidth="1"/>
    <x:col min="5" max="5" width="15.630000114440918" hidden="0" customWidth="1"/>
    <x:col min="6" max="6" width="16.25" hidden="0" customWidth="1"/>
    <x:col min="7" max="7" width="16.25" hidden="0" customWidth="1"/>
    <x:col min="8" max="8" width="16.8799991607666" hidden="0" customWidth="1"/>
    <x:col min="9" max="9" width="16.25" hidden="0" customWidth="1"/>
    <x:col min="10" max="10" width="15" hidden="0" customWidth="1"/>
    <x:col min="11" max="11" width="13.75" hidden="0" customWidth="1"/>
    <x:col min="12" max="12" width="15" hidden="0" customWidth="1"/>
    <x:col min="13" max="13" width="16.25" hidden="0" customWidth="1"/>
    <x:col min="14" max="14" width="16.25" hidden="0" customWidth="1"/>
    <x:col min="15" max="15" width="13.130000114440918" hidden="0" customWidth="1"/>
    <x:col min="16" max="16" width="16.25" hidden="0" customWidth="1"/>
    <x:col min="17" max="17" width="18.1299991607666" hidden="0" customWidth="1"/>
  </x:cols>
  <x:sheetData>
    <x:row r="1" ht="25.5" customHeight="1">
      <x:c r="A1" s="2" t="str">
        <x:v>Donnees dechets</x:v>
      </x:c>
      <x:c r="B1" s="2"/>
      <x:c r="C1" s="2"/>
      <x:c r="D1" s="2"/>
      <x:c r="E1" s="2"/>
      <x:c r="F1" s="2"/>
      <x:c r="G1" s="2"/>
      <x:c r="H1" s="2"/>
      <x:c r="I1" s="2"/>
      <x:c r="J1" s="2"/>
    </x:row>
    <x:row r="2" ht="31.5" customHeight="1">
      <x:c r="A2" s="5" t="str">
        <x:v>Flux de dechets, collecte, valorisation, enfouissement, brulage et emissions.</x:v>
      </x:c>
      <x:c r="B2" s="5"/>
      <x:c r="C2" s="5"/>
      <x:c r="D2" s="5"/>
      <x:c r="E2" s="5"/>
      <x:c r="F2" s="5"/>
      <x:c r="G2" s="5"/>
      <x:c r="H2" s="5"/>
      <x:c r="I2" s="5"/>
      <x:c r="J2" s="5"/>
    </x:row>
    <x:row r="4" ht="28.5" customHeight="1">
      <x:c r="A4" s="16" t="str">
        <x:v>Dechet_ID</x:v>
      </x:c>
      <x:c r="B4" s="16" t="str">
        <x:v>Annee</x:v>
      </x:c>
      <x:c r="C4" s="16" t="str">
        <x:v>Flux</x:v>
      </x:c>
      <x:c r="D4" s="16" t="str">
        <x:v>Quartier_zone</x:v>
      </x:c>
      <x:c r="E4" s="16" t="str">
        <x:v>Tonnes_generees</x:v>
      </x:c>
      <x:c r="F4" s="16" t="str">
        <x:v>Tonnes_collectees</x:v>
      </x:c>
      <x:c r="G4" s="16" t="str">
        <x:v>Tonnes_recyclees</x:v>
      </x:c>
      <x:c r="H4" s="16" t="str">
        <x:v>Tonnes_compostees</x:v>
      </x:c>
      <x:c r="I4" s="16" t="str">
        <x:v>Tonnes_enfouies</x:v>
      </x:c>
      <x:c r="J4" s="16" t="str">
        <x:v>Tonnes_brulees</x:v>
      </x:c>
      <x:c r="K4" s="16" t="str">
        <x:v>Taux_collecte</x:v>
      </x:c>
      <x:c r="L4" s="16" t="str">
        <x:v>Taux_valorisation</x:v>
      </x:c>
      <x:c r="M4" s="16" t="str">
        <x:v>Facteur_ID</x:v>
      </x:c>
      <x:c r="N4" s="16" t="str">
        <x:v>Emissions_tCO2e</x:v>
      </x:c>
      <x:c r="O4" s="16" t="str">
        <x:v>Source_ID</x:v>
      </x:c>
      <x:c r="P4" s="16" t="str">
        <x:v>Qualite</x:v>
      </x:c>
      <x:c r="Q4" s="16" t="str">
        <x:v>Alerte_donnees</x:v>
      </x:c>
    </x:row>
    <x:row r="5">
      <x:c r="A5" s="18" t="str">
        <x:v>DEC-001</x:v>
      </x:c>
      <x:c r="B5" s="18" t="n">
        <x:v>2025</x:v>
      </x:c>
      <x:c r="C5" s="18" t="str">
        <x:v>Ordures menageres</x:v>
      </x:c>
      <x:c r="D5" s="18" t="str">
        <x:v>Dakar - Ensemble ville</x:v>
      </x:c>
      <x:c r="E5" s="22" t="n">
        <x:v>320000</x:v>
      </x:c>
      <x:c r="F5" s="22" t="n">
        <x:v>245000</x:v>
      </x:c>
      <x:c r="G5" s="22" t="n">
        <x:v>18000</x:v>
      </x:c>
      <x:c r="H5" s="22" t="n">
        <x:v>8500</x:v>
      </x:c>
      <x:c r="I5" s="22" t="n">
        <x:v>180000</x:v>
      </x:c>
      <x:c r="J5" s="22" t="n">
        <x:v>5000</x:v>
      </x:c>
      <x:c r="K5" s="20" t="n">
        <x:f>IF(A5="","",IFERROR(F5/E5,""))</x:f>
        <x:v>0.765625</x:v>
      </x:c>
      <x:c r="L5" s="20" t="n">
        <x:f>IF(A5="","",IFERROR((G5+H5)/E5,""))</x:f>
        <x:v>0.0828125</x:v>
      </x:c>
      <x:c r="M5" s="18" t="str">
        <x:v>FE-WASTE-CH4-001</x:v>
      </x:c>
      <x:c r="N5" s="28" t="n">
        <x:f>IF(A5="","",IFERROR(I5*SWITCH(M5,"FE-WASTE-CH4-001",0.0009,0)*SWITCH(M5,"FE-WASTE-CH4-001",28,1),0))</x:f>
        <x:v>4536</x:v>
      </x:c>
      <x:c r="O5" s="18" t="str">
        <x:v>SRC-002</x:v>
      </x:c>
      <x:c r="P5" s="18" t="str">
        <x:v>C - Estimee</x:v>
      </x:c>
      <x:c r="Q5" s="18" t="str">
        <x:f>IF(A5="","",IF(OR(E5="",F5="",O5="",P5="D - Faible"),"Donnees manquantes","OK"))</x:f>
        <x:v>OK</x:v>
      </x:c>
    </x:row>
    <x:row r="6">
      <x:c r="A6" s="18" t="str">
        <x:v>DEC-002</x:v>
      </x:c>
      <x:c r="B6" s="18" t="n">
        <x:v>2025</x:v>
      </x:c>
      <x:c r="C6" s="18" t="str">
        <x:v>Dechets organiques marches</x:v>
      </x:c>
      <x:c r="D6" s="18" t="str">
        <x:v>Medina</x:v>
      </x:c>
      <x:c r="E6" s="22" t="n">
        <x:v>28000</x:v>
      </x:c>
      <x:c r="F6" s="22" t="n">
        <x:v>22000</x:v>
      </x:c>
      <x:c r="G6" s="22" t="n">
        <x:v>0</x:v>
      </x:c>
      <x:c r="H6" s="22" t="n">
        <x:v>4000</x:v>
      </x:c>
      <x:c r="I6" s="22" t="n">
        <x:v>15000</x:v>
      </x:c>
      <x:c r="J6" s="22" t="n">
        <x:v>0</x:v>
      </x:c>
      <x:c r="K6" s="20" t="n">
        <x:f>IF(A6="","",IFERROR(F6/E6,""))</x:f>
        <x:v>0.7857142857142857</x:v>
      </x:c>
      <x:c r="L6" s="20" t="n">
        <x:f>IF(A6="","",IFERROR((G6+H6)/E6,""))</x:f>
        <x:v>0.14285714285714285</x:v>
      </x:c>
      <x:c r="M6" s="18" t="str">
        <x:v>FE-WASTE-CH4-001</x:v>
      </x:c>
      <x:c r="N6" s="28" t="n">
        <x:f>IF(A6="","",IFERROR(I6*SWITCH(M6,"FE-WASTE-CH4-001",0.0009,0)*SWITCH(M6,"FE-WASTE-CH4-001",28,1),0))</x:f>
        <x:v>378</x:v>
      </x:c>
      <x:c r="O6" s="18" t="str">
        <x:v>SRC-002</x:v>
      </x:c>
      <x:c r="P6" s="18" t="str">
        <x:v>C - Estimee</x:v>
      </x:c>
      <x:c r="Q6" s="18" t="str">
        <x:f>IF(A6="","",IF(OR(E6="",F6="",O6="",P6="D - Faible"),"Donnees manquantes","OK"))</x:f>
        <x:v>OK</x:v>
      </x:c>
    </x:row>
    <x:row r="7">
      <x:c r="A7" s="18" t="str">
        <x:v>DEC-003</x:v>
      </x:c>
      <x:c r="B7" s="18" t="n">
        <x:v>2025</x:v>
      </x:c>
      <x:c r="C7" s="18" t="str">
        <x:v>Plastiques</x:v>
      </x:c>
      <x:c r="D7" s="18" t="str">
        <x:v>Dakar - Ensemble ville</x:v>
      </x:c>
      <x:c r="E7" s="22" t="n">
        <x:v>45000</x:v>
      </x:c>
      <x:c r="F7" s="22" t="n">
        <x:v>31000</x:v>
      </x:c>
      <x:c r="G7" s="22" t="n">
        <x:v>6200</x:v>
      </x:c>
      <x:c r="H7" s="22" t="n">
        <x:v>0</x:v>
      </x:c>
      <x:c r="I7" s="22" t="n">
        <x:v>22000</x:v>
      </x:c>
      <x:c r="J7" s="22" t="n">
        <x:v>0</x:v>
      </x:c>
      <x:c r="K7" s="20" t="n">
        <x:f>IF(A7="","",IFERROR(F7/E7,""))</x:f>
        <x:v>0.6888888888888889</x:v>
      </x:c>
      <x:c r="L7" s="20" t="n">
        <x:f>IF(A7="","",IFERROR((G7+H7)/E7,""))</x:f>
        <x:v>0.13777777777777778</x:v>
      </x:c>
      <x:c r="M7" s="18" t="str"/>
      <x:c r="N7" s="28" t="n">
        <x:f>IF(A7="","",IFERROR(I7*SWITCH(M7,"FE-WASTE-CH4-001",0.0009,0)*SWITCH(M7,"FE-WASTE-CH4-001",28,1),0))</x:f>
        <x:v>0</x:v>
      </x:c>
      <x:c r="O7" s="18" t="str">
        <x:v>SRC-002</x:v>
      </x:c>
      <x:c r="P7" s="18" t="str">
        <x:v>D - Faible</x:v>
      </x:c>
      <x:c r="Q7" s="18" t="str">
        <x:f>IF(A7="","",IF(OR(E7="",F7="",O7="",P7="D - Faible"),"Donnees manquantes","OK"))</x:f>
        <x:v>Donnees manquantes</x:v>
      </x:c>
    </x:row>
    <x:row r="8">
      <x:c r="A8" s="18"/>
      <x:c r="B8" s="18"/>
      <x:c r="C8" s="18"/>
      <x:c r="D8" s="18"/>
      <x:c r="E8" s="22"/>
      <x:c r="F8" s="22"/>
      <x:c r="G8" s="22"/>
      <x:c r="H8" s="22"/>
      <x:c r="I8" s="22"/>
      <x:c r="J8" s="22"/>
      <x:c r="K8" s="20" t="str">
        <x:f>IF(A8="","",IFERROR(F8/E8,""))</x:f>
      </x:c>
      <x:c r="L8" s="20" t="str">
        <x:f>IF(A8="","",IFERROR((G8+H8)/E8,""))</x:f>
      </x:c>
      <x:c r="M8" s="18"/>
      <x:c r="N8" s="28" t="str">
        <x:f>IF(A8="","",IFERROR(I8*SWITCH(M8,"FE-WASTE-CH4-001",0.0009,0)*SWITCH(M8,"FE-WASTE-CH4-001",28,1),0))</x:f>
      </x:c>
      <x:c r="O8" s="18"/>
      <x:c r="P8" s="18"/>
      <x:c r="Q8" s="18" t="str">
        <x:f>IF(A8="","",IF(OR(E8="",F8="",O8="",P8="D - Faible"),"Donnees manquantes","OK"))</x:f>
      </x:c>
    </x:row>
    <x:row r="9">
      <x:c r="A9" s="18"/>
      <x:c r="B9" s="18"/>
      <x:c r="C9" s="18"/>
      <x:c r="D9" s="18"/>
      <x:c r="E9" s="22"/>
      <x:c r="F9" s="22"/>
      <x:c r="G9" s="22"/>
      <x:c r="H9" s="22"/>
      <x:c r="I9" s="22"/>
      <x:c r="J9" s="22"/>
      <x:c r="K9" s="20" t="str">
        <x:f>IF(A9="","",IFERROR(F9/E9,""))</x:f>
      </x:c>
      <x:c r="L9" s="20" t="str">
        <x:f>IF(A9="","",IFERROR((G9+H9)/E9,""))</x:f>
      </x:c>
      <x:c r="M9" s="18"/>
      <x:c r="N9" s="28" t="str">
        <x:f>IF(A9="","",IFERROR(I9*SWITCH(M9,"FE-WASTE-CH4-001",0.0009,0)*SWITCH(M9,"FE-WASTE-CH4-001",28,1),0))</x:f>
      </x:c>
      <x:c r="O9" s="18"/>
      <x:c r="P9" s="18"/>
      <x:c r="Q9" s="18" t="str">
        <x:f>IF(A9="","",IF(OR(E9="",F9="",O9="",P9="D - Faible"),"Donnees manquantes","OK"))</x:f>
      </x:c>
    </x:row>
    <x:row r="10">
      <x:c r="A10" s="18"/>
      <x:c r="B10" s="18"/>
      <x:c r="C10" s="18"/>
      <x:c r="D10" s="18"/>
      <x:c r="E10" s="22"/>
      <x:c r="F10" s="22"/>
      <x:c r="G10" s="22"/>
      <x:c r="H10" s="22"/>
      <x:c r="I10" s="22"/>
      <x:c r="J10" s="22"/>
      <x:c r="K10" s="20" t="str">
        <x:f>IF(A10="","",IFERROR(F10/E10,""))</x:f>
      </x:c>
      <x:c r="L10" s="20" t="str">
        <x:f>IF(A10="","",IFERROR((G10+H10)/E10,""))</x:f>
      </x:c>
      <x:c r="M10" s="18"/>
      <x:c r="N10" s="28" t="str">
        <x:f>IF(A10="","",IFERROR(I10*SWITCH(M10,"FE-WASTE-CH4-001",0.0009,0)*SWITCH(M10,"FE-WASTE-CH4-001",28,1),0))</x:f>
      </x:c>
      <x:c r="O10" s="18"/>
      <x:c r="P10" s="18"/>
      <x:c r="Q10" s="18" t="str">
        <x:f>IF(A10="","",IF(OR(E10="",F10="",O10="",P10="D - Faible"),"Donnees manquantes","OK"))</x:f>
      </x:c>
    </x:row>
    <x:row r="11">
      <x:c r="A11" s="18"/>
      <x:c r="B11" s="18"/>
      <x:c r="C11" s="18"/>
      <x:c r="D11" s="18"/>
      <x:c r="E11" s="22"/>
      <x:c r="F11" s="22"/>
      <x:c r="G11" s="22"/>
      <x:c r="H11" s="22"/>
      <x:c r="I11" s="22"/>
      <x:c r="J11" s="22"/>
      <x:c r="K11" s="20" t="str">
        <x:f>IF(A11="","",IFERROR(F11/E11,""))</x:f>
      </x:c>
      <x:c r="L11" s="20" t="str">
        <x:f>IF(A11="","",IFERROR((G11+H11)/E11,""))</x:f>
      </x:c>
      <x:c r="M11" s="18"/>
      <x:c r="N11" s="28" t="str">
        <x:f>IF(A11="","",IFERROR(I11*SWITCH(M11,"FE-WASTE-CH4-001",0.0009,0)*SWITCH(M11,"FE-WASTE-CH4-001",28,1),0))</x:f>
      </x:c>
      <x:c r="O11" s="18"/>
      <x:c r="P11" s="18"/>
      <x:c r="Q11" s="18" t="str">
        <x:f>IF(A11="","",IF(OR(E11="",F11="",O11="",P11="D - Faible"),"Donnees manquantes","OK"))</x:f>
      </x:c>
    </x:row>
    <x:row r="12">
      <x:c r="A12" s="18"/>
      <x:c r="B12" s="18"/>
      <x:c r="C12" s="18"/>
      <x:c r="D12" s="18"/>
      <x:c r="E12" s="22"/>
      <x:c r="F12" s="22"/>
      <x:c r="G12" s="22"/>
      <x:c r="H12" s="22"/>
      <x:c r="I12" s="22"/>
      <x:c r="J12" s="22"/>
      <x:c r="K12" s="20" t="str">
        <x:f>IF(A12="","",IFERROR(F12/E12,""))</x:f>
      </x:c>
      <x:c r="L12" s="20" t="str">
        <x:f>IF(A12="","",IFERROR((G12+H12)/E12,""))</x:f>
      </x:c>
      <x:c r="M12" s="18"/>
      <x:c r="N12" s="28" t="str">
        <x:f>IF(A12="","",IFERROR(I12*SWITCH(M12,"FE-WASTE-CH4-001",0.0009,0)*SWITCH(M12,"FE-WASTE-CH4-001",28,1),0))</x:f>
      </x:c>
      <x:c r="O12" s="18"/>
      <x:c r="P12" s="18"/>
      <x:c r="Q12" s="18" t="str">
        <x:f>IF(A12="","",IF(OR(E12="",F12="",O12="",P12="D - Faible"),"Donnees manquantes","OK"))</x:f>
      </x:c>
    </x:row>
    <x:row r="13">
      <x:c r="A13" s="18"/>
      <x:c r="B13" s="18"/>
      <x:c r="C13" s="18"/>
      <x:c r="D13" s="18"/>
      <x:c r="E13" s="22"/>
      <x:c r="F13" s="22"/>
      <x:c r="G13" s="22"/>
      <x:c r="H13" s="22"/>
      <x:c r="I13" s="22"/>
      <x:c r="J13" s="22"/>
      <x:c r="K13" s="20" t="str">
        <x:f>IF(A13="","",IFERROR(F13/E13,""))</x:f>
      </x:c>
      <x:c r="L13" s="20" t="str">
        <x:f>IF(A13="","",IFERROR((G13+H13)/E13,""))</x:f>
      </x:c>
      <x:c r="M13" s="18"/>
      <x:c r="N13" s="28" t="str">
        <x:f>IF(A13="","",IFERROR(I13*SWITCH(M13,"FE-WASTE-CH4-001",0.0009,0)*SWITCH(M13,"FE-WASTE-CH4-001",28,1),0))</x:f>
      </x:c>
      <x:c r="O13" s="18"/>
      <x:c r="P13" s="18"/>
      <x:c r="Q13" s="18" t="str">
        <x:f>IF(A13="","",IF(OR(E13="",F13="",O13="",P13="D - Faible"),"Donnees manquantes","OK"))</x:f>
      </x:c>
    </x:row>
    <x:row r="14">
      <x:c r="A14" s="18"/>
      <x:c r="B14" s="18"/>
      <x:c r="C14" s="18"/>
      <x:c r="D14" s="18"/>
      <x:c r="E14" s="22"/>
      <x:c r="F14" s="22"/>
      <x:c r="G14" s="22"/>
      <x:c r="H14" s="22"/>
      <x:c r="I14" s="22"/>
      <x:c r="J14" s="22"/>
      <x:c r="K14" s="20" t="str">
        <x:f>IF(A14="","",IFERROR(F14/E14,""))</x:f>
      </x:c>
      <x:c r="L14" s="20" t="str">
        <x:f>IF(A14="","",IFERROR((G14+H14)/E14,""))</x:f>
      </x:c>
      <x:c r="M14" s="18"/>
      <x:c r="N14" s="28" t="str">
        <x:f>IF(A14="","",IFERROR(I14*SWITCH(M14,"FE-WASTE-CH4-001",0.0009,0)*SWITCH(M14,"FE-WASTE-CH4-001",28,1),0))</x:f>
      </x:c>
      <x:c r="O14" s="18"/>
      <x:c r="P14" s="18"/>
      <x:c r="Q14" s="18" t="str">
        <x:f>IF(A14="","",IF(OR(E14="",F14="",O14="",P14="D - Faible"),"Donnees manquantes","OK"))</x:f>
      </x:c>
    </x:row>
    <x:row r="15">
      <x:c r="A15" s="18"/>
      <x:c r="B15" s="18"/>
      <x:c r="C15" s="18"/>
      <x:c r="D15" s="18"/>
      <x:c r="E15" s="22"/>
      <x:c r="F15" s="22"/>
      <x:c r="G15" s="22"/>
      <x:c r="H15" s="22"/>
      <x:c r="I15" s="22"/>
      <x:c r="J15" s="22"/>
      <x:c r="K15" s="20" t="str">
        <x:f>IF(A15="","",IFERROR(F15/E15,""))</x:f>
      </x:c>
      <x:c r="L15" s="20" t="str">
        <x:f>IF(A15="","",IFERROR((G15+H15)/E15,""))</x:f>
      </x:c>
      <x:c r="M15" s="18"/>
      <x:c r="N15" s="28" t="str">
        <x:f>IF(A15="","",IFERROR(I15*SWITCH(M15,"FE-WASTE-CH4-001",0.0009,0)*SWITCH(M15,"FE-WASTE-CH4-001",28,1),0))</x:f>
      </x:c>
      <x:c r="O15" s="18"/>
      <x:c r="P15" s="18"/>
      <x:c r="Q15" s="18" t="str">
        <x:f>IF(A15="","",IF(OR(E15="",F15="",O15="",P15="D - Faible"),"Donnees manquantes","OK"))</x:f>
      </x:c>
    </x:row>
    <x:row r="16">
      <x:c r="A16" s="18"/>
      <x:c r="B16" s="18"/>
      <x:c r="C16" s="18"/>
      <x:c r="D16" s="18"/>
      <x:c r="E16" s="22"/>
      <x:c r="F16" s="22"/>
      <x:c r="G16" s="22"/>
      <x:c r="H16" s="22"/>
      <x:c r="I16" s="22"/>
      <x:c r="J16" s="22"/>
      <x:c r="K16" s="20" t="str">
        <x:f>IF(A16="","",IFERROR(F16/E16,""))</x:f>
      </x:c>
      <x:c r="L16" s="20" t="str">
        <x:f>IF(A16="","",IFERROR((G16+H16)/E16,""))</x:f>
      </x:c>
      <x:c r="M16" s="18"/>
      <x:c r="N16" s="28" t="str">
        <x:f>IF(A16="","",IFERROR(I16*SWITCH(M16,"FE-WASTE-CH4-001",0.0009,0)*SWITCH(M16,"FE-WASTE-CH4-001",28,1),0))</x:f>
      </x:c>
      <x:c r="O16" s="18"/>
      <x:c r="P16" s="18"/>
      <x:c r="Q16" s="18" t="str">
        <x:f>IF(A16="","",IF(OR(E16="",F16="",O16="",P16="D - Faible"),"Donnees manquantes","OK"))</x:f>
      </x:c>
    </x:row>
    <x:row r="17">
      <x:c r="A17" s="18"/>
      <x:c r="B17" s="18"/>
      <x:c r="C17" s="18"/>
      <x:c r="D17" s="18"/>
      <x:c r="E17" s="22"/>
      <x:c r="F17" s="22"/>
      <x:c r="G17" s="22"/>
      <x:c r="H17" s="22"/>
      <x:c r="I17" s="22"/>
      <x:c r="J17" s="22"/>
      <x:c r="K17" s="20" t="str">
        <x:f>IF(A17="","",IFERROR(F17/E17,""))</x:f>
      </x:c>
      <x:c r="L17" s="20" t="str">
        <x:f>IF(A17="","",IFERROR((G17+H17)/E17,""))</x:f>
      </x:c>
      <x:c r="M17" s="18"/>
      <x:c r="N17" s="28" t="str">
        <x:f>IF(A17="","",IFERROR(I17*SWITCH(M17,"FE-WASTE-CH4-001",0.0009,0)*SWITCH(M17,"FE-WASTE-CH4-001",28,1),0))</x:f>
      </x:c>
      <x:c r="O17" s="18"/>
      <x:c r="P17" s="18"/>
      <x:c r="Q17" s="18" t="str">
        <x:f>IF(A17="","",IF(OR(E17="",F17="",O17="",P17="D - Faible"),"Donnees manquantes","OK"))</x:f>
      </x:c>
    </x:row>
    <x:row r="18">
      <x:c r="A18" s="18"/>
      <x:c r="B18" s="18"/>
      <x:c r="C18" s="18"/>
      <x:c r="D18" s="18"/>
      <x:c r="E18" s="22"/>
      <x:c r="F18" s="22"/>
      <x:c r="G18" s="22"/>
      <x:c r="H18" s="22"/>
      <x:c r="I18" s="22"/>
      <x:c r="J18" s="22"/>
      <x:c r="K18" s="20" t="str">
        <x:f>IF(A18="","",IFERROR(F18/E18,""))</x:f>
      </x:c>
      <x:c r="L18" s="20" t="str">
        <x:f>IF(A18="","",IFERROR((G18+H18)/E18,""))</x:f>
      </x:c>
      <x:c r="M18" s="18"/>
      <x:c r="N18" s="28" t="str">
        <x:f>IF(A18="","",IFERROR(I18*SWITCH(M18,"FE-WASTE-CH4-001",0.0009,0)*SWITCH(M18,"FE-WASTE-CH4-001",28,1),0))</x:f>
      </x:c>
      <x:c r="O18" s="18"/>
      <x:c r="P18" s="18"/>
      <x:c r="Q18" s="18" t="str">
        <x:f>IF(A18="","",IF(OR(E18="",F18="",O18="",P18="D - Faible"),"Donnees manquantes","OK"))</x:f>
      </x:c>
    </x:row>
    <x:row r="19">
      <x:c r="A19" s="18"/>
      <x:c r="B19" s="18"/>
      <x:c r="C19" s="18"/>
      <x:c r="D19" s="18"/>
      <x:c r="E19" s="22"/>
      <x:c r="F19" s="22"/>
      <x:c r="G19" s="22"/>
      <x:c r="H19" s="22"/>
      <x:c r="I19" s="22"/>
      <x:c r="J19" s="22"/>
      <x:c r="K19" s="20" t="str">
        <x:f>IF(A19="","",IFERROR(F19/E19,""))</x:f>
      </x:c>
      <x:c r="L19" s="20" t="str">
        <x:f>IF(A19="","",IFERROR((G19+H19)/E19,""))</x:f>
      </x:c>
      <x:c r="M19" s="18"/>
      <x:c r="N19" s="28" t="str">
        <x:f>IF(A19="","",IFERROR(I19*SWITCH(M19,"FE-WASTE-CH4-001",0.0009,0)*SWITCH(M19,"FE-WASTE-CH4-001",28,1),0))</x:f>
      </x:c>
      <x:c r="O19" s="18"/>
      <x:c r="P19" s="18"/>
      <x:c r="Q19" s="18" t="str">
        <x:f>IF(A19="","",IF(OR(E19="",F19="",O19="",P19="D - Faible"),"Donnees manquantes","OK"))</x:f>
      </x:c>
    </x:row>
    <x:row r="20">
      <x:c r="A20" s="18"/>
      <x:c r="B20" s="18"/>
      <x:c r="C20" s="18"/>
      <x:c r="D20" s="18"/>
      <x:c r="E20" s="22"/>
      <x:c r="F20" s="22"/>
      <x:c r="G20" s="22"/>
      <x:c r="H20" s="22"/>
      <x:c r="I20" s="22"/>
      <x:c r="J20" s="22"/>
      <x:c r="K20" s="20" t="str">
        <x:f>IF(A20="","",IFERROR(F20/E20,""))</x:f>
      </x:c>
      <x:c r="L20" s="20" t="str">
        <x:f>IF(A20="","",IFERROR((G20+H20)/E20,""))</x:f>
      </x:c>
      <x:c r="M20" s="18"/>
      <x:c r="N20" s="28" t="str">
        <x:f>IF(A20="","",IFERROR(I20*SWITCH(M20,"FE-WASTE-CH4-001",0.0009,0)*SWITCH(M20,"FE-WASTE-CH4-001",28,1),0))</x:f>
      </x:c>
      <x:c r="O20" s="18"/>
      <x:c r="P20" s="18"/>
      <x:c r="Q20" s="18" t="str">
        <x:f>IF(A20="","",IF(OR(E20="",F20="",O20="",P20="D - Faible"),"Donnees manquantes","OK"))</x:f>
      </x:c>
    </x:row>
    <x:row r="21">
      <x:c r="A21" s="18"/>
      <x:c r="B21" s="18"/>
      <x:c r="C21" s="18"/>
      <x:c r="D21" s="18"/>
      <x:c r="E21" s="22"/>
      <x:c r="F21" s="22"/>
      <x:c r="G21" s="22"/>
      <x:c r="H21" s="22"/>
      <x:c r="I21" s="22"/>
      <x:c r="J21" s="22"/>
      <x:c r="K21" s="20" t="str">
        <x:f>IF(A21="","",IFERROR(F21/E21,""))</x:f>
      </x:c>
      <x:c r="L21" s="20" t="str">
        <x:f>IF(A21="","",IFERROR((G21+H21)/E21,""))</x:f>
      </x:c>
      <x:c r="M21" s="18"/>
      <x:c r="N21" s="28" t="str">
        <x:f>IF(A21="","",IFERROR(I21*SWITCH(M21,"FE-WASTE-CH4-001",0.0009,0)*SWITCH(M21,"FE-WASTE-CH4-001",28,1),0))</x:f>
      </x:c>
      <x:c r="O21" s="18"/>
      <x:c r="P21" s="18"/>
      <x:c r="Q21" s="18" t="str">
        <x:f>IF(A21="","",IF(OR(E21="",F21="",O21="",P21="D - Faible"),"Donnees manquantes","OK"))</x:f>
      </x:c>
    </x:row>
    <x:row r="22">
      <x:c r="A22" s="18"/>
      <x:c r="B22" s="18"/>
      <x:c r="C22" s="18"/>
      <x:c r="D22" s="18"/>
      <x:c r="E22" s="22"/>
      <x:c r="F22" s="22"/>
      <x:c r="G22" s="22"/>
      <x:c r="H22" s="22"/>
      <x:c r="I22" s="22"/>
      <x:c r="J22" s="22"/>
      <x:c r="K22" s="20" t="str">
        <x:f>IF(A22="","",IFERROR(F22/E22,""))</x:f>
      </x:c>
      <x:c r="L22" s="20" t="str">
        <x:f>IF(A22="","",IFERROR((G22+H22)/E22,""))</x:f>
      </x:c>
      <x:c r="M22" s="18"/>
      <x:c r="N22" s="28" t="str">
        <x:f>IF(A22="","",IFERROR(I22*SWITCH(M22,"FE-WASTE-CH4-001",0.0009,0)*SWITCH(M22,"FE-WASTE-CH4-001",28,1),0))</x:f>
      </x:c>
      <x:c r="O22" s="18"/>
      <x:c r="P22" s="18"/>
      <x:c r="Q22" s="18" t="str">
        <x:f>IF(A22="","",IF(OR(E22="",F22="",O22="",P22="D - Faible"),"Donnees manquantes","OK"))</x:f>
      </x:c>
    </x:row>
    <x:row r="23">
      <x:c r="A23" s="18"/>
      <x:c r="B23" s="18"/>
      <x:c r="C23" s="18"/>
      <x:c r="D23" s="18"/>
      <x:c r="E23" s="22"/>
      <x:c r="F23" s="22"/>
      <x:c r="G23" s="22"/>
      <x:c r="H23" s="22"/>
      <x:c r="I23" s="22"/>
      <x:c r="J23" s="22"/>
      <x:c r="K23" s="20" t="str">
        <x:f>IF(A23="","",IFERROR(F23/E23,""))</x:f>
      </x:c>
      <x:c r="L23" s="20" t="str">
        <x:f>IF(A23="","",IFERROR((G23+H23)/E23,""))</x:f>
      </x:c>
      <x:c r="M23" s="18"/>
      <x:c r="N23" s="28" t="str">
        <x:f>IF(A23="","",IFERROR(I23*SWITCH(M23,"FE-WASTE-CH4-001",0.0009,0)*SWITCH(M23,"FE-WASTE-CH4-001",28,1),0))</x:f>
      </x:c>
      <x:c r="O23" s="18"/>
      <x:c r="P23" s="18"/>
      <x:c r="Q23" s="18" t="str">
        <x:f>IF(A23="","",IF(OR(E23="",F23="",O23="",P23="D - Faible"),"Donnees manquantes","OK"))</x:f>
      </x:c>
    </x:row>
    <x:row r="24">
      <x:c r="A24" s="18"/>
      <x:c r="B24" s="18"/>
      <x:c r="C24" s="18"/>
      <x:c r="D24" s="18"/>
      <x:c r="E24" s="22"/>
      <x:c r="F24" s="22"/>
      <x:c r="G24" s="22"/>
      <x:c r="H24" s="22"/>
      <x:c r="I24" s="22"/>
      <x:c r="J24" s="22"/>
      <x:c r="K24" s="20" t="str">
        <x:f>IF(A24="","",IFERROR(F24/E24,""))</x:f>
      </x:c>
      <x:c r="L24" s="20" t="str">
        <x:f>IF(A24="","",IFERROR((G24+H24)/E24,""))</x:f>
      </x:c>
      <x:c r="M24" s="18"/>
      <x:c r="N24" s="28" t="str">
        <x:f>IF(A24="","",IFERROR(I24*SWITCH(M24,"FE-WASTE-CH4-001",0.0009,0)*SWITCH(M24,"FE-WASTE-CH4-001",28,1),0))</x:f>
      </x:c>
      <x:c r="O24" s="18"/>
      <x:c r="P24" s="18"/>
      <x:c r="Q24" s="18" t="str">
        <x:f>IF(A24="","",IF(OR(E24="",F24="",O24="",P24="D - Faible"),"Donnees manquantes","OK"))</x:f>
      </x:c>
    </x:row>
    <x:row r="25">
      <x:c r="A25" s="18"/>
      <x:c r="B25" s="18"/>
      <x:c r="C25" s="18"/>
      <x:c r="D25" s="18"/>
      <x:c r="E25" s="22"/>
      <x:c r="F25" s="22"/>
      <x:c r="G25" s="22"/>
      <x:c r="H25" s="22"/>
      <x:c r="I25" s="22"/>
      <x:c r="J25" s="22"/>
      <x:c r="K25" s="20" t="str">
        <x:f>IF(A25="","",IFERROR(F25/E25,""))</x:f>
      </x:c>
      <x:c r="L25" s="20" t="str">
        <x:f>IF(A25="","",IFERROR((G25+H25)/E25,""))</x:f>
      </x:c>
      <x:c r="M25" s="18"/>
      <x:c r="N25" s="28" t="str">
        <x:f>IF(A25="","",IFERROR(I25*SWITCH(M25,"FE-WASTE-CH4-001",0.0009,0)*SWITCH(M25,"FE-WASTE-CH4-001",28,1),0))</x:f>
      </x:c>
      <x:c r="O25" s="18"/>
      <x:c r="P25" s="18"/>
      <x:c r="Q25" s="18" t="str">
        <x:f>IF(A25="","",IF(OR(E25="",F25="",O25="",P25="D - Faible"),"Donnees manquantes","OK"))</x:f>
      </x:c>
    </x:row>
    <x:row r="26">
      <x:c r="A26" s="18"/>
      <x:c r="B26" s="18"/>
      <x:c r="C26" s="18"/>
      <x:c r="D26" s="18"/>
      <x:c r="E26" s="22"/>
      <x:c r="F26" s="22"/>
      <x:c r="G26" s="22"/>
      <x:c r="H26" s="22"/>
      <x:c r="I26" s="22"/>
      <x:c r="J26" s="22"/>
      <x:c r="K26" s="20" t="str">
        <x:f>IF(A26="","",IFERROR(F26/E26,""))</x:f>
      </x:c>
      <x:c r="L26" s="20" t="str">
        <x:f>IF(A26="","",IFERROR((G26+H26)/E26,""))</x:f>
      </x:c>
      <x:c r="M26" s="18"/>
      <x:c r="N26" s="28" t="str">
        <x:f>IF(A26="","",IFERROR(I26*SWITCH(M26,"FE-WASTE-CH4-001",0.0009,0)*SWITCH(M26,"FE-WASTE-CH4-001",28,1),0))</x:f>
      </x:c>
      <x:c r="O26" s="18"/>
      <x:c r="P26" s="18"/>
      <x:c r="Q26" s="18" t="str">
        <x:f>IF(A26="","",IF(OR(E26="",F26="",O26="",P26="D - Faible"),"Donnees manquantes","OK"))</x:f>
      </x:c>
    </x:row>
    <x:row r="27">
      <x:c r="A27" s="18"/>
      <x:c r="B27" s="18"/>
      <x:c r="C27" s="18"/>
      <x:c r="D27" s="18"/>
      <x:c r="E27" s="22"/>
      <x:c r="F27" s="22"/>
      <x:c r="G27" s="22"/>
      <x:c r="H27" s="22"/>
      <x:c r="I27" s="22"/>
      <x:c r="J27" s="22"/>
      <x:c r="K27" s="20" t="str">
        <x:f>IF(A27="","",IFERROR(F27/E27,""))</x:f>
      </x:c>
      <x:c r="L27" s="20" t="str">
        <x:f>IF(A27="","",IFERROR((G27+H27)/E27,""))</x:f>
      </x:c>
      <x:c r="M27" s="18"/>
      <x:c r="N27" s="28" t="str">
        <x:f>IF(A27="","",IFERROR(I27*SWITCH(M27,"FE-WASTE-CH4-001",0.0009,0)*SWITCH(M27,"FE-WASTE-CH4-001",28,1),0))</x:f>
      </x:c>
      <x:c r="O27" s="18"/>
      <x:c r="P27" s="18"/>
      <x:c r="Q27" s="18" t="str">
        <x:f>IF(A27="","",IF(OR(E27="",F27="",O27="",P27="D - Faible"),"Donnees manquantes","OK"))</x:f>
      </x:c>
    </x:row>
    <x:row r="28">
      <x:c r="A28" s="18"/>
      <x:c r="B28" s="18"/>
      <x:c r="C28" s="18"/>
      <x:c r="D28" s="18"/>
      <x:c r="E28" s="22"/>
      <x:c r="F28" s="22"/>
      <x:c r="G28" s="22"/>
      <x:c r="H28" s="22"/>
      <x:c r="I28" s="22"/>
      <x:c r="J28" s="22"/>
      <x:c r="K28" s="20" t="str">
        <x:f>IF(A28="","",IFERROR(F28/E28,""))</x:f>
      </x:c>
      <x:c r="L28" s="20" t="str">
        <x:f>IF(A28="","",IFERROR((G28+H28)/E28,""))</x:f>
      </x:c>
      <x:c r="M28" s="18"/>
      <x:c r="N28" s="28" t="str">
        <x:f>IF(A28="","",IFERROR(I28*SWITCH(M28,"FE-WASTE-CH4-001",0.0009,0)*SWITCH(M28,"FE-WASTE-CH4-001",28,1),0))</x:f>
      </x:c>
      <x:c r="O28" s="18"/>
      <x:c r="P28" s="18"/>
      <x:c r="Q28" s="18" t="str">
        <x:f>IF(A28="","",IF(OR(E28="",F28="",O28="",P28="D - Faible"),"Donnees manquantes","OK"))</x:f>
      </x:c>
    </x:row>
    <x:row r="29">
      <x:c r="A29" s="18"/>
      <x:c r="B29" s="18"/>
      <x:c r="C29" s="18"/>
      <x:c r="D29" s="18"/>
      <x:c r="E29" s="22"/>
      <x:c r="F29" s="22"/>
      <x:c r="G29" s="22"/>
      <x:c r="H29" s="22"/>
      <x:c r="I29" s="22"/>
      <x:c r="J29" s="22"/>
      <x:c r="K29" s="20" t="str">
        <x:f>IF(A29="","",IFERROR(F29/E29,""))</x:f>
      </x:c>
      <x:c r="L29" s="20" t="str">
        <x:f>IF(A29="","",IFERROR((G29+H29)/E29,""))</x:f>
      </x:c>
      <x:c r="M29" s="18"/>
      <x:c r="N29" s="28" t="str">
        <x:f>IF(A29="","",IFERROR(I29*SWITCH(M29,"FE-WASTE-CH4-001",0.0009,0)*SWITCH(M29,"FE-WASTE-CH4-001",28,1),0))</x:f>
      </x:c>
      <x:c r="O29" s="18"/>
      <x:c r="P29" s="18"/>
      <x:c r="Q29" s="18" t="str">
        <x:f>IF(A29="","",IF(OR(E29="",F29="",O29="",P29="D - Faible"),"Donnees manquantes","OK"))</x:f>
      </x:c>
    </x:row>
    <x:row r="30">
      <x:c r="A30" s="18"/>
      <x:c r="B30" s="18"/>
      <x:c r="C30" s="18"/>
      <x:c r="D30" s="18"/>
      <x:c r="E30" s="22"/>
      <x:c r="F30" s="22"/>
      <x:c r="G30" s="22"/>
      <x:c r="H30" s="22"/>
      <x:c r="I30" s="22"/>
      <x:c r="J30" s="22"/>
      <x:c r="K30" s="20" t="str">
        <x:f>IF(A30="","",IFERROR(F30/E30,""))</x:f>
      </x:c>
      <x:c r="L30" s="20" t="str">
        <x:f>IF(A30="","",IFERROR((G30+H30)/E30,""))</x:f>
      </x:c>
      <x:c r="M30" s="18"/>
      <x:c r="N30" s="28" t="str">
        <x:f>IF(A30="","",IFERROR(I30*SWITCH(M30,"FE-WASTE-CH4-001",0.0009,0)*SWITCH(M30,"FE-WASTE-CH4-001",28,1),0))</x:f>
      </x:c>
      <x:c r="O30" s="18"/>
      <x:c r="P30" s="18"/>
      <x:c r="Q30" s="18" t="str">
        <x:f>IF(A30="","",IF(OR(E30="",F30="",O30="",P30="D - Faible"),"Donnees manquantes","OK"))</x:f>
      </x:c>
    </x:row>
    <x:row r="31">
      <x:c r="A31" s="18"/>
      <x:c r="B31" s="18"/>
      <x:c r="C31" s="18"/>
      <x:c r="D31" s="18"/>
      <x:c r="E31" s="22"/>
      <x:c r="F31" s="22"/>
      <x:c r="G31" s="22"/>
      <x:c r="H31" s="22"/>
      <x:c r="I31" s="22"/>
      <x:c r="J31" s="22"/>
      <x:c r="K31" s="20" t="str">
        <x:f>IF(A31="","",IFERROR(F31/E31,""))</x:f>
      </x:c>
      <x:c r="L31" s="20" t="str">
        <x:f>IF(A31="","",IFERROR((G31+H31)/E31,""))</x:f>
      </x:c>
      <x:c r="M31" s="18"/>
      <x:c r="N31" s="28" t="str">
        <x:f>IF(A31="","",IFERROR(I31*SWITCH(M31,"FE-WASTE-CH4-001",0.0009,0)*SWITCH(M31,"FE-WASTE-CH4-001",28,1),0))</x:f>
      </x:c>
      <x:c r="O31" s="18"/>
      <x:c r="P31" s="18"/>
      <x:c r="Q31" s="18" t="str">
        <x:f>IF(A31="","",IF(OR(E31="",F31="",O31="",P31="D - Faible"),"Donnees manquantes","OK"))</x:f>
      </x:c>
    </x:row>
    <x:row r="32">
      <x:c r="A32" s="18"/>
      <x:c r="B32" s="18"/>
      <x:c r="C32" s="18"/>
      <x:c r="D32" s="18"/>
      <x:c r="E32" s="22"/>
      <x:c r="F32" s="22"/>
      <x:c r="G32" s="22"/>
      <x:c r="H32" s="22"/>
      <x:c r="I32" s="22"/>
      <x:c r="J32" s="22"/>
      <x:c r="K32" s="20" t="str">
        <x:f>IF(A32="","",IFERROR(F32/E32,""))</x:f>
      </x:c>
      <x:c r="L32" s="20" t="str">
        <x:f>IF(A32="","",IFERROR((G32+H32)/E32,""))</x:f>
      </x:c>
      <x:c r="M32" s="18"/>
      <x:c r="N32" s="28" t="str">
        <x:f>IF(A32="","",IFERROR(I32*SWITCH(M32,"FE-WASTE-CH4-001",0.0009,0)*SWITCH(M32,"FE-WASTE-CH4-001",28,1),0))</x:f>
      </x:c>
      <x:c r="O32" s="18"/>
      <x:c r="P32" s="18"/>
      <x:c r="Q32" s="18" t="str">
        <x:f>IF(A32="","",IF(OR(E32="",F32="",O32="",P32="D - Faible"),"Donnees manquantes","OK"))</x:f>
      </x:c>
    </x:row>
    <x:row r="33">
      <x:c r="A33" s="18"/>
      <x:c r="B33" s="18"/>
      <x:c r="C33" s="18"/>
      <x:c r="D33" s="18"/>
      <x:c r="E33" s="22"/>
      <x:c r="F33" s="22"/>
      <x:c r="G33" s="22"/>
      <x:c r="H33" s="22"/>
      <x:c r="I33" s="22"/>
      <x:c r="J33" s="22"/>
      <x:c r="K33" s="20" t="str">
        <x:f>IF(A33="","",IFERROR(F33/E33,""))</x:f>
      </x:c>
      <x:c r="L33" s="20" t="str">
        <x:f>IF(A33="","",IFERROR((G33+H33)/E33,""))</x:f>
      </x:c>
      <x:c r="M33" s="18"/>
      <x:c r="N33" s="28" t="str">
        <x:f>IF(A33="","",IFERROR(I33*SWITCH(M33,"FE-WASTE-CH4-001",0.0009,0)*SWITCH(M33,"FE-WASTE-CH4-001",28,1),0))</x:f>
      </x:c>
      <x:c r="O33" s="18"/>
      <x:c r="P33" s="18"/>
      <x:c r="Q33" s="18" t="str">
        <x:f>IF(A33="","",IF(OR(E33="",F33="",O33="",P33="D - Faible"),"Donnees manquantes","OK"))</x:f>
      </x:c>
    </x:row>
    <x:row r="34">
      <x:c r="A34" s="18"/>
      <x:c r="B34" s="18"/>
      <x:c r="C34" s="18"/>
      <x:c r="D34" s="18"/>
      <x:c r="E34" s="22"/>
      <x:c r="F34" s="22"/>
      <x:c r="G34" s="22"/>
      <x:c r="H34" s="22"/>
      <x:c r="I34" s="22"/>
      <x:c r="J34" s="22"/>
      <x:c r="K34" s="20" t="str">
        <x:f>IF(A34="","",IFERROR(F34/E34,""))</x:f>
      </x:c>
      <x:c r="L34" s="20" t="str">
        <x:f>IF(A34="","",IFERROR((G34+H34)/E34,""))</x:f>
      </x:c>
      <x:c r="M34" s="18"/>
      <x:c r="N34" s="28" t="str">
        <x:f>IF(A34="","",IFERROR(I34*SWITCH(M34,"FE-WASTE-CH4-001",0.0009,0)*SWITCH(M34,"FE-WASTE-CH4-001",28,1),0))</x:f>
      </x:c>
      <x:c r="O34" s="18"/>
      <x:c r="P34" s="18"/>
      <x:c r="Q34" s="18" t="str">
        <x:f>IF(A34="","",IF(OR(E34="",F34="",O34="",P34="D - Faible"),"Donnees manquantes","OK"))</x:f>
      </x:c>
    </x:row>
    <x:row r="35">
      <x:c r="A35" s="18"/>
      <x:c r="B35" s="18"/>
      <x:c r="C35" s="18"/>
      <x:c r="D35" s="18"/>
      <x:c r="E35" s="22"/>
      <x:c r="F35" s="22"/>
      <x:c r="G35" s="22"/>
      <x:c r="H35" s="22"/>
      <x:c r="I35" s="22"/>
      <x:c r="J35" s="22"/>
      <x:c r="K35" s="20" t="str">
        <x:f>IF(A35="","",IFERROR(F35/E35,""))</x:f>
      </x:c>
      <x:c r="L35" s="20" t="str">
        <x:f>IF(A35="","",IFERROR((G35+H35)/E35,""))</x:f>
      </x:c>
      <x:c r="M35" s="18"/>
      <x:c r="N35" s="28" t="str">
        <x:f>IF(A35="","",IFERROR(I35*SWITCH(M35,"FE-WASTE-CH4-001",0.0009,0)*SWITCH(M35,"FE-WASTE-CH4-001",28,1),0))</x:f>
      </x:c>
      <x:c r="O35" s="18"/>
      <x:c r="P35" s="18"/>
      <x:c r="Q35" s="18" t="str">
        <x:f>IF(A35="","",IF(OR(E35="",F35="",O35="",P35="D - Faible"),"Donnees manquantes","OK"))</x:f>
      </x:c>
    </x:row>
    <x:row r="36">
      <x:c r="A36" s="18"/>
      <x:c r="B36" s="18"/>
      <x:c r="C36" s="18"/>
      <x:c r="D36" s="18"/>
      <x:c r="E36" s="22"/>
      <x:c r="F36" s="22"/>
      <x:c r="G36" s="22"/>
      <x:c r="H36" s="22"/>
      <x:c r="I36" s="22"/>
      <x:c r="J36" s="22"/>
      <x:c r="K36" s="20" t="str">
        <x:f>IF(A36="","",IFERROR(F36/E36,""))</x:f>
      </x:c>
      <x:c r="L36" s="20" t="str">
        <x:f>IF(A36="","",IFERROR((G36+H36)/E36,""))</x:f>
      </x:c>
      <x:c r="M36" s="18"/>
      <x:c r="N36" s="28" t="str">
        <x:f>IF(A36="","",IFERROR(I36*SWITCH(M36,"FE-WASTE-CH4-001",0.0009,0)*SWITCH(M36,"FE-WASTE-CH4-001",28,1),0))</x:f>
      </x:c>
      <x:c r="O36" s="18"/>
      <x:c r="P36" s="18"/>
      <x:c r="Q36" s="18" t="str">
        <x:f>IF(A36="","",IF(OR(E36="",F36="",O36="",P36="D - Faible"),"Donnees manquantes","OK"))</x:f>
      </x:c>
    </x:row>
    <x:row r="37">
      <x:c r="A37" s="18"/>
      <x:c r="B37" s="18"/>
      <x:c r="C37" s="18"/>
      <x:c r="D37" s="18"/>
      <x:c r="E37" s="22"/>
      <x:c r="F37" s="22"/>
      <x:c r="G37" s="22"/>
      <x:c r="H37" s="22"/>
      <x:c r="I37" s="22"/>
      <x:c r="J37" s="22"/>
      <x:c r="K37" s="20" t="str">
        <x:f>IF(A37="","",IFERROR(F37/E37,""))</x:f>
      </x:c>
      <x:c r="L37" s="20" t="str">
        <x:f>IF(A37="","",IFERROR((G37+H37)/E37,""))</x:f>
      </x:c>
      <x:c r="M37" s="18"/>
      <x:c r="N37" s="28" t="str">
        <x:f>IF(A37="","",IFERROR(I37*SWITCH(M37,"FE-WASTE-CH4-001",0.0009,0)*SWITCH(M37,"FE-WASTE-CH4-001",28,1),0))</x:f>
      </x:c>
      <x:c r="O37" s="18"/>
      <x:c r="P37" s="18"/>
      <x:c r="Q37" s="18" t="str">
        <x:f>IF(A37="","",IF(OR(E37="",F37="",O37="",P37="D - Faible"),"Donnees manquantes","OK"))</x:f>
      </x:c>
    </x:row>
    <x:row r="38">
      <x:c r="A38" s="18"/>
      <x:c r="B38" s="18"/>
      <x:c r="C38" s="18"/>
      <x:c r="D38" s="18"/>
      <x:c r="E38" s="22"/>
      <x:c r="F38" s="22"/>
      <x:c r="G38" s="22"/>
      <x:c r="H38" s="22"/>
      <x:c r="I38" s="22"/>
      <x:c r="J38" s="22"/>
      <x:c r="K38" s="20" t="str">
        <x:f>IF(A38="","",IFERROR(F38/E38,""))</x:f>
      </x:c>
      <x:c r="L38" s="20" t="str">
        <x:f>IF(A38="","",IFERROR((G38+H38)/E38,""))</x:f>
      </x:c>
      <x:c r="M38" s="18"/>
      <x:c r="N38" s="28" t="str">
        <x:f>IF(A38="","",IFERROR(I38*SWITCH(M38,"FE-WASTE-CH4-001",0.0009,0)*SWITCH(M38,"FE-WASTE-CH4-001",28,1),0))</x:f>
      </x:c>
      <x:c r="O38" s="18"/>
      <x:c r="P38" s="18"/>
      <x:c r="Q38" s="18" t="str">
        <x:f>IF(A38="","",IF(OR(E38="",F38="",O38="",P38="D - Faible"),"Donnees manquantes","OK"))</x:f>
      </x:c>
    </x:row>
    <x:row r="39">
      <x:c r="A39" s="18"/>
      <x:c r="B39" s="18"/>
      <x:c r="C39" s="18"/>
      <x:c r="D39" s="18"/>
      <x:c r="E39" s="22"/>
      <x:c r="F39" s="22"/>
      <x:c r="G39" s="22"/>
      <x:c r="H39" s="22"/>
      <x:c r="I39" s="22"/>
      <x:c r="J39" s="22"/>
      <x:c r="K39" s="20" t="str">
        <x:f>IF(A39="","",IFERROR(F39/E39,""))</x:f>
      </x:c>
      <x:c r="L39" s="20" t="str">
        <x:f>IF(A39="","",IFERROR((G39+H39)/E39,""))</x:f>
      </x:c>
      <x:c r="M39" s="18"/>
      <x:c r="N39" s="28" t="str">
        <x:f>IF(A39="","",IFERROR(I39*SWITCH(M39,"FE-WASTE-CH4-001",0.0009,0)*SWITCH(M39,"FE-WASTE-CH4-001",28,1),0))</x:f>
      </x:c>
      <x:c r="O39" s="18"/>
      <x:c r="P39" s="18"/>
      <x:c r="Q39" s="18" t="str">
        <x:f>IF(A39="","",IF(OR(E39="",F39="",O39="",P39="D - Faible"),"Donnees manquantes","OK"))</x:f>
      </x:c>
    </x:row>
    <x:row r="40">
      <x:c r="A40" s="18"/>
      <x:c r="B40" s="18"/>
      <x:c r="C40" s="18"/>
      <x:c r="D40" s="18"/>
      <x:c r="E40" s="22"/>
      <x:c r="F40" s="22"/>
      <x:c r="G40" s="22"/>
      <x:c r="H40" s="22"/>
      <x:c r="I40" s="22"/>
      <x:c r="J40" s="22"/>
      <x:c r="K40" s="20" t="str">
        <x:f>IF(A40="","",IFERROR(F40/E40,""))</x:f>
      </x:c>
      <x:c r="L40" s="20" t="str">
        <x:f>IF(A40="","",IFERROR((G40+H40)/E40,""))</x:f>
      </x:c>
      <x:c r="M40" s="18"/>
      <x:c r="N40" s="28" t="str">
        <x:f>IF(A40="","",IFERROR(I40*SWITCH(M40,"FE-WASTE-CH4-001",0.0009,0)*SWITCH(M40,"FE-WASTE-CH4-001",28,1),0))</x:f>
      </x:c>
      <x:c r="O40" s="18"/>
      <x:c r="P40" s="18"/>
      <x:c r="Q40" s="18" t="str">
        <x:f>IF(A40="","",IF(OR(E40="",F40="",O40="",P40="D - Faible"),"Donnees manquantes","OK"))</x:f>
      </x:c>
    </x:row>
    <x:row r="41">
      <x:c r="A41" s="18"/>
      <x:c r="B41" s="18"/>
      <x:c r="C41" s="18"/>
      <x:c r="D41" s="18"/>
      <x:c r="E41" s="22"/>
      <x:c r="F41" s="22"/>
      <x:c r="G41" s="22"/>
      <x:c r="H41" s="22"/>
      <x:c r="I41" s="22"/>
      <x:c r="J41" s="22"/>
      <x:c r="K41" s="20" t="str">
        <x:f>IF(A41="","",IFERROR(F41/E41,""))</x:f>
      </x:c>
      <x:c r="L41" s="20" t="str">
        <x:f>IF(A41="","",IFERROR((G41+H41)/E41,""))</x:f>
      </x:c>
      <x:c r="M41" s="18"/>
      <x:c r="N41" s="28" t="str">
        <x:f>IF(A41="","",IFERROR(I41*SWITCH(M41,"FE-WASTE-CH4-001",0.0009,0)*SWITCH(M41,"FE-WASTE-CH4-001",28,1),0))</x:f>
      </x:c>
      <x:c r="O41" s="18"/>
      <x:c r="P41" s="18"/>
      <x:c r="Q41" s="18" t="str">
        <x:f>IF(A41="","",IF(OR(E41="",F41="",O41="",P41="D - Faible"),"Donnees manquantes","OK"))</x:f>
      </x:c>
    </x:row>
    <x:row r="42">
      <x:c r="A42" s="18"/>
      <x:c r="B42" s="18"/>
      <x:c r="C42" s="18"/>
      <x:c r="D42" s="18"/>
      <x:c r="E42" s="22"/>
      <x:c r="F42" s="22"/>
      <x:c r="G42" s="22"/>
      <x:c r="H42" s="22"/>
      <x:c r="I42" s="22"/>
      <x:c r="J42" s="22"/>
      <x:c r="K42" s="20" t="str">
        <x:f>IF(A42="","",IFERROR(F42/E42,""))</x:f>
      </x:c>
      <x:c r="L42" s="20" t="str">
        <x:f>IF(A42="","",IFERROR((G42+H42)/E42,""))</x:f>
      </x:c>
      <x:c r="M42" s="18"/>
      <x:c r="N42" s="28" t="str">
        <x:f>IF(A42="","",IFERROR(I42*SWITCH(M42,"FE-WASTE-CH4-001",0.0009,0)*SWITCH(M42,"FE-WASTE-CH4-001",28,1),0))</x:f>
      </x:c>
      <x:c r="O42" s="18"/>
      <x:c r="P42" s="18"/>
      <x:c r="Q42" s="18" t="str">
        <x:f>IF(A42="","",IF(OR(E42="",F42="",O42="",P42="D - Faible"),"Donnees manquantes","OK"))</x:f>
      </x:c>
    </x:row>
    <x:row r="43">
      <x:c r="A43" s="18"/>
      <x:c r="B43" s="18"/>
      <x:c r="C43" s="18"/>
      <x:c r="D43" s="18"/>
      <x:c r="E43" s="22"/>
      <x:c r="F43" s="22"/>
      <x:c r="G43" s="22"/>
      <x:c r="H43" s="22"/>
      <x:c r="I43" s="22"/>
      <x:c r="J43" s="22"/>
      <x:c r="K43" s="20" t="str">
        <x:f>IF(A43="","",IFERROR(F43/E43,""))</x:f>
      </x:c>
      <x:c r="L43" s="20" t="str">
        <x:f>IF(A43="","",IFERROR((G43+H43)/E43,""))</x:f>
      </x:c>
      <x:c r="M43" s="18"/>
      <x:c r="N43" s="28" t="str">
        <x:f>IF(A43="","",IFERROR(I43*SWITCH(M43,"FE-WASTE-CH4-001",0.0009,0)*SWITCH(M43,"FE-WASTE-CH4-001",28,1),0))</x:f>
      </x:c>
      <x:c r="O43" s="18"/>
      <x:c r="P43" s="18"/>
      <x:c r="Q43" s="18" t="str">
        <x:f>IF(A43="","",IF(OR(E43="",F43="",O43="",P43="D - Faible"),"Donnees manquantes","OK"))</x:f>
      </x:c>
    </x:row>
    <x:row r="44">
      <x:c r="A44" s="18"/>
      <x:c r="B44" s="18"/>
      <x:c r="C44" s="18"/>
      <x:c r="D44" s="18"/>
      <x:c r="E44" s="22"/>
      <x:c r="F44" s="22"/>
      <x:c r="G44" s="22"/>
      <x:c r="H44" s="22"/>
      <x:c r="I44" s="22"/>
      <x:c r="J44" s="22"/>
      <x:c r="K44" s="20" t="str">
        <x:f>IF(A44="","",IFERROR(F44/E44,""))</x:f>
      </x:c>
      <x:c r="L44" s="20" t="str">
        <x:f>IF(A44="","",IFERROR((G44+H44)/E44,""))</x:f>
      </x:c>
      <x:c r="M44" s="18"/>
      <x:c r="N44" s="28" t="str">
        <x:f>IF(A44="","",IFERROR(I44*SWITCH(M44,"FE-WASTE-CH4-001",0.0009,0)*SWITCH(M44,"FE-WASTE-CH4-001",28,1),0))</x:f>
      </x:c>
      <x:c r="O44" s="18"/>
      <x:c r="P44" s="18"/>
      <x:c r="Q44" s="18" t="str">
        <x:f>IF(A44="","",IF(OR(E44="",F44="",O44="",P44="D - Faible"),"Donnees manquantes","OK"))</x:f>
      </x:c>
    </x:row>
  </x:sheetData>
  <x:mergeCells>
    <x:mergeCell ref="A1:J1"/>
    <x:mergeCell ref="A2:J2"/>
  </x:mergeCells>
  <x:conditionalFormatting sqref="Q5:Q44">
    <x:cfRule type="containsText" dxfId="48" priority="1" operator="containsText" text="Retard"/>
    <x:cfRule type="containsText" dxfId="49" priority="2" operator="containsText" text="critique"/>
    <x:cfRule type="containsText" dxfId="50" priority="3" operator="containsText" text="manquant"/>
    <x:cfRule type="containsText" dxfId="5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D5:D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53a987a81d904174"/>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27.5" hidden="0" customWidth="1"/>
    <x:col min="3" max="3" width="16.25" hidden="0" customWidth="1"/>
    <x:col min="4" max="4" width="18.75" hidden="0" customWidth="1"/>
    <x:col min="5" max="5" width="21.25" hidden="0" customWidth="1"/>
    <x:col min="6" max="6" width="23.75" hidden="0" customWidth="1"/>
    <x:col min="7" max="7" width="15" hidden="0" customWidth="1"/>
    <x:col min="8" max="8" width="27.5" hidden="0" customWidth="1"/>
    <x:col min="9" max="9" width="16.8799991607666" hidden="0" customWidth="1"/>
    <x:col min="10" max="10" width="18.1299991607666" hidden="0" customWidth="1"/>
    <x:col min="11" max="11" width="21.25" hidden="0" customWidth="1"/>
    <x:col min="12" max="12" width="18.75" hidden="0" customWidth="1"/>
    <x:col min="13" max="13" width="14.380000114440918" hidden="0" customWidth="1"/>
    <x:col min="14" max="14" width="27.5" hidden="0" customWidth="1"/>
    <x:col min="15" max="15" width="27.5" hidden="0" customWidth="1"/>
    <x:col min="16" max="16" width="18.1299991607666" hidden="0" customWidth="1"/>
  </x:cols>
  <x:sheetData>
    <x:row r="1" ht="25.5" customHeight="1">
      <x:c r="A1" s="2" t="str">
        <x:v>Parties prenantes</x:v>
      </x:c>
      <x:c r="B1" s="2"/>
      <x:c r="C1" s="2"/>
      <x:c r="D1" s="2"/>
      <x:c r="E1" s="2"/>
      <x:c r="F1" s="2"/>
      <x:c r="G1" s="2"/>
      <x:c r="H1" s="2"/>
      <x:c r="I1" s="2"/>
      <x:c r="J1" s="2"/>
    </x:row>
    <x:row r="2" ht="31.5" customHeight="1">
      <x:c r="A2" s="5" t="str">
        <x:v>Registre des acteurs, responsabilites, engagement et coordination.</x:v>
      </x:c>
      <x:c r="B2" s="5"/>
      <x:c r="C2" s="5"/>
      <x:c r="D2" s="5"/>
      <x:c r="E2" s="5"/>
      <x:c r="F2" s="5"/>
      <x:c r="G2" s="5"/>
      <x:c r="H2" s="5"/>
      <x:c r="I2" s="5"/>
      <x:c r="J2" s="5"/>
    </x:row>
    <x:row r="4" ht="28.5" customHeight="1">
      <x:c r="A4" s="16" t="str">
        <x:v>Stakeholder_ID</x:v>
      </x:c>
      <x:c r="B4" s="16" t="str">
        <x:v>Organisation</x:v>
      </x:c>
      <x:c r="C4" s="16" t="str">
        <x:v>Type</x:v>
      </x:c>
      <x:c r="D4" s="16" t="str">
        <x:v>Contact</x:v>
      </x:c>
      <x:c r="E4" s="16" t="str">
        <x:v>Fonction</x:v>
      </x:c>
      <x:c r="F4" s="16" t="str">
        <x:v>Email_Tel</x:v>
      </x:c>
      <x:c r="G4" s="16" t="str">
        <x:v>Domaine</x:v>
      </x:c>
      <x:c r="H4" s="16" t="str">
        <x:v>Role_MRV</x:v>
      </x:c>
      <x:c r="I4" s="16" t="str">
        <x:v>Niveau_influence</x:v>
      </x:c>
      <x:c r="J4" s="16" t="str">
        <x:v>Niveau_engagement</x:v>
      </x:c>
      <x:c r="K4" s="16" t="str">
        <x:v>Projets_lies</x:v>
      </x:c>
      <x:c r="L4" s="16" t="str">
        <x:v>Frequence_coordination</x:v>
      </x:c>
      <x:c r="M4" s="16" t="str">
        <x:v>Derniere_reunion</x:v>
      </x:c>
      <x:c r="N4" s="16" t="str">
        <x:v>Prochaine_action</x:v>
      </x:c>
      <x:c r="O4" s="16" t="str">
        <x:v>Commentaires</x:v>
      </x:c>
      <x:c r="P4" s="16" t="str">
        <x:v>Alerte_engagement</x:v>
      </x:c>
    </x:row>
    <x:row r="5">
      <x:c r="A5" s="18" t="str">
        <x:v>STK-001</x:v>
      </x:c>
      <x:c r="B5" s="18" t="str">
        <x:v>Direction Environnement</x:v>
      </x:c>
      <x:c r="C5" s="18" t="str">
        <x:v>Municipalite</x:v>
      </x:c>
      <x:c r="D5" s="18" t="str">
        <x:v>A renseigner</x:v>
      </x:c>
      <x:c r="E5" s="18" t="str">
        <x:v>Point focal climat</x:v>
      </x:c>
      <x:c r="F5" s="18" t="str">
        <x:v>contact@villededakar.sn</x:v>
      </x:c>
      <x:c r="G5" s="18" t="str">
        <x:v>Reporting</x:v>
      </x:c>
      <x:c r="H5" s="18" t="str">
        <x:v>Coordination MRV</x:v>
      </x:c>
      <x:c r="I5" s="18" t="str">
        <x:v>Strategique</x:v>
      </x:c>
      <x:c r="J5" s="18" t="str">
        <x:v>Eleve</x:v>
      </x:c>
      <x:c r="K5" s="18" t="str">
        <x:v>Tous</x:v>
      </x:c>
      <x:c r="L5" s="18" t="str">
        <x:v>Mensuelle</x:v>
      </x:c>
      <x:c r="M5" s="19" t="n">
        <x:v>46152</x:v>
      </x:c>
      <x:c r="N5" s="18" t="str">
        <x:v>Valider planning reporting</x:v>
      </x:c>
      <x:c r="O5" s="18" t="str"/>
      <x:c r="P5" s="18" t="str">
        <x:f>IF(A5="","",IF(OR(J5="Faible",N5=""),"Engagement a renforcer","OK"))</x:f>
        <x:v>OK</x:v>
      </x:c>
    </x:row>
    <x:row r="6">
      <x:c r="A6" s="18" t="str">
        <x:v>STK-002</x:v>
      </x:c>
      <x:c r="B6" s="18" t="str">
        <x:v>Direction Energie</x:v>
      </x:c>
      <x:c r="C6" s="18" t="str">
        <x:v>Municipalite</x:v>
      </x:c>
      <x:c r="D6" s="18" t="str">
        <x:v>A renseigner</x:v>
      </x:c>
      <x:c r="E6" s="18" t="str">
        <x:v>Responsable energie</x:v>
      </x:c>
      <x:c r="F6" s="18" t="str">
        <x:v>energie@villededakar.sn</x:v>
      </x:c>
      <x:c r="G6" s="18" t="str">
        <x:v>Energie</x:v>
      </x:c>
      <x:c r="H6" s="18" t="str">
        <x:v>Fourniture donnees energie</x:v>
      </x:c>
      <x:c r="I6" s="18" t="str">
        <x:v>Eleve</x:v>
      </x:c>
      <x:c r="J6" s="18" t="str">
        <x:v>Eleve</x:v>
      </x:c>
      <x:c r="K6" s="18" t="str">
        <x:v>PRJ-001; PRJ-006</x:v>
      </x:c>
      <x:c r="L6" s="18" t="str">
        <x:v>Mensuelle</x:v>
      </x:c>
      <x:c r="M6" s="19" t="n">
        <x:v>46154</x:v>
      </x:c>
      <x:c r="N6" s="18" t="str">
        <x:v>Actualiser factures energie</x:v>
      </x:c>
      <x:c r="O6" s="18" t="str"/>
      <x:c r="P6" s="18" t="str">
        <x:f>IF(A6="","",IF(OR(J6="Faible",N6=""),"Engagement a renforcer","OK"))</x:f>
        <x:v>OK</x:v>
      </x:c>
    </x:row>
    <x:row r="7">
      <x:c r="A7" s="18" t="str">
        <x:v>STK-003</x:v>
      </x:c>
      <x:c r="B7" s="18" t="str">
        <x:v>Direction Mobilite</x:v>
      </x:c>
      <x:c r="C7" s="18" t="str">
        <x:v>Municipalite</x:v>
      </x:c>
      <x:c r="D7" s="18" t="str">
        <x:v>A renseigner</x:v>
      </x:c>
      <x:c r="E7" s="18" t="str">
        <x:v>Responsable mobilite</x:v>
      </x:c>
      <x:c r="F7" s="18" t="str">
        <x:v>mobilite@villededakar.sn</x:v>
      </x:c>
      <x:c r="G7" s="18" t="str">
        <x:v>Mobilite</x:v>
      </x:c>
      <x:c r="H7" s="18" t="str">
        <x:v>Fourniture donnees transport</x:v>
      </x:c>
      <x:c r="I7" s="18" t="str">
        <x:v>Eleve</x:v>
      </x:c>
      <x:c r="J7" s="18" t="str">
        <x:v>Moyen</x:v>
      </x:c>
      <x:c r="K7" s="18" t="str">
        <x:v>PRJ-003</x:v>
      </x:c>
      <x:c r="L7" s="18" t="str">
        <x:v>Trimestrielle</x:v>
      </x:c>
      <x:c r="M7" s="19" t="n">
        <x:v>46112</x:v>
      </x:c>
      <x:c r="N7" s="18" t="str">
        <x:v>Partager donnees T1</x:v>
      </x:c>
      <x:c r="O7" s="18" t="str"/>
      <x:c r="P7" s="18" t="str">
        <x:f>IF(A7="","",IF(OR(J7="Faible",N7=""),"Engagement a renforcer","OK"))</x:f>
        <x:v>OK</x:v>
      </x:c>
    </x:row>
    <x:row r="8">
      <x:c r="A8" s="18"/>
      <x:c r="B8" s="18"/>
      <x:c r="C8" s="18"/>
      <x:c r="D8" s="18"/>
      <x:c r="E8" s="18"/>
      <x:c r="F8" s="18"/>
      <x:c r="G8" s="18"/>
      <x:c r="H8" s="18"/>
      <x:c r="I8" s="18"/>
      <x:c r="J8" s="18"/>
      <x:c r="K8" s="18"/>
      <x:c r="L8" s="18"/>
      <x:c r="M8" s="19"/>
      <x:c r="N8" s="18"/>
      <x:c r="O8" s="18"/>
      <x:c r="P8" s="18" t="str">
        <x:f>IF(A8="","",IF(OR(J8="Faible",N8=""),"Engagement a renforcer","OK"))</x:f>
      </x:c>
    </x:row>
    <x:row r="9">
      <x:c r="A9" s="18"/>
      <x:c r="B9" s="18"/>
      <x:c r="C9" s="18"/>
      <x:c r="D9" s="18"/>
      <x:c r="E9" s="18"/>
      <x:c r="F9" s="18"/>
      <x:c r="G9" s="18"/>
      <x:c r="H9" s="18"/>
      <x:c r="I9" s="18"/>
      <x:c r="J9" s="18"/>
      <x:c r="K9" s="18"/>
      <x:c r="L9" s="18"/>
      <x:c r="M9" s="19"/>
      <x:c r="N9" s="18"/>
      <x:c r="O9" s="18"/>
      <x:c r="P9" s="18" t="str">
        <x:f>IF(A9="","",IF(OR(J9="Faible",N9=""),"Engagement a renforcer","OK"))</x:f>
      </x:c>
    </x:row>
    <x:row r="10">
      <x:c r="A10" s="18"/>
      <x:c r="B10" s="18"/>
      <x:c r="C10" s="18"/>
      <x:c r="D10" s="18"/>
      <x:c r="E10" s="18"/>
      <x:c r="F10" s="18"/>
      <x:c r="G10" s="18"/>
      <x:c r="H10" s="18"/>
      <x:c r="I10" s="18"/>
      <x:c r="J10" s="18"/>
      <x:c r="K10" s="18"/>
      <x:c r="L10" s="18"/>
      <x:c r="M10" s="19"/>
      <x:c r="N10" s="18"/>
      <x:c r="O10" s="18"/>
      <x:c r="P10" s="18" t="str">
        <x:f>IF(A10="","",IF(OR(J10="Faible",N10=""),"Engagement a renforcer","OK"))</x:f>
      </x:c>
    </x:row>
    <x:row r="11">
      <x:c r="A11" s="18"/>
      <x:c r="B11" s="18"/>
      <x:c r="C11" s="18"/>
      <x:c r="D11" s="18"/>
      <x:c r="E11" s="18"/>
      <x:c r="F11" s="18"/>
      <x:c r="G11" s="18"/>
      <x:c r="H11" s="18"/>
      <x:c r="I11" s="18"/>
      <x:c r="J11" s="18"/>
      <x:c r="K11" s="18"/>
      <x:c r="L11" s="18"/>
      <x:c r="M11" s="19"/>
      <x:c r="N11" s="18"/>
      <x:c r="O11" s="18"/>
      <x:c r="P11" s="18" t="str">
        <x:f>IF(A11="","",IF(OR(J11="Faible",N11=""),"Engagement a renforcer","OK"))</x:f>
      </x:c>
    </x:row>
    <x:row r="12">
      <x:c r="A12" s="18"/>
      <x:c r="B12" s="18"/>
      <x:c r="C12" s="18"/>
      <x:c r="D12" s="18"/>
      <x:c r="E12" s="18"/>
      <x:c r="F12" s="18"/>
      <x:c r="G12" s="18"/>
      <x:c r="H12" s="18"/>
      <x:c r="I12" s="18"/>
      <x:c r="J12" s="18"/>
      <x:c r="K12" s="18"/>
      <x:c r="L12" s="18"/>
      <x:c r="M12" s="19"/>
      <x:c r="N12" s="18"/>
      <x:c r="O12" s="18"/>
      <x:c r="P12" s="18" t="str">
        <x:f>IF(A12="","",IF(OR(J12="Faible",N12=""),"Engagement a renforcer","OK"))</x:f>
      </x:c>
    </x:row>
    <x:row r="13">
      <x:c r="A13" s="18"/>
      <x:c r="B13" s="18"/>
      <x:c r="C13" s="18"/>
      <x:c r="D13" s="18"/>
      <x:c r="E13" s="18"/>
      <x:c r="F13" s="18"/>
      <x:c r="G13" s="18"/>
      <x:c r="H13" s="18"/>
      <x:c r="I13" s="18"/>
      <x:c r="J13" s="18"/>
      <x:c r="K13" s="18"/>
      <x:c r="L13" s="18"/>
      <x:c r="M13" s="19"/>
      <x:c r="N13" s="18"/>
      <x:c r="O13" s="18"/>
      <x:c r="P13" s="18" t="str">
        <x:f>IF(A13="","",IF(OR(J13="Faible",N13=""),"Engagement a renforcer","OK"))</x:f>
      </x:c>
    </x:row>
    <x:row r="14">
      <x:c r="A14" s="18"/>
      <x:c r="B14" s="18"/>
      <x:c r="C14" s="18"/>
      <x:c r="D14" s="18"/>
      <x:c r="E14" s="18"/>
      <x:c r="F14" s="18"/>
      <x:c r="G14" s="18"/>
      <x:c r="H14" s="18"/>
      <x:c r="I14" s="18"/>
      <x:c r="J14" s="18"/>
      <x:c r="K14" s="18"/>
      <x:c r="L14" s="18"/>
      <x:c r="M14" s="19"/>
      <x:c r="N14" s="18"/>
      <x:c r="O14" s="18"/>
      <x:c r="P14" s="18" t="str">
        <x:f>IF(A14="","",IF(OR(J14="Faible",N14=""),"Engagement a renforcer","OK"))</x:f>
      </x:c>
    </x:row>
    <x:row r="15">
      <x:c r="A15" s="18"/>
      <x:c r="B15" s="18"/>
      <x:c r="C15" s="18"/>
      <x:c r="D15" s="18"/>
      <x:c r="E15" s="18"/>
      <x:c r="F15" s="18"/>
      <x:c r="G15" s="18"/>
      <x:c r="H15" s="18"/>
      <x:c r="I15" s="18"/>
      <x:c r="J15" s="18"/>
      <x:c r="K15" s="18"/>
      <x:c r="L15" s="18"/>
      <x:c r="M15" s="19"/>
      <x:c r="N15" s="18"/>
      <x:c r="O15" s="18"/>
      <x:c r="P15" s="18" t="str">
        <x:f>IF(A15="","",IF(OR(J15="Faible",N15=""),"Engagement a renforcer","OK"))</x:f>
      </x:c>
    </x:row>
    <x:row r="16">
      <x:c r="A16" s="18"/>
      <x:c r="B16" s="18"/>
      <x:c r="C16" s="18"/>
      <x:c r="D16" s="18"/>
      <x:c r="E16" s="18"/>
      <x:c r="F16" s="18"/>
      <x:c r="G16" s="18"/>
      <x:c r="H16" s="18"/>
      <x:c r="I16" s="18"/>
      <x:c r="J16" s="18"/>
      <x:c r="K16" s="18"/>
      <x:c r="L16" s="18"/>
      <x:c r="M16" s="19"/>
      <x:c r="N16" s="18"/>
      <x:c r="O16" s="18"/>
      <x:c r="P16" s="18" t="str">
        <x:f>IF(A16="","",IF(OR(J16="Faible",N16=""),"Engagement a renforcer","OK"))</x:f>
      </x:c>
    </x:row>
    <x:row r="17">
      <x:c r="A17" s="18"/>
      <x:c r="B17" s="18"/>
      <x:c r="C17" s="18"/>
      <x:c r="D17" s="18"/>
      <x:c r="E17" s="18"/>
      <x:c r="F17" s="18"/>
      <x:c r="G17" s="18"/>
      <x:c r="H17" s="18"/>
      <x:c r="I17" s="18"/>
      <x:c r="J17" s="18"/>
      <x:c r="K17" s="18"/>
      <x:c r="L17" s="18"/>
      <x:c r="M17" s="19"/>
      <x:c r="N17" s="18"/>
      <x:c r="O17" s="18"/>
      <x:c r="P17" s="18" t="str">
        <x:f>IF(A17="","",IF(OR(J17="Faible",N17=""),"Engagement a renforcer","OK"))</x:f>
      </x:c>
    </x:row>
    <x:row r="18">
      <x:c r="A18" s="18"/>
      <x:c r="B18" s="18"/>
      <x:c r="C18" s="18"/>
      <x:c r="D18" s="18"/>
      <x:c r="E18" s="18"/>
      <x:c r="F18" s="18"/>
      <x:c r="G18" s="18"/>
      <x:c r="H18" s="18"/>
      <x:c r="I18" s="18"/>
      <x:c r="J18" s="18"/>
      <x:c r="K18" s="18"/>
      <x:c r="L18" s="18"/>
      <x:c r="M18" s="19"/>
      <x:c r="N18" s="18"/>
      <x:c r="O18" s="18"/>
      <x:c r="P18" s="18" t="str">
        <x:f>IF(A18="","",IF(OR(J18="Faible",N18=""),"Engagement a renforcer","OK"))</x:f>
      </x:c>
    </x:row>
    <x:row r="19">
      <x:c r="A19" s="18"/>
      <x:c r="B19" s="18"/>
      <x:c r="C19" s="18"/>
      <x:c r="D19" s="18"/>
      <x:c r="E19" s="18"/>
      <x:c r="F19" s="18"/>
      <x:c r="G19" s="18"/>
      <x:c r="H19" s="18"/>
      <x:c r="I19" s="18"/>
      <x:c r="J19" s="18"/>
      <x:c r="K19" s="18"/>
      <x:c r="L19" s="18"/>
      <x:c r="M19" s="19"/>
      <x:c r="N19" s="18"/>
      <x:c r="O19" s="18"/>
      <x:c r="P19" s="18" t="str">
        <x:f>IF(A19="","",IF(OR(J19="Faible",N19=""),"Engagement a renforcer","OK"))</x:f>
      </x:c>
    </x:row>
    <x:row r="20">
      <x:c r="A20" s="18"/>
      <x:c r="B20" s="18"/>
      <x:c r="C20" s="18"/>
      <x:c r="D20" s="18"/>
      <x:c r="E20" s="18"/>
      <x:c r="F20" s="18"/>
      <x:c r="G20" s="18"/>
      <x:c r="H20" s="18"/>
      <x:c r="I20" s="18"/>
      <x:c r="J20" s="18"/>
      <x:c r="K20" s="18"/>
      <x:c r="L20" s="18"/>
      <x:c r="M20" s="19"/>
      <x:c r="N20" s="18"/>
      <x:c r="O20" s="18"/>
      <x:c r="P20" s="18" t="str">
        <x:f>IF(A20="","",IF(OR(J20="Faible",N20=""),"Engagement a renforcer","OK"))</x:f>
      </x:c>
    </x:row>
    <x:row r="21">
      <x:c r="A21" s="18"/>
      <x:c r="B21" s="18"/>
      <x:c r="C21" s="18"/>
      <x:c r="D21" s="18"/>
      <x:c r="E21" s="18"/>
      <x:c r="F21" s="18"/>
      <x:c r="G21" s="18"/>
      <x:c r="H21" s="18"/>
      <x:c r="I21" s="18"/>
      <x:c r="J21" s="18"/>
      <x:c r="K21" s="18"/>
      <x:c r="L21" s="18"/>
      <x:c r="M21" s="19"/>
      <x:c r="N21" s="18"/>
      <x:c r="O21" s="18"/>
      <x:c r="P21" s="18" t="str">
        <x:f>IF(A21="","",IF(OR(J21="Faible",N21=""),"Engagement a renforcer","OK"))</x:f>
      </x:c>
    </x:row>
    <x:row r="22">
      <x:c r="A22" s="18"/>
      <x:c r="B22" s="18"/>
      <x:c r="C22" s="18"/>
      <x:c r="D22" s="18"/>
      <x:c r="E22" s="18"/>
      <x:c r="F22" s="18"/>
      <x:c r="G22" s="18"/>
      <x:c r="H22" s="18"/>
      <x:c r="I22" s="18"/>
      <x:c r="J22" s="18"/>
      <x:c r="K22" s="18"/>
      <x:c r="L22" s="18"/>
      <x:c r="M22" s="19"/>
      <x:c r="N22" s="18"/>
      <x:c r="O22" s="18"/>
      <x:c r="P22" s="18" t="str">
        <x:f>IF(A22="","",IF(OR(J22="Faible",N22=""),"Engagement a renforcer","OK"))</x:f>
      </x:c>
    </x:row>
    <x:row r="23">
      <x:c r="A23" s="18"/>
      <x:c r="B23" s="18"/>
      <x:c r="C23" s="18"/>
      <x:c r="D23" s="18"/>
      <x:c r="E23" s="18"/>
      <x:c r="F23" s="18"/>
      <x:c r="G23" s="18"/>
      <x:c r="H23" s="18"/>
      <x:c r="I23" s="18"/>
      <x:c r="J23" s="18"/>
      <x:c r="K23" s="18"/>
      <x:c r="L23" s="18"/>
      <x:c r="M23" s="19"/>
      <x:c r="N23" s="18"/>
      <x:c r="O23" s="18"/>
      <x:c r="P23" s="18" t="str">
        <x:f>IF(A23="","",IF(OR(J23="Faible",N23=""),"Engagement a renforcer","OK"))</x:f>
      </x:c>
    </x:row>
    <x:row r="24">
      <x:c r="A24" s="18"/>
      <x:c r="B24" s="18"/>
      <x:c r="C24" s="18"/>
      <x:c r="D24" s="18"/>
      <x:c r="E24" s="18"/>
      <x:c r="F24" s="18"/>
      <x:c r="G24" s="18"/>
      <x:c r="H24" s="18"/>
      <x:c r="I24" s="18"/>
      <x:c r="J24" s="18"/>
      <x:c r="K24" s="18"/>
      <x:c r="L24" s="18"/>
      <x:c r="M24" s="19"/>
      <x:c r="N24" s="18"/>
      <x:c r="O24" s="18"/>
      <x:c r="P24" s="18" t="str">
        <x:f>IF(A24="","",IF(OR(J24="Faible",N24=""),"Engagement a renforcer","OK"))</x:f>
      </x:c>
    </x:row>
    <x:row r="25">
      <x:c r="A25" s="18"/>
      <x:c r="B25" s="18"/>
      <x:c r="C25" s="18"/>
      <x:c r="D25" s="18"/>
      <x:c r="E25" s="18"/>
      <x:c r="F25" s="18"/>
      <x:c r="G25" s="18"/>
      <x:c r="H25" s="18"/>
      <x:c r="I25" s="18"/>
      <x:c r="J25" s="18"/>
      <x:c r="K25" s="18"/>
      <x:c r="L25" s="18"/>
      <x:c r="M25" s="19"/>
      <x:c r="N25" s="18"/>
      <x:c r="O25" s="18"/>
      <x:c r="P25" s="18" t="str">
        <x:f>IF(A25="","",IF(OR(J25="Faible",N25=""),"Engagement a renforcer","OK"))</x:f>
      </x:c>
    </x:row>
    <x:row r="26">
      <x:c r="A26" s="18"/>
      <x:c r="B26" s="18"/>
      <x:c r="C26" s="18"/>
      <x:c r="D26" s="18"/>
      <x:c r="E26" s="18"/>
      <x:c r="F26" s="18"/>
      <x:c r="G26" s="18"/>
      <x:c r="H26" s="18"/>
      <x:c r="I26" s="18"/>
      <x:c r="J26" s="18"/>
      <x:c r="K26" s="18"/>
      <x:c r="L26" s="18"/>
      <x:c r="M26" s="19"/>
      <x:c r="N26" s="18"/>
      <x:c r="O26" s="18"/>
      <x:c r="P26" s="18" t="str">
        <x:f>IF(A26="","",IF(OR(J26="Faible",N26=""),"Engagement a renforcer","OK"))</x:f>
      </x:c>
    </x:row>
    <x:row r="27">
      <x:c r="A27" s="18"/>
      <x:c r="B27" s="18"/>
      <x:c r="C27" s="18"/>
      <x:c r="D27" s="18"/>
      <x:c r="E27" s="18"/>
      <x:c r="F27" s="18"/>
      <x:c r="G27" s="18"/>
      <x:c r="H27" s="18"/>
      <x:c r="I27" s="18"/>
      <x:c r="J27" s="18"/>
      <x:c r="K27" s="18"/>
      <x:c r="L27" s="18"/>
      <x:c r="M27" s="19"/>
      <x:c r="N27" s="18"/>
      <x:c r="O27" s="18"/>
      <x:c r="P27" s="18" t="str">
        <x:f>IF(A27="","",IF(OR(J27="Faible",N27=""),"Engagement a renforcer","OK"))</x:f>
      </x:c>
    </x:row>
    <x:row r="28">
      <x:c r="A28" s="18"/>
      <x:c r="B28" s="18"/>
      <x:c r="C28" s="18"/>
      <x:c r="D28" s="18"/>
      <x:c r="E28" s="18"/>
      <x:c r="F28" s="18"/>
      <x:c r="G28" s="18"/>
      <x:c r="H28" s="18"/>
      <x:c r="I28" s="18"/>
      <x:c r="J28" s="18"/>
      <x:c r="K28" s="18"/>
      <x:c r="L28" s="18"/>
      <x:c r="M28" s="19"/>
      <x:c r="N28" s="18"/>
      <x:c r="O28" s="18"/>
      <x:c r="P28" s="18" t="str">
        <x:f>IF(A28="","",IF(OR(J28="Faible",N28=""),"Engagement a renforcer","OK"))</x:f>
      </x:c>
    </x:row>
    <x:row r="29">
      <x:c r="A29" s="18"/>
      <x:c r="B29" s="18"/>
      <x:c r="C29" s="18"/>
      <x:c r="D29" s="18"/>
      <x:c r="E29" s="18"/>
      <x:c r="F29" s="18"/>
      <x:c r="G29" s="18"/>
      <x:c r="H29" s="18"/>
      <x:c r="I29" s="18"/>
      <x:c r="J29" s="18"/>
      <x:c r="K29" s="18"/>
      <x:c r="L29" s="18"/>
      <x:c r="M29" s="19"/>
      <x:c r="N29" s="18"/>
      <x:c r="O29" s="18"/>
      <x:c r="P29" s="18" t="str">
        <x:f>IF(A29="","",IF(OR(J29="Faible",N29=""),"Engagement a renforcer","OK"))</x:f>
      </x:c>
    </x:row>
    <x:row r="30">
      <x:c r="A30" s="18"/>
      <x:c r="B30" s="18"/>
      <x:c r="C30" s="18"/>
      <x:c r="D30" s="18"/>
      <x:c r="E30" s="18"/>
      <x:c r="F30" s="18"/>
      <x:c r="G30" s="18"/>
      <x:c r="H30" s="18"/>
      <x:c r="I30" s="18"/>
      <x:c r="J30" s="18"/>
      <x:c r="K30" s="18"/>
      <x:c r="L30" s="18"/>
      <x:c r="M30" s="19"/>
      <x:c r="N30" s="18"/>
      <x:c r="O30" s="18"/>
      <x:c r="P30" s="18" t="str">
        <x:f>IF(A30="","",IF(OR(J30="Faible",N30=""),"Engagement a renforcer","OK"))</x:f>
      </x:c>
    </x:row>
    <x:row r="31">
      <x:c r="A31" s="18"/>
      <x:c r="B31" s="18"/>
      <x:c r="C31" s="18"/>
      <x:c r="D31" s="18"/>
      <x:c r="E31" s="18"/>
      <x:c r="F31" s="18"/>
      <x:c r="G31" s="18"/>
      <x:c r="H31" s="18"/>
      <x:c r="I31" s="18"/>
      <x:c r="J31" s="18"/>
      <x:c r="K31" s="18"/>
      <x:c r="L31" s="18"/>
      <x:c r="M31" s="19"/>
      <x:c r="N31" s="18"/>
      <x:c r="O31" s="18"/>
      <x:c r="P31" s="18" t="str">
        <x:f>IF(A31="","",IF(OR(J31="Faible",N31=""),"Engagement a renforcer","OK"))</x:f>
      </x:c>
    </x:row>
    <x:row r="32">
      <x:c r="A32" s="18"/>
      <x:c r="B32" s="18"/>
      <x:c r="C32" s="18"/>
      <x:c r="D32" s="18"/>
      <x:c r="E32" s="18"/>
      <x:c r="F32" s="18"/>
      <x:c r="G32" s="18"/>
      <x:c r="H32" s="18"/>
      <x:c r="I32" s="18"/>
      <x:c r="J32" s="18"/>
      <x:c r="K32" s="18"/>
      <x:c r="L32" s="18"/>
      <x:c r="M32" s="19"/>
      <x:c r="N32" s="18"/>
      <x:c r="O32" s="18"/>
      <x:c r="P32" s="18" t="str">
        <x:f>IF(A32="","",IF(OR(J32="Faible",N32=""),"Engagement a renforcer","OK"))</x:f>
      </x:c>
    </x:row>
    <x:row r="33">
      <x:c r="A33" s="18"/>
      <x:c r="B33" s="18"/>
      <x:c r="C33" s="18"/>
      <x:c r="D33" s="18"/>
      <x:c r="E33" s="18"/>
      <x:c r="F33" s="18"/>
      <x:c r="G33" s="18"/>
      <x:c r="H33" s="18"/>
      <x:c r="I33" s="18"/>
      <x:c r="J33" s="18"/>
      <x:c r="K33" s="18"/>
      <x:c r="L33" s="18"/>
      <x:c r="M33" s="19"/>
      <x:c r="N33" s="18"/>
      <x:c r="O33" s="18"/>
      <x:c r="P33" s="18" t="str">
        <x:f>IF(A33="","",IF(OR(J33="Faible",N33=""),"Engagement a renforcer","OK"))</x:f>
      </x:c>
    </x:row>
    <x:row r="34">
      <x:c r="A34" s="18"/>
      <x:c r="B34" s="18"/>
      <x:c r="C34" s="18"/>
      <x:c r="D34" s="18"/>
      <x:c r="E34" s="18"/>
      <x:c r="F34" s="18"/>
      <x:c r="G34" s="18"/>
      <x:c r="H34" s="18"/>
      <x:c r="I34" s="18"/>
      <x:c r="J34" s="18"/>
      <x:c r="K34" s="18"/>
      <x:c r="L34" s="18"/>
      <x:c r="M34" s="19"/>
      <x:c r="N34" s="18"/>
      <x:c r="O34" s="18"/>
      <x:c r="P34" s="18" t="str">
        <x:f>IF(A34="","",IF(OR(J34="Faible",N34=""),"Engagement a renforcer","OK"))</x:f>
      </x:c>
    </x:row>
    <x:row r="35">
      <x:c r="A35" s="18"/>
      <x:c r="B35" s="18"/>
      <x:c r="C35" s="18"/>
      <x:c r="D35" s="18"/>
      <x:c r="E35" s="18"/>
      <x:c r="F35" s="18"/>
      <x:c r="G35" s="18"/>
      <x:c r="H35" s="18"/>
      <x:c r="I35" s="18"/>
      <x:c r="J35" s="18"/>
      <x:c r="K35" s="18"/>
      <x:c r="L35" s="18"/>
      <x:c r="M35" s="19"/>
      <x:c r="N35" s="18"/>
      <x:c r="O35" s="18"/>
      <x:c r="P35" s="18" t="str">
        <x:f>IF(A35="","",IF(OR(J35="Faible",N35=""),"Engagement a renforcer","OK"))</x:f>
      </x:c>
    </x:row>
    <x:row r="36">
      <x:c r="A36" s="18"/>
      <x:c r="B36" s="18"/>
      <x:c r="C36" s="18"/>
      <x:c r="D36" s="18"/>
      <x:c r="E36" s="18"/>
      <x:c r="F36" s="18"/>
      <x:c r="G36" s="18"/>
      <x:c r="H36" s="18"/>
      <x:c r="I36" s="18"/>
      <x:c r="J36" s="18"/>
      <x:c r="K36" s="18"/>
      <x:c r="L36" s="18"/>
      <x:c r="M36" s="19"/>
      <x:c r="N36" s="18"/>
      <x:c r="O36" s="18"/>
      <x:c r="P36" s="18" t="str">
        <x:f>IF(A36="","",IF(OR(J36="Faible",N36=""),"Engagement a renforcer","OK"))</x:f>
      </x:c>
    </x:row>
    <x:row r="37">
      <x:c r="A37" s="18"/>
      <x:c r="B37" s="18"/>
      <x:c r="C37" s="18"/>
      <x:c r="D37" s="18"/>
      <x:c r="E37" s="18"/>
      <x:c r="F37" s="18"/>
      <x:c r="G37" s="18"/>
      <x:c r="H37" s="18"/>
      <x:c r="I37" s="18"/>
      <x:c r="J37" s="18"/>
      <x:c r="K37" s="18"/>
      <x:c r="L37" s="18"/>
      <x:c r="M37" s="19"/>
      <x:c r="N37" s="18"/>
      <x:c r="O37" s="18"/>
      <x:c r="P37" s="18" t="str">
        <x:f>IF(A37="","",IF(OR(J37="Faible",N37=""),"Engagement a renforcer","OK"))</x:f>
      </x:c>
    </x:row>
    <x:row r="38">
      <x:c r="A38" s="18"/>
      <x:c r="B38" s="18"/>
      <x:c r="C38" s="18"/>
      <x:c r="D38" s="18"/>
      <x:c r="E38" s="18"/>
      <x:c r="F38" s="18"/>
      <x:c r="G38" s="18"/>
      <x:c r="H38" s="18"/>
      <x:c r="I38" s="18"/>
      <x:c r="J38" s="18"/>
      <x:c r="K38" s="18"/>
      <x:c r="L38" s="18"/>
      <x:c r="M38" s="19"/>
      <x:c r="N38" s="18"/>
      <x:c r="O38" s="18"/>
      <x:c r="P38" s="18" t="str">
        <x:f>IF(A38="","",IF(OR(J38="Faible",N38=""),"Engagement a renforcer","OK"))</x:f>
      </x:c>
    </x:row>
    <x:row r="39">
      <x:c r="A39" s="18"/>
      <x:c r="B39" s="18"/>
      <x:c r="C39" s="18"/>
      <x:c r="D39" s="18"/>
      <x:c r="E39" s="18"/>
      <x:c r="F39" s="18"/>
      <x:c r="G39" s="18"/>
      <x:c r="H39" s="18"/>
      <x:c r="I39" s="18"/>
      <x:c r="J39" s="18"/>
      <x:c r="K39" s="18"/>
      <x:c r="L39" s="18"/>
      <x:c r="M39" s="19"/>
      <x:c r="N39" s="18"/>
      <x:c r="O39" s="18"/>
      <x:c r="P39" s="18" t="str">
        <x:f>IF(A39="","",IF(OR(J39="Faible",N39=""),"Engagement a renforcer","OK"))</x:f>
      </x:c>
    </x:row>
    <x:row r="40">
      <x:c r="A40" s="18"/>
      <x:c r="B40" s="18"/>
      <x:c r="C40" s="18"/>
      <x:c r="D40" s="18"/>
      <x:c r="E40" s="18"/>
      <x:c r="F40" s="18"/>
      <x:c r="G40" s="18"/>
      <x:c r="H40" s="18"/>
      <x:c r="I40" s="18"/>
      <x:c r="J40" s="18"/>
      <x:c r="K40" s="18"/>
      <x:c r="L40" s="18"/>
      <x:c r="M40" s="19"/>
      <x:c r="N40" s="18"/>
      <x:c r="O40" s="18"/>
      <x:c r="P40" s="18" t="str">
        <x:f>IF(A40="","",IF(OR(J40="Faible",N40=""),"Engagement a renforcer","OK"))</x:f>
      </x:c>
    </x:row>
    <x:row r="41">
      <x:c r="A41" s="18"/>
      <x:c r="B41" s="18"/>
      <x:c r="C41" s="18"/>
      <x:c r="D41" s="18"/>
      <x:c r="E41" s="18"/>
      <x:c r="F41" s="18"/>
      <x:c r="G41" s="18"/>
      <x:c r="H41" s="18"/>
      <x:c r="I41" s="18"/>
      <x:c r="J41" s="18"/>
      <x:c r="K41" s="18"/>
      <x:c r="L41" s="18"/>
      <x:c r="M41" s="19"/>
      <x:c r="N41" s="18"/>
      <x:c r="O41" s="18"/>
      <x:c r="P41" s="18" t="str">
        <x:f>IF(A41="","",IF(OR(J41="Faible",N41=""),"Engagement a renforcer","OK"))</x:f>
      </x:c>
    </x:row>
    <x:row r="42">
      <x:c r="A42" s="18"/>
      <x:c r="B42" s="18"/>
      <x:c r="C42" s="18"/>
      <x:c r="D42" s="18"/>
      <x:c r="E42" s="18"/>
      <x:c r="F42" s="18"/>
      <x:c r="G42" s="18"/>
      <x:c r="H42" s="18"/>
      <x:c r="I42" s="18"/>
      <x:c r="J42" s="18"/>
      <x:c r="K42" s="18"/>
      <x:c r="L42" s="18"/>
      <x:c r="M42" s="19"/>
      <x:c r="N42" s="18"/>
      <x:c r="O42" s="18"/>
      <x:c r="P42" s="18" t="str">
        <x:f>IF(A42="","",IF(OR(J42="Faible",N42=""),"Engagement a renforcer","OK"))</x:f>
      </x:c>
    </x:row>
    <x:row r="43">
      <x:c r="A43" s="18"/>
      <x:c r="B43" s="18"/>
      <x:c r="C43" s="18"/>
      <x:c r="D43" s="18"/>
      <x:c r="E43" s="18"/>
      <x:c r="F43" s="18"/>
      <x:c r="G43" s="18"/>
      <x:c r="H43" s="18"/>
      <x:c r="I43" s="18"/>
      <x:c r="J43" s="18"/>
      <x:c r="K43" s="18"/>
      <x:c r="L43" s="18"/>
      <x:c r="M43" s="19"/>
      <x:c r="N43" s="18"/>
      <x:c r="O43" s="18"/>
      <x:c r="P43" s="18" t="str">
        <x:f>IF(A43="","",IF(OR(J43="Faible",N43=""),"Engagement a renforcer","OK"))</x:f>
      </x:c>
    </x:row>
    <x:row r="44">
      <x:c r="A44" s="18"/>
      <x:c r="B44" s="18"/>
      <x:c r="C44" s="18"/>
      <x:c r="D44" s="18"/>
      <x:c r="E44" s="18"/>
      <x:c r="F44" s="18"/>
      <x:c r="G44" s="18"/>
      <x:c r="H44" s="18"/>
      <x:c r="I44" s="18"/>
      <x:c r="J44" s="18"/>
      <x:c r="K44" s="18"/>
      <x:c r="L44" s="18"/>
      <x:c r="M44" s="19"/>
      <x:c r="N44" s="18"/>
      <x:c r="O44" s="18"/>
      <x:c r="P44" s="18" t="str">
        <x:f>IF(A44="","",IF(OR(J44="Faible",N44=""),"Engagement a renforcer","OK"))</x:f>
      </x:c>
    </x:row>
  </x:sheetData>
  <x:mergeCells>
    <x:mergeCell ref="A1:J1"/>
    <x:mergeCell ref="A2:J2"/>
  </x:mergeCells>
  <x:conditionalFormatting sqref="P5:P44">
    <x:cfRule type="containsText" dxfId="52" priority="1" operator="containsText" text="Retard"/>
    <x:cfRule type="containsText" dxfId="53" priority="2" operator="containsText" text="critique"/>
    <x:cfRule type="containsText" dxfId="54" priority="3" operator="containsText" text="manquant"/>
    <x:cfRule type="containsText" dxfId="5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G5:G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I5:I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J5:J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L5:L44">
      <x:formula1>"Mensuelle,Trimestrielle,Semestrielle,Annuelle,Ponctuelle"</x:formula1>
    </x:dataValidation>
  </x:dataValidations>
  <x:pageMargins left="0.7" right="0.7" top="0.75" bottom="0.75" header="0.3" footer="0.3"/>
  <x:tableParts count="1">
    <x:tablePart xmlns:r="http://schemas.openxmlformats.org/officeDocument/2006/relationships" r:id="R23cd0fe564e24a16"/>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0" hidden="0" customWidth="1"/>
    <x:col min="4" max="4" width="27.5" hidden="0" customWidth="1"/>
    <x:col min="5" max="5" width="23.75" hidden="0" customWidth="1"/>
    <x:col min="6" max="6" width="18.1299991607666" hidden="0" customWidth="1"/>
    <x:col min="7" max="7" width="18.1299991607666" hidden="0" customWidth="1"/>
    <x:col min="8" max="8" width="18.1299991607666" hidden="0" customWidth="1"/>
    <x:col min="9" max="9" width="18.1299991607666" hidden="0" customWidth="1"/>
    <x:col min="10" max="10" width="18.75" hidden="0" customWidth="1"/>
    <x:col min="11" max="11" width="14.380000114440918" hidden="0" customWidth="1"/>
    <x:col min="12" max="12" width="18.1299991607666" hidden="0" customWidth="1"/>
    <x:col min="13" max="13" width="18.1299991607666" hidden="0" customWidth="1"/>
    <x:col min="14" max="14" width="28.75" hidden="0" customWidth="1"/>
  </x:cols>
  <x:sheetData>
    <x:row r="1" ht="25.5" customHeight="1">
      <x:c r="A1" s="2" t="str">
        <x:v>Budgets climat</x:v>
      </x:c>
      <x:c r="B1" s="2"/>
      <x:c r="C1" s="2"/>
      <x:c r="D1" s="2"/>
      <x:c r="E1" s="2"/>
      <x:c r="F1" s="2"/>
      <x:c r="G1" s="2"/>
      <x:c r="H1" s="2"/>
      <x:c r="I1" s="2"/>
      <x:c r="J1" s="2"/>
    </x:row>
    <x:row r="2" ht="31.5" customHeight="1">
      <x:c r="A2" s="5" t="str">
        <x:v>Suivi budgetaire par projet, annee et ligne budgetaire.</x:v>
      </x:c>
      <x:c r="B2" s="5"/>
      <x:c r="C2" s="5"/>
      <x:c r="D2" s="5"/>
      <x:c r="E2" s="5"/>
      <x:c r="F2" s="5"/>
      <x:c r="G2" s="5"/>
      <x:c r="H2" s="5"/>
      <x:c r="I2" s="5"/>
      <x:c r="J2" s="5"/>
    </x:row>
    <x:row r="4" ht="28.5" customHeight="1">
      <x:c r="A4" s="16" t="str">
        <x:v>Budget_ID</x:v>
      </x:c>
      <x:c r="B4" s="16" t="str">
        <x:v>Project_ID</x:v>
      </x:c>
      <x:c r="C4" s="16" t="str">
        <x:v>Annee</x:v>
      </x:c>
      <x:c r="D4" s="16" t="str">
        <x:v>Ligne_budgetaire</x:v>
      </x:c>
      <x:c r="E4" s="16" t="str">
        <x:v>Source_budgetaire</x:v>
      </x:c>
      <x:c r="F4" s="16" t="str">
        <x:v>Budget_prevu_XOF</x:v>
      </x:c>
      <x:c r="G4" s="16" t="str">
        <x:v>Budget_vote_XOF</x:v>
      </x:c>
      <x:c r="H4" s="16" t="str">
        <x:v>Budget_engage_XOF</x:v>
      </x:c>
      <x:c r="I4" s="16" t="str">
        <x:v>Budget_execute_XOF</x:v>
      </x:c>
      <x:c r="J4" s="16" t="str">
        <x:v>Reste_a_executer_XOF</x:v>
      </x:c>
      <x:c r="K4" s="16" t="str">
        <x:v>Taux_execution</x:v>
      </x:c>
      <x:c r="L4" s="16" t="str">
        <x:v>Ecart_budget_XOF</x:v>
      </x:c>
      <x:c r="M4" s="16" t="str">
        <x:v>Alerte_execution</x:v>
      </x:c>
      <x:c r="N4" s="16" t="str">
        <x:v>Commentaires</x:v>
      </x:c>
    </x:row>
    <x:row r="5">
      <x:c r="A5" s="18" t="str">
        <x:v>BUD-001</x:v>
      </x:c>
      <x:c r="B5" s="18" t="str">
        <x:v>PRJ-001</x:v>
      </x:c>
      <x:c r="C5" s="18" t="n">
        <x:v>2026</x:v>
      </x:c>
      <x:c r="D5" s="18" t="str">
        <x:v>Equipements solaires</x:v>
      </x:c>
      <x:c r="E5" s="18" t="str">
        <x:v>Budget municipal + bailleur</x:v>
      </x:c>
      <x:c r="F5" s="21" t="n">
        <x:v>900000000</x:v>
      </x:c>
      <x:c r="G5" s="21" t="n">
        <x:v>750000000</x:v>
      </x:c>
      <x:c r="H5" s="21" t="n">
        <x:v>500000000</x:v>
      </x:c>
      <x:c r="I5" s="21" t="n">
        <x:v>280000000</x:v>
      </x:c>
      <x:c r="J5" s="21" t="n">
        <x:f>IF(A5="","",MAX(0,G5-I5))</x:f>
        <x:v>470000000</x:v>
      </x:c>
      <x:c r="K5" s="20" t="n">
        <x:f>IF(A5="","",IFERROR(I5/G5,""))</x:f>
        <x:v>0.37333333333333335</x:v>
      </x:c>
      <x:c r="L5" s="21" t="n">
        <x:f>IF(A5="","",G5-F5)</x:f>
        <x:v>-150000000</x:v>
      </x:c>
      <x:c r="M5" s="18" t="str">
        <x:f>IF(A5="","",IF(G5=0,"Budget non vote",IF(AND(C5=YEAR(TODAY()),K5&lt;0.25,MONTH(TODAY())&gt;6),"Execution faible","OK")))</x:f>
        <x:v>OK</x:v>
      </x:c>
      <x:c r="N5" s="18" t="str"/>
    </x:row>
    <x:row r="6">
      <x:c r="A6" s="18" t="str">
        <x:v>BUD-002</x:v>
      </x:c>
      <x:c r="B6" s="18" t="str">
        <x:v>PRJ-002</x:v>
      </x:c>
      <x:c r="C6" s="18" t="n">
        <x:v>2026</x:v>
      </x:c>
      <x:c r="D6" s="18" t="str">
        <x:v>Plateformes compostage</x:v>
      </x:c>
      <x:c r="E6" s="18" t="str">
        <x:v>Subvention sollicitee</x:v>
      </x:c>
      <x:c r="F6" s="21" t="n">
        <x:v>600000000</x:v>
      </x:c>
      <x:c r="G6" s="21" t="n">
        <x:v>350000000</x:v>
      </x:c>
      <x:c r="H6" s="21" t="n">
        <x:v>120000000</x:v>
      </x:c>
      <x:c r="I6" s="21" t="n">
        <x:v>65000000</x:v>
      </x:c>
      <x:c r="J6" s="21" t="n">
        <x:f>IF(A6="","",MAX(0,G6-I6))</x:f>
        <x:v>285000000</x:v>
      </x:c>
      <x:c r="K6" s="20" t="n">
        <x:f>IF(A6="","",IFERROR(I6/G6,""))</x:f>
        <x:v>0.18571428571428572</x:v>
      </x:c>
      <x:c r="L6" s="21" t="n">
        <x:f>IF(A6="","",G6-F6)</x:f>
        <x:v>-250000000</x:v>
      </x:c>
      <x:c r="M6" s="18" t="str">
        <x:f>IF(A6="","",IF(G6=0,"Budget non vote",IF(AND(C6=YEAR(TODAY()),K6&lt;0.25,MONTH(TODAY())&gt;6),"Execution faible","OK")))</x:f>
        <x:v>OK</x:v>
      </x:c>
      <x:c r="N6" s="18" t="str"/>
    </x:row>
    <x:row r="7">
      <x:c r="A7" s="18" t="str">
        <x:v>BUD-003</x:v>
      </x:c>
      <x:c r="B7" s="18" t="str">
        <x:v>PRJ-004</x:v>
      </x:c>
      <x:c r="C7" s="18" t="n">
        <x:v>2026</x:v>
      </x:c>
      <x:c r="D7" s="18" t="str">
        <x:v>Etudes et travaux drainage</x:v>
      </x:c>
      <x:c r="E7" s="18" t="str">
        <x:v>Etat + bailleur</x:v>
      </x:c>
      <x:c r="F7" s="21" t="n">
        <x:v>1100000000</x:v>
      </x:c>
      <x:c r="G7" s="21" t="n">
        <x:v>500000000</x:v>
      </x:c>
      <x:c r="H7" s="21" t="n">
        <x:v>150000000</x:v>
      </x:c>
      <x:c r="I7" s="21" t="n">
        <x:v>90000000</x:v>
      </x:c>
      <x:c r="J7" s="21" t="n">
        <x:f>IF(A7="","",MAX(0,G7-I7))</x:f>
        <x:v>410000000</x:v>
      </x:c>
      <x:c r="K7" s="20" t="n">
        <x:f>IF(A7="","",IFERROR(I7/G7,""))</x:f>
        <x:v>0.18</x:v>
      </x:c>
      <x:c r="L7" s="21" t="n">
        <x:f>IF(A7="","",G7-F7)</x:f>
        <x:v>-600000000</x:v>
      </x:c>
      <x:c r="M7" s="18" t="str">
        <x:f>IF(A7="","",IF(G7=0,"Budget non vote",IF(AND(C7=YEAR(TODAY()),K7&lt;0.25,MONTH(TODAY())&gt;6),"Execution faible","OK")))</x:f>
        <x:v>OK</x:v>
      </x:c>
      <x:c r="N7" s="18" t="str"/>
    </x:row>
    <x:row r="8">
      <x:c r="A8" s="18"/>
      <x:c r="B8" s="18"/>
      <x:c r="C8" s="18"/>
      <x:c r="D8" s="18"/>
      <x:c r="E8" s="18"/>
      <x:c r="F8" s="21"/>
      <x:c r="G8" s="21"/>
      <x:c r="H8" s="21"/>
      <x:c r="I8" s="21"/>
      <x:c r="J8" s="21" t="str">
        <x:f>IF(A8="","",MAX(0,G8-I8))</x:f>
      </x:c>
      <x:c r="K8" s="20" t="str">
        <x:f>IF(A8="","",IFERROR(I8/G8,""))</x:f>
      </x:c>
      <x:c r="L8" s="21" t="str">
        <x:f>IF(A8="","",G8-F8)</x:f>
      </x:c>
      <x:c r="M8" s="18" t="str">
        <x:f>IF(A8="","",IF(G8=0,"Budget non vote",IF(AND(C8=YEAR(TODAY()),K8&lt;0.25,MONTH(TODAY())&gt;6),"Execution faible","OK")))</x:f>
      </x:c>
      <x:c r="N8" s="18"/>
    </x:row>
    <x:row r="9">
      <x:c r="A9" s="18"/>
      <x:c r="B9" s="18"/>
      <x:c r="C9" s="18"/>
      <x:c r="D9" s="18"/>
      <x:c r="E9" s="18"/>
      <x:c r="F9" s="21"/>
      <x:c r="G9" s="21"/>
      <x:c r="H9" s="21"/>
      <x:c r="I9" s="21"/>
      <x:c r="J9" s="21" t="str">
        <x:f>IF(A9="","",MAX(0,G9-I9))</x:f>
      </x:c>
      <x:c r="K9" s="20" t="str">
        <x:f>IF(A9="","",IFERROR(I9/G9,""))</x:f>
      </x:c>
      <x:c r="L9" s="21" t="str">
        <x:f>IF(A9="","",G9-F9)</x:f>
      </x:c>
      <x:c r="M9" s="18" t="str">
        <x:f>IF(A9="","",IF(G9=0,"Budget non vote",IF(AND(C9=YEAR(TODAY()),K9&lt;0.25,MONTH(TODAY())&gt;6),"Execution faible","OK")))</x:f>
      </x:c>
      <x:c r="N9" s="18"/>
    </x:row>
    <x:row r="10">
      <x:c r="A10" s="18"/>
      <x:c r="B10" s="18"/>
      <x:c r="C10" s="18"/>
      <x:c r="D10" s="18"/>
      <x:c r="E10" s="18"/>
      <x:c r="F10" s="21"/>
      <x:c r="G10" s="21"/>
      <x:c r="H10" s="21"/>
      <x:c r="I10" s="21"/>
      <x:c r="J10" s="21" t="str">
        <x:f>IF(A10="","",MAX(0,G10-I10))</x:f>
      </x:c>
      <x:c r="K10" s="20" t="str">
        <x:f>IF(A10="","",IFERROR(I10/G10,""))</x:f>
      </x:c>
      <x:c r="L10" s="21" t="str">
        <x:f>IF(A10="","",G10-F10)</x:f>
      </x:c>
      <x:c r="M10" s="18" t="str">
        <x:f>IF(A10="","",IF(G10=0,"Budget non vote",IF(AND(C10=YEAR(TODAY()),K10&lt;0.25,MONTH(TODAY())&gt;6),"Execution faible","OK")))</x:f>
      </x:c>
      <x:c r="N10" s="18"/>
    </x:row>
    <x:row r="11">
      <x:c r="A11" s="18"/>
      <x:c r="B11" s="18"/>
      <x:c r="C11" s="18"/>
      <x:c r="D11" s="18"/>
      <x:c r="E11" s="18"/>
      <x:c r="F11" s="21"/>
      <x:c r="G11" s="21"/>
      <x:c r="H11" s="21"/>
      <x:c r="I11" s="21"/>
      <x:c r="J11" s="21" t="str">
        <x:f>IF(A11="","",MAX(0,G11-I11))</x:f>
      </x:c>
      <x:c r="K11" s="20" t="str">
        <x:f>IF(A11="","",IFERROR(I11/G11,""))</x:f>
      </x:c>
      <x:c r="L11" s="21" t="str">
        <x:f>IF(A11="","",G11-F11)</x:f>
      </x:c>
      <x:c r="M11" s="18" t="str">
        <x:f>IF(A11="","",IF(G11=0,"Budget non vote",IF(AND(C11=YEAR(TODAY()),K11&lt;0.25,MONTH(TODAY())&gt;6),"Execution faible","OK")))</x:f>
      </x:c>
      <x:c r="N11" s="18"/>
    </x:row>
    <x:row r="12">
      <x:c r="A12" s="18"/>
      <x:c r="B12" s="18"/>
      <x:c r="C12" s="18"/>
      <x:c r="D12" s="18"/>
      <x:c r="E12" s="18"/>
      <x:c r="F12" s="21"/>
      <x:c r="G12" s="21"/>
      <x:c r="H12" s="21"/>
      <x:c r="I12" s="21"/>
      <x:c r="J12" s="21" t="str">
        <x:f>IF(A12="","",MAX(0,G12-I12))</x:f>
      </x:c>
      <x:c r="K12" s="20" t="str">
        <x:f>IF(A12="","",IFERROR(I12/G12,""))</x:f>
      </x:c>
      <x:c r="L12" s="21" t="str">
        <x:f>IF(A12="","",G12-F12)</x:f>
      </x:c>
      <x:c r="M12" s="18" t="str">
        <x:f>IF(A12="","",IF(G12=0,"Budget non vote",IF(AND(C12=YEAR(TODAY()),K12&lt;0.25,MONTH(TODAY())&gt;6),"Execution faible","OK")))</x:f>
      </x:c>
      <x:c r="N12" s="18"/>
    </x:row>
    <x:row r="13">
      <x:c r="A13" s="18"/>
      <x:c r="B13" s="18"/>
      <x:c r="C13" s="18"/>
      <x:c r="D13" s="18"/>
      <x:c r="E13" s="18"/>
      <x:c r="F13" s="21"/>
      <x:c r="G13" s="21"/>
      <x:c r="H13" s="21"/>
      <x:c r="I13" s="21"/>
      <x:c r="J13" s="21" t="str">
        <x:f>IF(A13="","",MAX(0,G13-I13))</x:f>
      </x:c>
      <x:c r="K13" s="20" t="str">
        <x:f>IF(A13="","",IFERROR(I13/G13,""))</x:f>
      </x:c>
      <x:c r="L13" s="21" t="str">
        <x:f>IF(A13="","",G13-F13)</x:f>
      </x:c>
      <x:c r="M13" s="18" t="str">
        <x:f>IF(A13="","",IF(G13=0,"Budget non vote",IF(AND(C13=YEAR(TODAY()),K13&lt;0.25,MONTH(TODAY())&gt;6),"Execution faible","OK")))</x:f>
      </x:c>
      <x:c r="N13" s="18"/>
    </x:row>
    <x:row r="14">
      <x:c r="A14" s="18"/>
      <x:c r="B14" s="18"/>
      <x:c r="C14" s="18"/>
      <x:c r="D14" s="18"/>
      <x:c r="E14" s="18"/>
      <x:c r="F14" s="21"/>
      <x:c r="G14" s="21"/>
      <x:c r="H14" s="21"/>
      <x:c r="I14" s="21"/>
      <x:c r="J14" s="21" t="str">
        <x:f>IF(A14="","",MAX(0,G14-I14))</x:f>
      </x:c>
      <x:c r="K14" s="20" t="str">
        <x:f>IF(A14="","",IFERROR(I14/G14,""))</x:f>
      </x:c>
      <x:c r="L14" s="21" t="str">
        <x:f>IF(A14="","",G14-F14)</x:f>
      </x:c>
      <x:c r="M14" s="18" t="str">
        <x:f>IF(A14="","",IF(G14=0,"Budget non vote",IF(AND(C14=YEAR(TODAY()),K14&lt;0.25,MONTH(TODAY())&gt;6),"Execution faible","OK")))</x:f>
      </x:c>
      <x:c r="N14" s="18"/>
    </x:row>
    <x:row r="15">
      <x:c r="A15" s="18"/>
      <x:c r="B15" s="18"/>
      <x:c r="C15" s="18"/>
      <x:c r="D15" s="18"/>
      <x:c r="E15" s="18"/>
      <x:c r="F15" s="21"/>
      <x:c r="G15" s="21"/>
      <x:c r="H15" s="21"/>
      <x:c r="I15" s="21"/>
      <x:c r="J15" s="21" t="str">
        <x:f>IF(A15="","",MAX(0,G15-I15))</x:f>
      </x:c>
      <x:c r="K15" s="20" t="str">
        <x:f>IF(A15="","",IFERROR(I15/G15,""))</x:f>
      </x:c>
      <x:c r="L15" s="21" t="str">
        <x:f>IF(A15="","",G15-F15)</x:f>
      </x:c>
      <x:c r="M15" s="18" t="str">
        <x:f>IF(A15="","",IF(G15=0,"Budget non vote",IF(AND(C15=YEAR(TODAY()),K15&lt;0.25,MONTH(TODAY())&gt;6),"Execution faible","OK")))</x:f>
      </x:c>
      <x:c r="N15" s="18"/>
    </x:row>
    <x:row r="16">
      <x:c r="A16" s="18"/>
      <x:c r="B16" s="18"/>
      <x:c r="C16" s="18"/>
      <x:c r="D16" s="18"/>
      <x:c r="E16" s="18"/>
      <x:c r="F16" s="21"/>
      <x:c r="G16" s="21"/>
      <x:c r="H16" s="21"/>
      <x:c r="I16" s="21"/>
      <x:c r="J16" s="21" t="str">
        <x:f>IF(A16="","",MAX(0,G16-I16))</x:f>
      </x:c>
      <x:c r="K16" s="20" t="str">
        <x:f>IF(A16="","",IFERROR(I16/G16,""))</x:f>
      </x:c>
      <x:c r="L16" s="21" t="str">
        <x:f>IF(A16="","",G16-F16)</x:f>
      </x:c>
      <x:c r="M16" s="18" t="str">
        <x:f>IF(A16="","",IF(G16=0,"Budget non vote",IF(AND(C16=YEAR(TODAY()),K16&lt;0.25,MONTH(TODAY())&gt;6),"Execution faible","OK")))</x:f>
      </x:c>
      <x:c r="N16" s="18"/>
    </x:row>
    <x:row r="17">
      <x:c r="A17" s="18"/>
      <x:c r="B17" s="18"/>
      <x:c r="C17" s="18"/>
      <x:c r="D17" s="18"/>
      <x:c r="E17" s="18"/>
      <x:c r="F17" s="21"/>
      <x:c r="G17" s="21"/>
      <x:c r="H17" s="21"/>
      <x:c r="I17" s="21"/>
      <x:c r="J17" s="21" t="str">
        <x:f>IF(A17="","",MAX(0,G17-I17))</x:f>
      </x:c>
      <x:c r="K17" s="20" t="str">
        <x:f>IF(A17="","",IFERROR(I17/G17,""))</x:f>
      </x:c>
      <x:c r="L17" s="21" t="str">
        <x:f>IF(A17="","",G17-F17)</x:f>
      </x:c>
      <x:c r="M17" s="18" t="str">
        <x:f>IF(A17="","",IF(G17=0,"Budget non vote",IF(AND(C17=YEAR(TODAY()),K17&lt;0.25,MONTH(TODAY())&gt;6),"Execution faible","OK")))</x:f>
      </x:c>
      <x:c r="N17" s="18"/>
    </x:row>
    <x:row r="18">
      <x:c r="A18" s="18"/>
      <x:c r="B18" s="18"/>
      <x:c r="C18" s="18"/>
      <x:c r="D18" s="18"/>
      <x:c r="E18" s="18"/>
      <x:c r="F18" s="21"/>
      <x:c r="G18" s="21"/>
      <x:c r="H18" s="21"/>
      <x:c r="I18" s="21"/>
      <x:c r="J18" s="21" t="str">
        <x:f>IF(A18="","",MAX(0,G18-I18))</x:f>
      </x:c>
      <x:c r="K18" s="20" t="str">
        <x:f>IF(A18="","",IFERROR(I18/G18,""))</x:f>
      </x:c>
      <x:c r="L18" s="21" t="str">
        <x:f>IF(A18="","",G18-F18)</x:f>
      </x:c>
      <x:c r="M18" s="18" t="str">
        <x:f>IF(A18="","",IF(G18=0,"Budget non vote",IF(AND(C18=YEAR(TODAY()),K18&lt;0.25,MONTH(TODAY())&gt;6),"Execution faible","OK")))</x:f>
      </x:c>
      <x:c r="N18" s="18"/>
    </x:row>
    <x:row r="19">
      <x:c r="A19" s="18"/>
      <x:c r="B19" s="18"/>
      <x:c r="C19" s="18"/>
      <x:c r="D19" s="18"/>
      <x:c r="E19" s="18"/>
      <x:c r="F19" s="21"/>
      <x:c r="G19" s="21"/>
      <x:c r="H19" s="21"/>
      <x:c r="I19" s="21"/>
      <x:c r="J19" s="21" t="str">
        <x:f>IF(A19="","",MAX(0,G19-I19))</x:f>
      </x:c>
      <x:c r="K19" s="20" t="str">
        <x:f>IF(A19="","",IFERROR(I19/G19,""))</x:f>
      </x:c>
      <x:c r="L19" s="21" t="str">
        <x:f>IF(A19="","",G19-F19)</x:f>
      </x:c>
      <x:c r="M19" s="18" t="str">
        <x:f>IF(A19="","",IF(G19=0,"Budget non vote",IF(AND(C19=YEAR(TODAY()),K19&lt;0.25,MONTH(TODAY())&gt;6),"Execution faible","OK")))</x:f>
      </x:c>
      <x:c r="N19" s="18"/>
    </x:row>
    <x:row r="20">
      <x:c r="A20" s="18"/>
      <x:c r="B20" s="18"/>
      <x:c r="C20" s="18"/>
      <x:c r="D20" s="18"/>
      <x:c r="E20" s="18"/>
      <x:c r="F20" s="21"/>
      <x:c r="G20" s="21"/>
      <x:c r="H20" s="21"/>
      <x:c r="I20" s="21"/>
      <x:c r="J20" s="21" t="str">
        <x:f>IF(A20="","",MAX(0,G20-I20))</x:f>
      </x:c>
      <x:c r="K20" s="20" t="str">
        <x:f>IF(A20="","",IFERROR(I20/G20,""))</x:f>
      </x:c>
      <x:c r="L20" s="21" t="str">
        <x:f>IF(A20="","",G20-F20)</x:f>
      </x:c>
      <x:c r="M20" s="18" t="str">
        <x:f>IF(A20="","",IF(G20=0,"Budget non vote",IF(AND(C20=YEAR(TODAY()),K20&lt;0.25,MONTH(TODAY())&gt;6),"Execution faible","OK")))</x:f>
      </x:c>
      <x:c r="N20" s="18"/>
    </x:row>
    <x:row r="21">
      <x:c r="A21" s="18"/>
      <x:c r="B21" s="18"/>
      <x:c r="C21" s="18"/>
      <x:c r="D21" s="18"/>
      <x:c r="E21" s="18"/>
      <x:c r="F21" s="21"/>
      <x:c r="G21" s="21"/>
      <x:c r="H21" s="21"/>
      <x:c r="I21" s="21"/>
      <x:c r="J21" s="21" t="str">
        <x:f>IF(A21="","",MAX(0,G21-I21))</x:f>
      </x:c>
      <x:c r="K21" s="20" t="str">
        <x:f>IF(A21="","",IFERROR(I21/G21,""))</x:f>
      </x:c>
      <x:c r="L21" s="21" t="str">
        <x:f>IF(A21="","",G21-F21)</x:f>
      </x:c>
      <x:c r="M21" s="18" t="str">
        <x:f>IF(A21="","",IF(G21=0,"Budget non vote",IF(AND(C21=YEAR(TODAY()),K21&lt;0.25,MONTH(TODAY())&gt;6),"Execution faible","OK")))</x:f>
      </x:c>
      <x:c r="N21" s="18"/>
    </x:row>
    <x:row r="22">
      <x:c r="A22" s="18"/>
      <x:c r="B22" s="18"/>
      <x:c r="C22" s="18"/>
      <x:c r="D22" s="18"/>
      <x:c r="E22" s="18"/>
      <x:c r="F22" s="21"/>
      <x:c r="G22" s="21"/>
      <x:c r="H22" s="21"/>
      <x:c r="I22" s="21"/>
      <x:c r="J22" s="21" t="str">
        <x:f>IF(A22="","",MAX(0,G22-I22))</x:f>
      </x:c>
      <x:c r="K22" s="20" t="str">
        <x:f>IF(A22="","",IFERROR(I22/G22,""))</x:f>
      </x:c>
      <x:c r="L22" s="21" t="str">
        <x:f>IF(A22="","",G22-F22)</x:f>
      </x:c>
      <x:c r="M22" s="18" t="str">
        <x:f>IF(A22="","",IF(G22=0,"Budget non vote",IF(AND(C22=YEAR(TODAY()),K22&lt;0.25,MONTH(TODAY())&gt;6),"Execution faible","OK")))</x:f>
      </x:c>
      <x:c r="N22" s="18"/>
    </x:row>
    <x:row r="23">
      <x:c r="A23" s="18"/>
      <x:c r="B23" s="18"/>
      <x:c r="C23" s="18"/>
      <x:c r="D23" s="18"/>
      <x:c r="E23" s="18"/>
      <x:c r="F23" s="21"/>
      <x:c r="G23" s="21"/>
      <x:c r="H23" s="21"/>
      <x:c r="I23" s="21"/>
      <x:c r="J23" s="21" t="str">
        <x:f>IF(A23="","",MAX(0,G23-I23))</x:f>
      </x:c>
      <x:c r="K23" s="20" t="str">
        <x:f>IF(A23="","",IFERROR(I23/G23,""))</x:f>
      </x:c>
      <x:c r="L23" s="21" t="str">
        <x:f>IF(A23="","",G23-F23)</x:f>
      </x:c>
      <x:c r="M23" s="18" t="str">
        <x:f>IF(A23="","",IF(G23=0,"Budget non vote",IF(AND(C23=YEAR(TODAY()),K23&lt;0.25,MONTH(TODAY())&gt;6),"Execution faible","OK")))</x:f>
      </x:c>
      <x:c r="N23" s="18"/>
    </x:row>
    <x:row r="24">
      <x:c r="A24" s="18"/>
      <x:c r="B24" s="18"/>
      <x:c r="C24" s="18"/>
      <x:c r="D24" s="18"/>
      <x:c r="E24" s="18"/>
      <x:c r="F24" s="21"/>
      <x:c r="G24" s="21"/>
      <x:c r="H24" s="21"/>
      <x:c r="I24" s="21"/>
      <x:c r="J24" s="21" t="str">
        <x:f>IF(A24="","",MAX(0,G24-I24))</x:f>
      </x:c>
      <x:c r="K24" s="20" t="str">
        <x:f>IF(A24="","",IFERROR(I24/G24,""))</x:f>
      </x:c>
      <x:c r="L24" s="21" t="str">
        <x:f>IF(A24="","",G24-F24)</x:f>
      </x:c>
      <x:c r="M24" s="18" t="str">
        <x:f>IF(A24="","",IF(G24=0,"Budget non vote",IF(AND(C24=YEAR(TODAY()),K24&lt;0.25,MONTH(TODAY())&gt;6),"Execution faible","OK")))</x:f>
      </x:c>
      <x:c r="N24" s="18"/>
    </x:row>
    <x:row r="25">
      <x:c r="A25" s="18"/>
      <x:c r="B25" s="18"/>
      <x:c r="C25" s="18"/>
      <x:c r="D25" s="18"/>
      <x:c r="E25" s="18"/>
      <x:c r="F25" s="21"/>
      <x:c r="G25" s="21"/>
      <x:c r="H25" s="21"/>
      <x:c r="I25" s="21"/>
      <x:c r="J25" s="21" t="str">
        <x:f>IF(A25="","",MAX(0,G25-I25))</x:f>
      </x:c>
      <x:c r="K25" s="20" t="str">
        <x:f>IF(A25="","",IFERROR(I25/G25,""))</x:f>
      </x:c>
      <x:c r="L25" s="21" t="str">
        <x:f>IF(A25="","",G25-F25)</x:f>
      </x:c>
      <x:c r="M25" s="18" t="str">
        <x:f>IF(A25="","",IF(G25=0,"Budget non vote",IF(AND(C25=YEAR(TODAY()),K25&lt;0.25,MONTH(TODAY())&gt;6),"Execution faible","OK")))</x:f>
      </x:c>
      <x:c r="N25" s="18"/>
    </x:row>
    <x:row r="26">
      <x:c r="A26" s="18"/>
      <x:c r="B26" s="18"/>
      <x:c r="C26" s="18"/>
      <x:c r="D26" s="18"/>
      <x:c r="E26" s="18"/>
      <x:c r="F26" s="21"/>
      <x:c r="G26" s="21"/>
      <x:c r="H26" s="21"/>
      <x:c r="I26" s="21"/>
      <x:c r="J26" s="21" t="str">
        <x:f>IF(A26="","",MAX(0,G26-I26))</x:f>
      </x:c>
      <x:c r="K26" s="20" t="str">
        <x:f>IF(A26="","",IFERROR(I26/G26,""))</x:f>
      </x:c>
      <x:c r="L26" s="21" t="str">
        <x:f>IF(A26="","",G26-F26)</x:f>
      </x:c>
      <x:c r="M26" s="18" t="str">
        <x:f>IF(A26="","",IF(G26=0,"Budget non vote",IF(AND(C26=YEAR(TODAY()),K26&lt;0.25,MONTH(TODAY())&gt;6),"Execution faible","OK")))</x:f>
      </x:c>
      <x:c r="N26" s="18"/>
    </x:row>
    <x:row r="27">
      <x:c r="A27" s="18"/>
      <x:c r="B27" s="18"/>
      <x:c r="C27" s="18"/>
      <x:c r="D27" s="18"/>
      <x:c r="E27" s="18"/>
      <x:c r="F27" s="21"/>
      <x:c r="G27" s="21"/>
      <x:c r="H27" s="21"/>
      <x:c r="I27" s="21"/>
      <x:c r="J27" s="21" t="str">
        <x:f>IF(A27="","",MAX(0,G27-I27))</x:f>
      </x:c>
      <x:c r="K27" s="20" t="str">
        <x:f>IF(A27="","",IFERROR(I27/G27,""))</x:f>
      </x:c>
      <x:c r="L27" s="21" t="str">
        <x:f>IF(A27="","",G27-F27)</x:f>
      </x:c>
      <x:c r="M27" s="18" t="str">
        <x:f>IF(A27="","",IF(G27=0,"Budget non vote",IF(AND(C27=YEAR(TODAY()),K27&lt;0.25,MONTH(TODAY())&gt;6),"Execution faible","OK")))</x:f>
      </x:c>
      <x:c r="N27" s="18"/>
    </x:row>
    <x:row r="28">
      <x:c r="A28" s="18"/>
      <x:c r="B28" s="18"/>
      <x:c r="C28" s="18"/>
      <x:c r="D28" s="18"/>
      <x:c r="E28" s="18"/>
      <x:c r="F28" s="21"/>
      <x:c r="G28" s="21"/>
      <x:c r="H28" s="21"/>
      <x:c r="I28" s="21"/>
      <x:c r="J28" s="21" t="str">
        <x:f>IF(A28="","",MAX(0,G28-I28))</x:f>
      </x:c>
      <x:c r="K28" s="20" t="str">
        <x:f>IF(A28="","",IFERROR(I28/G28,""))</x:f>
      </x:c>
      <x:c r="L28" s="21" t="str">
        <x:f>IF(A28="","",G28-F28)</x:f>
      </x:c>
      <x:c r="M28" s="18" t="str">
        <x:f>IF(A28="","",IF(G28=0,"Budget non vote",IF(AND(C28=YEAR(TODAY()),K28&lt;0.25,MONTH(TODAY())&gt;6),"Execution faible","OK")))</x:f>
      </x:c>
      <x:c r="N28" s="18"/>
    </x:row>
    <x:row r="29">
      <x:c r="A29" s="18"/>
      <x:c r="B29" s="18"/>
      <x:c r="C29" s="18"/>
      <x:c r="D29" s="18"/>
      <x:c r="E29" s="18"/>
      <x:c r="F29" s="21"/>
      <x:c r="G29" s="21"/>
      <x:c r="H29" s="21"/>
      <x:c r="I29" s="21"/>
      <x:c r="J29" s="21" t="str">
        <x:f>IF(A29="","",MAX(0,G29-I29))</x:f>
      </x:c>
      <x:c r="K29" s="20" t="str">
        <x:f>IF(A29="","",IFERROR(I29/G29,""))</x:f>
      </x:c>
      <x:c r="L29" s="21" t="str">
        <x:f>IF(A29="","",G29-F29)</x:f>
      </x:c>
      <x:c r="M29" s="18" t="str">
        <x:f>IF(A29="","",IF(G29=0,"Budget non vote",IF(AND(C29=YEAR(TODAY()),K29&lt;0.25,MONTH(TODAY())&gt;6),"Execution faible","OK")))</x:f>
      </x:c>
      <x:c r="N29" s="18"/>
    </x:row>
    <x:row r="30">
      <x:c r="A30" s="18"/>
      <x:c r="B30" s="18"/>
      <x:c r="C30" s="18"/>
      <x:c r="D30" s="18"/>
      <x:c r="E30" s="18"/>
      <x:c r="F30" s="21"/>
      <x:c r="G30" s="21"/>
      <x:c r="H30" s="21"/>
      <x:c r="I30" s="21"/>
      <x:c r="J30" s="21" t="str">
        <x:f>IF(A30="","",MAX(0,G30-I30))</x:f>
      </x:c>
      <x:c r="K30" s="20" t="str">
        <x:f>IF(A30="","",IFERROR(I30/G30,""))</x:f>
      </x:c>
      <x:c r="L30" s="21" t="str">
        <x:f>IF(A30="","",G30-F30)</x:f>
      </x:c>
      <x:c r="M30" s="18" t="str">
        <x:f>IF(A30="","",IF(G30=0,"Budget non vote",IF(AND(C30=YEAR(TODAY()),K30&lt;0.25,MONTH(TODAY())&gt;6),"Execution faible","OK")))</x:f>
      </x:c>
      <x:c r="N30" s="18"/>
    </x:row>
    <x:row r="31">
      <x:c r="A31" s="18"/>
      <x:c r="B31" s="18"/>
      <x:c r="C31" s="18"/>
      <x:c r="D31" s="18"/>
      <x:c r="E31" s="18"/>
      <x:c r="F31" s="21"/>
      <x:c r="G31" s="21"/>
      <x:c r="H31" s="21"/>
      <x:c r="I31" s="21"/>
      <x:c r="J31" s="21" t="str">
        <x:f>IF(A31="","",MAX(0,G31-I31))</x:f>
      </x:c>
      <x:c r="K31" s="20" t="str">
        <x:f>IF(A31="","",IFERROR(I31/G31,""))</x:f>
      </x:c>
      <x:c r="L31" s="21" t="str">
        <x:f>IF(A31="","",G31-F31)</x:f>
      </x:c>
      <x:c r="M31" s="18" t="str">
        <x:f>IF(A31="","",IF(G31=0,"Budget non vote",IF(AND(C31=YEAR(TODAY()),K31&lt;0.25,MONTH(TODAY())&gt;6),"Execution faible","OK")))</x:f>
      </x:c>
      <x:c r="N31" s="18"/>
    </x:row>
    <x:row r="32">
      <x:c r="A32" s="18"/>
      <x:c r="B32" s="18"/>
      <x:c r="C32" s="18"/>
      <x:c r="D32" s="18"/>
      <x:c r="E32" s="18"/>
      <x:c r="F32" s="21"/>
      <x:c r="G32" s="21"/>
      <x:c r="H32" s="21"/>
      <x:c r="I32" s="21"/>
      <x:c r="J32" s="21" t="str">
        <x:f>IF(A32="","",MAX(0,G32-I32))</x:f>
      </x:c>
      <x:c r="K32" s="20" t="str">
        <x:f>IF(A32="","",IFERROR(I32/G32,""))</x:f>
      </x:c>
      <x:c r="L32" s="21" t="str">
        <x:f>IF(A32="","",G32-F32)</x:f>
      </x:c>
      <x:c r="M32" s="18" t="str">
        <x:f>IF(A32="","",IF(G32=0,"Budget non vote",IF(AND(C32=YEAR(TODAY()),K32&lt;0.25,MONTH(TODAY())&gt;6),"Execution faible","OK")))</x:f>
      </x:c>
      <x:c r="N32" s="18"/>
    </x:row>
    <x:row r="33">
      <x:c r="A33" s="18"/>
      <x:c r="B33" s="18"/>
      <x:c r="C33" s="18"/>
      <x:c r="D33" s="18"/>
      <x:c r="E33" s="18"/>
      <x:c r="F33" s="21"/>
      <x:c r="G33" s="21"/>
      <x:c r="H33" s="21"/>
      <x:c r="I33" s="21"/>
      <x:c r="J33" s="21" t="str">
        <x:f>IF(A33="","",MAX(0,G33-I33))</x:f>
      </x:c>
      <x:c r="K33" s="20" t="str">
        <x:f>IF(A33="","",IFERROR(I33/G33,""))</x:f>
      </x:c>
      <x:c r="L33" s="21" t="str">
        <x:f>IF(A33="","",G33-F33)</x:f>
      </x:c>
      <x:c r="M33" s="18" t="str">
        <x:f>IF(A33="","",IF(G33=0,"Budget non vote",IF(AND(C33=YEAR(TODAY()),K33&lt;0.25,MONTH(TODAY())&gt;6),"Execution faible","OK")))</x:f>
      </x:c>
      <x:c r="N33" s="18"/>
    </x:row>
    <x:row r="34">
      <x:c r="A34" s="18"/>
      <x:c r="B34" s="18"/>
      <x:c r="C34" s="18"/>
      <x:c r="D34" s="18"/>
      <x:c r="E34" s="18"/>
      <x:c r="F34" s="21"/>
      <x:c r="G34" s="21"/>
      <x:c r="H34" s="21"/>
      <x:c r="I34" s="21"/>
      <x:c r="J34" s="21" t="str">
        <x:f>IF(A34="","",MAX(0,G34-I34))</x:f>
      </x:c>
      <x:c r="K34" s="20" t="str">
        <x:f>IF(A34="","",IFERROR(I34/G34,""))</x:f>
      </x:c>
      <x:c r="L34" s="21" t="str">
        <x:f>IF(A34="","",G34-F34)</x:f>
      </x:c>
      <x:c r="M34" s="18" t="str">
        <x:f>IF(A34="","",IF(G34=0,"Budget non vote",IF(AND(C34=YEAR(TODAY()),K34&lt;0.25,MONTH(TODAY())&gt;6),"Execution faible","OK")))</x:f>
      </x:c>
      <x:c r="N34" s="18"/>
    </x:row>
    <x:row r="35">
      <x:c r="A35" s="18"/>
      <x:c r="B35" s="18"/>
      <x:c r="C35" s="18"/>
      <x:c r="D35" s="18"/>
      <x:c r="E35" s="18"/>
      <x:c r="F35" s="21"/>
      <x:c r="G35" s="21"/>
      <x:c r="H35" s="21"/>
      <x:c r="I35" s="21"/>
      <x:c r="J35" s="21" t="str">
        <x:f>IF(A35="","",MAX(0,G35-I35))</x:f>
      </x:c>
      <x:c r="K35" s="20" t="str">
        <x:f>IF(A35="","",IFERROR(I35/G35,""))</x:f>
      </x:c>
      <x:c r="L35" s="21" t="str">
        <x:f>IF(A35="","",G35-F35)</x:f>
      </x:c>
      <x:c r="M35" s="18" t="str">
        <x:f>IF(A35="","",IF(G35=0,"Budget non vote",IF(AND(C35=YEAR(TODAY()),K35&lt;0.25,MONTH(TODAY())&gt;6),"Execution faible","OK")))</x:f>
      </x:c>
      <x:c r="N35" s="18"/>
    </x:row>
    <x:row r="36">
      <x:c r="A36" s="18"/>
      <x:c r="B36" s="18"/>
      <x:c r="C36" s="18"/>
      <x:c r="D36" s="18"/>
      <x:c r="E36" s="18"/>
      <x:c r="F36" s="21"/>
      <x:c r="G36" s="21"/>
      <x:c r="H36" s="21"/>
      <x:c r="I36" s="21"/>
      <x:c r="J36" s="21" t="str">
        <x:f>IF(A36="","",MAX(0,G36-I36))</x:f>
      </x:c>
      <x:c r="K36" s="20" t="str">
        <x:f>IF(A36="","",IFERROR(I36/G36,""))</x:f>
      </x:c>
      <x:c r="L36" s="21" t="str">
        <x:f>IF(A36="","",G36-F36)</x:f>
      </x:c>
      <x:c r="M36" s="18" t="str">
        <x:f>IF(A36="","",IF(G36=0,"Budget non vote",IF(AND(C36=YEAR(TODAY()),K36&lt;0.25,MONTH(TODAY())&gt;6),"Execution faible","OK")))</x:f>
      </x:c>
      <x:c r="N36" s="18"/>
    </x:row>
    <x:row r="37">
      <x:c r="A37" s="18"/>
      <x:c r="B37" s="18"/>
      <x:c r="C37" s="18"/>
      <x:c r="D37" s="18"/>
      <x:c r="E37" s="18"/>
      <x:c r="F37" s="21"/>
      <x:c r="G37" s="21"/>
      <x:c r="H37" s="21"/>
      <x:c r="I37" s="21"/>
      <x:c r="J37" s="21" t="str">
        <x:f>IF(A37="","",MAX(0,G37-I37))</x:f>
      </x:c>
      <x:c r="K37" s="20" t="str">
        <x:f>IF(A37="","",IFERROR(I37/G37,""))</x:f>
      </x:c>
      <x:c r="L37" s="21" t="str">
        <x:f>IF(A37="","",G37-F37)</x:f>
      </x:c>
      <x:c r="M37" s="18" t="str">
        <x:f>IF(A37="","",IF(G37=0,"Budget non vote",IF(AND(C37=YEAR(TODAY()),K37&lt;0.25,MONTH(TODAY())&gt;6),"Execution faible","OK")))</x:f>
      </x:c>
      <x:c r="N37" s="18"/>
    </x:row>
    <x:row r="38">
      <x:c r="A38" s="18"/>
      <x:c r="B38" s="18"/>
      <x:c r="C38" s="18"/>
      <x:c r="D38" s="18"/>
      <x:c r="E38" s="18"/>
      <x:c r="F38" s="21"/>
      <x:c r="G38" s="21"/>
      <x:c r="H38" s="21"/>
      <x:c r="I38" s="21"/>
      <x:c r="J38" s="21" t="str">
        <x:f>IF(A38="","",MAX(0,G38-I38))</x:f>
      </x:c>
      <x:c r="K38" s="20" t="str">
        <x:f>IF(A38="","",IFERROR(I38/G38,""))</x:f>
      </x:c>
      <x:c r="L38" s="21" t="str">
        <x:f>IF(A38="","",G38-F38)</x:f>
      </x:c>
      <x:c r="M38" s="18" t="str">
        <x:f>IF(A38="","",IF(G38=0,"Budget non vote",IF(AND(C38=YEAR(TODAY()),K38&lt;0.25,MONTH(TODAY())&gt;6),"Execution faible","OK")))</x:f>
      </x:c>
      <x:c r="N38" s="18"/>
    </x:row>
    <x:row r="39">
      <x:c r="A39" s="18"/>
      <x:c r="B39" s="18"/>
      <x:c r="C39" s="18"/>
      <x:c r="D39" s="18"/>
      <x:c r="E39" s="18"/>
      <x:c r="F39" s="21"/>
      <x:c r="G39" s="21"/>
      <x:c r="H39" s="21"/>
      <x:c r="I39" s="21"/>
      <x:c r="J39" s="21" t="str">
        <x:f>IF(A39="","",MAX(0,G39-I39))</x:f>
      </x:c>
      <x:c r="K39" s="20" t="str">
        <x:f>IF(A39="","",IFERROR(I39/G39,""))</x:f>
      </x:c>
      <x:c r="L39" s="21" t="str">
        <x:f>IF(A39="","",G39-F39)</x:f>
      </x:c>
      <x:c r="M39" s="18" t="str">
        <x:f>IF(A39="","",IF(G39=0,"Budget non vote",IF(AND(C39=YEAR(TODAY()),K39&lt;0.25,MONTH(TODAY())&gt;6),"Execution faible","OK")))</x:f>
      </x:c>
      <x:c r="N39" s="18"/>
    </x:row>
    <x:row r="40">
      <x:c r="A40" s="18"/>
      <x:c r="B40" s="18"/>
      <x:c r="C40" s="18"/>
      <x:c r="D40" s="18"/>
      <x:c r="E40" s="18"/>
      <x:c r="F40" s="21"/>
      <x:c r="G40" s="21"/>
      <x:c r="H40" s="21"/>
      <x:c r="I40" s="21"/>
      <x:c r="J40" s="21" t="str">
        <x:f>IF(A40="","",MAX(0,G40-I40))</x:f>
      </x:c>
      <x:c r="K40" s="20" t="str">
        <x:f>IF(A40="","",IFERROR(I40/G40,""))</x:f>
      </x:c>
      <x:c r="L40" s="21" t="str">
        <x:f>IF(A40="","",G40-F40)</x:f>
      </x:c>
      <x:c r="M40" s="18" t="str">
        <x:f>IF(A40="","",IF(G40=0,"Budget non vote",IF(AND(C40=YEAR(TODAY()),K40&lt;0.25,MONTH(TODAY())&gt;6),"Execution faible","OK")))</x:f>
      </x:c>
      <x:c r="N40" s="18"/>
    </x:row>
    <x:row r="41">
      <x:c r="A41" s="18"/>
      <x:c r="B41" s="18"/>
      <x:c r="C41" s="18"/>
      <x:c r="D41" s="18"/>
      <x:c r="E41" s="18"/>
      <x:c r="F41" s="21"/>
      <x:c r="G41" s="21"/>
      <x:c r="H41" s="21"/>
      <x:c r="I41" s="21"/>
      <x:c r="J41" s="21" t="str">
        <x:f>IF(A41="","",MAX(0,G41-I41))</x:f>
      </x:c>
      <x:c r="K41" s="20" t="str">
        <x:f>IF(A41="","",IFERROR(I41/G41,""))</x:f>
      </x:c>
      <x:c r="L41" s="21" t="str">
        <x:f>IF(A41="","",G41-F41)</x:f>
      </x:c>
      <x:c r="M41" s="18" t="str">
        <x:f>IF(A41="","",IF(G41=0,"Budget non vote",IF(AND(C41=YEAR(TODAY()),K41&lt;0.25,MONTH(TODAY())&gt;6),"Execution faible","OK")))</x:f>
      </x:c>
      <x:c r="N41" s="18"/>
    </x:row>
    <x:row r="42">
      <x:c r="A42" s="18"/>
      <x:c r="B42" s="18"/>
      <x:c r="C42" s="18"/>
      <x:c r="D42" s="18"/>
      <x:c r="E42" s="18"/>
      <x:c r="F42" s="21"/>
      <x:c r="G42" s="21"/>
      <x:c r="H42" s="21"/>
      <x:c r="I42" s="21"/>
      <x:c r="J42" s="21" t="str">
        <x:f>IF(A42="","",MAX(0,G42-I42))</x:f>
      </x:c>
      <x:c r="K42" s="20" t="str">
        <x:f>IF(A42="","",IFERROR(I42/G42,""))</x:f>
      </x:c>
      <x:c r="L42" s="21" t="str">
        <x:f>IF(A42="","",G42-F42)</x:f>
      </x:c>
      <x:c r="M42" s="18" t="str">
        <x:f>IF(A42="","",IF(G42=0,"Budget non vote",IF(AND(C42=YEAR(TODAY()),K42&lt;0.25,MONTH(TODAY())&gt;6),"Execution faible","OK")))</x:f>
      </x:c>
      <x:c r="N42" s="18"/>
    </x:row>
    <x:row r="43">
      <x:c r="A43" s="18"/>
      <x:c r="B43" s="18"/>
      <x:c r="C43" s="18"/>
      <x:c r="D43" s="18"/>
      <x:c r="E43" s="18"/>
      <x:c r="F43" s="21"/>
      <x:c r="G43" s="21"/>
      <x:c r="H43" s="21"/>
      <x:c r="I43" s="21"/>
      <x:c r="J43" s="21" t="str">
        <x:f>IF(A43="","",MAX(0,G43-I43))</x:f>
      </x:c>
      <x:c r="K43" s="20" t="str">
        <x:f>IF(A43="","",IFERROR(I43/G43,""))</x:f>
      </x:c>
      <x:c r="L43" s="21" t="str">
        <x:f>IF(A43="","",G43-F43)</x:f>
      </x:c>
      <x:c r="M43" s="18" t="str">
        <x:f>IF(A43="","",IF(G43=0,"Budget non vote",IF(AND(C43=YEAR(TODAY()),K43&lt;0.25,MONTH(TODAY())&gt;6),"Execution faible","OK")))</x:f>
      </x:c>
      <x:c r="N43" s="18"/>
    </x:row>
    <x:row r="44">
      <x:c r="A44" s="18"/>
      <x:c r="B44" s="18"/>
      <x:c r="C44" s="18"/>
      <x:c r="D44" s="18"/>
      <x:c r="E44" s="18"/>
      <x:c r="F44" s="21"/>
      <x:c r="G44" s="21"/>
      <x:c r="H44" s="21"/>
      <x:c r="I44" s="21"/>
      <x:c r="J44" s="21" t="str">
        <x:f>IF(A44="","",MAX(0,G44-I44))</x:f>
      </x:c>
      <x:c r="K44" s="20" t="str">
        <x:f>IF(A44="","",IFERROR(I44/G44,""))</x:f>
      </x:c>
      <x:c r="L44" s="21" t="str">
        <x:f>IF(A44="","",G44-F44)</x:f>
      </x:c>
      <x:c r="M44" s="18" t="str">
        <x:f>IF(A44="","",IF(G44=0,"Budget non vote",IF(AND(C44=YEAR(TODAY()),K44&lt;0.25,MONTH(TODAY())&gt;6),"Execution faible","OK")))</x:f>
      </x:c>
      <x:c r="N44" s="18"/>
    </x:row>
  </x:sheetData>
  <x:mergeCells>
    <x:mergeCell ref="A1:J1"/>
    <x:mergeCell ref="A2:J2"/>
  </x:mergeCells>
  <x:conditionalFormatting sqref="M5:M44">
    <x:cfRule type="containsText" dxfId="56" priority="1" operator="containsText" text="Retard"/>
    <x:cfRule type="containsText" dxfId="57" priority="2" operator="containsText" text="critique"/>
    <x:cfRule type="containsText" dxfId="58" priority="3" operator="containsText" text="manquant"/>
    <x:cfRule type="containsText" dxfId="59" priority="4" operator="containsText" text="OK"/>
  </x:conditionalFormatting>
  <x:pageMargins left="0.7" right="0.7" top="0.75" bottom="0.75" header="0.3" footer="0.3"/>
  <x:tableParts count="1">
    <x:tablePart xmlns:r="http://schemas.openxmlformats.org/officeDocument/2006/relationships" r:id="Ra2d0cddf02be4973"/>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27.5" hidden="0" customWidth="1"/>
    <x:col min="4" max="4" width="18.75" hidden="0" customWidth="1"/>
    <x:col min="5" max="5" width="10" hidden="0" customWidth="1"/>
    <x:col min="6" max="6" width="18.1299991607666" hidden="0" customWidth="1"/>
    <x:col min="7" max="7" width="18.1299991607666" hidden="0" customWidth="1"/>
    <x:col min="8" max="8" width="18.1299991607666" hidden="0" customWidth="1"/>
    <x:col min="9" max="9" width="15" hidden="0" customWidth="1"/>
    <x:col min="10" max="10" width="17.5" hidden="0" customWidth="1"/>
    <x:col min="11" max="11" width="14.380000114440918" hidden="0" customWidth="1"/>
    <x:col min="12" max="12" width="14.380000114440918" hidden="0" customWidth="1"/>
    <x:col min="13" max="13" width="15.630000114440918" hidden="0" customWidth="1"/>
    <x:col min="14" max="14" width="31.25" hidden="0" customWidth="1"/>
    <x:col min="15" max="15" width="19.3799991607666" hidden="0" customWidth="1"/>
  </x:cols>
  <x:sheetData>
    <x:row r="1" ht="25.5" customHeight="1">
      <x:c r="A1" s="2" t="str">
        <x:v>Financements climat</x:v>
      </x:c>
      <x:c r="B1" s="2"/>
      <x:c r="C1" s="2"/>
      <x:c r="D1" s="2"/>
      <x:c r="E1" s="2"/>
      <x:c r="F1" s="2"/>
      <x:c r="G1" s="2"/>
      <x:c r="H1" s="2"/>
      <x:c r="I1" s="2"/>
      <x:c r="J1" s="2"/>
    </x:row>
    <x:row r="2" ht="31.5" customHeight="1">
      <x:c r="A2" s="5" t="str">
        <x:v>Suivi des financements demandes, approuves, decaisses et besoins residuels.</x:v>
      </x:c>
      <x:c r="B2" s="5"/>
      <x:c r="C2" s="5"/>
      <x:c r="D2" s="5"/>
      <x:c r="E2" s="5"/>
      <x:c r="F2" s="5"/>
      <x:c r="G2" s="5"/>
      <x:c r="H2" s="5"/>
      <x:c r="I2" s="5"/>
      <x:c r="J2" s="5"/>
    </x:row>
    <x:row r="4" ht="28.5" customHeight="1">
      <x:c r="A4" s="16" t="str">
        <x:v>Finance_ID</x:v>
      </x:c>
      <x:c r="B4" s="16" t="str">
        <x:v>Project_ID</x:v>
      </x:c>
      <x:c r="C4" s="16" t="str">
        <x:v>Bailleur</x:v>
      </x:c>
      <x:c r="D4" s="16" t="str">
        <x:v>Instrument</x:v>
      </x:c>
      <x:c r="E4" s="16" t="str">
        <x:v>Devise</x:v>
      </x:c>
      <x:c r="F4" s="16" t="str">
        <x:v>Montant_demande</x:v>
      </x:c>
      <x:c r="G4" s="16" t="str">
        <x:v>Montant_approuve</x:v>
      </x:c>
      <x:c r="H4" s="16" t="str">
        <x:v>Montant_decaisse</x:v>
      </x:c>
      <x:c r="I4" s="16" t="str">
        <x:v>Taux_decaissement</x:v>
      </x:c>
      <x:c r="J4" s="16" t="str">
        <x:v>Statut_financement</x:v>
      </x:c>
      <x:c r="K4" s="16" t="str">
        <x:v>Date_soumission</x:v>
      </x:c>
      <x:c r="L4" s="16" t="str">
        <x:v>Date_decision</x:v>
      </x:c>
      <x:c r="M4" s="16" t="str">
        <x:v>Prochaine_echeance</x:v>
      </x:c>
      <x:c r="N4" s="16" t="str">
        <x:v>Conditionnalites</x:v>
      </x:c>
      <x:c r="O4" s="16" t="str">
        <x:v>Alerte_financement</x:v>
      </x:c>
    </x:row>
    <x:row r="5">
      <x:c r="A5" s="18" t="str">
        <x:v>FIN-001</x:v>
      </x:c>
      <x:c r="B5" s="18" t="str">
        <x:v>PRJ-001</x:v>
      </x:c>
      <x:c r="C5" s="18" t="str">
        <x:v>Bailleur energie durable</x:v>
      </x:c>
      <x:c r="D5" s="18" t="str">
        <x:v>Subvention</x:v>
      </x:c>
      <x:c r="E5" s="18" t="str">
        <x:v>XOF</x:v>
      </x:c>
      <x:c r="F5" s="22" t="n">
        <x:v>1500000000</x:v>
      </x:c>
      <x:c r="G5" s="22" t="n">
        <x:v>1100000000</x:v>
      </x:c>
      <x:c r="H5" s="22" t="n">
        <x:v>400000000</x:v>
      </x:c>
      <x:c r="I5" s="20" t="n">
        <x:f>IF(A5="","",IFERROR(H5/G5,""))</x:f>
        <x:v>0.36363636363636365</x:v>
      </x:c>
      <x:c r="J5" s="18" t="str">
        <x:v>Approuve</x:v>
      </x:c>
      <x:c r="K5" s="19" t="n">
        <x:v>45778</x:v>
      </x:c>
      <x:c r="L5" s="19" t="n">
        <x:v>46006</x:v>
      </x:c>
      <x:c r="M5" s="19" t="n">
        <x:v>46203</x:v>
      </x:c>
      <x:c r="N5" s="18" t="str">
        <x:v>Rapport technique semestriel</x:v>
      </x:c>
      <x:c r="O5" s="18" t="str">
        <x:f>IF(A5="","",IF(AND(M5&lt;TODAY(),J5&lt;&gt;"Cloture"),"Echeance financement en retard",IF(G5=0,"Financement critique",IF(I5&lt;0.25,"Decaissement faible","OK"))))</x:f>
        <x:v>OK</x:v>
      </x:c>
    </x:row>
    <x:row r="6">
      <x:c r="A6" s="18" t="str">
        <x:v>FIN-002</x:v>
      </x:c>
      <x:c r="B6" s="18" t="str">
        <x:v>PRJ-002</x:v>
      </x:c>
      <x:c r="C6" s="18" t="str">
        <x:v>Fonds climat dechets</x:v>
      </x:c>
      <x:c r="D6" s="18" t="str">
        <x:v>Subvention</x:v>
      </x:c>
      <x:c r="E6" s="18" t="str">
        <x:v>XOF</x:v>
      </x:c>
      <x:c r="F6" s="22" t="n">
        <x:v>900000000</x:v>
      </x:c>
      <x:c r="G6" s="22" t="n">
        <x:v>350000000</x:v>
      </x:c>
      <x:c r="H6" s="22" t="n">
        <x:v>75000000</x:v>
      </x:c>
      <x:c r="I6" s="20" t="n">
        <x:f>IF(A6="","",IFERROR(H6/G6,""))</x:f>
        <x:v>0.21428571428571427</x:v>
      </x:c>
      <x:c r="J6" s="18" t="str">
        <x:v>Negociation</x:v>
      </x:c>
      <x:c r="K6" s="19" t="n">
        <x:v>46068</x:v>
      </x:c>
      <x:c r="L6" s="19"/>
      <x:c r="M6" s="19" t="n">
        <x:v>46188</x:v>
      </x:c>
      <x:c r="N6" s="18" t="str">
        <x:v>Plan de sauvegarde environnementale</x:v>
      </x:c>
      <x:c r="O6" s="18" t="str">
        <x:f>IF(A6="","",IF(AND(M6&lt;TODAY(),J6&lt;&gt;"Cloture"),"Echeance financement en retard",IF(G6=0,"Financement critique",IF(I6&lt;0.25,"Decaissement faible","OK"))))</x:f>
        <x:v>Decaissement faible</x:v>
      </x:c>
    </x:row>
    <x:row r="7">
      <x:c r="A7" s="18" t="str">
        <x:v>FIN-003</x:v>
      </x:c>
      <x:c r="B7" s="18" t="str">
        <x:v>PRJ-006</x:v>
      </x:c>
      <x:c r="C7" s="18" t="str">
        <x:v>PPP eclairage</x:v>
      </x:c>
      <x:c r="D7" s="18" t="str">
        <x:v>PPP</x:v>
      </x:c>
      <x:c r="E7" s="18" t="str">
        <x:v>XOF</x:v>
      </x:c>
      <x:c r="F7" s="22" t="n">
        <x:v>2100000000</x:v>
      </x:c>
      <x:c r="G7" s="22" t="n">
        <x:v>0</x:v>
      </x:c>
      <x:c r="H7" s="22" t="n">
        <x:v>0</x:v>
      </x:c>
      <x:c r="I7" s="20" t="str">
        <x:f>IF(A7="","",IFERROR(H7/G7,""))</x:f>
      </x:c>
      <x:c r="J7" s="18" t="str">
        <x:v>Prospection</x:v>
      </x:c>
      <x:c r="K7" s="19"/>
      <x:c r="L7" s="19"/>
      <x:c r="M7" s="19" t="n">
        <x:v>46234</x:v>
      </x:c>
      <x:c r="N7" s="18" t="str">
        <x:v>Modele ESCO</x:v>
      </x:c>
      <x:c r="O7" s="18" t="str">
        <x:f>IF(A7="","",IF(AND(M7&lt;TODAY(),J7&lt;&gt;"Cloture"),"Echeance financement en retard",IF(G7=0,"Financement critique",IF(I7&lt;0.25,"Decaissement faible","OK"))))</x:f>
        <x:v>Financement critique</x:v>
      </x:c>
    </x:row>
    <x:row r="8">
      <x:c r="A8" s="18"/>
      <x:c r="B8" s="18"/>
      <x:c r="C8" s="18"/>
      <x:c r="D8" s="18"/>
      <x:c r="E8" s="18"/>
      <x:c r="F8" s="22"/>
      <x:c r="G8" s="22"/>
      <x:c r="H8" s="22"/>
      <x:c r="I8" s="20" t="str">
        <x:f>IF(A8="","",IFERROR(H8/G8,""))</x:f>
      </x:c>
      <x:c r="J8" s="18"/>
      <x:c r="K8" s="19"/>
      <x:c r="L8" s="19"/>
      <x:c r="M8" s="19"/>
      <x:c r="N8" s="18"/>
      <x:c r="O8" s="18" t="str">
        <x:f>IF(A8="","",IF(AND(M8&lt;TODAY(),J8&lt;&gt;"Cloture"),"Echeance financement en retard",IF(G8=0,"Financement critique",IF(I8&lt;0.25,"Decaissement faible","OK"))))</x:f>
      </x:c>
    </x:row>
    <x:row r="9">
      <x:c r="A9" s="18"/>
      <x:c r="B9" s="18"/>
      <x:c r="C9" s="18"/>
      <x:c r="D9" s="18"/>
      <x:c r="E9" s="18"/>
      <x:c r="F9" s="22"/>
      <x:c r="G9" s="22"/>
      <x:c r="H9" s="22"/>
      <x:c r="I9" s="20" t="str">
        <x:f>IF(A9="","",IFERROR(H9/G9,""))</x:f>
      </x:c>
      <x:c r="J9" s="18"/>
      <x:c r="K9" s="19"/>
      <x:c r="L9" s="19"/>
      <x:c r="M9" s="19"/>
      <x:c r="N9" s="18"/>
      <x:c r="O9" s="18" t="str">
        <x:f>IF(A9="","",IF(AND(M9&lt;TODAY(),J9&lt;&gt;"Cloture"),"Echeance financement en retard",IF(G9=0,"Financement critique",IF(I9&lt;0.25,"Decaissement faible","OK"))))</x:f>
      </x:c>
    </x:row>
    <x:row r="10">
      <x:c r="A10" s="18"/>
      <x:c r="B10" s="18"/>
      <x:c r="C10" s="18"/>
      <x:c r="D10" s="18"/>
      <x:c r="E10" s="18"/>
      <x:c r="F10" s="22"/>
      <x:c r="G10" s="22"/>
      <x:c r="H10" s="22"/>
      <x:c r="I10" s="20" t="str">
        <x:f>IF(A10="","",IFERROR(H10/G10,""))</x:f>
      </x:c>
      <x:c r="J10" s="18"/>
      <x:c r="K10" s="19"/>
      <x:c r="L10" s="19"/>
      <x:c r="M10" s="19"/>
      <x:c r="N10" s="18"/>
      <x:c r="O10" s="18" t="str">
        <x:f>IF(A10="","",IF(AND(M10&lt;TODAY(),J10&lt;&gt;"Cloture"),"Echeance financement en retard",IF(G10=0,"Financement critique",IF(I10&lt;0.25,"Decaissement faible","OK"))))</x:f>
      </x:c>
    </x:row>
    <x:row r="11">
      <x:c r="A11" s="18"/>
      <x:c r="B11" s="18"/>
      <x:c r="C11" s="18"/>
      <x:c r="D11" s="18"/>
      <x:c r="E11" s="18"/>
      <x:c r="F11" s="22"/>
      <x:c r="G11" s="22"/>
      <x:c r="H11" s="22"/>
      <x:c r="I11" s="20" t="str">
        <x:f>IF(A11="","",IFERROR(H11/G11,""))</x:f>
      </x:c>
      <x:c r="J11" s="18"/>
      <x:c r="K11" s="19"/>
      <x:c r="L11" s="19"/>
      <x:c r="M11" s="19"/>
      <x:c r="N11" s="18"/>
      <x:c r="O11" s="18" t="str">
        <x:f>IF(A11="","",IF(AND(M11&lt;TODAY(),J11&lt;&gt;"Cloture"),"Echeance financement en retard",IF(G11=0,"Financement critique",IF(I11&lt;0.25,"Decaissement faible","OK"))))</x:f>
      </x:c>
    </x:row>
    <x:row r="12">
      <x:c r="A12" s="18"/>
      <x:c r="B12" s="18"/>
      <x:c r="C12" s="18"/>
      <x:c r="D12" s="18"/>
      <x:c r="E12" s="18"/>
      <x:c r="F12" s="22"/>
      <x:c r="G12" s="22"/>
      <x:c r="H12" s="22"/>
      <x:c r="I12" s="20" t="str">
        <x:f>IF(A12="","",IFERROR(H12/G12,""))</x:f>
      </x:c>
      <x:c r="J12" s="18"/>
      <x:c r="K12" s="19"/>
      <x:c r="L12" s="19"/>
      <x:c r="M12" s="19"/>
      <x:c r="N12" s="18"/>
      <x:c r="O12" s="18" t="str">
        <x:f>IF(A12="","",IF(AND(M12&lt;TODAY(),J12&lt;&gt;"Cloture"),"Echeance financement en retard",IF(G12=0,"Financement critique",IF(I12&lt;0.25,"Decaissement faible","OK"))))</x:f>
      </x:c>
    </x:row>
    <x:row r="13">
      <x:c r="A13" s="18"/>
      <x:c r="B13" s="18"/>
      <x:c r="C13" s="18"/>
      <x:c r="D13" s="18"/>
      <x:c r="E13" s="18"/>
      <x:c r="F13" s="22"/>
      <x:c r="G13" s="22"/>
      <x:c r="H13" s="22"/>
      <x:c r="I13" s="20" t="str">
        <x:f>IF(A13="","",IFERROR(H13/G13,""))</x:f>
      </x:c>
      <x:c r="J13" s="18"/>
      <x:c r="K13" s="19"/>
      <x:c r="L13" s="19"/>
      <x:c r="M13" s="19"/>
      <x:c r="N13" s="18"/>
      <x:c r="O13" s="18" t="str">
        <x:f>IF(A13="","",IF(AND(M13&lt;TODAY(),J13&lt;&gt;"Cloture"),"Echeance financement en retard",IF(G13=0,"Financement critique",IF(I13&lt;0.25,"Decaissement faible","OK"))))</x:f>
      </x:c>
    </x:row>
    <x:row r="14">
      <x:c r="A14" s="18"/>
      <x:c r="B14" s="18"/>
      <x:c r="C14" s="18"/>
      <x:c r="D14" s="18"/>
      <x:c r="E14" s="18"/>
      <x:c r="F14" s="22"/>
      <x:c r="G14" s="22"/>
      <x:c r="H14" s="22"/>
      <x:c r="I14" s="20" t="str">
        <x:f>IF(A14="","",IFERROR(H14/G14,""))</x:f>
      </x:c>
      <x:c r="J14" s="18"/>
      <x:c r="K14" s="19"/>
      <x:c r="L14" s="19"/>
      <x:c r="M14" s="19"/>
      <x:c r="N14" s="18"/>
      <x:c r="O14" s="18" t="str">
        <x:f>IF(A14="","",IF(AND(M14&lt;TODAY(),J14&lt;&gt;"Cloture"),"Echeance financement en retard",IF(G14=0,"Financement critique",IF(I14&lt;0.25,"Decaissement faible","OK"))))</x:f>
      </x:c>
    </x:row>
    <x:row r="15">
      <x:c r="A15" s="18"/>
      <x:c r="B15" s="18"/>
      <x:c r="C15" s="18"/>
      <x:c r="D15" s="18"/>
      <x:c r="E15" s="18"/>
      <x:c r="F15" s="22"/>
      <x:c r="G15" s="22"/>
      <x:c r="H15" s="22"/>
      <x:c r="I15" s="20" t="str">
        <x:f>IF(A15="","",IFERROR(H15/G15,""))</x:f>
      </x:c>
      <x:c r="J15" s="18"/>
      <x:c r="K15" s="19"/>
      <x:c r="L15" s="19"/>
      <x:c r="M15" s="19"/>
      <x:c r="N15" s="18"/>
      <x:c r="O15" s="18" t="str">
        <x:f>IF(A15="","",IF(AND(M15&lt;TODAY(),J15&lt;&gt;"Cloture"),"Echeance financement en retard",IF(G15=0,"Financement critique",IF(I15&lt;0.25,"Decaissement faible","OK"))))</x:f>
      </x:c>
    </x:row>
    <x:row r="16">
      <x:c r="A16" s="18"/>
      <x:c r="B16" s="18"/>
      <x:c r="C16" s="18"/>
      <x:c r="D16" s="18"/>
      <x:c r="E16" s="18"/>
      <x:c r="F16" s="22"/>
      <x:c r="G16" s="22"/>
      <x:c r="H16" s="22"/>
      <x:c r="I16" s="20" t="str">
        <x:f>IF(A16="","",IFERROR(H16/G16,""))</x:f>
      </x:c>
      <x:c r="J16" s="18"/>
      <x:c r="K16" s="19"/>
      <x:c r="L16" s="19"/>
      <x:c r="M16" s="19"/>
      <x:c r="N16" s="18"/>
      <x:c r="O16" s="18" t="str">
        <x:f>IF(A16="","",IF(AND(M16&lt;TODAY(),J16&lt;&gt;"Cloture"),"Echeance financement en retard",IF(G16=0,"Financement critique",IF(I16&lt;0.25,"Decaissement faible","OK"))))</x:f>
      </x:c>
    </x:row>
    <x:row r="17">
      <x:c r="A17" s="18"/>
      <x:c r="B17" s="18"/>
      <x:c r="C17" s="18"/>
      <x:c r="D17" s="18"/>
      <x:c r="E17" s="18"/>
      <x:c r="F17" s="22"/>
      <x:c r="G17" s="22"/>
      <x:c r="H17" s="22"/>
      <x:c r="I17" s="20" t="str">
        <x:f>IF(A17="","",IFERROR(H17/G17,""))</x:f>
      </x:c>
      <x:c r="J17" s="18"/>
      <x:c r="K17" s="19"/>
      <x:c r="L17" s="19"/>
      <x:c r="M17" s="19"/>
      <x:c r="N17" s="18"/>
      <x:c r="O17" s="18" t="str">
        <x:f>IF(A17="","",IF(AND(M17&lt;TODAY(),J17&lt;&gt;"Cloture"),"Echeance financement en retard",IF(G17=0,"Financement critique",IF(I17&lt;0.25,"Decaissement faible","OK"))))</x:f>
      </x:c>
    </x:row>
    <x:row r="18">
      <x:c r="A18" s="18"/>
      <x:c r="B18" s="18"/>
      <x:c r="C18" s="18"/>
      <x:c r="D18" s="18"/>
      <x:c r="E18" s="18"/>
      <x:c r="F18" s="22"/>
      <x:c r="G18" s="22"/>
      <x:c r="H18" s="22"/>
      <x:c r="I18" s="20" t="str">
        <x:f>IF(A18="","",IFERROR(H18/G18,""))</x:f>
      </x:c>
      <x:c r="J18" s="18"/>
      <x:c r="K18" s="19"/>
      <x:c r="L18" s="19"/>
      <x:c r="M18" s="19"/>
      <x:c r="N18" s="18"/>
      <x:c r="O18" s="18" t="str">
        <x:f>IF(A18="","",IF(AND(M18&lt;TODAY(),J18&lt;&gt;"Cloture"),"Echeance financement en retard",IF(G18=0,"Financement critique",IF(I18&lt;0.25,"Decaissement faible","OK"))))</x:f>
      </x:c>
    </x:row>
    <x:row r="19">
      <x:c r="A19" s="18"/>
      <x:c r="B19" s="18"/>
      <x:c r="C19" s="18"/>
      <x:c r="D19" s="18"/>
      <x:c r="E19" s="18"/>
      <x:c r="F19" s="22"/>
      <x:c r="G19" s="22"/>
      <x:c r="H19" s="22"/>
      <x:c r="I19" s="20" t="str">
        <x:f>IF(A19="","",IFERROR(H19/G19,""))</x:f>
      </x:c>
      <x:c r="J19" s="18"/>
      <x:c r="K19" s="19"/>
      <x:c r="L19" s="19"/>
      <x:c r="M19" s="19"/>
      <x:c r="N19" s="18"/>
      <x:c r="O19" s="18" t="str">
        <x:f>IF(A19="","",IF(AND(M19&lt;TODAY(),J19&lt;&gt;"Cloture"),"Echeance financement en retard",IF(G19=0,"Financement critique",IF(I19&lt;0.25,"Decaissement faible","OK"))))</x:f>
      </x:c>
    </x:row>
    <x:row r="20">
      <x:c r="A20" s="18"/>
      <x:c r="B20" s="18"/>
      <x:c r="C20" s="18"/>
      <x:c r="D20" s="18"/>
      <x:c r="E20" s="18"/>
      <x:c r="F20" s="22"/>
      <x:c r="G20" s="22"/>
      <x:c r="H20" s="22"/>
      <x:c r="I20" s="20" t="str">
        <x:f>IF(A20="","",IFERROR(H20/G20,""))</x:f>
      </x:c>
      <x:c r="J20" s="18"/>
      <x:c r="K20" s="19"/>
      <x:c r="L20" s="19"/>
      <x:c r="M20" s="19"/>
      <x:c r="N20" s="18"/>
      <x:c r="O20" s="18" t="str">
        <x:f>IF(A20="","",IF(AND(M20&lt;TODAY(),J20&lt;&gt;"Cloture"),"Echeance financement en retard",IF(G20=0,"Financement critique",IF(I20&lt;0.25,"Decaissement faible","OK"))))</x:f>
      </x:c>
    </x:row>
    <x:row r="21">
      <x:c r="A21" s="18"/>
      <x:c r="B21" s="18"/>
      <x:c r="C21" s="18"/>
      <x:c r="D21" s="18"/>
      <x:c r="E21" s="18"/>
      <x:c r="F21" s="22"/>
      <x:c r="G21" s="22"/>
      <x:c r="H21" s="22"/>
      <x:c r="I21" s="20" t="str">
        <x:f>IF(A21="","",IFERROR(H21/G21,""))</x:f>
      </x:c>
      <x:c r="J21" s="18"/>
      <x:c r="K21" s="19"/>
      <x:c r="L21" s="19"/>
      <x:c r="M21" s="19"/>
      <x:c r="N21" s="18"/>
      <x:c r="O21" s="18" t="str">
        <x:f>IF(A21="","",IF(AND(M21&lt;TODAY(),J21&lt;&gt;"Cloture"),"Echeance financement en retard",IF(G21=0,"Financement critique",IF(I21&lt;0.25,"Decaissement faible","OK"))))</x:f>
      </x:c>
    </x:row>
    <x:row r="22">
      <x:c r="A22" s="18"/>
      <x:c r="B22" s="18"/>
      <x:c r="C22" s="18"/>
      <x:c r="D22" s="18"/>
      <x:c r="E22" s="18"/>
      <x:c r="F22" s="22"/>
      <x:c r="G22" s="22"/>
      <x:c r="H22" s="22"/>
      <x:c r="I22" s="20" t="str">
        <x:f>IF(A22="","",IFERROR(H22/G22,""))</x:f>
      </x:c>
      <x:c r="J22" s="18"/>
      <x:c r="K22" s="19"/>
      <x:c r="L22" s="19"/>
      <x:c r="M22" s="19"/>
      <x:c r="N22" s="18"/>
      <x:c r="O22" s="18" t="str">
        <x:f>IF(A22="","",IF(AND(M22&lt;TODAY(),J22&lt;&gt;"Cloture"),"Echeance financement en retard",IF(G22=0,"Financement critique",IF(I22&lt;0.25,"Decaissement faible","OK"))))</x:f>
      </x:c>
    </x:row>
    <x:row r="23">
      <x:c r="A23" s="18"/>
      <x:c r="B23" s="18"/>
      <x:c r="C23" s="18"/>
      <x:c r="D23" s="18"/>
      <x:c r="E23" s="18"/>
      <x:c r="F23" s="22"/>
      <x:c r="G23" s="22"/>
      <x:c r="H23" s="22"/>
      <x:c r="I23" s="20" t="str">
        <x:f>IF(A23="","",IFERROR(H23/G23,""))</x:f>
      </x:c>
      <x:c r="J23" s="18"/>
      <x:c r="K23" s="19"/>
      <x:c r="L23" s="19"/>
      <x:c r="M23" s="19"/>
      <x:c r="N23" s="18"/>
      <x:c r="O23" s="18" t="str">
        <x:f>IF(A23="","",IF(AND(M23&lt;TODAY(),J23&lt;&gt;"Cloture"),"Echeance financement en retard",IF(G23=0,"Financement critique",IF(I23&lt;0.25,"Decaissement faible","OK"))))</x:f>
      </x:c>
    </x:row>
    <x:row r="24">
      <x:c r="A24" s="18"/>
      <x:c r="B24" s="18"/>
      <x:c r="C24" s="18"/>
      <x:c r="D24" s="18"/>
      <x:c r="E24" s="18"/>
      <x:c r="F24" s="22"/>
      <x:c r="G24" s="22"/>
      <x:c r="H24" s="22"/>
      <x:c r="I24" s="20" t="str">
        <x:f>IF(A24="","",IFERROR(H24/G24,""))</x:f>
      </x:c>
      <x:c r="J24" s="18"/>
      <x:c r="K24" s="19"/>
      <x:c r="L24" s="19"/>
      <x:c r="M24" s="19"/>
      <x:c r="N24" s="18"/>
      <x:c r="O24" s="18" t="str">
        <x:f>IF(A24="","",IF(AND(M24&lt;TODAY(),J24&lt;&gt;"Cloture"),"Echeance financement en retard",IF(G24=0,"Financement critique",IF(I24&lt;0.25,"Decaissement faible","OK"))))</x:f>
      </x:c>
    </x:row>
    <x:row r="25">
      <x:c r="A25" s="18"/>
      <x:c r="B25" s="18"/>
      <x:c r="C25" s="18"/>
      <x:c r="D25" s="18"/>
      <x:c r="E25" s="18"/>
      <x:c r="F25" s="22"/>
      <x:c r="G25" s="22"/>
      <x:c r="H25" s="22"/>
      <x:c r="I25" s="20" t="str">
        <x:f>IF(A25="","",IFERROR(H25/G25,""))</x:f>
      </x:c>
      <x:c r="J25" s="18"/>
      <x:c r="K25" s="19"/>
      <x:c r="L25" s="19"/>
      <x:c r="M25" s="19"/>
      <x:c r="N25" s="18"/>
      <x:c r="O25" s="18" t="str">
        <x:f>IF(A25="","",IF(AND(M25&lt;TODAY(),J25&lt;&gt;"Cloture"),"Echeance financement en retard",IF(G25=0,"Financement critique",IF(I25&lt;0.25,"Decaissement faible","OK"))))</x:f>
      </x:c>
    </x:row>
    <x:row r="26">
      <x:c r="A26" s="18"/>
      <x:c r="B26" s="18"/>
      <x:c r="C26" s="18"/>
      <x:c r="D26" s="18"/>
      <x:c r="E26" s="18"/>
      <x:c r="F26" s="22"/>
      <x:c r="G26" s="22"/>
      <x:c r="H26" s="22"/>
      <x:c r="I26" s="20" t="str">
        <x:f>IF(A26="","",IFERROR(H26/G26,""))</x:f>
      </x:c>
      <x:c r="J26" s="18"/>
      <x:c r="K26" s="19"/>
      <x:c r="L26" s="19"/>
      <x:c r="M26" s="19"/>
      <x:c r="N26" s="18"/>
      <x:c r="O26" s="18" t="str">
        <x:f>IF(A26="","",IF(AND(M26&lt;TODAY(),J26&lt;&gt;"Cloture"),"Echeance financement en retard",IF(G26=0,"Financement critique",IF(I26&lt;0.25,"Decaissement faible","OK"))))</x:f>
      </x:c>
    </x:row>
    <x:row r="27">
      <x:c r="A27" s="18"/>
      <x:c r="B27" s="18"/>
      <x:c r="C27" s="18"/>
      <x:c r="D27" s="18"/>
      <x:c r="E27" s="18"/>
      <x:c r="F27" s="22"/>
      <x:c r="G27" s="22"/>
      <x:c r="H27" s="22"/>
      <x:c r="I27" s="20" t="str">
        <x:f>IF(A27="","",IFERROR(H27/G27,""))</x:f>
      </x:c>
      <x:c r="J27" s="18"/>
      <x:c r="K27" s="19"/>
      <x:c r="L27" s="19"/>
      <x:c r="M27" s="19"/>
      <x:c r="N27" s="18"/>
      <x:c r="O27" s="18" t="str">
        <x:f>IF(A27="","",IF(AND(M27&lt;TODAY(),J27&lt;&gt;"Cloture"),"Echeance financement en retard",IF(G27=0,"Financement critique",IF(I27&lt;0.25,"Decaissement faible","OK"))))</x:f>
      </x:c>
    </x:row>
    <x:row r="28">
      <x:c r="A28" s="18"/>
      <x:c r="B28" s="18"/>
      <x:c r="C28" s="18"/>
      <x:c r="D28" s="18"/>
      <x:c r="E28" s="18"/>
      <x:c r="F28" s="22"/>
      <x:c r="G28" s="22"/>
      <x:c r="H28" s="22"/>
      <x:c r="I28" s="20" t="str">
        <x:f>IF(A28="","",IFERROR(H28/G28,""))</x:f>
      </x:c>
      <x:c r="J28" s="18"/>
      <x:c r="K28" s="19"/>
      <x:c r="L28" s="19"/>
      <x:c r="M28" s="19"/>
      <x:c r="N28" s="18"/>
      <x:c r="O28" s="18" t="str">
        <x:f>IF(A28="","",IF(AND(M28&lt;TODAY(),J28&lt;&gt;"Cloture"),"Echeance financement en retard",IF(G28=0,"Financement critique",IF(I28&lt;0.25,"Decaissement faible","OK"))))</x:f>
      </x:c>
    </x:row>
    <x:row r="29">
      <x:c r="A29" s="18"/>
      <x:c r="B29" s="18"/>
      <x:c r="C29" s="18"/>
      <x:c r="D29" s="18"/>
      <x:c r="E29" s="18"/>
      <x:c r="F29" s="22"/>
      <x:c r="G29" s="22"/>
      <x:c r="H29" s="22"/>
      <x:c r="I29" s="20" t="str">
        <x:f>IF(A29="","",IFERROR(H29/G29,""))</x:f>
      </x:c>
      <x:c r="J29" s="18"/>
      <x:c r="K29" s="19"/>
      <x:c r="L29" s="19"/>
      <x:c r="M29" s="19"/>
      <x:c r="N29" s="18"/>
      <x:c r="O29" s="18" t="str">
        <x:f>IF(A29="","",IF(AND(M29&lt;TODAY(),J29&lt;&gt;"Cloture"),"Echeance financement en retard",IF(G29=0,"Financement critique",IF(I29&lt;0.25,"Decaissement faible","OK"))))</x:f>
      </x:c>
    </x:row>
    <x:row r="30">
      <x:c r="A30" s="18"/>
      <x:c r="B30" s="18"/>
      <x:c r="C30" s="18"/>
      <x:c r="D30" s="18"/>
      <x:c r="E30" s="18"/>
      <x:c r="F30" s="22"/>
      <x:c r="G30" s="22"/>
      <x:c r="H30" s="22"/>
      <x:c r="I30" s="20" t="str">
        <x:f>IF(A30="","",IFERROR(H30/G30,""))</x:f>
      </x:c>
      <x:c r="J30" s="18"/>
      <x:c r="K30" s="19"/>
      <x:c r="L30" s="19"/>
      <x:c r="M30" s="19"/>
      <x:c r="N30" s="18"/>
      <x:c r="O30" s="18" t="str">
        <x:f>IF(A30="","",IF(AND(M30&lt;TODAY(),J30&lt;&gt;"Cloture"),"Echeance financement en retard",IF(G30=0,"Financement critique",IF(I30&lt;0.25,"Decaissement faible","OK"))))</x:f>
      </x:c>
    </x:row>
    <x:row r="31">
      <x:c r="A31" s="18"/>
      <x:c r="B31" s="18"/>
      <x:c r="C31" s="18"/>
      <x:c r="D31" s="18"/>
      <x:c r="E31" s="18"/>
      <x:c r="F31" s="22"/>
      <x:c r="G31" s="22"/>
      <x:c r="H31" s="22"/>
      <x:c r="I31" s="20" t="str">
        <x:f>IF(A31="","",IFERROR(H31/G31,""))</x:f>
      </x:c>
      <x:c r="J31" s="18"/>
      <x:c r="K31" s="19"/>
      <x:c r="L31" s="19"/>
      <x:c r="M31" s="19"/>
      <x:c r="N31" s="18"/>
      <x:c r="O31" s="18" t="str">
        <x:f>IF(A31="","",IF(AND(M31&lt;TODAY(),J31&lt;&gt;"Cloture"),"Echeance financement en retard",IF(G31=0,"Financement critique",IF(I31&lt;0.25,"Decaissement faible","OK"))))</x:f>
      </x:c>
    </x:row>
    <x:row r="32">
      <x:c r="A32" s="18"/>
      <x:c r="B32" s="18"/>
      <x:c r="C32" s="18"/>
      <x:c r="D32" s="18"/>
      <x:c r="E32" s="18"/>
      <x:c r="F32" s="22"/>
      <x:c r="G32" s="22"/>
      <x:c r="H32" s="22"/>
      <x:c r="I32" s="20" t="str">
        <x:f>IF(A32="","",IFERROR(H32/G32,""))</x:f>
      </x:c>
      <x:c r="J32" s="18"/>
      <x:c r="K32" s="19"/>
      <x:c r="L32" s="19"/>
      <x:c r="M32" s="19"/>
      <x:c r="N32" s="18"/>
      <x:c r="O32" s="18" t="str">
        <x:f>IF(A32="","",IF(AND(M32&lt;TODAY(),J32&lt;&gt;"Cloture"),"Echeance financement en retard",IF(G32=0,"Financement critique",IF(I32&lt;0.25,"Decaissement faible","OK"))))</x:f>
      </x:c>
    </x:row>
    <x:row r="33">
      <x:c r="A33" s="18"/>
      <x:c r="B33" s="18"/>
      <x:c r="C33" s="18"/>
      <x:c r="D33" s="18"/>
      <x:c r="E33" s="18"/>
      <x:c r="F33" s="22"/>
      <x:c r="G33" s="22"/>
      <x:c r="H33" s="22"/>
      <x:c r="I33" s="20" t="str">
        <x:f>IF(A33="","",IFERROR(H33/G33,""))</x:f>
      </x:c>
      <x:c r="J33" s="18"/>
      <x:c r="K33" s="19"/>
      <x:c r="L33" s="19"/>
      <x:c r="M33" s="19"/>
      <x:c r="N33" s="18"/>
      <x:c r="O33" s="18" t="str">
        <x:f>IF(A33="","",IF(AND(M33&lt;TODAY(),J33&lt;&gt;"Cloture"),"Echeance financement en retard",IF(G33=0,"Financement critique",IF(I33&lt;0.25,"Decaissement faible","OK"))))</x:f>
      </x:c>
    </x:row>
    <x:row r="34">
      <x:c r="A34" s="18"/>
      <x:c r="B34" s="18"/>
      <x:c r="C34" s="18"/>
      <x:c r="D34" s="18"/>
      <x:c r="E34" s="18"/>
      <x:c r="F34" s="22"/>
      <x:c r="G34" s="22"/>
      <x:c r="H34" s="22"/>
      <x:c r="I34" s="20" t="str">
        <x:f>IF(A34="","",IFERROR(H34/G34,""))</x:f>
      </x:c>
      <x:c r="J34" s="18"/>
      <x:c r="K34" s="19"/>
      <x:c r="L34" s="19"/>
      <x:c r="M34" s="19"/>
      <x:c r="N34" s="18"/>
      <x:c r="O34" s="18" t="str">
        <x:f>IF(A34="","",IF(AND(M34&lt;TODAY(),J34&lt;&gt;"Cloture"),"Echeance financement en retard",IF(G34=0,"Financement critique",IF(I34&lt;0.25,"Decaissement faible","OK"))))</x:f>
      </x:c>
    </x:row>
    <x:row r="35">
      <x:c r="A35" s="18"/>
      <x:c r="B35" s="18"/>
      <x:c r="C35" s="18"/>
      <x:c r="D35" s="18"/>
      <x:c r="E35" s="18"/>
      <x:c r="F35" s="22"/>
      <x:c r="G35" s="22"/>
      <x:c r="H35" s="22"/>
      <x:c r="I35" s="20" t="str">
        <x:f>IF(A35="","",IFERROR(H35/G35,""))</x:f>
      </x:c>
      <x:c r="J35" s="18"/>
      <x:c r="K35" s="19"/>
      <x:c r="L35" s="19"/>
      <x:c r="M35" s="19"/>
      <x:c r="N35" s="18"/>
      <x:c r="O35" s="18" t="str">
        <x:f>IF(A35="","",IF(AND(M35&lt;TODAY(),J35&lt;&gt;"Cloture"),"Echeance financement en retard",IF(G35=0,"Financement critique",IF(I35&lt;0.25,"Decaissement faible","OK"))))</x:f>
      </x:c>
    </x:row>
    <x:row r="36">
      <x:c r="A36" s="18"/>
      <x:c r="B36" s="18"/>
      <x:c r="C36" s="18"/>
      <x:c r="D36" s="18"/>
      <x:c r="E36" s="18"/>
      <x:c r="F36" s="22"/>
      <x:c r="G36" s="22"/>
      <x:c r="H36" s="22"/>
      <x:c r="I36" s="20" t="str">
        <x:f>IF(A36="","",IFERROR(H36/G36,""))</x:f>
      </x:c>
      <x:c r="J36" s="18"/>
      <x:c r="K36" s="19"/>
      <x:c r="L36" s="19"/>
      <x:c r="M36" s="19"/>
      <x:c r="N36" s="18"/>
      <x:c r="O36" s="18" t="str">
        <x:f>IF(A36="","",IF(AND(M36&lt;TODAY(),J36&lt;&gt;"Cloture"),"Echeance financement en retard",IF(G36=0,"Financement critique",IF(I36&lt;0.25,"Decaissement faible","OK"))))</x:f>
      </x:c>
    </x:row>
    <x:row r="37">
      <x:c r="A37" s="18"/>
      <x:c r="B37" s="18"/>
      <x:c r="C37" s="18"/>
      <x:c r="D37" s="18"/>
      <x:c r="E37" s="18"/>
      <x:c r="F37" s="22"/>
      <x:c r="G37" s="22"/>
      <x:c r="H37" s="22"/>
      <x:c r="I37" s="20" t="str">
        <x:f>IF(A37="","",IFERROR(H37/G37,""))</x:f>
      </x:c>
      <x:c r="J37" s="18"/>
      <x:c r="K37" s="19"/>
      <x:c r="L37" s="19"/>
      <x:c r="M37" s="19"/>
      <x:c r="N37" s="18"/>
      <x:c r="O37" s="18" t="str">
        <x:f>IF(A37="","",IF(AND(M37&lt;TODAY(),J37&lt;&gt;"Cloture"),"Echeance financement en retard",IF(G37=0,"Financement critique",IF(I37&lt;0.25,"Decaissement faible","OK"))))</x:f>
      </x:c>
    </x:row>
    <x:row r="38">
      <x:c r="A38" s="18"/>
      <x:c r="B38" s="18"/>
      <x:c r="C38" s="18"/>
      <x:c r="D38" s="18"/>
      <x:c r="E38" s="18"/>
      <x:c r="F38" s="22"/>
      <x:c r="G38" s="22"/>
      <x:c r="H38" s="22"/>
      <x:c r="I38" s="20" t="str">
        <x:f>IF(A38="","",IFERROR(H38/G38,""))</x:f>
      </x:c>
      <x:c r="J38" s="18"/>
      <x:c r="K38" s="19"/>
      <x:c r="L38" s="19"/>
      <x:c r="M38" s="19"/>
      <x:c r="N38" s="18"/>
      <x:c r="O38" s="18" t="str">
        <x:f>IF(A38="","",IF(AND(M38&lt;TODAY(),J38&lt;&gt;"Cloture"),"Echeance financement en retard",IF(G38=0,"Financement critique",IF(I38&lt;0.25,"Decaissement faible","OK"))))</x:f>
      </x:c>
    </x:row>
    <x:row r="39">
      <x:c r="A39" s="18"/>
      <x:c r="B39" s="18"/>
      <x:c r="C39" s="18"/>
      <x:c r="D39" s="18"/>
      <x:c r="E39" s="18"/>
      <x:c r="F39" s="22"/>
      <x:c r="G39" s="22"/>
      <x:c r="H39" s="22"/>
      <x:c r="I39" s="20" t="str">
        <x:f>IF(A39="","",IFERROR(H39/G39,""))</x:f>
      </x:c>
      <x:c r="J39" s="18"/>
      <x:c r="K39" s="19"/>
      <x:c r="L39" s="19"/>
      <x:c r="M39" s="19"/>
      <x:c r="N39" s="18"/>
      <x:c r="O39" s="18" t="str">
        <x:f>IF(A39="","",IF(AND(M39&lt;TODAY(),J39&lt;&gt;"Cloture"),"Echeance financement en retard",IF(G39=0,"Financement critique",IF(I39&lt;0.25,"Decaissement faible","OK"))))</x:f>
      </x:c>
    </x:row>
    <x:row r="40">
      <x:c r="A40" s="18"/>
      <x:c r="B40" s="18"/>
      <x:c r="C40" s="18"/>
      <x:c r="D40" s="18"/>
      <x:c r="E40" s="18"/>
      <x:c r="F40" s="22"/>
      <x:c r="G40" s="22"/>
      <x:c r="H40" s="22"/>
      <x:c r="I40" s="20" t="str">
        <x:f>IF(A40="","",IFERROR(H40/G40,""))</x:f>
      </x:c>
      <x:c r="J40" s="18"/>
      <x:c r="K40" s="19"/>
      <x:c r="L40" s="19"/>
      <x:c r="M40" s="19"/>
      <x:c r="N40" s="18"/>
      <x:c r="O40" s="18" t="str">
        <x:f>IF(A40="","",IF(AND(M40&lt;TODAY(),J40&lt;&gt;"Cloture"),"Echeance financement en retard",IF(G40=0,"Financement critique",IF(I40&lt;0.25,"Decaissement faible","OK"))))</x:f>
      </x:c>
    </x:row>
    <x:row r="41">
      <x:c r="A41" s="18"/>
      <x:c r="B41" s="18"/>
      <x:c r="C41" s="18"/>
      <x:c r="D41" s="18"/>
      <x:c r="E41" s="18"/>
      <x:c r="F41" s="22"/>
      <x:c r="G41" s="22"/>
      <x:c r="H41" s="22"/>
      <x:c r="I41" s="20" t="str">
        <x:f>IF(A41="","",IFERROR(H41/G41,""))</x:f>
      </x:c>
      <x:c r="J41" s="18"/>
      <x:c r="K41" s="19"/>
      <x:c r="L41" s="19"/>
      <x:c r="M41" s="19"/>
      <x:c r="N41" s="18"/>
      <x:c r="O41" s="18" t="str">
        <x:f>IF(A41="","",IF(AND(M41&lt;TODAY(),J41&lt;&gt;"Cloture"),"Echeance financement en retard",IF(G41=0,"Financement critique",IF(I41&lt;0.25,"Decaissement faible","OK"))))</x:f>
      </x:c>
    </x:row>
    <x:row r="42">
      <x:c r="A42" s="18"/>
      <x:c r="B42" s="18"/>
      <x:c r="C42" s="18"/>
      <x:c r="D42" s="18"/>
      <x:c r="E42" s="18"/>
      <x:c r="F42" s="22"/>
      <x:c r="G42" s="22"/>
      <x:c r="H42" s="22"/>
      <x:c r="I42" s="20" t="str">
        <x:f>IF(A42="","",IFERROR(H42/G42,""))</x:f>
      </x:c>
      <x:c r="J42" s="18"/>
      <x:c r="K42" s="19"/>
      <x:c r="L42" s="19"/>
      <x:c r="M42" s="19"/>
      <x:c r="N42" s="18"/>
      <x:c r="O42" s="18" t="str">
        <x:f>IF(A42="","",IF(AND(M42&lt;TODAY(),J42&lt;&gt;"Cloture"),"Echeance financement en retard",IF(G42=0,"Financement critique",IF(I42&lt;0.25,"Decaissement faible","OK"))))</x:f>
      </x:c>
    </x:row>
    <x:row r="43">
      <x:c r="A43" s="18"/>
      <x:c r="B43" s="18"/>
      <x:c r="C43" s="18"/>
      <x:c r="D43" s="18"/>
      <x:c r="E43" s="18"/>
      <x:c r="F43" s="22"/>
      <x:c r="G43" s="22"/>
      <x:c r="H43" s="22"/>
      <x:c r="I43" s="20" t="str">
        <x:f>IF(A43="","",IFERROR(H43/G43,""))</x:f>
      </x:c>
      <x:c r="J43" s="18"/>
      <x:c r="K43" s="19"/>
      <x:c r="L43" s="19"/>
      <x:c r="M43" s="19"/>
      <x:c r="N43" s="18"/>
      <x:c r="O43" s="18" t="str">
        <x:f>IF(A43="","",IF(AND(M43&lt;TODAY(),J43&lt;&gt;"Cloture"),"Echeance financement en retard",IF(G43=0,"Financement critique",IF(I43&lt;0.25,"Decaissement faible","OK"))))</x:f>
      </x:c>
    </x:row>
    <x:row r="44">
      <x:c r="A44" s="18"/>
      <x:c r="B44" s="18"/>
      <x:c r="C44" s="18"/>
      <x:c r="D44" s="18"/>
      <x:c r="E44" s="18"/>
      <x:c r="F44" s="22"/>
      <x:c r="G44" s="22"/>
      <x:c r="H44" s="22"/>
      <x:c r="I44" s="20" t="str">
        <x:f>IF(A44="","",IFERROR(H44/G44,""))</x:f>
      </x:c>
      <x:c r="J44" s="18"/>
      <x:c r="K44" s="19"/>
      <x:c r="L44" s="19"/>
      <x:c r="M44" s="19"/>
      <x:c r="N44" s="18"/>
      <x:c r="O44" s="18" t="str">
        <x:f>IF(A44="","",IF(AND(M44&lt;TODAY(),J44&lt;&gt;"Cloture"),"Echeance financement en retard",IF(G44=0,"Financement critique",IF(I44&lt;0.25,"Decaissement faible","OK"))))</x:f>
      </x:c>
    </x:row>
  </x:sheetData>
  <x:mergeCells>
    <x:mergeCell ref="A1:J1"/>
    <x:mergeCell ref="A2:J2"/>
  </x:mergeCells>
  <x:conditionalFormatting sqref="O5:O44">
    <x:cfRule type="containsText" dxfId="60" priority="1" operator="containsText" text="Retard"/>
    <x:cfRule type="containsText" dxfId="61" priority="2" operator="containsText" text="critique"/>
    <x:cfRule type="containsText" dxfId="62" priority="3" operator="containsText" text="manquant"/>
    <x:cfRule type="containsText" dxfId="63"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D5:D44">
      <x:formula1>"Subvention,Pret concessionnel,Budget municipal,PPP,Assistance technique,Don,Fonds climat"</x:formula1>
    </x:dataValidation>
    <x:dataValidation type="list" errorStyle="warning" showInputMessage="1" showErrorMessage="1" errorTitle="Valeur inattendue" error="Cette colonne utilise une liste controlee." promptTitle="Liste controlee" prompt="Choisir une valeur dans la liste." sqref="E5:E44">
      <x:formula1>"XOF,EUR,USD"</x:formula1>
    </x:dataValidation>
    <x:dataValidation type="list" errorStyle="warning" showInputMessage="1" showErrorMessage="1" errorTitle="Valeur inattendue" error="Cette colonne utilise une liste controlee." promptTitle="Liste controlee" prompt="Choisir une valeur dans la liste." sqref="J5:J44">
      <x:formula1>"Prospection,Soumis,Negociation,Approuve,Rejete,Decaisse,Cloture"</x:formula1>
    </x:dataValidation>
  </x:dataValidations>
  <x:pageMargins left="0.7" right="0.7" top="0.75" bottom="0.75" header="0.3" footer="0.3"/>
  <x:tableParts count="1">
    <x:tablePart xmlns:r="http://schemas.openxmlformats.org/officeDocument/2006/relationships" r:id="R8c6fd9c63a1a4bf6"/>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33.75" hidden="0" customWidth="1"/>
    <x:col min="5" max="5" width="14.380000114440918" hidden="0" customWidth="1"/>
    <x:col min="6" max="6" width="12.5" hidden="0" customWidth="1"/>
    <x:col min="7" max="7" width="10" hidden="0" customWidth="1"/>
    <x:col min="8" max="8" width="16.8799991607666" hidden="0" customWidth="1"/>
    <x:col min="9" max="9" width="32.5" hidden="0" customWidth="1"/>
    <x:col min="10" max="10" width="21.25" hidden="0" customWidth="1"/>
    <x:col min="11" max="11" width="14.380000114440918" hidden="0" customWidth="1"/>
    <x:col min="12" max="12" width="15" hidden="0" customWidth="1"/>
    <x:col min="13" max="13" width="18.1299991607666" hidden="0" customWidth="1"/>
  </x:cols>
  <x:sheetData>
    <x:row r="1" ht="25.5" customHeight="1">
      <x:c r="A1" s="2" t="str">
        <x:v>Risques et hypotheses</x:v>
      </x:c>
      <x:c r="B1" s="2"/>
      <x:c r="C1" s="2"/>
      <x:c r="D1" s="2"/>
      <x:c r="E1" s="2"/>
      <x:c r="F1" s="2"/>
      <x:c r="G1" s="2"/>
      <x:c r="H1" s="2"/>
      <x:c r="I1" s="2"/>
      <x:c r="J1" s="2"/>
    </x:row>
    <x:row r="2" ht="31.5" customHeight="1">
      <x:c r="A2" s="5" t="str">
        <x:v>Registre des risques, scores, mesures de mitigation et alertes.</x:v>
      </x:c>
      <x:c r="B2" s="5"/>
      <x:c r="C2" s="5"/>
      <x:c r="D2" s="5"/>
      <x:c r="E2" s="5"/>
      <x:c r="F2" s="5"/>
      <x:c r="G2" s="5"/>
      <x:c r="H2" s="5"/>
      <x:c r="I2" s="5"/>
      <x:c r="J2" s="5"/>
    </x:row>
    <x:row r="4" ht="28.5" customHeight="1">
      <x:c r="A4" s="16" t="str">
        <x:v>Risque_ID</x:v>
      </x:c>
      <x:c r="B4" s="16" t="str">
        <x:v>Project_ID</x:v>
      </x:c>
      <x:c r="C4" s="16" t="str">
        <x:v>Domaine</x:v>
      </x:c>
      <x:c r="D4" s="16" t="str">
        <x:v>Risque</x:v>
      </x:c>
      <x:c r="E4" s="16" t="str">
        <x:v>Probabilite</x:v>
      </x:c>
      <x:c r="F4" s="16" t="str">
        <x:v>Impact</x:v>
      </x:c>
      <x:c r="G4" s="16" t="str">
        <x:v>Score</x:v>
      </x:c>
      <x:c r="H4" s="16" t="str">
        <x:v>Niveau_criticite</x:v>
      </x:c>
      <x:c r="I4" s="16" t="str">
        <x:v>Mesure_mitigation</x:v>
      </x:c>
      <x:c r="J4" s="16" t="str">
        <x:v>Responsable</x:v>
      </x:c>
      <x:c r="K4" s="16" t="str">
        <x:v>Echeance</x:v>
      </x:c>
      <x:c r="L4" s="16" t="str">
        <x:v>Statut</x:v>
      </x:c>
      <x:c r="M4" s="16" t="str">
        <x:v>Alerte</x:v>
      </x:c>
    </x:row>
    <x:row r="5">
      <x:c r="A5" s="18" t="str">
        <x:v>RSK-001</x:v>
      </x:c>
      <x:c r="B5" s="18" t="str">
        <x:v>PRJ-004</x:v>
      </x:c>
      <x:c r="C5" s="18" t="str">
        <x:v>Financement</x:v>
      </x:c>
      <x:c r="D5" s="18" t="str">
        <x:v>Bouclage financier insuffisant</x:v>
      </x:c>
      <x:c r="E5" s="18" t="str">
        <x:v>Elevee</x:v>
      </x:c>
      <x:c r="F5" s="18" t="str">
        <x:v>Eleve</x:v>
      </x:c>
      <x:c r="G5" s="18" t="n">
        <x:f>IF(A5="","",SWITCH(E5,"Faible",1,"Moyenne",2,"Elevee",3,0)*SWITCH(F5,"Faible",1,"Moyen",2,"Eleve",3,0))</x:f>
        <x:v>9</x:v>
      </x:c>
      <x:c r="H5" s="18" t="str">
        <x:f>IF(A5="","",IF(G5&gt;=6,"Critique",IF(G5&gt;=3,"Modere","Faible")))</x:f>
        <x:v>Critique</x:v>
      </x:c>
      <x:c r="I5" s="18" t="str">
        <x:v>Structurer un paquet bailleurs</x:v>
      </x:c>
      <x:c r="J5" s="18" t="str">
        <x:v>Direction Finance</x:v>
      </x:c>
      <x:c r="K5" s="19" t="n">
        <x:v>46213</x:v>
      </x:c>
      <x:c r="L5" s="18" t="str">
        <x:v>Ouvert</x:v>
      </x:c>
      <x:c r="M5" s="18" t="str">
        <x:f>IF(A5="","",IF(AND(K5&lt;TODAY(),L5&lt;&gt;"Clos"),"Retard",IF(H5="Critique","Risque critique","OK")))</x:f>
        <x:v>Risque critique</x:v>
      </x:c>
    </x:row>
    <x:row r="6">
      <x:c r="A6" s="18" t="str">
        <x:v>RSK-002</x:v>
      </x:c>
      <x:c r="B6" s="18" t="str">
        <x:v>PRJ-005</x:v>
      </x:c>
      <x:c r="C6" s="18" t="str">
        <x:v>Donnees</x:v>
      </x:c>
      <x:c r="D6" s="18" t="str">
        <x:v>Calibration insuffisante des capteurs</x:v>
      </x:c>
      <x:c r="E6" s="18" t="str">
        <x:v>Moyenne</x:v>
      </x:c>
      <x:c r="F6" s="18" t="str">
        <x:v>Moyen</x:v>
      </x:c>
      <x:c r="G6" s="18" t="n">
        <x:f>IF(A6="","",SWITCH(E6,"Faible",1,"Moyenne",2,"Elevee",3,0)*SWITCH(F6,"Faible",1,"Moyen",2,"Eleve",3,0))</x:f>
        <x:v>4</x:v>
      </x:c>
      <x:c r="H6" s="18" t="str">
        <x:f>IF(A6="","",IF(G6&gt;=6,"Critique",IF(G6&gt;=3,"Modere","Faible")))</x:f>
        <x:v>Modere</x:v>
      </x:c>
      <x:c r="I6" s="18" t="str">
        <x:v>Protocole de calibration trimestriel</x:v>
      </x:c>
      <x:c r="J6" s="18" t="str">
        <x:v>Direction Environnement</x:v>
      </x:c>
      <x:c r="K6" s="19" t="n">
        <x:v>46183</x:v>
      </x:c>
      <x:c r="L6" s="18" t="str">
        <x:v>Ouvert</x:v>
      </x:c>
      <x:c r="M6" s="18" t="str">
        <x:f>IF(A6="","",IF(AND(K6&lt;TODAY(),L6&lt;&gt;"Clos"),"Retard",IF(H6="Critique","Risque critique","OK")))</x:f>
        <x:v>OK</x:v>
      </x:c>
    </x:row>
    <x:row r="7">
      <x:c r="A7" s="18" t="str">
        <x:v>RSK-003</x:v>
      </x:c>
      <x:c r="B7" s="18" t="str">
        <x:v>PRJ-003</x:v>
      </x:c>
      <x:c r="C7" s="18" t="str">
        <x:v>Social</x:v>
      </x:c>
      <x:c r="D7" s="18" t="str">
        <x:v>Acceptabilite locale des amenagements</x:v>
      </x:c>
      <x:c r="E7" s="18" t="str">
        <x:v>Moyenne</x:v>
      </x:c>
      <x:c r="F7" s="18" t="str">
        <x:v>Eleve</x:v>
      </x:c>
      <x:c r="G7" s="18" t="n">
        <x:f>IF(A7="","",SWITCH(E7,"Faible",1,"Moyenne",2,"Elevee",3,0)*SWITCH(F7,"Faible",1,"Moyen",2,"Eleve",3,0))</x:f>
        <x:v>6</x:v>
      </x:c>
      <x:c r="H7" s="18" t="str">
        <x:f>IF(A7="","",IF(G7&gt;=6,"Critique",IF(G7&gt;=3,"Modere","Faible")))</x:f>
        <x:v>Critique</x:v>
      </x:c>
      <x:c r="I7" s="18" t="str">
        <x:v>Concertation quartiers</x:v>
      </x:c>
      <x:c r="J7" s="18" t="str">
        <x:v>Direction Mobilite</x:v>
      </x:c>
      <x:c r="K7" s="19" t="n">
        <x:v>46203</x:v>
      </x:c>
      <x:c r="L7" s="18" t="str">
        <x:v>Ouvert</x:v>
      </x:c>
      <x:c r="M7" s="18" t="str">
        <x:f>IF(A7="","",IF(AND(K7&lt;TODAY(),L7&lt;&gt;"Clos"),"Retard",IF(H7="Critique","Risque critique","OK")))</x:f>
        <x:v>Risque critique</x:v>
      </x:c>
    </x:row>
    <x:row r="8">
      <x:c r="A8" s="18"/>
      <x:c r="B8" s="18"/>
      <x:c r="C8" s="18"/>
      <x:c r="D8" s="18"/>
      <x:c r="E8" s="18"/>
      <x:c r="F8" s="18"/>
      <x:c r="G8" s="18" t="str">
        <x:f>IF(A8="","",SWITCH(E8,"Faible",1,"Moyenne",2,"Elevee",3,0)*SWITCH(F8,"Faible",1,"Moyen",2,"Eleve",3,0))</x:f>
      </x:c>
      <x:c r="H8" s="18" t="str">
        <x:f>IF(A8="","",IF(G8&gt;=6,"Critique",IF(G8&gt;=3,"Modere","Faible")))</x:f>
      </x:c>
      <x:c r="I8" s="18"/>
      <x:c r="J8" s="18"/>
      <x:c r="K8" s="19"/>
      <x:c r="L8" s="18"/>
      <x:c r="M8" s="18" t="str">
        <x:f>IF(A8="","",IF(AND(K8&lt;TODAY(),L8&lt;&gt;"Clos"),"Retard",IF(H8="Critique","Risque critique","OK")))</x:f>
      </x:c>
    </x:row>
    <x:row r="9">
      <x:c r="A9" s="18"/>
      <x:c r="B9" s="18"/>
      <x:c r="C9" s="18"/>
      <x:c r="D9" s="18"/>
      <x:c r="E9" s="18"/>
      <x:c r="F9" s="18"/>
      <x:c r="G9" s="18" t="str">
        <x:f>IF(A9="","",SWITCH(E9,"Faible",1,"Moyenne",2,"Elevee",3,0)*SWITCH(F9,"Faible",1,"Moyen",2,"Eleve",3,0))</x:f>
      </x:c>
      <x:c r="H9" s="18" t="str">
        <x:f>IF(A9="","",IF(G9&gt;=6,"Critique",IF(G9&gt;=3,"Modere","Faible")))</x:f>
      </x:c>
      <x:c r="I9" s="18"/>
      <x:c r="J9" s="18"/>
      <x:c r="K9" s="19"/>
      <x:c r="L9" s="18"/>
      <x:c r="M9" s="18" t="str">
        <x:f>IF(A9="","",IF(AND(K9&lt;TODAY(),L9&lt;&gt;"Clos"),"Retard",IF(H9="Critique","Risque critique","OK")))</x:f>
      </x:c>
    </x:row>
    <x:row r="10">
      <x:c r="A10" s="18"/>
      <x:c r="B10" s="18"/>
      <x:c r="C10" s="18"/>
      <x:c r="D10" s="18"/>
      <x:c r="E10" s="18"/>
      <x:c r="F10" s="18"/>
      <x:c r="G10" s="18" t="str">
        <x:f>IF(A10="","",SWITCH(E10,"Faible",1,"Moyenne",2,"Elevee",3,0)*SWITCH(F10,"Faible",1,"Moyen",2,"Eleve",3,0))</x:f>
      </x:c>
      <x:c r="H10" s="18" t="str">
        <x:f>IF(A10="","",IF(G10&gt;=6,"Critique",IF(G10&gt;=3,"Modere","Faible")))</x:f>
      </x:c>
      <x:c r="I10" s="18"/>
      <x:c r="J10" s="18"/>
      <x:c r="K10" s="19"/>
      <x:c r="L10" s="18"/>
      <x:c r="M10" s="18" t="str">
        <x:f>IF(A10="","",IF(AND(K10&lt;TODAY(),L10&lt;&gt;"Clos"),"Retard",IF(H10="Critique","Risque critique","OK")))</x:f>
      </x:c>
    </x:row>
    <x:row r="11">
      <x:c r="A11" s="18"/>
      <x:c r="B11" s="18"/>
      <x:c r="C11" s="18"/>
      <x:c r="D11" s="18"/>
      <x:c r="E11" s="18"/>
      <x:c r="F11" s="18"/>
      <x:c r="G11" s="18" t="str">
        <x:f>IF(A11="","",SWITCH(E11,"Faible",1,"Moyenne",2,"Elevee",3,0)*SWITCH(F11,"Faible",1,"Moyen",2,"Eleve",3,0))</x:f>
      </x:c>
      <x:c r="H11" s="18" t="str">
        <x:f>IF(A11="","",IF(G11&gt;=6,"Critique",IF(G11&gt;=3,"Modere","Faible")))</x:f>
      </x:c>
      <x:c r="I11" s="18"/>
      <x:c r="J11" s="18"/>
      <x:c r="K11" s="19"/>
      <x:c r="L11" s="18"/>
      <x:c r="M11" s="18" t="str">
        <x:f>IF(A11="","",IF(AND(K11&lt;TODAY(),L11&lt;&gt;"Clos"),"Retard",IF(H11="Critique","Risque critique","OK")))</x:f>
      </x:c>
    </x:row>
    <x:row r="12">
      <x:c r="A12" s="18"/>
      <x:c r="B12" s="18"/>
      <x:c r="C12" s="18"/>
      <x:c r="D12" s="18"/>
      <x:c r="E12" s="18"/>
      <x:c r="F12" s="18"/>
      <x:c r="G12" s="18" t="str">
        <x:f>IF(A12="","",SWITCH(E12,"Faible",1,"Moyenne",2,"Elevee",3,0)*SWITCH(F12,"Faible",1,"Moyen",2,"Eleve",3,0))</x:f>
      </x:c>
      <x:c r="H12" s="18" t="str">
        <x:f>IF(A12="","",IF(G12&gt;=6,"Critique",IF(G12&gt;=3,"Modere","Faible")))</x:f>
      </x:c>
      <x:c r="I12" s="18"/>
      <x:c r="J12" s="18"/>
      <x:c r="K12" s="19"/>
      <x:c r="L12" s="18"/>
      <x:c r="M12" s="18" t="str">
        <x:f>IF(A12="","",IF(AND(K12&lt;TODAY(),L12&lt;&gt;"Clos"),"Retard",IF(H12="Critique","Risque critique","OK")))</x:f>
      </x:c>
    </x:row>
    <x:row r="13">
      <x:c r="A13" s="18"/>
      <x:c r="B13" s="18"/>
      <x:c r="C13" s="18"/>
      <x:c r="D13" s="18"/>
      <x:c r="E13" s="18"/>
      <x:c r="F13" s="18"/>
      <x:c r="G13" s="18" t="str">
        <x:f>IF(A13="","",SWITCH(E13,"Faible",1,"Moyenne",2,"Elevee",3,0)*SWITCH(F13,"Faible",1,"Moyen",2,"Eleve",3,0))</x:f>
      </x:c>
      <x:c r="H13" s="18" t="str">
        <x:f>IF(A13="","",IF(G13&gt;=6,"Critique",IF(G13&gt;=3,"Modere","Faible")))</x:f>
      </x:c>
      <x:c r="I13" s="18"/>
      <x:c r="J13" s="18"/>
      <x:c r="K13" s="19"/>
      <x:c r="L13" s="18"/>
      <x:c r="M13" s="18" t="str">
        <x:f>IF(A13="","",IF(AND(K13&lt;TODAY(),L13&lt;&gt;"Clos"),"Retard",IF(H13="Critique","Risque critique","OK")))</x:f>
      </x:c>
    </x:row>
    <x:row r="14">
      <x:c r="A14" s="18"/>
      <x:c r="B14" s="18"/>
      <x:c r="C14" s="18"/>
      <x:c r="D14" s="18"/>
      <x:c r="E14" s="18"/>
      <x:c r="F14" s="18"/>
      <x:c r="G14" s="18" t="str">
        <x:f>IF(A14="","",SWITCH(E14,"Faible",1,"Moyenne",2,"Elevee",3,0)*SWITCH(F14,"Faible",1,"Moyen",2,"Eleve",3,0))</x:f>
      </x:c>
      <x:c r="H14" s="18" t="str">
        <x:f>IF(A14="","",IF(G14&gt;=6,"Critique",IF(G14&gt;=3,"Modere","Faible")))</x:f>
      </x:c>
      <x:c r="I14" s="18"/>
      <x:c r="J14" s="18"/>
      <x:c r="K14" s="19"/>
      <x:c r="L14" s="18"/>
      <x:c r="M14" s="18" t="str">
        <x:f>IF(A14="","",IF(AND(K14&lt;TODAY(),L14&lt;&gt;"Clos"),"Retard",IF(H14="Critique","Risque critique","OK")))</x:f>
      </x:c>
    </x:row>
    <x:row r="15">
      <x:c r="A15" s="18"/>
      <x:c r="B15" s="18"/>
      <x:c r="C15" s="18"/>
      <x:c r="D15" s="18"/>
      <x:c r="E15" s="18"/>
      <x:c r="F15" s="18"/>
      <x:c r="G15" s="18" t="str">
        <x:f>IF(A15="","",SWITCH(E15,"Faible",1,"Moyenne",2,"Elevee",3,0)*SWITCH(F15,"Faible",1,"Moyen",2,"Eleve",3,0))</x:f>
      </x:c>
      <x:c r="H15" s="18" t="str">
        <x:f>IF(A15="","",IF(G15&gt;=6,"Critique",IF(G15&gt;=3,"Modere","Faible")))</x:f>
      </x:c>
      <x:c r="I15" s="18"/>
      <x:c r="J15" s="18"/>
      <x:c r="K15" s="19"/>
      <x:c r="L15" s="18"/>
      <x:c r="M15" s="18" t="str">
        <x:f>IF(A15="","",IF(AND(K15&lt;TODAY(),L15&lt;&gt;"Clos"),"Retard",IF(H15="Critique","Risque critique","OK")))</x:f>
      </x:c>
    </x:row>
    <x:row r="16">
      <x:c r="A16" s="18"/>
      <x:c r="B16" s="18"/>
      <x:c r="C16" s="18"/>
      <x:c r="D16" s="18"/>
      <x:c r="E16" s="18"/>
      <x:c r="F16" s="18"/>
      <x:c r="G16" s="18" t="str">
        <x:f>IF(A16="","",SWITCH(E16,"Faible",1,"Moyenne",2,"Elevee",3,0)*SWITCH(F16,"Faible",1,"Moyen",2,"Eleve",3,0))</x:f>
      </x:c>
      <x:c r="H16" s="18" t="str">
        <x:f>IF(A16="","",IF(G16&gt;=6,"Critique",IF(G16&gt;=3,"Modere","Faible")))</x:f>
      </x:c>
      <x:c r="I16" s="18"/>
      <x:c r="J16" s="18"/>
      <x:c r="K16" s="19"/>
      <x:c r="L16" s="18"/>
      <x:c r="M16" s="18" t="str">
        <x:f>IF(A16="","",IF(AND(K16&lt;TODAY(),L16&lt;&gt;"Clos"),"Retard",IF(H16="Critique","Risque critique","OK")))</x:f>
      </x:c>
    </x:row>
    <x:row r="17">
      <x:c r="A17" s="18"/>
      <x:c r="B17" s="18"/>
      <x:c r="C17" s="18"/>
      <x:c r="D17" s="18"/>
      <x:c r="E17" s="18"/>
      <x:c r="F17" s="18"/>
      <x:c r="G17" s="18" t="str">
        <x:f>IF(A17="","",SWITCH(E17,"Faible",1,"Moyenne",2,"Elevee",3,0)*SWITCH(F17,"Faible",1,"Moyen",2,"Eleve",3,0))</x:f>
      </x:c>
      <x:c r="H17" s="18" t="str">
        <x:f>IF(A17="","",IF(G17&gt;=6,"Critique",IF(G17&gt;=3,"Modere","Faible")))</x:f>
      </x:c>
      <x:c r="I17" s="18"/>
      <x:c r="J17" s="18"/>
      <x:c r="K17" s="19"/>
      <x:c r="L17" s="18"/>
      <x:c r="M17" s="18" t="str">
        <x:f>IF(A17="","",IF(AND(K17&lt;TODAY(),L17&lt;&gt;"Clos"),"Retard",IF(H17="Critique","Risque critique","OK")))</x:f>
      </x:c>
    </x:row>
    <x:row r="18">
      <x:c r="A18" s="18"/>
      <x:c r="B18" s="18"/>
      <x:c r="C18" s="18"/>
      <x:c r="D18" s="18"/>
      <x:c r="E18" s="18"/>
      <x:c r="F18" s="18"/>
      <x:c r="G18" s="18" t="str">
        <x:f>IF(A18="","",SWITCH(E18,"Faible",1,"Moyenne",2,"Elevee",3,0)*SWITCH(F18,"Faible",1,"Moyen",2,"Eleve",3,0))</x:f>
      </x:c>
      <x:c r="H18" s="18" t="str">
        <x:f>IF(A18="","",IF(G18&gt;=6,"Critique",IF(G18&gt;=3,"Modere","Faible")))</x:f>
      </x:c>
      <x:c r="I18" s="18"/>
      <x:c r="J18" s="18"/>
      <x:c r="K18" s="19"/>
      <x:c r="L18" s="18"/>
      <x:c r="M18" s="18" t="str">
        <x:f>IF(A18="","",IF(AND(K18&lt;TODAY(),L18&lt;&gt;"Clos"),"Retard",IF(H18="Critique","Risque critique","OK")))</x:f>
      </x:c>
    </x:row>
    <x:row r="19">
      <x:c r="A19" s="18"/>
      <x:c r="B19" s="18"/>
      <x:c r="C19" s="18"/>
      <x:c r="D19" s="18"/>
      <x:c r="E19" s="18"/>
      <x:c r="F19" s="18"/>
      <x:c r="G19" s="18" t="str">
        <x:f>IF(A19="","",SWITCH(E19,"Faible",1,"Moyenne",2,"Elevee",3,0)*SWITCH(F19,"Faible",1,"Moyen",2,"Eleve",3,0))</x:f>
      </x:c>
      <x:c r="H19" s="18" t="str">
        <x:f>IF(A19="","",IF(G19&gt;=6,"Critique",IF(G19&gt;=3,"Modere","Faible")))</x:f>
      </x:c>
      <x:c r="I19" s="18"/>
      <x:c r="J19" s="18"/>
      <x:c r="K19" s="19"/>
      <x:c r="L19" s="18"/>
      <x:c r="M19" s="18" t="str">
        <x:f>IF(A19="","",IF(AND(K19&lt;TODAY(),L19&lt;&gt;"Clos"),"Retard",IF(H19="Critique","Risque critique","OK")))</x:f>
      </x:c>
    </x:row>
    <x:row r="20">
      <x:c r="A20" s="18"/>
      <x:c r="B20" s="18"/>
      <x:c r="C20" s="18"/>
      <x:c r="D20" s="18"/>
      <x:c r="E20" s="18"/>
      <x:c r="F20" s="18"/>
      <x:c r="G20" s="18" t="str">
        <x:f>IF(A20="","",SWITCH(E20,"Faible",1,"Moyenne",2,"Elevee",3,0)*SWITCH(F20,"Faible",1,"Moyen",2,"Eleve",3,0))</x:f>
      </x:c>
      <x:c r="H20" s="18" t="str">
        <x:f>IF(A20="","",IF(G20&gt;=6,"Critique",IF(G20&gt;=3,"Modere","Faible")))</x:f>
      </x:c>
      <x:c r="I20" s="18"/>
      <x:c r="J20" s="18"/>
      <x:c r="K20" s="19"/>
      <x:c r="L20" s="18"/>
      <x:c r="M20" s="18" t="str">
        <x:f>IF(A20="","",IF(AND(K20&lt;TODAY(),L20&lt;&gt;"Clos"),"Retard",IF(H20="Critique","Risque critique","OK")))</x:f>
      </x:c>
    </x:row>
    <x:row r="21">
      <x:c r="A21" s="18"/>
      <x:c r="B21" s="18"/>
      <x:c r="C21" s="18"/>
      <x:c r="D21" s="18"/>
      <x:c r="E21" s="18"/>
      <x:c r="F21" s="18"/>
      <x:c r="G21" s="18" t="str">
        <x:f>IF(A21="","",SWITCH(E21,"Faible",1,"Moyenne",2,"Elevee",3,0)*SWITCH(F21,"Faible",1,"Moyen",2,"Eleve",3,0))</x:f>
      </x:c>
      <x:c r="H21" s="18" t="str">
        <x:f>IF(A21="","",IF(G21&gt;=6,"Critique",IF(G21&gt;=3,"Modere","Faible")))</x:f>
      </x:c>
      <x:c r="I21" s="18"/>
      <x:c r="J21" s="18"/>
      <x:c r="K21" s="19"/>
      <x:c r="L21" s="18"/>
      <x:c r="M21" s="18" t="str">
        <x:f>IF(A21="","",IF(AND(K21&lt;TODAY(),L21&lt;&gt;"Clos"),"Retard",IF(H21="Critique","Risque critique","OK")))</x:f>
      </x:c>
    </x:row>
    <x:row r="22">
      <x:c r="A22" s="18"/>
      <x:c r="B22" s="18"/>
      <x:c r="C22" s="18"/>
      <x:c r="D22" s="18"/>
      <x:c r="E22" s="18"/>
      <x:c r="F22" s="18"/>
      <x:c r="G22" s="18" t="str">
        <x:f>IF(A22="","",SWITCH(E22,"Faible",1,"Moyenne",2,"Elevee",3,0)*SWITCH(F22,"Faible",1,"Moyen",2,"Eleve",3,0))</x:f>
      </x:c>
      <x:c r="H22" s="18" t="str">
        <x:f>IF(A22="","",IF(G22&gt;=6,"Critique",IF(G22&gt;=3,"Modere","Faible")))</x:f>
      </x:c>
      <x:c r="I22" s="18"/>
      <x:c r="J22" s="18"/>
      <x:c r="K22" s="19"/>
      <x:c r="L22" s="18"/>
      <x:c r="M22" s="18" t="str">
        <x:f>IF(A22="","",IF(AND(K22&lt;TODAY(),L22&lt;&gt;"Clos"),"Retard",IF(H22="Critique","Risque critique","OK")))</x:f>
      </x:c>
    </x:row>
    <x:row r="23">
      <x:c r="A23" s="18"/>
      <x:c r="B23" s="18"/>
      <x:c r="C23" s="18"/>
      <x:c r="D23" s="18"/>
      <x:c r="E23" s="18"/>
      <x:c r="F23" s="18"/>
      <x:c r="G23" s="18" t="str">
        <x:f>IF(A23="","",SWITCH(E23,"Faible",1,"Moyenne",2,"Elevee",3,0)*SWITCH(F23,"Faible",1,"Moyen",2,"Eleve",3,0))</x:f>
      </x:c>
      <x:c r="H23" s="18" t="str">
        <x:f>IF(A23="","",IF(G23&gt;=6,"Critique",IF(G23&gt;=3,"Modere","Faible")))</x:f>
      </x:c>
      <x:c r="I23" s="18"/>
      <x:c r="J23" s="18"/>
      <x:c r="K23" s="19"/>
      <x:c r="L23" s="18"/>
      <x:c r="M23" s="18" t="str">
        <x:f>IF(A23="","",IF(AND(K23&lt;TODAY(),L23&lt;&gt;"Clos"),"Retard",IF(H23="Critique","Risque critique","OK")))</x:f>
      </x:c>
    </x:row>
    <x:row r="24">
      <x:c r="A24" s="18"/>
      <x:c r="B24" s="18"/>
      <x:c r="C24" s="18"/>
      <x:c r="D24" s="18"/>
      <x:c r="E24" s="18"/>
      <x:c r="F24" s="18"/>
      <x:c r="G24" s="18" t="str">
        <x:f>IF(A24="","",SWITCH(E24,"Faible",1,"Moyenne",2,"Elevee",3,0)*SWITCH(F24,"Faible",1,"Moyen",2,"Eleve",3,0))</x:f>
      </x:c>
      <x:c r="H24" s="18" t="str">
        <x:f>IF(A24="","",IF(G24&gt;=6,"Critique",IF(G24&gt;=3,"Modere","Faible")))</x:f>
      </x:c>
      <x:c r="I24" s="18"/>
      <x:c r="J24" s="18"/>
      <x:c r="K24" s="19"/>
      <x:c r="L24" s="18"/>
      <x:c r="M24" s="18" t="str">
        <x:f>IF(A24="","",IF(AND(K24&lt;TODAY(),L24&lt;&gt;"Clos"),"Retard",IF(H24="Critique","Risque critique","OK")))</x:f>
      </x:c>
    </x:row>
    <x:row r="25">
      <x:c r="A25" s="18"/>
      <x:c r="B25" s="18"/>
      <x:c r="C25" s="18"/>
      <x:c r="D25" s="18"/>
      <x:c r="E25" s="18"/>
      <x:c r="F25" s="18"/>
      <x:c r="G25" s="18" t="str">
        <x:f>IF(A25="","",SWITCH(E25,"Faible",1,"Moyenne",2,"Elevee",3,0)*SWITCH(F25,"Faible",1,"Moyen",2,"Eleve",3,0))</x:f>
      </x:c>
      <x:c r="H25" s="18" t="str">
        <x:f>IF(A25="","",IF(G25&gt;=6,"Critique",IF(G25&gt;=3,"Modere","Faible")))</x:f>
      </x:c>
      <x:c r="I25" s="18"/>
      <x:c r="J25" s="18"/>
      <x:c r="K25" s="19"/>
      <x:c r="L25" s="18"/>
      <x:c r="M25" s="18" t="str">
        <x:f>IF(A25="","",IF(AND(K25&lt;TODAY(),L25&lt;&gt;"Clos"),"Retard",IF(H25="Critique","Risque critique","OK")))</x:f>
      </x:c>
    </x:row>
    <x:row r="26">
      <x:c r="A26" s="18"/>
      <x:c r="B26" s="18"/>
      <x:c r="C26" s="18"/>
      <x:c r="D26" s="18"/>
      <x:c r="E26" s="18"/>
      <x:c r="F26" s="18"/>
      <x:c r="G26" s="18" t="str">
        <x:f>IF(A26="","",SWITCH(E26,"Faible",1,"Moyenne",2,"Elevee",3,0)*SWITCH(F26,"Faible",1,"Moyen",2,"Eleve",3,0))</x:f>
      </x:c>
      <x:c r="H26" s="18" t="str">
        <x:f>IF(A26="","",IF(G26&gt;=6,"Critique",IF(G26&gt;=3,"Modere","Faible")))</x:f>
      </x:c>
      <x:c r="I26" s="18"/>
      <x:c r="J26" s="18"/>
      <x:c r="K26" s="19"/>
      <x:c r="L26" s="18"/>
      <x:c r="M26" s="18" t="str">
        <x:f>IF(A26="","",IF(AND(K26&lt;TODAY(),L26&lt;&gt;"Clos"),"Retard",IF(H26="Critique","Risque critique","OK")))</x:f>
      </x:c>
    </x:row>
    <x:row r="27">
      <x:c r="A27" s="18"/>
      <x:c r="B27" s="18"/>
      <x:c r="C27" s="18"/>
      <x:c r="D27" s="18"/>
      <x:c r="E27" s="18"/>
      <x:c r="F27" s="18"/>
      <x:c r="G27" s="18" t="str">
        <x:f>IF(A27="","",SWITCH(E27,"Faible",1,"Moyenne",2,"Elevee",3,0)*SWITCH(F27,"Faible",1,"Moyen",2,"Eleve",3,0))</x:f>
      </x:c>
      <x:c r="H27" s="18" t="str">
        <x:f>IF(A27="","",IF(G27&gt;=6,"Critique",IF(G27&gt;=3,"Modere","Faible")))</x:f>
      </x:c>
      <x:c r="I27" s="18"/>
      <x:c r="J27" s="18"/>
      <x:c r="K27" s="19"/>
      <x:c r="L27" s="18"/>
      <x:c r="M27" s="18" t="str">
        <x:f>IF(A27="","",IF(AND(K27&lt;TODAY(),L27&lt;&gt;"Clos"),"Retard",IF(H27="Critique","Risque critique","OK")))</x:f>
      </x:c>
    </x:row>
    <x:row r="28">
      <x:c r="A28" s="18"/>
      <x:c r="B28" s="18"/>
      <x:c r="C28" s="18"/>
      <x:c r="D28" s="18"/>
      <x:c r="E28" s="18"/>
      <x:c r="F28" s="18"/>
      <x:c r="G28" s="18" t="str">
        <x:f>IF(A28="","",SWITCH(E28,"Faible",1,"Moyenne",2,"Elevee",3,0)*SWITCH(F28,"Faible",1,"Moyen",2,"Eleve",3,0))</x:f>
      </x:c>
      <x:c r="H28" s="18" t="str">
        <x:f>IF(A28="","",IF(G28&gt;=6,"Critique",IF(G28&gt;=3,"Modere","Faible")))</x:f>
      </x:c>
      <x:c r="I28" s="18"/>
      <x:c r="J28" s="18"/>
      <x:c r="K28" s="19"/>
      <x:c r="L28" s="18"/>
      <x:c r="M28" s="18" t="str">
        <x:f>IF(A28="","",IF(AND(K28&lt;TODAY(),L28&lt;&gt;"Clos"),"Retard",IF(H28="Critique","Risque critique","OK")))</x:f>
      </x:c>
    </x:row>
    <x:row r="29">
      <x:c r="A29" s="18"/>
      <x:c r="B29" s="18"/>
      <x:c r="C29" s="18"/>
      <x:c r="D29" s="18"/>
      <x:c r="E29" s="18"/>
      <x:c r="F29" s="18"/>
      <x:c r="G29" s="18" t="str">
        <x:f>IF(A29="","",SWITCH(E29,"Faible",1,"Moyenne",2,"Elevee",3,0)*SWITCH(F29,"Faible",1,"Moyen",2,"Eleve",3,0))</x:f>
      </x:c>
      <x:c r="H29" s="18" t="str">
        <x:f>IF(A29="","",IF(G29&gt;=6,"Critique",IF(G29&gt;=3,"Modere","Faible")))</x:f>
      </x:c>
      <x:c r="I29" s="18"/>
      <x:c r="J29" s="18"/>
      <x:c r="K29" s="19"/>
      <x:c r="L29" s="18"/>
      <x:c r="M29" s="18" t="str">
        <x:f>IF(A29="","",IF(AND(K29&lt;TODAY(),L29&lt;&gt;"Clos"),"Retard",IF(H29="Critique","Risque critique","OK")))</x:f>
      </x:c>
    </x:row>
    <x:row r="30">
      <x:c r="A30" s="18"/>
      <x:c r="B30" s="18"/>
      <x:c r="C30" s="18"/>
      <x:c r="D30" s="18"/>
      <x:c r="E30" s="18"/>
      <x:c r="F30" s="18"/>
      <x:c r="G30" s="18" t="str">
        <x:f>IF(A30="","",SWITCH(E30,"Faible",1,"Moyenne",2,"Elevee",3,0)*SWITCH(F30,"Faible",1,"Moyen",2,"Eleve",3,0))</x:f>
      </x:c>
      <x:c r="H30" s="18" t="str">
        <x:f>IF(A30="","",IF(G30&gt;=6,"Critique",IF(G30&gt;=3,"Modere","Faible")))</x:f>
      </x:c>
      <x:c r="I30" s="18"/>
      <x:c r="J30" s="18"/>
      <x:c r="K30" s="19"/>
      <x:c r="L30" s="18"/>
      <x:c r="M30" s="18" t="str">
        <x:f>IF(A30="","",IF(AND(K30&lt;TODAY(),L30&lt;&gt;"Clos"),"Retard",IF(H30="Critique","Risque critique","OK")))</x:f>
      </x:c>
    </x:row>
    <x:row r="31">
      <x:c r="A31" s="18"/>
      <x:c r="B31" s="18"/>
      <x:c r="C31" s="18"/>
      <x:c r="D31" s="18"/>
      <x:c r="E31" s="18"/>
      <x:c r="F31" s="18"/>
      <x:c r="G31" s="18" t="str">
        <x:f>IF(A31="","",SWITCH(E31,"Faible",1,"Moyenne",2,"Elevee",3,0)*SWITCH(F31,"Faible",1,"Moyen",2,"Eleve",3,0))</x:f>
      </x:c>
      <x:c r="H31" s="18" t="str">
        <x:f>IF(A31="","",IF(G31&gt;=6,"Critique",IF(G31&gt;=3,"Modere","Faible")))</x:f>
      </x:c>
      <x:c r="I31" s="18"/>
      <x:c r="J31" s="18"/>
      <x:c r="K31" s="19"/>
      <x:c r="L31" s="18"/>
      <x:c r="M31" s="18" t="str">
        <x:f>IF(A31="","",IF(AND(K31&lt;TODAY(),L31&lt;&gt;"Clos"),"Retard",IF(H31="Critique","Risque critique","OK")))</x:f>
      </x:c>
    </x:row>
    <x:row r="32">
      <x:c r="A32" s="18"/>
      <x:c r="B32" s="18"/>
      <x:c r="C32" s="18"/>
      <x:c r="D32" s="18"/>
      <x:c r="E32" s="18"/>
      <x:c r="F32" s="18"/>
      <x:c r="G32" s="18" t="str">
        <x:f>IF(A32="","",SWITCH(E32,"Faible",1,"Moyenne",2,"Elevee",3,0)*SWITCH(F32,"Faible",1,"Moyen",2,"Eleve",3,0))</x:f>
      </x:c>
      <x:c r="H32" s="18" t="str">
        <x:f>IF(A32="","",IF(G32&gt;=6,"Critique",IF(G32&gt;=3,"Modere","Faible")))</x:f>
      </x:c>
      <x:c r="I32" s="18"/>
      <x:c r="J32" s="18"/>
      <x:c r="K32" s="19"/>
      <x:c r="L32" s="18"/>
      <x:c r="M32" s="18" t="str">
        <x:f>IF(A32="","",IF(AND(K32&lt;TODAY(),L32&lt;&gt;"Clos"),"Retard",IF(H32="Critique","Risque critique","OK")))</x:f>
      </x:c>
    </x:row>
    <x:row r="33">
      <x:c r="A33" s="18"/>
      <x:c r="B33" s="18"/>
      <x:c r="C33" s="18"/>
      <x:c r="D33" s="18"/>
      <x:c r="E33" s="18"/>
      <x:c r="F33" s="18"/>
      <x:c r="G33" s="18" t="str">
        <x:f>IF(A33="","",SWITCH(E33,"Faible",1,"Moyenne",2,"Elevee",3,0)*SWITCH(F33,"Faible",1,"Moyen",2,"Eleve",3,0))</x:f>
      </x:c>
      <x:c r="H33" s="18" t="str">
        <x:f>IF(A33="","",IF(G33&gt;=6,"Critique",IF(G33&gt;=3,"Modere","Faible")))</x:f>
      </x:c>
      <x:c r="I33" s="18"/>
      <x:c r="J33" s="18"/>
      <x:c r="K33" s="19"/>
      <x:c r="L33" s="18"/>
      <x:c r="M33" s="18" t="str">
        <x:f>IF(A33="","",IF(AND(K33&lt;TODAY(),L33&lt;&gt;"Clos"),"Retard",IF(H33="Critique","Risque critique","OK")))</x:f>
      </x:c>
    </x:row>
    <x:row r="34">
      <x:c r="A34" s="18"/>
      <x:c r="B34" s="18"/>
      <x:c r="C34" s="18"/>
      <x:c r="D34" s="18"/>
      <x:c r="E34" s="18"/>
      <x:c r="F34" s="18"/>
      <x:c r="G34" s="18" t="str">
        <x:f>IF(A34="","",SWITCH(E34,"Faible",1,"Moyenne",2,"Elevee",3,0)*SWITCH(F34,"Faible",1,"Moyen",2,"Eleve",3,0))</x:f>
      </x:c>
      <x:c r="H34" s="18" t="str">
        <x:f>IF(A34="","",IF(G34&gt;=6,"Critique",IF(G34&gt;=3,"Modere","Faible")))</x:f>
      </x:c>
      <x:c r="I34" s="18"/>
      <x:c r="J34" s="18"/>
      <x:c r="K34" s="19"/>
      <x:c r="L34" s="18"/>
      <x:c r="M34" s="18" t="str">
        <x:f>IF(A34="","",IF(AND(K34&lt;TODAY(),L34&lt;&gt;"Clos"),"Retard",IF(H34="Critique","Risque critique","OK")))</x:f>
      </x:c>
    </x:row>
    <x:row r="35">
      <x:c r="A35" s="18"/>
      <x:c r="B35" s="18"/>
      <x:c r="C35" s="18"/>
      <x:c r="D35" s="18"/>
      <x:c r="E35" s="18"/>
      <x:c r="F35" s="18"/>
      <x:c r="G35" s="18" t="str">
        <x:f>IF(A35="","",SWITCH(E35,"Faible",1,"Moyenne",2,"Elevee",3,0)*SWITCH(F35,"Faible",1,"Moyen",2,"Eleve",3,0))</x:f>
      </x:c>
      <x:c r="H35" s="18" t="str">
        <x:f>IF(A35="","",IF(G35&gt;=6,"Critique",IF(G35&gt;=3,"Modere","Faible")))</x:f>
      </x:c>
      <x:c r="I35" s="18"/>
      <x:c r="J35" s="18"/>
      <x:c r="K35" s="19"/>
      <x:c r="L35" s="18"/>
      <x:c r="M35" s="18" t="str">
        <x:f>IF(A35="","",IF(AND(K35&lt;TODAY(),L35&lt;&gt;"Clos"),"Retard",IF(H35="Critique","Risque critique","OK")))</x:f>
      </x:c>
    </x:row>
    <x:row r="36">
      <x:c r="A36" s="18"/>
      <x:c r="B36" s="18"/>
      <x:c r="C36" s="18"/>
      <x:c r="D36" s="18"/>
      <x:c r="E36" s="18"/>
      <x:c r="F36" s="18"/>
      <x:c r="G36" s="18" t="str">
        <x:f>IF(A36="","",SWITCH(E36,"Faible",1,"Moyenne",2,"Elevee",3,0)*SWITCH(F36,"Faible",1,"Moyen",2,"Eleve",3,0))</x:f>
      </x:c>
      <x:c r="H36" s="18" t="str">
        <x:f>IF(A36="","",IF(G36&gt;=6,"Critique",IF(G36&gt;=3,"Modere","Faible")))</x:f>
      </x:c>
      <x:c r="I36" s="18"/>
      <x:c r="J36" s="18"/>
      <x:c r="K36" s="19"/>
      <x:c r="L36" s="18"/>
      <x:c r="M36" s="18" t="str">
        <x:f>IF(A36="","",IF(AND(K36&lt;TODAY(),L36&lt;&gt;"Clos"),"Retard",IF(H36="Critique","Risque critique","OK")))</x:f>
      </x:c>
    </x:row>
    <x:row r="37">
      <x:c r="A37" s="18"/>
      <x:c r="B37" s="18"/>
      <x:c r="C37" s="18"/>
      <x:c r="D37" s="18"/>
      <x:c r="E37" s="18"/>
      <x:c r="F37" s="18"/>
      <x:c r="G37" s="18" t="str">
        <x:f>IF(A37="","",SWITCH(E37,"Faible",1,"Moyenne",2,"Elevee",3,0)*SWITCH(F37,"Faible",1,"Moyen",2,"Eleve",3,0))</x:f>
      </x:c>
      <x:c r="H37" s="18" t="str">
        <x:f>IF(A37="","",IF(G37&gt;=6,"Critique",IF(G37&gt;=3,"Modere","Faible")))</x:f>
      </x:c>
      <x:c r="I37" s="18"/>
      <x:c r="J37" s="18"/>
      <x:c r="K37" s="19"/>
      <x:c r="L37" s="18"/>
      <x:c r="M37" s="18" t="str">
        <x:f>IF(A37="","",IF(AND(K37&lt;TODAY(),L37&lt;&gt;"Clos"),"Retard",IF(H37="Critique","Risque critique","OK")))</x:f>
      </x:c>
    </x:row>
    <x:row r="38">
      <x:c r="A38" s="18"/>
      <x:c r="B38" s="18"/>
      <x:c r="C38" s="18"/>
      <x:c r="D38" s="18"/>
      <x:c r="E38" s="18"/>
      <x:c r="F38" s="18"/>
      <x:c r="G38" s="18" t="str">
        <x:f>IF(A38="","",SWITCH(E38,"Faible",1,"Moyenne",2,"Elevee",3,0)*SWITCH(F38,"Faible",1,"Moyen",2,"Eleve",3,0))</x:f>
      </x:c>
      <x:c r="H38" s="18" t="str">
        <x:f>IF(A38="","",IF(G38&gt;=6,"Critique",IF(G38&gt;=3,"Modere","Faible")))</x:f>
      </x:c>
      <x:c r="I38" s="18"/>
      <x:c r="J38" s="18"/>
      <x:c r="K38" s="19"/>
      <x:c r="L38" s="18"/>
      <x:c r="M38" s="18" t="str">
        <x:f>IF(A38="","",IF(AND(K38&lt;TODAY(),L38&lt;&gt;"Clos"),"Retard",IF(H38="Critique","Risque critique","OK")))</x:f>
      </x:c>
    </x:row>
    <x:row r="39">
      <x:c r="A39" s="18"/>
      <x:c r="B39" s="18"/>
      <x:c r="C39" s="18"/>
      <x:c r="D39" s="18"/>
      <x:c r="E39" s="18"/>
      <x:c r="F39" s="18"/>
      <x:c r="G39" s="18" t="str">
        <x:f>IF(A39="","",SWITCH(E39,"Faible",1,"Moyenne",2,"Elevee",3,0)*SWITCH(F39,"Faible",1,"Moyen",2,"Eleve",3,0))</x:f>
      </x:c>
      <x:c r="H39" s="18" t="str">
        <x:f>IF(A39="","",IF(G39&gt;=6,"Critique",IF(G39&gt;=3,"Modere","Faible")))</x:f>
      </x:c>
      <x:c r="I39" s="18"/>
      <x:c r="J39" s="18"/>
      <x:c r="K39" s="19"/>
      <x:c r="L39" s="18"/>
      <x:c r="M39" s="18" t="str">
        <x:f>IF(A39="","",IF(AND(K39&lt;TODAY(),L39&lt;&gt;"Clos"),"Retard",IF(H39="Critique","Risque critique","OK")))</x:f>
      </x:c>
    </x:row>
    <x:row r="40">
      <x:c r="A40" s="18"/>
      <x:c r="B40" s="18"/>
      <x:c r="C40" s="18"/>
      <x:c r="D40" s="18"/>
      <x:c r="E40" s="18"/>
      <x:c r="F40" s="18"/>
      <x:c r="G40" s="18" t="str">
        <x:f>IF(A40="","",SWITCH(E40,"Faible",1,"Moyenne",2,"Elevee",3,0)*SWITCH(F40,"Faible",1,"Moyen",2,"Eleve",3,0))</x:f>
      </x:c>
      <x:c r="H40" s="18" t="str">
        <x:f>IF(A40="","",IF(G40&gt;=6,"Critique",IF(G40&gt;=3,"Modere","Faible")))</x:f>
      </x:c>
      <x:c r="I40" s="18"/>
      <x:c r="J40" s="18"/>
      <x:c r="K40" s="19"/>
      <x:c r="L40" s="18"/>
      <x:c r="M40" s="18" t="str">
        <x:f>IF(A40="","",IF(AND(K40&lt;TODAY(),L40&lt;&gt;"Clos"),"Retard",IF(H40="Critique","Risque critique","OK")))</x:f>
      </x:c>
    </x:row>
    <x:row r="41">
      <x:c r="A41" s="18"/>
      <x:c r="B41" s="18"/>
      <x:c r="C41" s="18"/>
      <x:c r="D41" s="18"/>
      <x:c r="E41" s="18"/>
      <x:c r="F41" s="18"/>
      <x:c r="G41" s="18" t="str">
        <x:f>IF(A41="","",SWITCH(E41,"Faible",1,"Moyenne",2,"Elevee",3,0)*SWITCH(F41,"Faible",1,"Moyen",2,"Eleve",3,0))</x:f>
      </x:c>
      <x:c r="H41" s="18" t="str">
        <x:f>IF(A41="","",IF(G41&gt;=6,"Critique",IF(G41&gt;=3,"Modere","Faible")))</x:f>
      </x:c>
      <x:c r="I41" s="18"/>
      <x:c r="J41" s="18"/>
      <x:c r="K41" s="19"/>
      <x:c r="L41" s="18"/>
      <x:c r="M41" s="18" t="str">
        <x:f>IF(A41="","",IF(AND(K41&lt;TODAY(),L41&lt;&gt;"Clos"),"Retard",IF(H41="Critique","Risque critique","OK")))</x:f>
      </x:c>
    </x:row>
    <x:row r="42">
      <x:c r="A42" s="18"/>
      <x:c r="B42" s="18"/>
      <x:c r="C42" s="18"/>
      <x:c r="D42" s="18"/>
      <x:c r="E42" s="18"/>
      <x:c r="F42" s="18"/>
      <x:c r="G42" s="18" t="str">
        <x:f>IF(A42="","",SWITCH(E42,"Faible",1,"Moyenne",2,"Elevee",3,0)*SWITCH(F42,"Faible",1,"Moyen",2,"Eleve",3,0))</x:f>
      </x:c>
      <x:c r="H42" s="18" t="str">
        <x:f>IF(A42="","",IF(G42&gt;=6,"Critique",IF(G42&gt;=3,"Modere","Faible")))</x:f>
      </x:c>
      <x:c r="I42" s="18"/>
      <x:c r="J42" s="18"/>
      <x:c r="K42" s="19"/>
      <x:c r="L42" s="18"/>
      <x:c r="M42" s="18" t="str">
        <x:f>IF(A42="","",IF(AND(K42&lt;TODAY(),L42&lt;&gt;"Clos"),"Retard",IF(H42="Critique","Risque critique","OK")))</x:f>
      </x:c>
    </x:row>
    <x:row r="43">
      <x:c r="A43" s="18"/>
      <x:c r="B43" s="18"/>
      <x:c r="C43" s="18"/>
      <x:c r="D43" s="18"/>
      <x:c r="E43" s="18"/>
      <x:c r="F43" s="18"/>
      <x:c r="G43" s="18" t="str">
        <x:f>IF(A43="","",SWITCH(E43,"Faible",1,"Moyenne",2,"Elevee",3,0)*SWITCH(F43,"Faible",1,"Moyen",2,"Eleve",3,0))</x:f>
      </x:c>
      <x:c r="H43" s="18" t="str">
        <x:f>IF(A43="","",IF(G43&gt;=6,"Critique",IF(G43&gt;=3,"Modere","Faible")))</x:f>
      </x:c>
      <x:c r="I43" s="18"/>
      <x:c r="J43" s="18"/>
      <x:c r="K43" s="19"/>
      <x:c r="L43" s="18"/>
      <x:c r="M43" s="18" t="str">
        <x:f>IF(A43="","",IF(AND(K43&lt;TODAY(),L43&lt;&gt;"Clos"),"Retard",IF(H43="Critique","Risque critique","OK")))</x:f>
      </x:c>
    </x:row>
    <x:row r="44">
      <x:c r="A44" s="18"/>
      <x:c r="B44" s="18"/>
      <x:c r="C44" s="18"/>
      <x:c r="D44" s="18"/>
      <x:c r="E44" s="18"/>
      <x:c r="F44" s="18"/>
      <x:c r="G44" s="18" t="str">
        <x:f>IF(A44="","",SWITCH(E44,"Faible",1,"Moyenne",2,"Elevee",3,0)*SWITCH(F44,"Faible",1,"Moyen",2,"Eleve",3,0))</x:f>
      </x:c>
      <x:c r="H44" s="18" t="str">
        <x:f>IF(A44="","",IF(G44&gt;=6,"Critique",IF(G44&gt;=3,"Modere","Faible")))</x:f>
      </x:c>
      <x:c r="I44" s="18"/>
      <x:c r="J44" s="18"/>
      <x:c r="K44" s="19"/>
      <x:c r="L44" s="18"/>
      <x:c r="M44" s="18" t="str">
        <x:f>IF(A44="","",IF(AND(K44&lt;TODAY(),L44&lt;&gt;"Clos"),"Retard",IF(H44="Critique","Risque critique","OK")))</x:f>
      </x:c>
    </x:row>
  </x:sheetData>
  <x:mergeCells>
    <x:mergeCell ref="A1:J1"/>
    <x:mergeCell ref="A2:J2"/>
  </x:mergeCells>
  <x:conditionalFormatting sqref="M5:M44">
    <x:cfRule type="containsText" dxfId="64" priority="1" operator="containsText" text="Retard"/>
    <x:cfRule type="containsText" dxfId="65" priority="2" operator="containsText" text="critique"/>
    <x:cfRule type="containsText" dxfId="66" priority="3" operator="containsText" text="manquant"/>
    <x:cfRule type="containsText" dxfId="67"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"Financement,Technique,Donnees,Institutionnel,Social,Environnemental,Calendrier"</x:formula1>
    </x:dataValidation>
    <x:dataValidation type="list" errorStyle="warning" showInputMessage="1" showErrorMessage="1" errorTitle="Valeur inattendue" error="Cette colonne utilise une liste controlee." promptTitle="Liste controlee" prompt="Choisir une valeur dans la liste." sqref="E5:E44">
      <x:formula1>"Faible,Moyenne,Elevee"</x:formula1>
    </x:dataValidation>
    <x:dataValidation type="list" errorStyle="warning" showInputMessage="1" showErrorMessage="1" errorTitle="Valeur inattendue" error="Cette colonne utilise une liste controlee." promptTitle="Liste controlee" prompt="Choisir une valeur dans la liste." sqref="F5:F44">
      <x:formula1>"Faible,Moyen,Eleve"</x:formula1>
    </x:dataValidation>
    <x:dataValidation type="list" errorStyle="warning" showInputMessage="1" showErrorMessage="1" errorTitle="Valeur inattendue" error="Cette colonne utilise une liste controlee." promptTitle="Liste controlee" prompt="Choisir une valeur dans la liste." sqref="L5:L44">
      <x:formula1>"Ouvert,En traitement,Clos,Surveille"</x:formula1>
    </x:dataValidation>
  </x:dataValidations>
  <x:pageMargins left="0.7" right="0.7" top="0.75" bottom="0.75" header="0.3" footer="0.3"/>
  <x:tableParts count="1">
    <x:tablePart xmlns:r="http://schemas.openxmlformats.org/officeDocument/2006/relationships" r:id="R2f5bbb92071d4b1e"/>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75" hidden="0" customWidth="1"/>
    <x:col min="3" max="3" width="20" hidden="0" customWidth="1"/>
    <x:col min="4" max="4" width="23.75" hidden="0" customWidth="1"/>
    <x:col min="5" max="5" width="35" hidden="0" customWidth="1"/>
    <x:col min="6" max="6" width="21.25" hidden="0" customWidth="1"/>
    <x:col min="7" max="7" width="16.25" hidden="0" customWidth="1"/>
    <x:col min="8" max="8" width="15.630000114440918" hidden="0" customWidth="1"/>
    <x:col min="9" max="9" width="14.380000114440918" hidden="0" customWidth="1"/>
    <x:col min="10" max="10" width="16.25" hidden="0" customWidth="1"/>
    <x:col min="11" max="11" width="32.5" hidden="0" customWidth="1"/>
    <x:col min="12" max="12" width="15.630000114440918" hidden="0" customWidth="1"/>
    <x:col min="13" max="13" width="14.380000114440918" hidden="0" customWidth="1"/>
    <x:col min="14" max="14" width="18.1299991607666" hidden="0" customWidth="1"/>
  </x:cols>
  <x:sheetData>
    <x:row r="1" ht="25.5" customHeight="1">
      <x:c r="A1" s="2" t="str">
        <x:v>Controle qualite QA/QC</x:v>
      </x:c>
      <x:c r="B1" s="2"/>
      <x:c r="C1" s="2"/>
      <x:c r="D1" s="2"/>
      <x:c r="E1" s="2"/>
      <x:c r="F1" s="2"/>
      <x:c r="G1" s="2"/>
      <x:c r="H1" s="2"/>
      <x:c r="I1" s="2"/>
      <x:c r="J1" s="2"/>
    </x:row>
    <x:row r="2" ht="31.5" customHeight="1">
      <x:c r="A2" s="5" t="str">
        <x:v>Plan de controle qualite pour donnees, calculs, sources et reporting.</x:v>
      </x:c>
      <x:c r="B2" s="5"/>
      <x:c r="C2" s="5"/>
      <x:c r="D2" s="5"/>
      <x:c r="E2" s="5"/>
      <x:c r="F2" s="5"/>
      <x:c r="G2" s="5"/>
      <x:c r="H2" s="5"/>
      <x:c r="I2" s="5"/>
      <x:c r="J2" s="5"/>
    </x:row>
    <x:row r="4" ht="28.5" customHeight="1">
      <x:c r="A4" s="16" t="str">
        <x:v>Check_ID</x:v>
      </x:c>
      <x:c r="B4" s="16" t="str">
        <x:v>Domaine</x:v>
      </x:c>
      <x:c r="C4" s="16" t="str">
        <x:v>Table_source</x:v>
      </x:c>
      <x:c r="D4" s="16" t="str">
        <x:v>Controle</x:v>
      </x:c>
      <x:c r="E4" s="16" t="str">
        <x:v>Regle</x:v>
      </x:c>
      <x:c r="F4" s="16" t="str">
        <x:v>Responsable</x:v>
      </x:c>
      <x:c r="G4" s="16" t="str">
        <x:v>Frequence</x:v>
      </x:c>
      <x:c r="H4" s="16" t="str">
        <x:v>Date_dernier_controle</x:v>
      </x:c>
      <x:c r="I4" s="16" t="str">
        <x:v>Resultat</x:v>
      </x:c>
      <x:c r="J4" s="16" t="str">
        <x:v>Nombre_anomalies</x:v>
      </x:c>
      <x:c r="K4" s="16" t="str">
        <x:v>Action_corrective</x:v>
      </x:c>
      <x:c r="L4" s="16" t="str">
        <x:v>Echeance_correction</x:v>
      </x:c>
      <x:c r="M4" s="16" t="str">
        <x:v>Statut</x:v>
      </x:c>
      <x:c r="N4" s="16" t="str">
        <x:v>Alerte_QA</x:v>
      </x:c>
    </x:row>
    <x:row r="5">
      <x:c r="A5" s="18" t="str">
        <x:v>QA-001</x:v>
      </x:c>
      <x:c r="B5" s="18" t="str">
        <x:v>GES</x:v>
      </x:c>
      <x:c r="C5" s="18" t="str">
        <x:v>tblInventaireGES</x:v>
      </x:c>
      <x:c r="D5" s="18" t="str">
        <x:v>Completeness</x:v>
      </x:c>
      <x:c r="E5" s="18" t="str">
        <x:v>Toutes emissions ont annee, secteur, scope, qualite</x:v>
      </x:c>
      <x:c r="F5" s="18" t="str">
        <x:v>Cellule MRV</x:v>
      </x:c>
      <x:c r="G5" s="18" t="str">
        <x:v>Annuelle</x:v>
      </x:c>
      <x:c r="H5" s="19" t="n">
        <x:v>46142</x:v>
      </x:c>
      <x:c r="I5" s="18" t="str">
        <x:v>A verifier</x:v>
      </x:c>
      <x:c r="J5" s="18" t="n">
        <x:v>2</x:v>
      </x:c>
      <x:c r="K5" s="18" t="str">
        <x:v>Completer secteurs manquants</x:v>
      </x:c>
      <x:c r="L5" s="19" t="n">
        <x:v>46203</x:v>
      </x:c>
      <x:c r="M5" s="18" t="str">
        <x:v>Ouvert</x:v>
      </x:c>
      <x:c r="N5" s="18" t="str">
        <x:f>IF(A5="","",IF(AND(L5&lt;TODAY(),M5&lt;&gt;"Clos"),"Retard",IF(J5&gt;0,"Anomalies a traiter","OK")))</x:f>
        <x:v>Anomalies a traiter</x:v>
      </x:c>
    </x:row>
    <x:row r="6">
      <x:c r="A6" s="18" t="str">
        <x:v>QA-002</x:v>
      </x:c>
      <x:c r="B6" s="18" t="str">
        <x:v>Budget</x:v>
      </x:c>
      <x:c r="C6" s="18" t="str">
        <x:v>tblBudgets</x:v>
      </x:c>
      <x:c r="D6" s="18" t="str">
        <x:v>Coherence execution</x:v>
      </x:c>
      <x:c r="E6" s="18" t="str">
        <x:v>Execute &lt;= Vote</x:v>
      </x:c>
      <x:c r="F6" s="18" t="str">
        <x:v>Direction Finance</x:v>
      </x:c>
      <x:c r="G6" s="18" t="str">
        <x:v>Mensuelle</x:v>
      </x:c>
      <x:c r="H6" s="19" t="n">
        <x:v>46162</x:v>
      </x:c>
      <x:c r="I6" s="18" t="str">
        <x:v>OK</x:v>
      </x:c>
      <x:c r="J6" s="18" t="n">
        <x:v>0</x:v>
      </x:c>
      <x:c r="K6" s="18" t="str"/>
      <x:c r="L6" s="19"/>
      <x:c r="M6" s="18" t="str">
        <x:v>Clos</x:v>
      </x:c>
      <x:c r="N6" s="18" t="str">
        <x:f>IF(A6="","",IF(AND(L6&lt;TODAY(),M6&lt;&gt;"Clos"),"Retard",IF(J6&gt;0,"Anomalies a traiter","OK")))</x:f>
        <x:v>OK</x:v>
      </x:c>
    </x:row>
    <x:row r="7">
      <x:c r="A7" s="18" t="str">
        <x:v>QA-003</x:v>
      </x:c>
      <x:c r="B7" s="18" t="str">
        <x:v>Air</x:v>
      </x:c>
      <x:c r="C7" s="18" t="str">
        <x:v>tblQualiteAir</x:v>
      </x:c>
      <x:c r="D7" s="18" t="str">
        <x:v>Valeurs aberrantes</x:v>
      </x:c>
      <x:c r="E7" s="18" t="str">
        <x:v>Concentration &gt;= 0 et seuil renseigne</x:v>
      </x:c>
      <x:c r="F7" s="18" t="str">
        <x:v>Direction Environnement</x:v>
      </x:c>
      <x:c r="G7" s="18" t="str">
        <x:v>Mensuelle</x:v>
      </x:c>
      <x:c r="H7" s="19" t="n">
        <x:v>46143</x:v>
      </x:c>
      <x:c r="I7" s="18" t="str">
        <x:v>A verifier</x:v>
      </x:c>
      <x:c r="J7" s="18" t="n">
        <x:v>1</x:v>
      </x:c>
      <x:c r="K7" s="18" t="str">
        <x:v>Verifier capteur Medina-01</x:v>
      </x:c>
      <x:c r="L7" s="19" t="n">
        <x:v>46183</x:v>
      </x:c>
      <x:c r="M7" s="18" t="str">
        <x:v>Ouvert</x:v>
      </x:c>
      <x:c r="N7" s="18" t="str">
        <x:f>IF(A7="","",IF(AND(L7&lt;TODAY(),M7&lt;&gt;"Clos"),"Retard",IF(J7&gt;0,"Anomalies a traiter","OK")))</x:f>
        <x:v>Anomalies a traiter</x:v>
      </x:c>
    </x:row>
    <x:row r="8">
      <x:c r="A8" s="18"/>
      <x:c r="B8" s="18"/>
      <x:c r="C8" s="18"/>
      <x:c r="D8" s="18"/>
      <x:c r="E8" s="18"/>
      <x:c r="F8" s="18"/>
      <x:c r="G8" s="18"/>
      <x:c r="H8" s="19"/>
      <x:c r="I8" s="18"/>
      <x:c r="J8" s="18"/>
      <x:c r="K8" s="18"/>
      <x:c r="L8" s="19"/>
      <x:c r="M8" s="18"/>
      <x:c r="N8" s="18" t="str">
        <x:f>IF(A8="","",IF(AND(L8&lt;TODAY(),M8&lt;&gt;"Clos"),"Retard",IF(J8&gt;0,"Anomalies a traiter","OK")))</x:f>
      </x:c>
    </x:row>
    <x:row r="9">
      <x:c r="A9" s="18"/>
      <x:c r="B9" s="18"/>
      <x:c r="C9" s="18"/>
      <x:c r="D9" s="18"/>
      <x:c r="E9" s="18"/>
      <x:c r="F9" s="18"/>
      <x:c r="G9" s="18"/>
      <x:c r="H9" s="19"/>
      <x:c r="I9" s="18"/>
      <x:c r="J9" s="18"/>
      <x:c r="K9" s="18"/>
      <x:c r="L9" s="19"/>
      <x:c r="M9" s="18"/>
      <x:c r="N9" s="18" t="str">
        <x:f>IF(A9="","",IF(AND(L9&lt;TODAY(),M9&lt;&gt;"Clos"),"Retard",IF(J9&gt;0,"Anomalies a traiter","OK")))</x:f>
      </x:c>
    </x:row>
    <x:row r="10">
      <x:c r="A10" s="18"/>
      <x:c r="B10" s="18"/>
      <x:c r="C10" s="18"/>
      <x:c r="D10" s="18"/>
      <x:c r="E10" s="18"/>
      <x:c r="F10" s="18"/>
      <x:c r="G10" s="18"/>
      <x:c r="H10" s="19"/>
      <x:c r="I10" s="18"/>
      <x:c r="J10" s="18"/>
      <x:c r="K10" s="18"/>
      <x:c r="L10" s="19"/>
      <x:c r="M10" s="18"/>
      <x:c r="N10" s="18" t="str">
        <x:f>IF(A10="","",IF(AND(L10&lt;TODAY(),M10&lt;&gt;"Clos"),"Retard",IF(J10&gt;0,"Anomalies a traiter","OK")))</x:f>
      </x:c>
    </x:row>
    <x:row r="11">
      <x:c r="A11" s="18"/>
      <x:c r="B11" s="18"/>
      <x:c r="C11" s="18"/>
      <x:c r="D11" s="18"/>
      <x:c r="E11" s="18"/>
      <x:c r="F11" s="18"/>
      <x:c r="G11" s="18"/>
      <x:c r="H11" s="19"/>
      <x:c r="I11" s="18"/>
      <x:c r="J11" s="18"/>
      <x:c r="K11" s="18"/>
      <x:c r="L11" s="19"/>
      <x:c r="M11" s="18"/>
      <x:c r="N11" s="18" t="str">
        <x:f>IF(A11="","",IF(AND(L11&lt;TODAY(),M11&lt;&gt;"Clos"),"Retard",IF(J11&gt;0,"Anomalies a traiter","OK")))</x:f>
      </x:c>
    </x:row>
    <x:row r="12">
      <x:c r="A12" s="18"/>
      <x:c r="B12" s="18"/>
      <x:c r="C12" s="18"/>
      <x:c r="D12" s="18"/>
      <x:c r="E12" s="18"/>
      <x:c r="F12" s="18"/>
      <x:c r="G12" s="18"/>
      <x:c r="H12" s="19"/>
      <x:c r="I12" s="18"/>
      <x:c r="J12" s="18"/>
      <x:c r="K12" s="18"/>
      <x:c r="L12" s="19"/>
      <x:c r="M12" s="18"/>
      <x:c r="N12" s="18" t="str">
        <x:f>IF(A12="","",IF(AND(L12&lt;TODAY(),M12&lt;&gt;"Clos"),"Retard",IF(J12&gt;0,"Anomalies a traiter","OK")))</x:f>
      </x:c>
    </x:row>
    <x:row r="13">
      <x:c r="A13" s="18"/>
      <x:c r="B13" s="18"/>
      <x:c r="C13" s="18"/>
      <x:c r="D13" s="18"/>
      <x:c r="E13" s="18"/>
      <x:c r="F13" s="18"/>
      <x:c r="G13" s="18"/>
      <x:c r="H13" s="19"/>
      <x:c r="I13" s="18"/>
      <x:c r="J13" s="18"/>
      <x:c r="K13" s="18"/>
      <x:c r="L13" s="19"/>
      <x:c r="M13" s="18"/>
      <x:c r="N13" s="18" t="str">
        <x:f>IF(A13="","",IF(AND(L13&lt;TODAY(),M13&lt;&gt;"Clos"),"Retard",IF(J13&gt;0,"Anomalies a traiter","OK")))</x:f>
      </x:c>
    </x:row>
    <x:row r="14">
      <x:c r="A14" s="18"/>
      <x:c r="B14" s="18"/>
      <x:c r="C14" s="18"/>
      <x:c r="D14" s="18"/>
      <x:c r="E14" s="18"/>
      <x:c r="F14" s="18"/>
      <x:c r="G14" s="18"/>
      <x:c r="H14" s="19"/>
      <x:c r="I14" s="18"/>
      <x:c r="J14" s="18"/>
      <x:c r="K14" s="18"/>
      <x:c r="L14" s="19"/>
      <x:c r="M14" s="18"/>
      <x:c r="N14" s="18" t="str">
        <x:f>IF(A14="","",IF(AND(L14&lt;TODAY(),M14&lt;&gt;"Clos"),"Retard",IF(J14&gt;0,"Anomalies a traiter","OK")))</x:f>
      </x:c>
    </x:row>
    <x:row r="15">
      <x:c r="A15" s="18"/>
      <x:c r="B15" s="18"/>
      <x:c r="C15" s="18"/>
      <x:c r="D15" s="18"/>
      <x:c r="E15" s="18"/>
      <x:c r="F15" s="18"/>
      <x:c r="G15" s="18"/>
      <x:c r="H15" s="19"/>
      <x:c r="I15" s="18"/>
      <x:c r="J15" s="18"/>
      <x:c r="K15" s="18"/>
      <x:c r="L15" s="19"/>
      <x:c r="M15" s="18"/>
      <x:c r="N15" s="18" t="str">
        <x:f>IF(A15="","",IF(AND(L15&lt;TODAY(),M15&lt;&gt;"Clos"),"Retard",IF(J15&gt;0,"Anomalies a traiter","OK")))</x:f>
      </x:c>
    </x:row>
    <x:row r="16">
      <x:c r="A16" s="18"/>
      <x:c r="B16" s="18"/>
      <x:c r="C16" s="18"/>
      <x:c r="D16" s="18"/>
      <x:c r="E16" s="18"/>
      <x:c r="F16" s="18"/>
      <x:c r="G16" s="18"/>
      <x:c r="H16" s="19"/>
      <x:c r="I16" s="18"/>
      <x:c r="J16" s="18"/>
      <x:c r="K16" s="18"/>
      <x:c r="L16" s="19"/>
      <x:c r="M16" s="18"/>
      <x:c r="N16" s="18" t="str">
        <x:f>IF(A16="","",IF(AND(L16&lt;TODAY(),M16&lt;&gt;"Clos"),"Retard",IF(J16&gt;0,"Anomalies a traiter","OK")))</x:f>
      </x:c>
    </x:row>
    <x:row r="17">
      <x:c r="A17" s="18"/>
      <x:c r="B17" s="18"/>
      <x:c r="C17" s="18"/>
      <x:c r="D17" s="18"/>
      <x:c r="E17" s="18"/>
      <x:c r="F17" s="18"/>
      <x:c r="G17" s="18"/>
      <x:c r="H17" s="19"/>
      <x:c r="I17" s="18"/>
      <x:c r="J17" s="18"/>
      <x:c r="K17" s="18"/>
      <x:c r="L17" s="19"/>
      <x:c r="M17" s="18"/>
      <x:c r="N17" s="18" t="str">
        <x:f>IF(A17="","",IF(AND(L17&lt;TODAY(),M17&lt;&gt;"Clos"),"Retard",IF(J17&gt;0,"Anomalies a traiter","OK")))</x:f>
      </x:c>
    </x:row>
    <x:row r="18">
      <x:c r="A18" s="18"/>
      <x:c r="B18" s="18"/>
      <x:c r="C18" s="18"/>
      <x:c r="D18" s="18"/>
      <x:c r="E18" s="18"/>
      <x:c r="F18" s="18"/>
      <x:c r="G18" s="18"/>
      <x:c r="H18" s="19"/>
      <x:c r="I18" s="18"/>
      <x:c r="J18" s="18"/>
      <x:c r="K18" s="18"/>
      <x:c r="L18" s="19"/>
      <x:c r="M18" s="18"/>
      <x:c r="N18" s="18" t="str">
        <x:f>IF(A18="","",IF(AND(L18&lt;TODAY(),M18&lt;&gt;"Clos"),"Retard",IF(J18&gt;0,"Anomalies a traiter","OK")))</x:f>
      </x:c>
    </x:row>
    <x:row r="19">
      <x:c r="A19" s="18"/>
      <x:c r="B19" s="18"/>
      <x:c r="C19" s="18"/>
      <x:c r="D19" s="18"/>
      <x:c r="E19" s="18"/>
      <x:c r="F19" s="18"/>
      <x:c r="G19" s="18"/>
      <x:c r="H19" s="19"/>
      <x:c r="I19" s="18"/>
      <x:c r="J19" s="18"/>
      <x:c r="K19" s="18"/>
      <x:c r="L19" s="19"/>
      <x:c r="M19" s="18"/>
      <x:c r="N19" s="18" t="str">
        <x:f>IF(A19="","",IF(AND(L19&lt;TODAY(),M19&lt;&gt;"Clos"),"Retard",IF(J19&gt;0,"Anomalies a traiter","OK")))</x:f>
      </x:c>
    </x:row>
    <x:row r="20">
      <x:c r="A20" s="18"/>
      <x:c r="B20" s="18"/>
      <x:c r="C20" s="18"/>
      <x:c r="D20" s="18"/>
      <x:c r="E20" s="18"/>
      <x:c r="F20" s="18"/>
      <x:c r="G20" s="18"/>
      <x:c r="H20" s="19"/>
      <x:c r="I20" s="18"/>
      <x:c r="J20" s="18"/>
      <x:c r="K20" s="18"/>
      <x:c r="L20" s="19"/>
      <x:c r="M20" s="18"/>
      <x:c r="N20" s="18" t="str">
        <x:f>IF(A20="","",IF(AND(L20&lt;TODAY(),M20&lt;&gt;"Clos"),"Retard",IF(J20&gt;0,"Anomalies a traiter","OK")))</x:f>
      </x:c>
    </x:row>
    <x:row r="21">
      <x:c r="A21" s="18"/>
      <x:c r="B21" s="18"/>
      <x:c r="C21" s="18"/>
      <x:c r="D21" s="18"/>
      <x:c r="E21" s="18"/>
      <x:c r="F21" s="18"/>
      <x:c r="G21" s="18"/>
      <x:c r="H21" s="19"/>
      <x:c r="I21" s="18"/>
      <x:c r="J21" s="18"/>
      <x:c r="K21" s="18"/>
      <x:c r="L21" s="19"/>
      <x:c r="M21" s="18"/>
      <x:c r="N21" s="18" t="str">
        <x:f>IF(A21="","",IF(AND(L21&lt;TODAY(),M21&lt;&gt;"Clos"),"Retard",IF(J21&gt;0,"Anomalies a traiter","OK")))</x:f>
      </x:c>
    </x:row>
    <x:row r="22">
      <x:c r="A22" s="18"/>
      <x:c r="B22" s="18"/>
      <x:c r="C22" s="18"/>
      <x:c r="D22" s="18"/>
      <x:c r="E22" s="18"/>
      <x:c r="F22" s="18"/>
      <x:c r="G22" s="18"/>
      <x:c r="H22" s="19"/>
      <x:c r="I22" s="18"/>
      <x:c r="J22" s="18"/>
      <x:c r="K22" s="18"/>
      <x:c r="L22" s="19"/>
      <x:c r="M22" s="18"/>
      <x:c r="N22" s="18" t="str">
        <x:f>IF(A22="","",IF(AND(L22&lt;TODAY(),M22&lt;&gt;"Clos"),"Retard",IF(J22&gt;0,"Anomalies a traiter","OK")))</x:f>
      </x:c>
    </x:row>
    <x:row r="23">
      <x:c r="A23" s="18"/>
      <x:c r="B23" s="18"/>
      <x:c r="C23" s="18"/>
      <x:c r="D23" s="18"/>
      <x:c r="E23" s="18"/>
      <x:c r="F23" s="18"/>
      <x:c r="G23" s="18"/>
      <x:c r="H23" s="19"/>
      <x:c r="I23" s="18"/>
      <x:c r="J23" s="18"/>
      <x:c r="K23" s="18"/>
      <x:c r="L23" s="19"/>
      <x:c r="M23" s="18"/>
      <x:c r="N23" s="18" t="str">
        <x:f>IF(A23="","",IF(AND(L23&lt;TODAY(),M23&lt;&gt;"Clos"),"Retard",IF(J23&gt;0,"Anomalies a traiter","OK")))</x:f>
      </x:c>
    </x:row>
    <x:row r="24">
      <x:c r="A24" s="18"/>
      <x:c r="B24" s="18"/>
      <x:c r="C24" s="18"/>
      <x:c r="D24" s="18"/>
      <x:c r="E24" s="18"/>
      <x:c r="F24" s="18"/>
      <x:c r="G24" s="18"/>
      <x:c r="H24" s="19"/>
      <x:c r="I24" s="18"/>
      <x:c r="J24" s="18"/>
      <x:c r="K24" s="18"/>
      <x:c r="L24" s="19"/>
      <x:c r="M24" s="18"/>
      <x:c r="N24" s="18" t="str">
        <x:f>IF(A24="","",IF(AND(L24&lt;TODAY(),M24&lt;&gt;"Clos"),"Retard",IF(J24&gt;0,"Anomalies a traiter","OK")))</x:f>
      </x:c>
    </x:row>
    <x:row r="25">
      <x:c r="A25" s="18"/>
      <x:c r="B25" s="18"/>
      <x:c r="C25" s="18"/>
      <x:c r="D25" s="18"/>
      <x:c r="E25" s="18"/>
      <x:c r="F25" s="18"/>
      <x:c r="G25" s="18"/>
      <x:c r="H25" s="19"/>
      <x:c r="I25" s="18"/>
      <x:c r="J25" s="18"/>
      <x:c r="K25" s="18"/>
      <x:c r="L25" s="19"/>
      <x:c r="M25" s="18"/>
      <x:c r="N25" s="18" t="str">
        <x:f>IF(A25="","",IF(AND(L25&lt;TODAY(),M25&lt;&gt;"Clos"),"Retard",IF(J25&gt;0,"Anomalies a traiter","OK")))</x:f>
      </x:c>
    </x:row>
    <x:row r="26">
      <x:c r="A26" s="18"/>
      <x:c r="B26" s="18"/>
      <x:c r="C26" s="18"/>
      <x:c r="D26" s="18"/>
      <x:c r="E26" s="18"/>
      <x:c r="F26" s="18"/>
      <x:c r="G26" s="18"/>
      <x:c r="H26" s="19"/>
      <x:c r="I26" s="18"/>
      <x:c r="J26" s="18"/>
      <x:c r="K26" s="18"/>
      <x:c r="L26" s="19"/>
      <x:c r="M26" s="18"/>
      <x:c r="N26" s="18" t="str">
        <x:f>IF(A26="","",IF(AND(L26&lt;TODAY(),M26&lt;&gt;"Clos"),"Retard",IF(J26&gt;0,"Anomalies a traiter","OK")))</x:f>
      </x:c>
    </x:row>
    <x:row r="27">
      <x:c r="A27" s="18"/>
      <x:c r="B27" s="18"/>
      <x:c r="C27" s="18"/>
      <x:c r="D27" s="18"/>
      <x:c r="E27" s="18"/>
      <x:c r="F27" s="18"/>
      <x:c r="G27" s="18"/>
      <x:c r="H27" s="19"/>
      <x:c r="I27" s="18"/>
      <x:c r="J27" s="18"/>
      <x:c r="K27" s="18"/>
      <x:c r="L27" s="19"/>
      <x:c r="M27" s="18"/>
      <x:c r="N27" s="18" t="str">
        <x:f>IF(A27="","",IF(AND(L27&lt;TODAY(),M27&lt;&gt;"Clos"),"Retard",IF(J27&gt;0,"Anomalies a traiter","OK")))</x:f>
      </x:c>
    </x:row>
    <x:row r="28">
      <x:c r="A28" s="18"/>
      <x:c r="B28" s="18"/>
      <x:c r="C28" s="18"/>
      <x:c r="D28" s="18"/>
      <x:c r="E28" s="18"/>
      <x:c r="F28" s="18"/>
      <x:c r="G28" s="18"/>
      <x:c r="H28" s="19"/>
      <x:c r="I28" s="18"/>
      <x:c r="J28" s="18"/>
      <x:c r="K28" s="18"/>
      <x:c r="L28" s="19"/>
      <x:c r="M28" s="18"/>
      <x:c r="N28" s="18" t="str">
        <x:f>IF(A28="","",IF(AND(L28&lt;TODAY(),M28&lt;&gt;"Clos"),"Retard",IF(J28&gt;0,"Anomalies a traiter","OK")))</x:f>
      </x:c>
    </x:row>
    <x:row r="29">
      <x:c r="A29" s="18"/>
      <x:c r="B29" s="18"/>
      <x:c r="C29" s="18"/>
      <x:c r="D29" s="18"/>
      <x:c r="E29" s="18"/>
      <x:c r="F29" s="18"/>
      <x:c r="G29" s="18"/>
      <x:c r="H29" s="19"/>
      <x:c r="I29" s="18"/>
      <x:c r="J29" s="18"/>
      <x:c r="K29" s="18"/>
      <x:c r="L29" s="19"/>
      <x:c r="M29" s="18"/>
      <x:c r="N29" s="18" t="str">
        <x:f>IF(A29="","",IF(AND(L29&lt;TODAY(),M29&lt;&gt;"Clos"),"Retard",IF(J29&gt;0,"Anomalies a traiter","OK")))</x:f>
      </x:c>
    </x:row>
    <x:row r="30">
      <x:c r="A30" s="18"/>
      <x:c r="B30" s="18"/>
      <x:c r="C30" s="18"/>
      <x:c r="D30" s="18"/>
      <x:c r="E30" s="18"/>
      <x:c r="F30" s="18"/>
      <x:c r="G30" s="18"/>
      <x:c r="H30" s="19"/>
      <x:c r="I30" s="18"/>
      <x:c r="J30" s="18"/>
      <x:c r="K30" s="18"/>
      <x:c r="L30" s="19"/>
      <x:c r="M30" s="18"/>
      <x:c r="N30" s="18" t="str">
        <x:f>IF(A30="","",IF(AND(L30&lt;TODAY(),M30&lt;&gt;"Clos"),"Retard",IF(J30&gt;0,"Anomalies a traiter","OK")))</x:f>
      </x:c>
    </x:row>
    <x:row r="31">
      <x:c r="A31" s="18"/>
      <x:c r="B31" s="18"/>
      <x:c r="C31" s="18"/>
      <x:c r="D31" s="18"/>
      <x:c r="E31" s="18"/>
      <x:c r="F31" s="18"/>
      <x:c r="G31" s="18"/>
      <x:c r="H31" s="19"/>
      <x:c r="I31" s="18"/>
      <x:c r="J31" s="18"/>
      <x:c r="K31" s="18"/>
      <x:c r="L31" s="19"/>
      <x:c r="M31" s="18"/>
      <x:c r="N31" s="18" t="str">
        <x:f>IF(A31="","",IF(AND(L31&lt;TODAY(),M31&lt;&gt;"Clos"),"Retard",IF(J31&gt;0,"Anomalies a traiter","OK")))</x:f>
      </x:c>
    </x:row>
    <x:row r="32">
      <x:c r="A32" s="18"/>
      <x:c r="B32" s="18"/>
      <x:c r="C32" s="18"/>
      <x:c r="D32" s="18"/>
      <x:c r="E32" s="18"/>
      <x:c r="F32" s="18"/>
      <x:c r="G32" s="18"/>
      <x:c r="H32" s="19"/>
      <x:c r="I32" s="18"/>
      <x:c r="J32" s="18"/>
      <x:c r="K32" s="18"/>
      <x:c r="L32" s="19"/>
      <x:c r="M32" s="18"/>
      <x:c r="N32" s="18" t="str">
        <x:f>IF(A32="","",IF(AND(L32&lt;TODAY(),M32&lt;&gt;"Clos"),"Retard",IF(J32&gt;0,"Anomalies a traiter","OK")))</x:f>
      </x:c>
    </x:row>
    <x:row r="33">
      <x:c r="A33" s="18"/>
      <x:c r="B33" s="18"/>
      <x:c r="C33" s="18"/>
      <x:c r="D33" s="18"/>
      <x:c r="E33" s="18"/>
      <x:c r="F33" s="18"/>
      <x:c r="G33" s="18"/>
      <x:c r="H33" s="19"/>
      <x:c r="I33" s="18"/>
      <x:c r="J33" s="18"/>
      <x:c r="K33" s="18"/>
      <x:c r="L33" s="19"/>
      <x:c r="M33" s="18"/>
      <x:c r="N33" s="18" t="str">
        <x:f>IF(A33="","",IF(AND(L33&lt;TODAY(),M33&lt;&gt;"Clos"),"Retard",IF(J33&gt;0,"Anomalies a traiter","OK")))</x:f>
      </x:c>
    </x:row>
    <x:row r="34">
      <x:c r="A34" s="18"/>
      <x:c r="B34" s="18"/>
      <x:c r="C34" s="18"/>
      <x:c r="D34" s="18"/>
      <x:c r="E34" s="18"/>
      <x:c r="F34" s="18"/>
      <x:c r="G34" s="18"/>
      <x:c r="H34" s="19"/>
      <x:c r="I34" s="18"/>
      <x:c r="J34" s="18"/>
      <x:c r="K34" s="18"/>
      <x:c r="L34" s="19"/>
      <x:c r="M34" s="18"/>
      <x:c r="N34" s="18" t="str">
        <x:f>IF(A34="","",IF(AND(L34&lt;TODAY(),M34&lt;&gt;"Clos"),"Retard",IF(J34&gt;0,"Anomalies a traiter","OK")))</x:f>
      </x:c>
    </x:row>
    <x:row r="35">
      <x:c r="A35" s="18"/>
      <x:c r="B35" s="18"/>
      <x:c r="C35" s="18"/>
      <x:c r="D35" s="18"/>
      <x:c r="E35" s="18"/>
      <x:c r="F35" s="18"/>
      <x:c r="G35" s="18"/>
      <x:c r="H35" s="19"/>
      <x:c r="I35" s="18"/>
      <x:c r="J35" s="18"/>
      <x:c r="K35" s="18"/>
      <x:c r="L35" s="19"/>
      <x:c r="M35" s="18"/>
      <x:c r="N35" s="18" t="str">
        <x:f>IF(A35="","",IF(AND(L35&lt;TODAY(),M35&lt;&gt;"Clos"),"Retard",IF(J35&gt;0,"Anomalies a traiter","OK")))</x:f>
      </x:c>
    </x:row>
    <x:row r="36">
      <x:c r="A36" s="18"/>
      <x:c r="B36" s="18"/>
      <x:c r="C36" s="18"/>
      <x:c r="D36" s="18"/>
      <x:c r="E36" s="18"/>
      <x:c r="F36" s="18"/>
      <x:c r="G36" s="18"/>
      <x:c r="H36" s="19"/>
      <x:c r="I36" s="18"/>
      <x:c r="J36" s="18"/>
      <x:c r="K36" s="18"/>
      <x:c r="L36" s="19"/>
      <x:c r="M36" s="18"/>
      <x:c r="N36" s="18" t="str">
        <x:f>IF(A36="","",IF(AND(L36&lt;TODAY(),M36&lt;&gt;"Clos"),"Retard",IF(J36&gt;0,"Anomalies a traiter","OK")))</x:f>
      </x:c>
    </x:row>
    <x:row r="37">
      <x:c r="A37" s="18"/>
      <x:c r="B37" s="18"/>
      <x:c r="C37" s="18"/>
      <x:c r="D37" s="18"/>
      <x:c r="E37" s="18"/>
      <x:c r="F37" s="18"/>
      <x:c r="G37" s="18"/>
      <x:c r="H37" s="19"/>
      <x:c r="I37" s="18"/>
      <x:c r="J37" s="18"/>
      <x:c r="K37" s="18"/>
      <x:c r="L37" s="19"/>
      <x:c r="M37" s="18"/>
      <x:c r="N37" s="18" t="str">
        <x:f>IF(A37="","",IF(AND(L37&lt;TODAY(),M37&lt;&gt;"Clos"),"Retard",IF(J37&gt;0,"Anomalies a traiter","OK")))</x:f>
      </x:c>
    </x:row>
    <x:row r="38">
      <x:c r="A38" s="18"/>
      <x:c r="B38" s="18"/>
      <x:c r="C38" s="18"/>
      <x:c r="D38" s="18"/>
      <x:c r="E38" s="18"/>
      <x:c r="F38" s="18"/>
      <x:c r="G38" s="18"/>
      <x:c r="H38" s="19"/>
      <x:c r="I38" s="18"/>
      <x:c r="J38" s="18"/>
      <x:c r="K38" s="18"/>
      <x:c r="L38" s="19"/>
      <x:c r="M38" s="18"/>
      <x:c r="N38" s="18" t="str">
        <x:f>IF(A38="","",IF(AND(L38&lt;TODAY(),M38&lt;&gt;"Clos"),"Retard",IF(J38&gt;0,"Anomalies a traiter","OK")))</x:f>
      </x:c>
    </x:row>
    <x:row r="39">
      <x:c r="A39" s="18"/>
      <x:c r="B39" s="18"/>
      <x:c r="C39" s="18"/>
      <x:c r="D39" s="18"/>
      <x:c r="E39" s="18"/>
      <x:c r="F39" s="18"/>
      <x:c r="G39" s="18"/>
      <x:c r="H39" s="19"/>
      <x:c r="I39" s="18"/>
      <x:c r="J39" s="18"/>
      <x:c r="K39" s="18"/>
      <x:c r="L39" s="19"/>
      <x:c r="M39" s="18"/>
      <x:c r="N39" s="18" t="str">
        <x:f>IF(A39="","",IF(AND(L39&lt;TODAY(),M39&lt;&gt;"Clos"),"Retard",IF(J39&gt;0,"Anomalies a traiter","OK")))</x:f>
      </x:c>
    </x:row>
    <x:row r="40">
      <x:c r="A40" s="18"/>
      <x:c r="B40" s="18"/>
      <x:c r="C40" s="18"/>
      <x:c r="D40" s="18"/>
      <x:c r="E40" s="18"/>
      <x:c r="F40" s="18"/>
      <x:c r="G40" s="18"/>
      <x:c r="H40" s="19"/>
      <x:c r="I40" s="18"/>
      <x:c r="J40" s="18"/>
      <x:c r="K40" s="18"/>
      <x:c r="L40" s="19"/>
      <x:c r="M40" s="18"/>
      <x:c r="N40" s="18" t="str">
        <x:f>IF(A40="","",IF(AND(L40&lt;TODAY(),M40&lt;&gt;"Clos"),"Retard",IF(J40&gt;0,"Anomalies a traiter","OK")))</x:f>
      </x:c>
    </x:row>
    <x:row r="41">
      <x:c r="A41" s="18"/>
      <x:c r="B41" s="18"/>
      <x:c r="C41" s="18"/>
      <x:c r="D41" s="18"/>
      <x:c r="E41" s="18"/>
      <x:c r="F41" s="18"/>
      <x:c r="G41" s="18"/>
      <x:c r="H41" s="19"/>
      <x:c r="I41" s="18"/>
      <x:c r="J41" s="18"/>
      <x:c r="K41" s="18"/>
      <x:c r="L41" s="19"/>
      <x:c r="M41" s="18"/>
      <x:c r="N41" s="18" t="str">
        <x:f>IF(A41="","",IF(AND(L41&lt;TODAY(),M41&lt;&gt;"Clos"),"Retard",IF(J41&gt;0,"Anomalies a traiter","OK")))</x:f>
      </x:c>
    </x:row>
    <x:row r="42">
      <x:c r="A42" s="18"/>
      <x:c r="B42" s="18"/>
      <x:c r="C42" s="18"/>
      <x:c r="D42" s="18"/>
      <x:c r="E42" s="18"/>
      <x:c r="F42" s="18"/>
      <x:c r="G42" s="18"/>
      <x:c r="H42" s="19"/>
      <x:c r="I42" s="18"/>
      <x:c r="J42" s="18"/>
      <x:c r="K42" s="18"/>
      <x:c r="L42" s="19"/>
      <x:c r="M42" s="18"/>
      <x:c r="N42" s="18" t="str">
        <x:f>IF(A42="","",IF(AND(L42&lt;TODAY(),M42&lt;&gt;"Clos"),"Retard",IF(J42&gt;0,"Anomalies a traiter","OK")))</x:f>
      </x:c>
    </x:row>
    <x:row r="43">
      <x:c r="A43" s="18"/>
      <x:c r="B43" s="18"/>
      <x:c r="C43" s="18"/>
      <x:c r="D43" s="18"/>
      <x:c r="E43" s="18"/>
      <x:c r="F43" s="18"/>
      <x:c r="G43" s="18"/>
      <x:c r="H43" s="19"/>
      <x:c r="I43" s="18"/>
      <x:c r="J43" s="18"/>
      <x:c r="K43" s="18"/>
      <x:c r="L43" s="19"/>
      <x:c r="M43" s="18"/>
      <x:c r="N43" s="18" t="str">
        <x:f>IF(A43="","",IF(AND(L43&lt;TODAY(),M43&lt;&gt;"Clos"),"Retard",IF(J43&gt;0,"Anomalies a traiter","OK")))</x:f>
      </x:c>
    </x:row>
    <x:row r="44">
      <x:c r="A44" s="18"/>
      <x:c r="B44" s="18"/>
      <x:c r="C44" s="18"/>
      <x:c r="D44" s="18"/>
      <x:c r="E44" s="18"/>
      <x:c r="F44" s="18"/>
      <x:c r="G44" s="18"/>
      <x:c r="H44" s="19"/>
      <x:c r="I44" s="18"/>
      <x:c r="J44" s="18"/>
      <x:c r="K44" s="18"/>
      <x:c r="L44" s="19"/>
      <x:c r="M44" s="18"/>
      <x:c r="N44" s="18" t="str">
        <x:f>IF(A44="","",IF(AND(L44&lt;TODAY(),M44&lt;&gt;"Clos"),"Retard",IF(J44&gt;0,"Anomalies a traiter","OK")))</x:f>
      </x:c>
    </x:row>
  </x:sheetData>
  <x:mergeCells>
    <x:mergeCell ref="A1:J1"/>
    <x:mergeCell ref="A2:J2"/>
  </x:mergeCells>
  <x:conditionalFormatting sqref="N5:N44">
    <x:cfRule type="containsText" dxfId="68" priority="1" operator="containsText" text="Retard"/>
    <x:cfRule type="containsText" dxfId="69" priority="2" operator="containsText" text="critique"/>
    <x:cfRule type="containsText" dxfId="70" priority="3" operator="containsText" text="manquant"/>
    <x:cfRule type="containsText" dxfId="71"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B5:B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G5:G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"OK,A verifier,Non conforme,Non realise"</x:formula1>
    </x:dataValidation>
    <x:dataValidation type="list" errorStyle="warning" showInputMessage="1" showErrorMessage="1" errorTitle="Valeur inattendue" error="Cette colonne utilise une liste controlee." promptTitle="Liste controlee" prompt="Choisir une valeur dans la liste." sqref="M5:M44">
      <x:formula1>"Ouvert,En traitement,Clos"</x:formula1>
    </x:dataValidation>
  </x:dataValidations>
  <x:pageMargins left="0.7" right="0.7" top="0.75" bottom="0.75" header="0.3" footer="0.3"/>
  <x:tableParts count="1">
    <x:tablePart xmlns:r="http://schemas.openxmlformats.org/officeDocument/2006/relationships" r:id="Rd6c889e9342d4332"/>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1.25" hidden="0" customWidth="1"/>
    <x:col min="3" max="3" width="22.5" hidden="0" customWidth="1"/>
    <x:col min="4" max="4" width="22.5" hidden="0" customWidth="1"/>
    <x:col min="5" max="5" width="22.5" hidden="0" customWidth="1"/>
    <x:col min="6" max="6" width="18.75" hidden="0" customWidth="1"/>
    <x:col min="7" max="7" width="21.25" hidden="0" customWidth="1"/>
    <x:col min="8" max="8" width="21.25" hidden="0" customWidth="1"/>
    <x:col min="9" max="9" width="16.25" hidden="0" customWidth="1"/>
    <x:col min="10" max="10" width="21.25" hidden="0" customWidth="1"/>
    <x:col min="11" max="11" width="18.1299991607666" hidden="0" customWidth="1"/>
    <x:col min="12" max="12" width="16.8799991607666" hidden="0" customWidth="1"/>
    <x:col min="13" max="13" width="16.8799991607666" hidden="0" customWidth="1"/>
    <x:col min="14" max="14" width="18.1299991607666" hidden="0" customWidth="1"/>
  </x:cols>
  <x:sheetData>
    <x:row r="1" ht="25.5" customHeight="1">
      <x:c r="A1" s="2" t="str">
        <x:v>Mapping des cadres de reporting</x:v>
      </x:c>
      <x:c r="B1" s="2"/>
      <x:c r="C1" s="2"/>
      <x:c r="D1" s="2"/>
      <x:c r="E1" s="2"/>
      <x:c r="F1" s="2"/>
      <x:c r="G1" s="2"/>
      <x:c r="H1" s="2"/>
      <x:c r="I1" s="2"/>
      <x:c r="J1" s="2"/>
    </x:row>
    <x:row r="2" ht="31.5" customHeight="1">
      <x:c r="A2" s="5" t="str">
        <x:v>Correspondance entre indicateurs internes et exigences CDP-ICLEI, C40, ICLEI/GPC, CoM SSA et CDN.</x:v>
      </x:c>
      <x:c r="B2" s="5"/>
      <x:c r="C2" s="5"/>
      <x:c r="D2" s="5"/>
      <x:c r="E2" s="5"/>
      <x:c r="F2" s="5"/>
      <x:c r="G2" s="5"/>
      <x:c r="H2" s="5"/>
      <x:c r="I2" s="5"/>
      <x:c r="J2" s="5"/>
    </x:row>
    <x:row r="4" ht="28.5" customHeight="1">
      <x:c r="A4" s="16" t="str">
        <x:v>Mapping_ID</x:v>
      </x:c>
      <x:c r="B4" s="16" t="str">
        <x:v>Indicateur_interne</x:v>
      </x:c>
      <x:c r="C4" s="16" t="str">
        <x:v>Source_donnee</x:v>
      </x:c>
      <x:c r="D4" s="16" t="str">
        <x:v>CDP_ICLEI_Module</x:v>
      </x:c>
      <x:c r="E4" s="16" t="str">
        <x:v>C40_Exigence</x:v>
      </x:c>
      <x:c r="F4" s="16" t="str">
        <x:v>ICLEI_GPC</x:v>
      </x:c>
      <x:c r="G4" s="16" t="str">
        <x:v>COMSSA_SEACAP</x:v>
      </x:c>
      <x:c r="H4" s="16" t="str">
        <x:v>CDN_Senegal</x:v>
      </x:c>
      <x:c r="I4" s="16" t="str">
        <x:v>Frequence</x:v>
      </x:c>
      <x:c r="J4" s="16" t="str">
        <x:v>Responsable</x:v>
      </x:c>
      <x:c r="K4" s="16" t="str">
        <x:v>Niveau_preparation</x:v>
      </x:c>
      <x:c r="L4" s="16" t="str">
        <x:v>Donnee_obligatoire</x:v>
      </x:c>
      <x:c r="M4" s="16" t="str">
        <x:v>Statut_reporting</x:v>
      </x:c>
      <x:c r="N4" s="16" t="str">
        <x:v>Alerte</x:v>
      </x:c>
    </x:row>
    <x:row r="5">
      <x:c r="A5" s="18" t="str">
        <x:v>MAP-001</x:v>
      </x:c>
      <x:c r="B5" s="18" t="str">
        <x:v>Emissions totales tCO2e par secteur</x:v>
      </x:c>
      <x:c r="C5" s="18" t="str">
        <x:v>08_INVENTAIRE_GES</x:v>
      </x:c>
      <x:c r="D5" s="18" t="str">
        <x:v>Emissions inventory</x:v>
      </x:c>
      <x:c r="E5" s="18" t="str">
        <x:v>Emissions and targets</x:v>
      </x:c>
      <x:c r="F5" s="18" t="str">
        <x:v>GPC BASIC/BASIC+</x:v>
      </x:c>
      <x:c r="G5" s="18" t="str">
        <x:v>Mitigation inventory</x:v>
      </x:c>
      <x:c r="H5" s="18" t="str">
        <x:v>Mitigation MRV</x:v>
      </x:c>
      <x:c r="I5" s="18" t="str">
        <x:v>Annuelle</x:v>
      </x:c>
      <x:c r="J5" s="18" t="str">
        <x:v>Referent GES</x:v>
      </x:c>
      <x:c r="K5" s="18" t="str">
        <x:v>Pret</x:v>
      </x:c>
      <x:c r="L5" s="18" t="str">
        <x:v>Oui</x:v>
      </x:c>
      <x:c r="M5" s="18" t="str">
        <x:v>Pret</x:v>
      </x:c>
      <x:c r="N5" s="18" t="str">
        <x:f>IF(A5="","",IF(OR(K5="A completer",K5="A verifier",M5&lt;&gt;"Pret"),"Reporting a completer","OK"))</x:f>
        <x:v>OK</x:v>
      </x:c>
    </x:row>
    <x:row r="6">
      <x:c r="A6" s="18" t="str">
        <x:v>MAP-002</x:v>
      </x:c>
      <x:c r="B6" s="18" t="str">
        <x:v>Actions climat et avancement</x:v>
      </x:c>
      <x:c r="C6" s="18" t="str">
        <x:v>05_PROJETS_CLIMAT</x:v>
      </x:c>
      <x:c r="D6" s="18" t="str">
        <x:v>Climate actions</x:v>
      </x:c>
      <x:c r="E6" s="18" t="str">
        <x:v>CAP implementation</x:v>
      </x:c>
      <x:c r="F6" s="18" t="str">
        <x:v>Action tracking</x:v>
      </x:c>
      <x:c r="G6" s="18" t="str">
        <x:v>SEACAP actions</x:v>
      </x:c>
      <x:c r="H6" s="18" t="str">
        <x:v>Contribution territoriale</x:v>
      </x:c>
      <x:c r="I6" s="18" t="str">
        <x:v>Annuelle</x:v>
      </x:c>
      <x:c r="J6" s="18" t="str">
        <x:v>Cellule climat</x:v>
      </x:c>
      <x:c r="K6" s="18" t="str">
        <x:v>A completer</x:v>
      </x:c>
      <x:c r="L6" s="18" t="str">
        <x:v>Oui</x:v>
      </x:c>
      <x:c r="M6" s="18" t="str">
        <x:v>A completer</x:v>
      </x:c>
      <x:c r="N6" s="18" t="str">
        <x:f>IF(A6="","",IF(OR(K6="A completer",K6="A verifier",M6&lt;&gt;"Pret"),"Reporting a completer","OK"))</x:f>
        <x:v>Reporting a completer</x:v>
      </x:c>
    </x:row>
    <x:row r="7">
      <x:c r="A7" s="18" t="str">
        <x:v>MAP-003</x:v>
      </x:c>
      <x:c r="B7" s="18" t="str">
        <x:v>Qualite de l'air PM2.5/NO2</x:v>
      </x:c>
      <x:c r="C7" s="18" t="str">
        <x:v>11_QUALITE_AIR</x:v>
      </x:c>
      <x:c r="D7" s="18" t="str">
        <x:v>Air quality</x:v>
      </x:c>
      <x:c r="E7" s="18" t="str">
        <x:v>Clean Air Accelerator</x:v>
      </x:c>
      <x:c r="F7" s="18" t="str">
        <x:v>Co-benefits</x:v>
      </x:c>
      <x:c r="G7" s="18" t="str">
        <x:v>Sante urbaine</x:v>
      </x:c>
      <x:c r="H7" s="18" t="str">
        <x:v>Co-benefices</x:v>
      </x:c>
      <x:c r="I7" s="18" t="str">
        <x:v>Annuelle</x:v>
      </x:c>
      <x:c r="J7" s="18" t="str">
        <x:v>Direction Environnement</x:v>
      </x:c>
      <x:c r="K7" s="18" t="str">
        <x:v>A verifier</x:v>
      </x:c>
      <x:c r="L7" s="18" t="str">
        <x:v>Partiel</x:v>
      </x:c>
      <x:c r="M7" s="18" t="str">
        <x:v>A verifier</x:v>
      </x:c>
      <x:c r="N7" s="18" t="str">
        <x:f>IF(A7="","",IF(OR(K7="A completer",K7="A verifier",M7&lt;&gt;"Pret"),"Reporting a completer","OK"))</x:f>
        <x:v>Reporting a completer</x:v>
      </x:c>
    </x:row>
    <x:row r="8">
      <x:c r="A8" s="18" t="str">
        <x:v>MAP-004</x:v>
      </x:c>
      <x:c r="B8" s="18" t="str">
        <x:v>Budget et financement climat</x:v>
      </x:c>
      <x:c r="C8" s="18" t="str">
        <x:v>16_BUDGETS;17_FINANCEMENTS</x:v>
      </x:c>
      <x:c r="D8" s="18" t="str">
        <x:v>Finance</x:v>
      </x:c>
      <x:c r="E8" s="18" t="str">
        <x:v>Finance and delivery</x:v>
      </x:c>
      <x:c r="F8" s="18" t="str">
        <x:v>Support needs</x:v>
      </x:c>
      <x:c r="G8" s="18" t="str">
        <x:v>Financing SEACAP</x:v>
      </x:c>
      <x:c r="H8" s="18" t="str">
        <x:v>Besoins financement</x:v>
      </x:c>
      <x:c r="I8" s="18" t="str">
        <x:v>Annuelle</x:v>
      </x:c>
      <x:c r="J8" s="18" t="str">
        <x:v>Direction Finance</x:v>
      </x:c>
      <x:c r="K8" s="18" t="str">
        <x:v>A completer</x:v>
      </x:c>
      <x:c r="L8" s="18" t="str">
        <x:v>Oui</x:v>
      </x:c>
      <x:c r="M8" s="18" t="str">
        <x:v>A completer</x:v>
      </x:c>
      <x:c r="N8" s="18" t="str">
        <x:f>IF(A8="","",IF(OR(K8="A completer",K8="A verifier",M8&lt;&gt;"Pret"),"Reporting a completer","OK"))</x:f>
        <x:v>Reporting a completer</x:v>
      </x:c>
    </x:row>
    <x:row r="9">
      <x:c r="A9" s="18"/>
      <x:c r="B9" s="18"/>
      <x:c r="C9" s="18"/>
      <x:c r="D9" s="18"/>
      <x:c r="E9" s="18"/>
      <x:c r="F9" s="18"/>
      <x:c r="G9" s="18"/>
      <x:c r="H9" s="18"/>
      <x:c r="I9" s="18"/>
      <x:c r="J9" s="18"/>
      <x:c r="K9" s="18"/>
      <x:c r="L9" s="18"/>
      <x:c r="M9" s="18"/>
      <x:c r="N9" s="18" t="str">
        <x:f>IF(A9="","",IF(OR(K9="A completer",K9="A verifier",M9&lt;&gt;"Pret"),"Reporting a completer","OK"))</x:f>
      </x:c>
    </x:row>
    <x:row r="10">
      <x:c r="A10" s="18"/>
      <x:c r="B10" s="18"/>
      <x:c r="C10" s="18"/>
      <x:c r="D10" s="18"/>
      <x:c r="E10" s="18"/>
      <x:c r="F10" s="18"/>
      <x:c r="G10" s="18"/>
      <x:c r="H10" s="18"/>
      <x:c r="I10" s="18"/>
      <x:c r="J10" s="18"/>
      <x:c r="K10" s="18"/>
      <x:c r="L10" s="18"/>
      <x:c r="M10" s="18"/>
      <x:c r="N10" s="18" t="str">
        <x:f>IF(A10="","",IF(OR(K10="A completer",K10="A verifier",M10&lt;&gt;"Pret"),"Reporting a completer","OK"))</x:f>
      </x:c>
    </x:row>
    <x:row r="11">
      <x:c r="A11" s="18"/>
      <x:c r="B11" s="18"/>
      <x:c r="C11" s="18"/>
      <x:c r="D11" s="18"/>
      <x:c r="E11" s="18"/>
      <x:c r="F11" s="18"/>
      <x:c r="G11" s="18"/>
      <x:c r="H11" s="18"/>
      <x:c r="I11" s="18"/>
      <x:c r="J11" s="18"/>
      <x:c r="K11" s="18"/>
      <x:c r="L11" s="18"/>
      <x:c r="M11" s="18"/>
      <x:c r="N11" s="18" t="str">
        <x:f>IF(A11="","",IF(OR(K11="A completer",K11="A verifier",M11&lt;&gt;"Pret"),"Reporting a completer","OK"))</x:f>
      </x:c>
    </x:row>
    <x:row r="12">
      <x:c r="A12" s="18"/>
      <x:c r="B12" s="18"/>
      <x:c r="C12" s="18"/>
      <x:c r="D12" s="18"/>
      <x:c r="E12" s="18"/>
      <x:c r="F12" s="18"/>
      <x:c r="G12" s="18"/>
      <x:c r="H12" s="18"/>
      <x:c r="I12" s="18"/>
      <x:c r="J12" s="18"/>
      <x:c r="K12" s="18"/>
      <x:c r="L12" s="18"/>
      <x:c r="M12" s="18"/>
      <x:c r="N12" s="18" t="str">
        <x:f>IF(A12="","",IF(OR(K12="A completer",K12="A verifier",M12&lt;&gt;"Pret"),"Reporting a completer","OK"))</x:f>
      </x:c>
    </x:row>
    <x:row r="13">
      <x:c r="A13" s="18"/>
      <x:c r="B13" s="18"/>
      <x:c r="C13" s="18"/>
      <x:c r="D13" s="18"/>
      <x:c r="E13" s="18"/>
      <x:c r="F13" s="18"/>
      <x:c r="G13" s="18"/>
      <x:c r="H13" s="18"/>
      <x:c r="I13" s="18"/>
      <x:c r="J13" s="18"/>
      <x:c r="K13" s="18"/>
      <x:c r="L13" s="18"/>
      <x:c r="M13" s="18"/>
      <x:c r="N13" s="18" t="str">
        <x:f>IF(A13="","",IF(OR(K13="A completer",K13="A verifier",M13&lt;&gt;"Pret"),"Reporting a completer","OK"))</x:f>
      </x:c>
    </x:row>
    <x:row r="14">
      <x:c r="A14" s="18"/>
      <x:c r="B14" s="18"/>
      <x:c r="C14" s="18"/>
      <x:c r="D14" s="18"/>
      <x:c r="E14" s="18"/>
      <x:c r="F14" s="18"/>
      <x:c r="G14" s="18"/>
      <x:c r="H14" s="18"/>
      <x:c r="I14" s="18"/>
      <x:c r="J14" s="18"/>
      <x:c r="K14" s="18"/>
      <x:c r="L14" s="18"/>
      <x:c r="M14" s="18"/>
      <x:c r="N14" s="18" t="str">
        <x:f>IF(A14="","",IF(OR(K14="A completer",K14="A verifier",M14&lt;&gt;"Pret"),"Reporting a completer","OK"))</x:f>
      </x:c>
    </x:row>
    <x:row r="15">
      <x:c r="A15" s="18"/>
      <x:c r="B15" s="18"/>
      <x:c r="C15" s="18"/>
      <x:c r="D15" s="18"/>
      <x:c r="E15" s="18"/>
      <x:c r="F15" s="18"/>
      <x:c r="G15" s="18"/>
      <x:c r="H15" s="18"/>
      <x:c r="I15" s="18"/>
      <x:c r="J15" s="18"/>
      <x:c r="K15" s="18"/>
      <x:c r="L15" s="18"/>
      <x:c r="M15" s="18"/>
      <x:c r="N15" s="18" t="str">
        <x:f>IF(A15="","",IF(OR(K15="A completer",K15="A verifier",M15&lt;&gt;"Pret"),"Reporting a completer","OK"))</x:f>
      </x:c>
    </x:row>
    <x:row r="16">
      <x:c r="A16" s="18"/>
      <x:c r="B16" s="18"/>
      <x:c r="C16" s="18"/>
      <x:c r="D16" s="18"/>
      <x:c r="E16" s="18"/>
      <x:c r="F16" s="18"/>
      <x:c r="G16" s="18"/>
      <x:c r="H16" s="18"/>
      <x:c r="I16" s="18"/>
      <x:c r="J16" s="18"/>
      <x:c r="K16" s="18"/>
      <x:c r="L16" s="18"/>
      <x:c r="M16" s="18"/>
      <x:c r="N16" s="18" t="str">
        <x:f>IF(A16="","",IF(OR(K16="A completer",K16="A verifier",M16&lt;&gt;"Pret"),"Reporting a completer","OK"))</x:f>
      </x:c>
    </x:row>
    <x:row r="17">
      <x:c r="A17" s="18"/>
      <x:c r="B17" s="18"/>
      <x:c r="C17" s="18"/>
      <x:c r="D17" s="18"/>
      <x:c r="E17" s="18"/>
      <x:c r="F17" s="18"/>
      <x:c r="G17" s="18"/>
      <x:c r="H17" s="18"/>
      <x:c r="I17" s="18"/>
      <x:c r="J17" s="18"/>
      <x:c r="K17" s="18"/>
      <x:c r="L17" s="18"/>
      <x:c r="M17" s="18"/>
      <x:c r="N17" s="18" t="str">
        <x:f>IF(A17="","",IF(OR(K17="A completer",K17="A verifier",M17&lt;&gt;"Pret"),"Reporting a completer","OK"))</x:f>
      </x:c>
    </x:row>
    <x:row r="18">
      <x:c r="A18" s="18"/>
      <x:c r="B18" s="18"/>
      <x:c r="C18" s="18"/>
      <x:c r="D18" s="18"/>
      <x:c r="E18" s="18"/>
      <x:c r="F18" s="18"/>
      <x:c r="G18" s="18"/>
      <x:c r="H18" s="18"/>
      <x:c r="I18" s="18"/>
      <x:c r="J18" s="18"/>
      <x:c r="K18" s="18"/>
      <x:c r="L18" s="18"/>
      <x:c r="M18" s="18"/>
      <x:c r="N18" s="18" t="str">
        <x:f>IF(A18="","",IF(OR(K18="A completer",K18="A verifier",M18&lt;&gt;"Pret"),"Reporting a completer","OK"))</x:f>
      </x:c>
    </x:row>
    <x:row r="19">
      <x:c r="A19" s="18"/>
      <x:c r="B19" s="18"/>
      <x:c r="C19" s="18"/>
      <x:c r="D19" s="18"/>
      <x:c r="E19" s="18"/>
      <x:c r="F19" s="18"/>
      <x:c r="G19" s="18"/>
      <x:c r="H19" s="18"/>
      <x:c r="I19" s="18"/>
      <x:c r="J19" s="18"/>
      <x:c r="K19" s="18"/>
      <x:c r="L19" s="18"/>
      <x:c r="M19" s="18"/>
      <x:c r="N19" s="18" t="str">
        <x:f>IF(A19="","",IF(OR(K19="A completer",K19="A verifier",M19&lt;&gt;"Pret"),"Reporting a completer","OK"))</x:f>
      </x:c>
    </x:row>
    <x:row r="20">
      <x:c r="A20" s="18"/>
      <x:c r="B20" s="18"/>
      <x:c r="C20" s="18"/>
      <x:c r="D20" s="18"/>
      <x:c r="E20" s="18"/>
      <x:c r="F20" s="18"/>
      <x:c r="G20" s="18"/>
      <x:c r="H20" s="18"/>
      <x:c r="I20" s="18"/>
      <x:c r="J20" s="18"/>
      <x:c r="K20" s="18"/>
      <x:c r="L20" s="18"/>
      <x:c r="M20" s="18"/>
      <x:c r="N20" s="18" t="str">
        <x:f>IF(A20="","",IF(OR(K20="A completer",K20="A verifier",M20&lt;&gt;"Pret"),"Reporting a completer","OK"))</x:f>
      </x:c>
    </x:row>
    <x:row r="21">
      <x:c r="A21" s="18"/>
      <x:c r="B21" s="18"/>
      <x:c r="C21" s="18"/>
      <x:c r="D21" s="18"/>
      <x:c r="E21" s="18"/>
      <x:c r="F21" s="18"/>
      <x:c r="G21" s="18"/>
      <x:c r="H21" s="18"/>
      <x:c r="I21" s="18"/>
      <x:c r="J21" s="18"/>
      <x:c r="K21" s="18"/>
      <x:c r="L21" s="18"/>
      <x:c r="M21" s="18"/>
      <x:c r="N21" s="18" t="str">
        <x:f>IF(A21="","",IF(OR(K21="A completer",K21="A verifier",M21&lt;&gt;"Pret"),"Reporting a completer","OK"))</x:f>
      </x:c>
    </x:row>
    <x:row r="22">
      <x:c r="A22" s="18"/>
      <x:c r="B22" s="18"/>
      <x:c r="C22" s="18"/>
      <x:c r="D22" s="18"/>
      <x:c r="E22" s="18"/>
      <x:c r="F22" s="18"/>
      <x:c r="G22" s="18"/>
      <x:c r="H22" s="18"/>
      <x:c r="I22" s="18"/>
      <x:c r="J22" s="18"/>
      <x:c r="K22" s="18"/>
      <x:c r="L22" s="18"/>
      <x:c r="M22" s="18"/>
      <x:c r="N22" s="18" t="str">
        <x:f>IF(A22="","",IF(OR(K22="A completer",K22="A verifier",M22&lt;&gt;"Pret"),"Reporting a completer","OK"))</x:f>
      </x:c>
    </x:row>
    <x:row r="23">
      <x:c r="A23" s="18"/>
      <x:c r="B23" s="18"/>
      <x:c r="C23" s="18"/>
      <x:c r="D23" s="18"/>
      <x:c r="E23" s="18"/>
      <x:c r="F23" s="18"/>
      <x:c r="G23" s="18"/>
      <x:c r="H23" s="18"/>
      <x:c r="I23" s="18"/>
      <x:c r="J23" s="18"/>
      <x:c r="K23" s="18"/>
      <x:c r="L23" s="18"/>
      <x:c r="M23" s="18"/>
      <x:c r="N23" s="18" t="str">
        <x:f>IF(A23="","",IF(OR(K23="A completer",K23="A verifier",M23&lt;&gt;"Pret"),"Reporting a completer","OK"))</x:f>
      </x:c>
    </x:row>
    <x:row r="24">
      <x:c r="A24" s="18"/>
      <x:c r="B24" s="18"/>
      <x:c r="C24" s="18"/>
      <x:c r="D24" s="18"/>
      <x:c r="E24" s="18"/>
      <x:c r="F24" s="18"/>
      <x:c r="G24" s="18"/>
      <x:c r="H24" s="18"/>
      <x:c r="I24" s="18"/>
      <x:c r="J24" s="18"/>
      <x:c r="K24" s="18"/>
      <x:c r="L24" s="18"/>
      <x:c r="M24" s="18"/>
      <x:c r="N24" s="18" t="str">
        <x:f>IF(A24="","",IF(OR(K24="A completer",K24="A verifier",M24&lt;&gt;"Pret"),"Reporting a completer","OK"))</x:f>
      </x:c>
    </x:row>
    <x:row r="25">
      <x:c r="A25" s="18"/>
      <x:c r="B25" s="18"/>
      <x:c r="C25" s="18"/>
      <x:c r="D25" s="18"/>
      <x:c r="E25" s="18"/>
      <x:c r="F25" s="18"/>
      <x:c r="G25" s="18"/>
      <x:c r="H25" s="18"/>
      <x:c r="I25" s="18"/>
      <x:c r="J25" s="18"/>
      <x:c r="K25" s="18"/>
      <x:c r="L25" s="18"/>
      <x:c r="M25" s="18"/>
      <x:c r="N25" s="18" t="str">
        <x:f>IF(A25="","",IF(OR(K25="A completer",K25="A verifier",M25&lt;&gt;"Pret"),"Reporting a completer","OK"))</x:f>
      </x:c>
    </x:row>
    <x:row r="26">
      <x:c r="A26" s="18"/>
      <x:c r="B26" s="18"/>
      <x:c r="C26" s="18"/>
      <x:c r="D26" s="18"/>
      <x:c r="E26" s="18"/>
      <x:c r="F26" s="18"/>
      <x:c r="G26" s="18"/>
      <x:c r="H26" s="18"/>
      <x:c r="I26" s="18"/>
      <x:c r="J26" s="18"/>
      <x:c r="K26" s="18"/>
      <x:c r="L26" s="18"/>
      <x:c r="M26" s="18"/>
      <x:c r="N26" s="18" t="str">
        <x:f>IF(A26="","",IF(OR(K26="A completer",K26="A verifier",M26&lt;&gt;"Pret"),"Reporting a completer","OK"))</x:f>
      </x:c>
    </x:row>
    <x:row r="27">
      <x:c r="A27" s="18"/>
      <x:c r="B27" s="18"/>
      <x:c r="C27" s="18"/>
      <x:c r="D27" s="18"/>
      <x:c r="E27" s="18"/>
      <x:c r="F27" s="18"/>
      <x:c r="G27" s="18"/>
      <x:c r="H27" s="18"/>
      <x:c r="I27" s="18"/>
      <x:c r="J27" s="18"/>
      <x:c r="K27" s="18"/>
      <x:c r="L27" s="18"/>
      <x:c r="M27" s="18"/>
      <x:c r="N27" s="18" t="str">
        <x:f>IF(A27="","",IF(OR(K27="A completer",K27="A verifier",M27&lt;&gt;"Pret"),"Reporting a completer","OK"))</x:f>
      </x:c>
    </x:row>
    <x:row r="28">
      <x:c r="A28" s="18"/>
      <x:c r="B28" s="18"/>
      <x:c r="C28" s="18"/>
      <x:c r="D28" s="18"/>
      <x:c r="E28" s="18"/>
      <x:c r="F28" s="18"/>
      <x:c r="G28" s="18"/>
      <x:c r="H28" s="18"/>
      <x:c r="I28" s="18"/>
      <x:c r="J28" s="18"/>
      <x:c r="K28" s="18"/>
      <x:c r="L28" s="18"/>
      <x:c r="M28" s="18"/>
      <x:c r="N28" s="18" t="str">
        <x:f>IF(A28="","",IF(OR(K28="A completer",K28="A verifier",M28&lt;&gt;"Pret"),"Reporting a completer","OK"))</x:f>
      </x:c>
    </x:row>
    <x:row r="29">
      <x:c r="A29" s="18"/>
      <x:c r="B29" s="18"/>
      <x:c r="C29" s="18"/>
      <x:c r="D29" s="18"/>
      <x:c r="E29" s="18"/>
      <x:c r="F29" s="18"/>
      <x:c r="G29" s="18"/>
      <x:c r="H29" s="18"/>
      <x:c r="I29" s="18"/>
      <x:c r="J29" s="18"/>
      <x:c r="K29" s="18"/>
      <x:c r="L29" s="18"/>
      <x:c r="M29" s="18"/>
      <x:c r="N29" s="18" t="str">
        <x:f>IF(A29="","",IF(OR(K29="A completer",K29="A verifier",M29&lt;&gt;"Pret"),"Reporting a completer","OK"))</x:f>
      </x:c>
    </x:row>
    <x:row r="30">
      <x:c r="A30" s="18"/>
      <x:c r="B30" s="18"/>
      <x:c r="C30" s="18"/>
      <x:c r="D30" s="18"/>
      <x:c r="E30" s="18"/>
      <x:c r="F30" s="18"/>
      <x:c r="G30" s="18"/>
      <x:c r="H30" s="18"/>
      <x:c r="I30" s="18"/>
      <x:c r="J30" s="18"/>
      <x:c r="K30" s="18"/>
      <x:c r="L30" s="18"/>
      <x:c r="M30" s="18"/>
      <x:c r="N30" s="18" t="str">
        <x:f>IF(A30="","",IF(OR(K30="A completer",K30="A verifier",M30&lt;&gt;"Pret"),"Reporting a completer","OK"))</x:f>
      </x:c>
    </x:row>
    <x:row r="31">
      <x:c r="A31" s="18"/>
      <x:c r="B31" s="18"/>
      <x:c r="C31" s="18"/>
      <x:c r="D31" s="18"/>
      <x:c r="E31" s="18"/>
      <x:c r="F31" s="18"/>
      <x:c r="G31" s="18"/>
      <x:c r="H31" s="18"/>
      <x:c r="I31" s="18"/>
      <x:c r="J31" s="18"/>
      <x:c r="K31" s="18"/>
      <x:c r="L31" s="18"/>
      <x:c r="M31" s="18"/>
      <x:c r="N31" s="18" t="str">
        <x:f>IF(A31="","",IF(OR(K31="A completer",K31="A verifier",M31&lt;&gt;"Pret"),"Reporting a completer","OK"))</x:f>
      </x:c>
    </x:row>
    <x:row r="32">
      <x:c r="A32" s="18"/>
      <x:c r="B32" s="18"/>
      <x:c r="C32" s="18"/>
      <x:c r="D32" s="18"/>
      <x:c r="E32" s="18"/>
      <x:c r="F32" s="18"/>
      <x:c r="G32" s="18"/>
      <x:c r="H32" s="18"/>
      <x:c r="I32" s="18"/>
      <x:c r="J32" s="18"/>
      <x:c r="K32" s="18"/>
      <x:c r="L32" s="18"/>
      <x:c r="M32" s="18"/>
      <x:c r="N32" s="18" t="str">
        <x:f>IF(A32="","",IF(OR(K32="A completer",K32="A verifier",M32&lt;&gt;"Pret"),"Reporting a completer","OK"))</x:f>
      </x:c>
    </x:row>
    <x:row r="33">
      <x:c r="A33" s="18"/>
      <x:c r="B33" s="18"/>
      <x:c r="C33" s="18"/>
      <x:c r="D33" s="18"/>
      <x:c r="E33" s="18"/>
      <x:c r="F33" s="18"/>
      <x:c r="G33" s="18"/>
      <x:c r="H33" s="18"/>
      <x:c r="I33" s="18"/>
      <x:c r="J33" s="18"/>
      <x:c r="K33" s="18"/>
      <x:c r="L33" s="18"/>
      <x:c r="M33" s="18"/>
      <x:c r="N33" s="18" t="str">
        <x:f>IF(A33="","",IF(OR(K33="A completer",K33="A verifier",M33&lt;&gt;"Pret"),"Reporting a completer","OK"))</x:f>
      </x:c>
    </x:row>
    <x:row r="34">
      <x:c r="A34" s="18"/>
      <x:c r="B34" s="18"/>
      <x:c r="C34" s="18"/>
      <x:c r="D34" s="18"/>
      <x:c r="E34" s="18"/>
      <x:c r="F34" s="18"/>
      <x:c r="G34" s="18"/>
      <x:c r="H34" s="18"/>
      <x:c r="I34" s="18"/>
      <x:c r="J34" s="18"/>
      <x:c r="K34" s="18"/>
      <x:c r="L34" s="18"/>
      <x:c r="M34" s="18"/>
      <x:c r="N34" s="18" t="str">
        <x:f>IF(A34="","",IF(OR(K34="A completer",K34="A verifier",M34&lt;&gt;"Pret"),"Reporting a completer","OK"))</x:f>
      </x:c>
    </x:row>
    <x:row r="35">
      <x:c r="A35" s="18"/>
      <x:c r="B35" s="18"/>
      <x:c r="C35" s="18"/>
      <x:c r="D35" s="18"/>
      <x:c r="E35" s="18"/>
      <x:c r="F35" s="18"/>
      <x:c r="G35" s="18"/>
      <x:c r="H35" s="18"/>
      <x:c r="I35" s="18"/>
      <x:c r="J35" s="18"/>
      <x:c r="K35" s="18"/>
      <x:c r="L35" s="18"/>
      <x:c r="M35" s="18"/>
      <x:c r="N35" s="18" t="str">
        <x:f>IF(A35="","",IF(OR(K35="A completer",K35="A verifier",M35&lt;&gt;"Pret"),"Reporting a completer","OK"))</x:f>
      </x:c>
    </x:row>
    <x:row r="36">
      <x:c r="A36" s="18"/>
      <x:c r="B36" s="18"/>
      <x:c r="C36" s="18"/>
      <x:c r="D36" s="18"/>
      <x:c r="E36" s="18"/>
      <x:c r="F36" s="18"/>
      <x:c r="G36" s="18"/>
      <x:c r="H36" s="18"/>
      <x:c r="I36" s="18"/>
      <x:c r="J36" s="18"/>
      <x:c r="K36" s="18"/>
      <x:c r="L36" s="18"/>
      <x:c r="M36" s="18"/>
      <x:c r="N36" s="18" t="str">
        <x:f>IF(A36="","",IF(OR(K36="A completer",K36="A verifier",M36&lt;&gt;"Pret"),"Reporting a completer","OK"))</x:f>
      </x:c>
    </x:row>
    <x:row r="37">
      <x:c r="A37" s="18"/>
      <x:c r="B37" s="18"/>
      <x:c r="C37" s="18"/>
      <x:c r="D37" s="18"/>
      <x:c r="E37" s="18"/>
      <x:c r="F37" s="18"/>
      <x:c r="G37" s="18"/>
      <x:c r="H37" s="18"/>
      <x:c r="I37" s="18"/>
      <x:c r="J37" s="18"/>
      <x:c r="K37" s="18"/>
      <x:c r="L37" s="18"/>
      <x:c r="M37" s="18"/>
      <x:c r="N37" s="18" t="str">
        <x:f>IF(A37="","",IF(OR(K37="A completer",K37="A verifier",M37&lt;&gt;"Pret"),"Reporting a completer","OK"))</x:f>
      </x:c>
    </x:row>
    <x:row r="38">
      <x:c r="A38" s="18"/>
      <x:c r="B38" s="18"/>
      <x:c r="C38" s="18"/>
      <x:c r="D38" s="18"/>
      <x:c r="E38" s="18"/>
      <x:c r="F38" s="18"/>
      <x:c r="G38" s="18"/>
      <x:c r="H38" s="18"/>
      <x:c r="I38" s="18"/>
      <x:c r="J38" s="18"/>
      <x:c r="K38" s="18"/>
      <x:c r="L38" s="18"/>
      <x:c r="M38" s="18"/>
      <x:c r="N38" s="18" t="str">
        <x:f>IF(A38="","",IF(OR(K38="A completer",K38="A verifier",M38&lt;&gt;"Pret"),"Reporting a completer","OK"))</x:f>
      </x:c>
    </x:row>
    <x:row r="39">
      <x:c r="A39" s="18"/>
      <x:c r="B39" s="18"/>
      <x:c r="C39" s="18"/>
      <x:c r="D39" s="18"/>
      <x:c r="E39" s="18"/>
      <x:c r="F39" s="18"/>
      <x:c r="G39" s="18"/>
      <x:c r="H39" s="18"/>
      <x:c r="I39" s="18"/>
      <x:c r="J39" s="18"/>
      <x:c r="K39" s="18"/>
      <x:c r="L39" s="18"/>
      <x:c r="M39" s="18"/>
      <x:c r="N39" s="18" t="str">
        <x:f>IF(A39="","",IF(OR(K39="A completer",K39="A verifier",M39&lt;&gt;"Pret"),"Reporting a completer","OK"))</x:f>
      </x:c>
    </x:row>
    <x:row r="40">
      <x:c r="A40" s="18"/>
      <x:c r="B40" s="18"/>
      <x:c r="C40" s="18"/>
      <x:c r="D40" s="18"/>
      <x:c r="E40" s="18"/>
      <x:c r="F40" s="18"/>
      <x:c r="G40" s="18"/>
      <x:c r="H40" s="18"/>
      <x:c r="I40" s="18"/>
      <x:c r="J40" s="18"/>
      <x:c r="K40" s="18"/>
      <x:c r="L40" s="18"/>
      <x:c r="M40" s="18"/>
      <x:c r="N40" s="18" t="str">
        <x:f>IF(A40="","",IF(OR(K40="A completer",K40="A verifier",M40&lt;&gt;"Pret"),"Reporting a completer","OK"))</x:f>
      </x:c>
    </x:row>
    <x:row r="41">
      <x:c r="A41" s="18"/>
      <x:c r="B41" s="18"/>
      <x:c r="C41" s="18"/>
      <x:c r="D41" s="18"/>
      <x:c r="E41" s="18"/>
      <x:c r="F41" s="18"/>
      <x:c r="G41" s="18"/>
      <x:c r="H41" s="18"/>
      <x:c r="I41" s="18"/>
      <x:c r="J41" s="18"/>
      <x:c r="K41" s="18"/>
      <x:c r="L41" s="18"/>
      <x:c r="M41" s="18"/>
      <x:c r="N41" s="18" t="str">
        <x:f>IF(A41="","",IF(OR(K41="A completer",K41="A verifier",M41&lt;&gt;"Pret"),"Reporting a completer","OK"))</x:f>
      </x:c>
    </x:row>
    <x:row r="42">
      <x:c r="A42" s="18"/>
      <x:c r="B42" s="18"/>
      <x:c r="C42" s="18"/>
      <x:c r="D42" s="18"/>
      <x:c r="E42" s="18"/>
      <x:c r="F42" s="18"/>
      <x:c r="G42" s="18"/>
      <x:c r="H42" s="18"/>
      <x:c r="I42" s="18"/>
      <x:c r="J42" s="18"/>
      <x:c r="K42" s="18"/>
      <x:c r="L42" s="18"/>
      <x:c r="M42" s="18"/>
      <x:c r="N42" s="18" t="str">
        <x:f>IF(A42="","",IF(OR(K42="A completer",K42="A verifier",M42&lt;&gt;"Pret"),"Reporting a completer","OK"))</x:f>
      </x:c>
    </x:row>
    <x:row r="43">
      <x:c r="A43" s="18"/>
      <x:c r="B43" s="18"/>
      <x:c r="C43" s="18"/>
      <x:c r="D43" s="18"/>
      <x:c r="E43" s="18"/>
      <x:c r="F43" s="18"/>
      <x:c r="G43" s="18"/>
      <x:c r="H43" s="18"/>
      <x:c r="I43" s="18"/>
      <x:c r="J43" s="18"/>
      <x:c r="K43" s="18"/>
      <x:c r="L43" s="18"/>
      <x:c r="M43" s="18"/>
      <x:c r="N43" s="18" t="str">
        <x:f>IF(A43="","",IF(OR(K43="A completer",K43="A verifier",M43&lt;&gt;"Pret"),"Reporting a completer","OK"))</x:f>
      </x:c>
    </x:row>
    <x:row r="44">
      <x:c r="A44" s="18"/>
      <x:c r="B44" s="18"/>
      <x:c r="C44" s="18"/>
      <x:c r="D44" s="18"/>
      <x:c r="E44" s="18"/>
      <x:c r="F44" s="18"/>
      <x:c r="G44" s="18"/>
      <x:c r="H44" s="18"/>
      <x:c r="I44" s="18"/>
      <x:c r="J44" s="18"/>
      <x:c r="K44" s="18"/>
      <x:c r="L44" s="18"/>
      <x:c r="M44" s="18"/>
      <x:c r="N44" s="18" t="str">
        <x:f>IF(A44="","",IF(OR(K44="A completer",K44="A verifier",M44&lt;&gt;"Pret"),"Reporting a completer","OK"))</x:f>
      </x:c>
    </x:row>
  </x:sheetData>
  <x:mergeCells>
    <x:mergeCell ref="A1:J1"/>
    <x:mergeCell ref="A2:J2"/>
  </x:mergeCells>
  <x:conditionalFormatting sqref="N5:N44">
    <x:cfRule type="containsText" dxfId="72" priority="1" operator="containsText" text="Retard"/>
    <x:cfRule type="containsText" dxfId="73" priority="2" operator="containsText" text="critique"/>
    <x:cfRule type="containsText" dxfId="74" priority="3" operator="containsText" text="manquant"/>
    <x:cfRule type="containsText" dxfId="7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I5:I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 type="list" errorStyle="warning" showInputMessage="1" showErrorMessage="1" errorTitle="Valeur inattendue" error="Cette colonne utilise une liste controlee." promptTitle="Liste controlee" prompt="Choisir une valeur dans la liste." sqref="L5:L4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M5:M44">
      <x:formula1>"Pret,A completer,A verifier,Non disponible,Soumis"</x:formula1>
    </x:dataValidation>
  </x:dataValidations>
  <x:pageMargins left="0.7" right="0.7" top="0.75" bottom="0.75" header="0.3" footer="0.3"/>
  <x:tableParts count="1">
    <x:tablePart xmlns:r="http://schemas.openxmlformats.org/officeDocument/2006/relationships" r:id="R71156df297f44c32"/>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1.25" hidden="0" customWidth="1"/>
    <x:col min="3" max="3" width="38.75" hidden="0" customWidth="1"/>
    <x:col min="4" max="4" width="26.25" hidden="0" customWidth="1"/>
    <x:col min="5" max="5" width="18.75" hidden="0" customWidth="1"/>
    <x:col min="6" max="6" width="22.5" hidden="0" customWidth="1"/>
    <x:col min="7" max="7" width="20" hidden="0" customWidth="1"/>
    <x:col min="8" max="8" width="16.25" hidden="0" customWidth="1"/>
    <x:col min="9" max="9" width="21.25" hidden="0" customWidth="1"/>
    <x:col min="10" max="10" width="27.5" hidden="0" customWidth="1"/>
    <x:col min="11" max="11" width="18.1299991607666" hidden="0" customWidth="1"/>
  </x:cols>
  <x:sheetData>
    <x:row r="1" ht="25.5" customHeight="1">
      <x:c r="A1" s="2" t="str">
        <x:v>Pre-remplissage CDP-ICLEI Track</x:v>
      </x:c>
      <x:c r="B1" s="2"/>
      <x:c r="C1" s="2"/>
      <x:c r="D1" s="2"/>
      <x:c r="E1" s="2"/>
      <x:c r="F1" s="2"/>
      <x:c r="G1" s="2"/>
      <x:c r="H1" s="2"/>
      <x:c r="I1" s="2"/>
      <x:c r="J1" s="2"/>
    </x:row>
    <x:row r="2" ht="31.5" customHeight="1">
      <x:c r="A2" s="5" t="str">
        <x:v>Table de preparation interne pour le reporting CDP-ICLEI Track. Adapter les libelles aux questionnaires annuels.</x:v>
      </x:c>
      <x:c r="B2" s="5"/>
      <x:c r="C2" s="5"/>
      <x:c r="D2" s="5"/>
      <x:c r="E2" s="5"/>
      <x:c r="F2" s="5"/>
      <x:c r="G2" s="5"/>
      <x:c r="H2" s="5"/>
      <x:c r="I2" s="5"/>
      <x:c r="J2" s="5"/>
    </x:row>
    <x:row r="4" ht="28.5" customHeight="1">
      <x:c r="A4" s="16" t="str">
        <x:v>Champ_ID</x:v>
      </x:c>
      <x:c r="B4" s="16" t="str">
        <x:v>Section_CDP_ICLEI</x:v>
      </x:c>
      <x:c r="C4" s="16" t="str">
        <x:v>Question_indicative</x:v>
      </x:c>
      <x:c r="D4" s="16" t="str">
        <x:v>Donnee_interne</x:v>
      </x:c>
      <x:c r="E4" s="16" t="str">
        <x:v>Onglet_source</x:v>
      </x:c>
      <x:c r="F4" s="16" t="str">
        <x:v>Champ_source</x:v>
      </x:c>
      <x:c r="G4" s="16" t="str">
        <x:v>Valeur_pre_remplie</x:v>
      </x:c>
      <x:c r="H4" s="16" t="str">
        <x:v>Statut</x:v>
      </x:c>
      <x:c r="I4" s="16" t="str">
        <x:v>Responsable</x:v>
      </x:c>
      <x:c r="J4" s="16" t="str">
        <x:v>Commentaires</x:v>
      </x:c>
      <x:c r="K4" s="16" t="str">
        <x:v>Alerte</x:v>
      </x:c>
    </x:row>
    <x:row r="5">
      <x:c r="A5" s="18" t="str">
        <x:v>CDP-001</x:v>
      </x:c>
      <x:c r="B5" s="18" t="str">
        <x:v>Gouvernance</x:v>
      </x:c>
      <x:c r="C5" s="18" t="str">
        <x:v>Decrire la gouvernance climatique de la juridiction</x:v>
      </x:c>
      <x:c r="D5" s="18" t="str">
        <x:v>Parties prenantes et roles</x:v>
      </x:c>
      <x:c r="E5" s="18" t="str">
        <x:v>15_PARTIES_PRENANTES</x:v>
      </x:c>
      <x:c r="F5" s="18" t="str">
        <x:v>Role_MRV</x:v>
      </x:c>
      <x:c r="G5" s="18" t="str">
        <x:f>IF(A5="","",SWITCH(A5,"CDP-002",SUM('08_INVENTAIRE_GES'!$H$5:$H$104),"CDP-003",COUNTA('05_PROJETS_CLIMAT'!$A$5:$A$104),""))</x:f>
      </x:c>
      <x:c r="H5" s="18" t="str">
        <x:v>A completer</x:v>
      </x:c>
      <x:c r="I5" s="18" t="str">
        <x:v>Cellule climat</x:v>
      </x:c>
      <x:c r="J5" s="18" t="str"/>
      <x:c r="K5" s="18" t="str">
        <x:f>IF(A5="","",IF(H5&lt;&gt;"Pret","A finaliser","OK"))</x:f>
        <x:v>A finaliser</x:v>
      </x:c>
    </x:row>
    <x:row r="6">
      <x:c r="A6" s="18" t="str">
        <x:v>CDP-002</x:v>
      </x:c>
      <x:c r="B6" s="18" t="str">
        <x:v>Inventaire emissions</x:v>
      </x:c>
      <x:c r="C6" s="18" t="str">
        <x:v>Reporter les emissions territoriales par secteur</x:v>
      </x:c>
      <x:c r="D6" s="18" t="str">
        <x:v>Emissions totales tCO2e</x:v>
      </x:c>
      <x:c r="E6" s="18" t="str">
        <x:v>08_INVENTAIRE_GES</x:v>
      </x:c>
      <x:c r="F6" s="18" t="str">
        <x:v>Emissions_tCO2e</x:v>
      </x:c>
      <x:c r="G6" s="18" t="n">
        <x:f>IF(A6="","",SWITCH(A6,"CDP-002",SUM('08_INVENTAIRE_GES'!$H$5:$H$104),"CDP-003",COUNTA('05_PROJETS_CLIMAT'!$A$5:$A$104),""))</x:f>
        <x:v>1515200</x:v>
      </x:c>
      <x:c r="H6" s="18" t="str">
        <x:v>A verifier</x:v>
      </x:c>
      <x:c r="I6" s="18" t="str">
        <x:v>Referent GES</x:v>
      </x:c>
      <x:c r="J6" s="18" t="str"/>
      <x:c r="K6" s="18" t="str">
        <x:f>IF(A6="","",IF(H6&lt;&gt;"Pret","A finaliser","OK"))</x:f>
        <x:v>A finaliser</x:v>
      </x:c>
    </x:row>
    <x:row r="7">
      <x:c r="A7" s="18" t="str">
        <x:v>CDP-003</x:v>
      </x:c>
      <x:c r="B7" s="18" t="str">
        <x:v>Actions</x:v>
      </x:c>
      <x:c r="C7" s="18" t="str">
        <x:v>Lister les actions de mitigation/adaptation</x:v>
      </x:c>
      <x:c r="D7" s="18" t="str">
        <x:v>Projets climat</x:v>
      </x:c>
      <x:c r="E7" s="18" t="str">
        <x:v>05_PROJETS_CLIMAT</x:v>
      </x:c>
      <x:c r="F7" s="18" t="str">
        <x:v>Nom_projet; Statut</x:v>
      </x:c>
      <x:c r="G7" s="18" t="n">
        <x:f>IF(A7="","",SWITCH(A7,"CDP-002",SUM('08_INVENTAIRE_GES'!$H$5:$H$104),"CDP-003",COUNTA('05_PROJETS_CLIMAT'!$A$5:$A$104),""))</x:f>
        <x:v>6</x:v>
      </x:c>
      <x:c r="H7" s="18" t="str">
        <x:v>A completer</x:v>
      </x:c>
      <x:c r="I7" s="18" t="str">
        <x:v>Cellule climat</x:v>
      </x:c>
      <x:c r="J7" s="18" t="str"/>
      <x:c r="K7" s="18" t="str">
        <x:f>IF(A7="","",IF(H7&lt;&gt;"Pret","A finaliser","OK"))</x:f>
        <x:v>A finaliser</x:v>
      </x:c>
    </x:row>
    <x:row r="8">
      <x:c r="A8" s="18" t="str">
        <x:v>CDP-004</x:v>
      </x:c>
      <x:c r="B8" s="18" t="str">
        <x:v>Risques et adaptation</x:v>
      </x:c>
      <x:c r="C8" s="18" t="str">
        <x:v>Identifier les risques climatiques</x:v>
      </x:c>
      <x:c r="D8" s="18" t="str">
        <x:v>Risques et resilience</x:v>
      </x:c>
      <x:c r="E8" s="18" t="str">
        <x:v>18_RISQUES_HYPOTHESES</x:v>
      </x:c>
      <x:c r="F8" s="18" t="str">
        <x:v>Risque; Score</x:v>
      </x:c>
      <x:c r="G8" s="18" t="str">
        <x:f>IF(A8="","",SWITCH(A8,"CDP-002",SUM('08_INVENTAIRE_GES'!$H$5:$H$104),"CDP-003",COUNTA('05_PROJETS_CLIMAT'!$A$5:$A$104),""))</x:f>
      </x:c>
      <x:c r="H8" s="18" t="str">
        <x:v>A completer</x:v>
      </x:c>
      <x:c r="I8" s="18" t="str">
        <x:v>Direction Planification</x:v>
      </x:c>
      <x:c r="J8" s="18" t="str"/>
      <x:c r="K8" s="18" t="str">
        <x:f>IF(A8="","",IF(H8&lt;&gt;"Pret","A finaliser","OK"))</x:f>
        <x:v>A finaliser</x:v>
      </x:c>
    </x:row>
    <x:row r="9">
      <x:c r="A9" s="18"/>
      <x:c r="B9" s="18"/>
      <x:c r="C9" s="18"/>
      <x:c r="D9" s="18"/>
      <x:c r="E9" s="18"/>
      <x:c r="F9" s="18"/>
      <x:c r="G9" s="18" t="str">
        <x:f>IF(A9="","",SWITCH(A9,"CDP-002",SUM('08_INVENTAIRE_GES'!$H$5:$H$104),"CDP-003",COUNTA('05_PROJETS_CLIMAT'!$A$5:$A$104),""))</x:f>
      </x:c>
      <x:c r="H9" s="18"/>
      <x:c r="I9" s="18"/>
      <x:c r="J9" s="18"/>
      <x:c r="K9" s="18" t="str">
        <x:f>IF(A9="","",IF(H9&lt;&gt;"Pret","A finaliser","OK"))</x:f>
      </x:c>
    </x:row>
    <x:row r="10">
      <x:c r="A10" s="18"/>
      <x:c r="B10" s="18"/>
      <x:c r="C10" s="18"/>
      <x:c r="D10" s="18"/>
      <x:c r="E10" s="18"/>
      <x:c r="F10" s="18"/>
      <x:c r="G10" s="18" t="str">
        <x:f>IF(A10="","",SWITCH(A10,"CDP-002",SUM('08_INVENTAIRE_GES'!$H$5:$H$104),"CDP-003",COUNTA('05_PROJETS_CLIMAT'!$A$5:$A$104),""))</x:f>
      </x:c>
      <x:c r="H10" s="18"/>
      <x:c r="I10" s="18"/>
      <x:c r="J10" s="18"/>
      <x:c r="K10" s="18" t="str">
        <x:f>IF(A10="","",IF(H10&lt;&gt;"Pret","A finaliser","OK"))</x:f>
      </x:c>
    </x:row>
    <x:row r="11">
      <x:c r="A11" s="18"/>
      <x:c r="B11" s="18"/>
      <x:c r="C11" s="18"/>
      <x:c r="D11" s="18"/>
      <x:c r="E11" s="18"/>
      <x:c r="F11" s="18"/>
      <x:c r="G11" s="18" t="str">
        <x:f>IF(A11="","",SWITCH(A11,"CDP-002",SUM('08_INVENTAIRE_GES'!$H$5:$H$104),"CDP-003",COUNTA('05_PROJETS_CLIMAT'!$A$5:$A$104),""))</x:f>
      </x:c>
      <x:c r="H11" s="18"/>
      <x:c r="I11" s="18"/>
      <x:c r="J11" s="18"/>
      <x:c r="K11" s="18" t="str">
        <x:f>IF(A11="","",IF(H11&lt;&gt;"Pret","A finaliser","OK"))</x:f>
      </x:c>
    </x:row>
    <x:row r="12">
      <x:c r="A12" s="18"/>
      <x:c r="B12" s="18"/>
      <x:c r="C12" s="18"/>
      <x:c r="D12" s="18"/>
      <x:c r="E12" s="18"/>
      <x:c r="F12" s="18"/>
      <x:c r="G12" s="18" t="str">
        <x:f>IF(A12="","",SWITCH(A12,"CDP-002",SUM('08_INVENTAIRE_GES'!$H$5:$H$104),"CDP-003",COUNTA('05_PROJETS_CLIMAT'!$A$5:$A$104),""))</x:f>
      </x:c>
      <x:c r="H12" s="18"/>
      <x:c r="I12" s="18"/>
      <x:c r="J12" s="18"/>
      <x:c r="K12" s="18" t="str">
        <x:f>IF(A12="","",IF(H12&lt;&gt;"Pret","A finaliser","OK"))</x:f>
      </x:c>
    </x:row>
    <x:row r="13">
      <x:c r="A13" s="18"/>
      <x:c r="B13" s="18"/>
      <x:c r="C13" s="18"/>
      <x:c r="D13" s="18"/>
      <x:c r="E13" s="18"/>
      <x:c r="F13" s="18"/>
      <x:c r="G13" s="18" t="str">
        <x:f>IF(A13="","",SWITCH(A13,"CDP-002",SUM('08_INVENTAIRE_GES'!$H$5:$H$104),"CDP-003",COUNTA('05_PROJETS_CLIMAT'!$A$5:$A$104),""))</x:f>
      </x:c>
      <x:c r="H13" s="18"/>
      <x:c r="I13" s="18"/>
      <x:c r="J13" s="18"/>
      <x:c r="K13" s="18" t="str">
        <x:f>IF(A13="","",IF(H13&lt;&gt;"Pret","A finaliser","OK"))</x:f>
      </x:c>
    </x:row>
    <x:row r="14">
      <x:c r="A14" s="18"/>
      <x:c r="B14" s="18"/>
      <x:c r="C14" s="18"/>
      <x:c r="D14" s="18"/>
      <x:c r="E14" s="18"/>
      <x:c r="F14" s="18"/>
      <x:c r="G14" s="18" t="str">
        <x:f>IF(A14="","",SWITCH(A14,"CDP-002",SUM('08_INVENTAIRE_GES'!$H$5:$H$104),"CDP-003",COUNTA('05_PROJETS_CLIMAT'!$A$5:$A$104),""))</x:f>
      </x:c>
      <x:c r="H14" s="18"/>
      <x:c r="I14" s="18"/>
      <x:c r="J14" s="18"/>
      <x:c r="K14" s="18" t="str">
        <x:f>IF(A14="","",IF(H14&lt;&gt;"Pret","A finaliser","OK"))</x:f>
      </x:c>
    </x:row>
    <x:row r="15">
      <x:c r="A15" s="18"/>
      <x:c r="B15" s="18"/>
      <x:c r="C15" s="18"/>
      <x:c r="D15" s="18"/>
      <x:c r="E15" s="18"/>
      <x:c r="F15" s="18"/>
      <x:c r="G15" s="18" t="str">
        <x:f>IF(A15="","",SWITCH(A15,"CDP-002",SUM('08_INVENTAIRE_GES'!$H$5:$H$104),"CDP-003",COUNTA('05_PROJETS_CLIMAT'!$A$5:$A$104),""))</x:f>
      </x:c>
      <x:c r="H15" s="18"/>
      <x:c r="I15" s="18"/>
      <x:c r="J15" s="18"/>
      <x:c r="K15" s="18" t="str">
        <x:f>IF(A15="","",IF(H15&lt;&gt;"Pret","A finaliser","OK"))</x:f>
      </x:c>
    </x:row>
    <x:row r="16">
      <x:c r="A16" s="18"/>
      <x:c r="B16" s="18"/>
      <x:c r="C16" s="18"/>
      <x:c r="D16" s="18"/>
      <x:c r="E16" s="18"/>
      <x:c r="F16" s="18"/>
      <x:c r="G16" s="18" t="str">
        <x:f>IF(A16="","",SWITCH(A16,"CDP-002",SUM('08_INVENTAIRE_GES'!$H$5:$H$104),"CDP-003",COUNTA('05_PROJETS_CLIMAT'!$A$5:$A$104),""))</x:f>
      </x:c>
      <x:c r="H16" s="18"/>
      <x:c r="I16" s="18"/>
      <x:c r="J16" s="18"/>
      <x:c r="K16" s="18" t="str">
        <x:f>IF(A16="","",IF(H16&lt;&gt;"Pret","A finaliser","OK"))</x:f>
      </x:c>
    </x:row>
    <x:row r="17">
      <x:c r="A17" s="18"/>
      <x:c r="B17" s="18"/>
      <x:c r="C17" s="18"/>
      <x:c r="D17" s="18"/>
      <x:c r="E17" s="18"/>
      <x:c r="F17" s="18"/>
      <x:c r="G17" s="18" t="str">
        <x:f>IF(A17="","",SWITCH(A17,"CDP-002",SUM('08_INVENTAIRE_GES'!$H$5:$H$104),"CDP-003",COUNTA('05_PROJETS_CLIMAT'!$A$5:$A$104),""))</x:f>
      </x:c>
      <x:c r="H17" s="18"/>
      <x:c r="I17" s="18"/>
      <x:c r="J17" s="18"/>
      <x:c r="K17" s="18" t="str">
        <x:f>IF(A17="","",IF(H17&lt;&gt;"Pret","A finaliser","OK"))</x:f>
      </x:c>
    </x:row>
    <x:row r="18">
      <x:c r="A18" s="18"/>
      <x:c r="B18" s="18"/>
      <x:c r="C18" s="18"/>
      <x:c r="D18" s="18"/>
      <x:c r="E18" s="18"/>
      <x:c r="F18" s="18"/>
      <x:c r="G18" s="18" t="str">
        <x:f>IF(A18="","",SWITCH(A18,"CDP-002",SUM('08_INVENTAIRE_GES'!$H$5:$H$104),"CDP-003",COUNTA('05_PROJETS_CLIMAT'!$A$5:$A$104),""))</x:f>
      </x:c>
      <x:c r="H18" s="18"/>
      <x:c r="I18" s="18"/>
      <x:c r="J18" s="18"/>
      <x:c r="K18" s="18" t="str">
        <x:f>IF(A18="","",IF(H18&lt;&gt;"Pret","A finaliser","OK"))</x:f>
      </x:c>
    </x:row>
    <x:row r="19">
      <x:c r="A19" s="18"/>
      <x:c r="B19" s="18"/>
      <x:c r="C19" s="18"/>
      <x:c r="D19" s="18"/>
      <x:c r="E19" s="18"/>
      <x:c r="F19" s="18"/>
      <x:c r="G19" s="18" t="str">
        <x:f>IF(A19="","",SWITCH(A19,"CDP-002",SUM('08_INVENTAIRE_GES'!$H$5:$H$104),"CDP-003",COUNTA('05_PROJETS_CLIMAT'!$A$5:$A$104),""))</x:f>
      </x:c>
      <x:c r="H19" s="18"/>
      <x:c r="I19" s="18"/>
      <x:c r="J19" s="18"/>
      <x:c r="K19" s="18" t="str">
        <x:f>IF(A19="","",IF(H19&lt;&gt;"Pret","A finaliser","OK"))</x:f>
      </x:c>
    </x:row>
    <x:row r="20">
      <x:c r="A20" s="18"/>
      <x:c r="B20" s="18"/>
      <x:c r="C20" s="18"/>
      <x:c r="D20" s="18"/>
      <x:c r="E20" s="18"/>
      <x:c r="F20" s="18"/>
      <x:c r="G20" s="18" t="str">
        <x:f>IF(A20="","",SWITCH(A20,"CDP-002",SUM('08_INVENTAIRE_GES'!$H$5:$H$104),"CDP-003",COUNTA('05_PROJETS_CLIMAT'!$A$5:$A$104),""))</x:f>
      </x:c>
      <x:c r="H20" s="18"/>
      <x:c r="I20" s="18"/>
      <x:c r="J20" s="18"/>
      <x:c r="K20" s="18" t="str">
        <x:f>IF(A20="","",IF(H20&lt;&gt;"Pret","A finaliser","OK"))</x:f>
      </x:c>
    </x:row>
    <x:row r="21">
      <x:c r="A21" s="18"/>
      <x:c r="B21" s="18"/>
      <x:c r="C21" s="18"/>
      <x:c r="D21" s="18"/>
      <x:c r="E21" s="18"/>
      <x:c r="F21" s="18"/>
      <x:c r="G21" s="18" t="str">
        <x:f>IF(A21="","",SWITCH(A21,"CDP-002",SUM('08_INVENTAIRE_GES'!$H$5:$H$104),"CDP-003",COUNTA('05_PROJETS_CLIMAT'!$A$5:$A$104),""))</x:f>
      </x:c>
      <x:c r="H21" s="18"/>
      <x:c r="I21" s="18"/>
      <x:c r="J21" s="18"/>
      <x:c r="K21" s="18" t="str">
        <x:f>IF(A21="","",IF(H21&lt;&gt;"Pret","A finaliser","OK"))</x:f>
      </x:c>
    </x:row>
    <x:row r="22">
      <x:c r="A22" s="18"/>
      <x:c r="B22" s="18"/>
      <x:c r="C22" s="18"/>
      <x:c r="D22" s="18"/>
      <x:c r="E22" s="18"/>
      <x:c r="F22" s="18"/>
      <x:c r="G22" s="18" t="str">
        <x:f>IF(A22="","",SWITCH(A22,"CDP-002",SUM('08_INVENTAIRE_GES'!$H$5:$H$104),"CDP-003",COUNTA('05_PROJETS_CLIMAT'!$A$5:$A$104),""))</x:f>
      </x:c>
      <x:c r="H22" s="18"/>
      <x:c r="I22" s="18"/>
      <x:c r="J22" s="18"/>
      <x:c r="K22" s="18" t="str">
        <x:f>IF(A22="","",IF(H22&lt;&gt;"Pret","A finaliser","OK"))</x:f>
      </x:c>
    </x:row>
    <x:row r="23">
      <x:c r="A23" s="18"/>
      <x:c r="B23" s="18"/>
      <x:c r="C23" s="18"/>
      <x:c r="D23" s="18"/>
      <x:c r="E23" s="18"/>
      <x:c r="F23" s="18"/>
      <x:c r="G23" s="18" t="str">
        <x:f>IF(A23="","",SWITCH(A23,"CDP-002",SUM('08_INVENTAIRE_GES'!$H$5:$H$104),"CDP-003",COUNTA('05_PROJETS_CLIMAT'!$A$5:$A$104),""))</x:f>
      </x:c>
      <x:c r="H23" s="18"/>
      <x:c r="I23" s="18"/>
      <x:c r="J23" s="18"/>
      <x:c r="K23" s="18" t="str">
        <x:f>IF(A23="","",IF(H23&lt;&gt;"Pret","A finaliser","OK"))</x:f>
      </x:c>
    </x:row>
    <x:row r="24">
      <x:c r="A24" s="18"/>
      <x:c r="B24" s="18"/>
      <x:c r="C24" s="18"/>
      <x:c r="D24" s="18"/>
      <x:c r="E24" s="18"/>
      <x:c r="F24" s="18"/>
      <x:c r="G24" s="18" t="str">
        <x:f>IF(A24="","",SWITCH(A24,"CDP-002",SUM('08_INVENTAIRE_GES'!$H$5:$H$104),"CDP-003",COUNTA('05_PROJETS_CLIMAT'!$A$5:$A$104),""))</x:f>
      </x:c>
      <x:c r="H24" s="18"/>
      <x:c r="I24" s="18"/>
      <x:c r="J24" s="18"/>
      <x:c r="K24" s="18" t="str">
        <x:f>IF(A24="","",IF(H24&lt;&gt;"Pret","A finaliser","OK"))</x:f>
      </x:c>
    </x:row>
    <x:row r="25">
      <x:c r="A25" s="18"/>
      <x:c r="B25" s="18"/>
      <x:c r="C25" s="18"/>
      <x:c r="D25" s="18"/>
      <x:c r="E25" s="18"/>
      <x:c r="F25" s="18"/>
      <x:c r="G25" s="18" t="str">
        <x:f>IF(A25="","",SWITCH(A25,"CDP-002",SUM('08_INVENTAIRE_GES'!$H$5:$H$104),"CDP-003",COUNTA('05_PROJETS_CLIMAT'!$A$5:$A$104),""))</x:f>
      </x:c>
      <x:c r="H25" s="18"/>
      <x:c r="I25" s="18"/>
      <x:c r="J25" s="18"/>
      <x:c r="K25" s="18" t="str">
        <x:f>IF(A25="","",IF(H25&lt;&gt;"Pret","A finaliser","OK"))</x:f>
      </x:c>
    </x:row>
    <x:row r="26">
      <x:c r="A26" s="18"/>
      <x:c r="B26" s="18"/>
      <x:c r="C26" s="18"/>
      <x:c r="D26" s="18"/>
      <x:c r="E26" s="18"/>
      <x:c r="F26" s="18"/>
      <x:c r="G26" s="18" t="str">
        <x:f>IF(A26="","",SWITCH(A26,"CDP-002",SUM('08_INVENTAIRE_GES'!$H$5:$H$104),"CDP-003",COUNTA('05_PROJETS_CLIMAT'!$A$5:$A$104),""))</x:f>
      </x:c>
      <x:c r="H26" s="18"/>
      <x:c r="I26" s="18"/>
      <x:c r="J26" s="18"/>
      <x:c r="K26" s="18" t="str">
        <x:f>IF(A26="","",IF(H26&lt;&gt;"Pret","A finaliser","OK"))</x:f>
      </x:c>
    </x:row>
    <x:row r="27">
      <x:c r="A27" s="18"/>
      <x:c r="B27" s="18"/>
      <x:c r="C27" s="18"/>
      <x:c r="D27" s="18"/>
      <x:c r="E27" s="18"/>
      <x:c r="F27" s="18"/>
      <x:c r="G27" s="18" t="str">
        <x:f>IF(A27="","",SWITCH(A27,"CDP-002",SUM('08_INVENTAIRE_GES'!$H$5:$H$104),"CDP-003",COUNTA('05_PROJETS_CLIMAT'!$A$5:$A$104),""))</x:f>
      </x:c>
      <x:c r="H27" s="18"/>
      <x:c r="I27" s="18"/>
      <x:c r="J27" s="18"/>
      <x:c r="K27" s="18" t="str">
        <x:f>IF(A27="","",IF(H27&lt;&gt;"Pret","A finaliser","OK"))</x:f>
      </x:c>
    </x:row>
    <x:row r="28">
      <x:c r="A28" s="18"/>
      <x:c r="B28" s="18"/>
      <x:c r="C28" s="18"/>
      <x:c r="D28" s="18"/>
      <x:c r="E28" s="18"/>
      <x:c r="F28" s="18"/>
      <x:c r="G28" s="18" t="str">
        <x:f>IF(A28="","",SWITCH(A28,"CDP-002",SUM('08_INVENTAIRE_GES'!$H$5:$H$104),"CDP-003",COUNTA('05_PROJETS_CLIMAT'!$A$5:$A$104),""))</x:f>
      </x:c>
      <x:c r="H28" s="18"/>
      <x:c r="I28" s="18"/>
      <x:c r="J28" s="18"/>
      <x:c r="K28" s="18" t="str">
        <x:f>IF(A28="","",IF(H28&lt;&gt;"Pret","A finaliser","OK"))</x:f>
      </x:c>
    </x:row>
    <x:row r="29">
      <x:c r="A29" s="18"/>
      <x:c r="B29" s="18"/>
      <x:c r="C29" s="18"/>
      <x:c r="D29" s="18"/>
      <x:c r="E29" s="18"/>
      <x:c r="F29" s="18"/>
      <x:c r="G29" s="18" t="str">
        <x:f>IF(A29="","",SWITCH(A29,"CDP-002",SUM('08_INVENTAIRE_GES'!$H$5:$H$104),"CDP-003",COUNTA('05_PROJETS_CLIMAT'!$A$5:$A$104),""))</x:f>
      </x:c>
      <x:c r="H29" s="18"/>
      <x:c r="I29" s="18"/>
      <x:c r="J29" s="18"/>
      <x:c r="K29" s="18" t="str">
        <x:f>IF(A29="","",IF(H29&lt;&gt;"Pret","A finaliser","OK"))</x:f>
      </x:c>
    </x:row>
    <x:row r="30">
      <x:c r="A30" s="18"/>
      <x:c r="B30" s="18"/>
      <x:c r="C30" s="18"/>
      <x:c r="D30" s="18"/>
      <x:c r="E30" s="18"/>
      <x:c r="F30" s="18"/>
      <x:c r="G30" s="18" t="str">
        <x:f>IF(A30="","",SWITCH(A30,"CDP-002",SUM('08_INVENTAIRE_GES'!$H$5:$H$104),"CDP-003",COUNTA('05_PROJETS_CLIMAT'!$A$5:$A$104),""))</x:f>
      </x:c>
      <x:c r="H30" s="18"/>
      <x:c r="I30" s="18"/>
      <x:c r="J30" s="18"/>
      <x:c r="K30" s="18" t="str">
        <x:f>IF(A30="","",IF(H30&lt;&gt;"Pret","A finaliser","OK"))</x:f>
      </x:c>
    </x:row>
    <x:row r="31">
      <x:c r="A31" s="18"/>
      <x:c r="B31" s="18"/>
      <x:c r="C31" s="18"/>
      <x:c r="D31" s="18"/>
      <x:c r="E31" s="18"/>
      <x:c r="F31" s="18"/>
      <x:c r="G31" s="18" t="str">
        <x:f>IF(A31="","",SWITCH(A31,"CDP-002",SUM('08_INVENTAIRE_GES'!$H$5:$H$104),"CDP-003",COUNTA('05_PROJETS_CLIMAT'!$A$5:$A$104),""))</x:f>
      </x:c>
      <x:c r="H31" s="18"/>
      <x:c r="I31" s="18"/>
      <x:c r="J31" s="18"/>
      <x:c r="K31" s="18" t="str">
        <x:f>IF(A31="","",IF(H31&lt;&gt;"Pret","A finaliser","OK"))</x:f>
      </x:c>
    </x:row>
    <x:row r="32">
      <x:c r="A32" s="18"/>
      <x:c r="B32" s="18"/>
      <x:c r="C32" s="18"/>
      <x:c r="D32" s="18"/>
      <x:c r="E32" s="18"/>
      <x:c r="F32" s="18"/>
      <x:c r="G32" s="18" t="str">
        <x:f>IF(A32="","",SWITCH(A32,"CDP-002",SUM('08_INVENTAIRE_GES'!$H$5:$H$104),"CDP-003",COUNTA('05_PROJETS_CLIMAT'!$A$5:$A$104),""))</x:f>
      </x:c>
      <x:c r="H32" s="18"/>
      <x:c r="I32" s="18"/>
      <x:c r="J32" s="18"/>
      <x:c r="K32" s="18" t="str">
        <x:f>IF(A32="","",IF(H32&lt;&gt;"Pret","A finaliser","OK"))</x:f>
      </x:c>
    </x:row>
    <x:row r="33">
      <x:c r="A33" s="18"/>
      <x:c r="B33" s="18"/>
      <x:c r="C33" s="18"/>
      <x:c r="D33" s="18"/>
      <x:c r="E33" s="18"/>
      <x:c r="F33" s="18"/>
      <x:c r="G33" s="18" t="str">
        <x:f>IF(A33="","",SWITCH(A33,"CDP-002",SUM('08_INVENTAIRE_GES'!$H$5:$H$104),"CDP-003",COUNTA('05_PROJETS_CLIMAT'!$A$5:$A$104),""))</x:f>
      </x:c>
      <x:c r="H33" s="18"/>
      <x:c r="I33" s="18"/>
      <x:c r="J33" s="18"/>
      <x:c r="K33" s="18" t="str">
        <x:f>IF(A33="","",IF(H33&lt;&gt;"Pret","A finaliser","OK"))</x:f>
      </x:c>
    </x:row>
    <x:row r="34">
      <x:c r="A34" s="18"/>
      <x:c r="B34" s="18"/>
      <x:c r="C34" s="18"/>
      <x:c r="D34" s="18"/>
      <x:c r="E34" s="18"/>
      <x:c r="F34" s="18"/>
      <x:c r="G34" s="18" t="str">
        <x:f>IF(A34="","",SWITCH(A34,"CDP-002",SUM('08_INVENTAIRE_GES'!$H$5:$H$104),"CDP-003",COUNTA('05_PROJETS_CLIMAT'!$A$5:$A$104),""))</x:f>
      </x:c>
      <x:c r="H34" s="18"/>
      <x:c r="I34" s="18"/>
      <x:c r="J34" s="18"/>
      <x:c r="K34" s="18" t="str">
        <x:f>IF(A34="","",IF(H34&lt;&gt;"Pret","A finaliser","OK"))</x:f>
      </x:c>
    </x:row>
    <x:row r="35">
      <x:c r="A35" s="18"/>
      <x:c r="B35" s="18"/>
      <x:c r="C35" s="18"/>
      <x:c r="D35" s="18"/>
      <x:c r="E35" s="18"/>
      <x:c r="F35" s="18"/>
      <x:c r="G35" s="18" t="str">
        <x:f>IF(A35="","",SWITCH(A35,"CDP-002",SUM('08_INVENTAIRE_GES'!$H$5:$H$104),"CDP-003",COUNTA('05_PROJETS_CLIMAT'!$A$5:$A$104),""))</x:f>
      </x:c>
      <x:c r="H35" s="18"/>
      <x:c r="I35" s="18"/>
      <x:c r="J35" s="18"/>
      <x:c r="K35" s="18" t="str">
        <x:f>IF(A35="","",IF(H35&lt;&gt;"Pret","A finaliser","OK"))</x:f>
      </x:c>
    </x:row>
    <x:row r="36">
      <x:c r="A36" s="18"/>
      <x:c r="B36" s="18"/>
      <x:c r="C36" s="18"/>
      <x:c r="D36" s="18"/>
      <x:c r="E36" s="18"/>
      <x:c r="F36" s="18"/>
      <x:c r="G36" s="18" t="str">
        <x:f>IF(A36="","",SWITCH(A36,"CDP-002",SUM('08_INVENTAIRE_GES'!$H$5:$H$104),"CDP-003",COUNTA('05_PROJETS_CLIMAT'!$A$5:$A$104),""))</x:f>
      </x:c>
      <x:c r="H36" s="18"/>
      <x:c r="I36" s="18"/>
      <x:c r="J36" s="18"/>
      <x:c r="K36" s="18" t="str">
        <x:f>IF(A36="","",IF(H36&lt;&gt;"Pret","A finaliser","OK"))</x:f>
      </x:c>
    </x:row>
    <x:row r="37">
      <x:c r="A37" s="18"/>
      <x:c r="B37" s="18"/>
      <x:c r="C37" s="18"/>
      <x:c r="D37" s="18"/>
      <x:c r="E37" s="18"/>
      <x:c r="F37" s="18"/>
      <x:c r="G37" s="18" t="str">
        <x:f>IF(A37="","",SWITCH(A37,"CDP-002",SUM('08_INVENTAIRE_GES'!$H$5:$H$104),"CDP-003",COUNTA('05_PROJETS_CLIMAT'!$A$5:$A$104),""))</x:f>
      </x:c>
      <x:c r="H37" s="18"/>
      <x:c r="I37" s="18"/>
      <x:c r="J37" s="18"/>
      <x:c r="K37" s="18" t="str">
        <x:f>IF(A37="","",IF(H37&lt;&gt;"Pret","A finaliser","OK"))</x:f>
      </x:c>
    </x:row>
    <x:row r="38">
      <x:c r="A38" s="18"/>
      <x:c r="B38" s="18"/>
      <x:c r="C38" s="18"/>
      <x:c r="D38" s="18"/>
      <x:c r="E38" s="18"/>
      <x:c r="F38" s="18"/>
      <x:c r="G38" s="18" t="str">
        <x:f>IF(A38="","",SWITCH(A38,"CDP-002",SUM('08_INVENTAIRE_GES'!$H$5:$H$104),"CDP-003",COUNTA('05_PROJETS_CLIMAT'!$A$5:$A$104),""))</x:f>
      </x:c>
      <x:c r="H38" s="18"/>
      <x:c r="I38" s="18"/>
      <x:c r="J38" s="18"/>
      <x:c r="K38" s="18" t="str">
        <x:f>IF(A38="","",IF(H38&lt;&gt;"Pret","A finaliser","OK"))</x:f>
      </x:c>
    </x:row>
    <x:row r="39">
      <x:c r="A39" s="18"/>
      <x:c r="B39" s="18"/>
      <x:c r="C39" s="18"/>
      <x:c r="D39" s="18"/>
      <x:c r="E39" s="18"/>
      <x:c r="F39" s="18"/>
      <x:c r="G39" s="18" t="str">
        <x:f>IF(A39="","",SWITCH(A39,"CDP-002",SUM('08_INVENTAIRE_GES'!$H$5:$H$104),"CDP-003",COUNTA('05_PROJETS_CLIMAT'!$A$5:$A$104),""))</x:f>
      </x:c>
      <x:c r="H39" s="18"/>
      <x:c r="I39" s="18"/>
      <x:c r="J39" s="18"/>
      <x:c r="K39" s="18" t="str">
        <x:f>IF(A39="","",IF(H39&lt;&gt;"Pret","A finaliser","OK"))</x:f>
      </x:c>
    </x:row>
    <x:row r="40">
      <x:c r="A40" s="18"/>
      <x:c r="B40" s="18"/>
      <x:c r="C40" s="18"/>
      <x:c r="D40" s="18"/>
      <x:c r="E40" s="18"/>
      <x:c r="F40" s="18"/>
      <x:c r="G40" s="18" t="str">
        <x:f>IF(A40="","",SWITCH(A40,"CDP-002",SUM('08_INVENTAIRE_GES'!$H$5:$H$104),"CDP-003",COUNTA('05_PROJETS_CLIMAT'!$A$5:$A$104),""))</x:f>
      </x:c>
      <x:c r="H40" s="18"/>
      <x:c r="I40" s="18"/>
      <x:c r="J40" s="18"/>
      <x:c r="K40" s="18" t="str">
        <x:f>IF(A40="","",IF(H40&lt;&gt;"Pret","A finaliser","OK"))</x:f>
      </x:c>
    </x:row>
    <x:row r="41">
      <x:c r="A41" s="18"/>
      <x:c r="B41" s="18"/>
      <x:c r="C41" s="18"/>
      <x:c r="D41" s="18"/>
      <x:c r="E41" s="18"/>
      <x:c r="F41" s="18"/>
      <x:c r="G41" s="18" t="str">
        <x:f>IF(A41="","",SWITCH(A41,"CDP-002",SUM('08_INVENTAIRE_GES'!$H$5:$H$104),"CDP-003",COUNTA('05_PROJETS_CLIMAT'!$A$5:$A$104),""))</x:f>
      </x:c>
      <x:c r="H41" s="18"/>
      <x:c r="I41" s="18"/>
      <x:c r="J41" s="18"/>
      <x:c r="K41" s="18" t="str">
        <x:f>IF(A41="","",IF(H41&lt;&gt;"Pret","A finaliser","OK"))</x:f>
      </x:c>
    </x:row>
    <x:row r="42">
      <x:c r="A42" s="18"/>
      <x:c r="B42" s="18"/>
      <x:c r="C42" s="18"/>
      <x:c r="D42" s="18"/>
      <x:c r="E42" s="18"/>
      <x:c r="F42" s="18"/>
      <x:c r="G42" s="18" t="str">
        <x:f>IF(A42="","",SWITCH(A42,"CDP-002",SUM('08_INVENTAIRE_GES'!$H$5:$H$104),"CDP-003",COUNTA('05_PROJETS_CLIMAT'!$A$5:$A$104),""))</x:f>
      </x:c>
      <x:c r="H42" s="18"/>
      <x:c r="I42" s="18"/>
      <x:c r="J42" s="18"/>
      <x:c r="K42" s="18" t="str">
        <x:f>IF(A42="","",IF(H42&lt;&gt;"Pret","A finaliser","OK"))</x:f>
      </x:c>
    </x:row>
    <x:row r="43">
      <x:c r="A43" s="18"/>
      <x:c r="B43" s="18"/>
      <x:c r="C43" s="18"/>
      <x:c r="D43" s="18"/>
      <x:c r="E43" s="18"/>
      <x:c r="F43" s="18"/>
      <x:c r="G43" s="18" t="str">
        <x:f>IF(A43="","",SWITCH(A43,"CDP-002",SUM('08_INVENTAIRE_GES'!$H$5:$H$104),"CDP-003",COUNTA('05_PROJETS_CLIMAT'!$A$5:$A$104),""))</x:f>
      </x:c>
      <x:c r="H43" s="18"/>
      <x:c r="I43" s="18"/>
      <x:c r="J43" s="18"/>
      <x:c r="K43" s="18" t="str">
        <x:f>IF(A43="","",IF(H43&lt;&gt;"Pret","A finaliser","OK"))</x:f>
      </x:c>
    </x:row>
    <x:row r="44">
      <x:c r="A44" s="18"/>
      <x:c r="B44" s="18"/>
      <x:c r="C44" s="18"/>
      <x:c r="D44" s="18"/>
      <x:c r="E44" s="18"/>
      <x:c r="F44" s="18"/>
      <x:c r="G44" s="18" t="str">
        <x:f>IF(A44="","",SWITCH(A44,"CDP-002",SUM('08_INVENTAIRE_GES'!$H$5:$H$104),"CDP-003",COUNTA('05_PROJETS_CLIMAT'!$A$5:$A$104),""))</x:f>
      </x:c>
      <x:c r="H44" s="18"/>
      <x:c r="I44" s="18"/>
      <x:c r="J44" s="18"/>
      <x:c r="K44" s="18" t="str">
        <x:f>IF(A44="","",IF(H44&lt;&gt;"Pret","A finaliser","OK"))</x:f>
      </x:c>
    </x:row>
  </x:sheetData>
  <x:mergeCells>
    <x:mergeCell ref="A1:J1"/>
    <x:mergeCell ref="A2:J2"/>
  </x:mergeCells>
  <x:conditionalFormatting sqref="K5:K44">
    <x:cfRule type="containsText" dxfId="76" priority="1" operator="containsText" text="Retard"/>
    <x:cfRule type="containsText" dxfId="77" priority="2" operator="containsText" text="critique"/>
    <x:cfRule type="containsText" dxfId="78" priority="3" operator="containsText" text="manquant"/>
    <x:cfRule type="containsText" dxfId="79"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deb25ce134f048f8"/>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75" hidden="0" customWidth="1"/>
    <x:col min="3" max="3" width="31.25" hidden="0" customWidth="1"/>
    <x:col min="4" max="4" width="28.75" hidden="0" customWidth="1"/>
    <x:col min="5" max="5" width="18.75" hidden="0" customWidth="1"/>
    <x:col min="6" max="6" width="16.25" hidden="0" customWidth="1"/>
    <x:col min="7" max="7" width="11.25" hidden="0" customWidth="1"/>
    <x:col min="8" max="8" width="10" hidden="0" customWidth="1"/>
    <x:col min="9" max="9" width="16.25" hidden="0" customWidth="1"/>
    <x:col min="10" max="10" width="21.25" hidden="0" customWidth="1"/>
    <x:col min="11" max="11" width="18.1299991607666" hidden="0" customWidth="1"/>
  </x:cols>
  <x:sheetData>
    <x:row r="1" ht="25.5" customHeight="1">
      <x:c r="A1" s="2" t="str">
        <x:v>Suivi reporting C40</x:v>
      </x:c>
      <x:c r="B1" s="2"/>
      <x:c r="C1" s="2"/>
      <x:c r="D1" s="2"/>
      <x:c r="E1" s="2"/>
      <x:c r="F1" s="2"/>
      <x:c r="G1" s="2"/>
      <x:c r="H1" s="2"/>
      <x:c r="I1" s="2"/>
      <x:c r="J1" s="2"/>
    </x:row>
    <x:row r="2" ht="31.5" customHeight="1">
      <x:c r="A2" s="5" t="str">
        <x:v>Preparation des elements compatibles avec les axes C40: emissions, energie, transport, dechets, air, resilience et finance.</x:v>
      </x:c>
      <x:c r="B2" s="5"/>
      <x:c r="C2" s="5"/>
      <x:c r="D2" s="5"/>
      <x:c r="E2" s="5"/>
      <x:c r="F2" s="5"/>
      <x:c r="G2" s="5"/>
      <x:c r="H2" s="5"/>
      <x:c r="I2" s="5"/>
      <x:c r="J2" s="5"/>
    </x:row>
    <x:row r="4" ht="28.5" customHeight="1">
      <x:c r="A4" s="16" t="str">
        <x:v>C40_ID</x:v>
      </x:c>
      <x:c r="B4" s="16" t="str">
        <x:v>Axe_C40</x:v>
      </x:c>
      <x:c r="C4" s="16" t="str">
        <x:v>Engagement_indicatif</x:v>
      </x:c>
      <x:c r="D4" s="16" t="str">
        <x:v>Indicateur_Dakar</x:v>
      </x:c>
      <x:c r="E4" s="16" t="str">
        <x:v>Onglet_source</x:v>
      </x:c>
      <x:c r="F4" s="16" t="str">
        <x:v>Valeur</x:v>
      </x:c>
      <x:c r="G4" s="16" t="str">
        <x:v>Unite</x:v>
      </x:c>
      <x:c r="H4" s="16" t="str">
        <x:v>Annee</x:v>
      </x:c>
      <x:c r="I4" s="16" t="str">
        <x:v>Statut</x:v>
      </x:c>
      <x:c r="J4" s="16" t="str">
        <x:v>Responsable</x:v>
      </x:c>
      <x:c r="K4" s="16" t="str">
        <x:v>Alerte</x:v>
      </x:c>
    </x:row>
    <x:row r="5">
      <x:c r="A5" s="18" t="str">
        <x:v>C40-001</x:v>
      </x:c>
      <x:c r="B5" s="18" t="str">
        <x:v>Emissions</x:v>
      </x:c>
      <x:c r="C5" s="18" t="str">
        <x:v>Reduction emissions et trajectoire</x:v>
      </x:c>
      <x:c r="D5" s="18" t="str">
        <x:v>Emissions territoriales totales</x:v>
      </x:c>
      <x:c r="E5" s="18" t="str">
        <x:v>08_INVENTAIRE_GES</x:v>
      </x:c>
      <x:c r="F5" s="24" t="n">
        <x:f>IF(A5="","",SWITCH(A5,"C40-001",SUM('08_INVENTAIRE_GES'!$H$5:$H$104),"C40-002",AVERAGEIF('11_QUALITE_AIR'!$H$5:$H$104,"PM2.5",'11_QUALITE_AIR'!$I$5:$I$104),"C40-003",AVERAGE('14_DECHETS'!$L$5:$L$104),"C40-004",SUMIF('12_MOBILITE'!$C$5:$C$104,"Marche",'12_MOBILITE'!$N$5:$N$104)+SUMIF('12_MOBILITE'!$C$5:$C$104,"Velo",'12_MOBILITE'!$N$5:$N$104),""))</x:f>
        <x:v>1515200</x:v>
      </x:c>
      <x:c r="G5" s="18" t="str">
        <x:v>tCO2e</x:v>
      </x:c>
      <x:c r="H5" s="18" t="n">
        <x:v>2025</x:v>
      </x:c>
      <x:c r="I5" s="18" t="str">
        <x:v>A verifier</x:v>
      </x:c>
      <x:c r="J5" s="18" t="str">
        <x:v>Referent GES</x:v>
      </x:c>
      <x:c r="K5" s="18" t="str">
        <x:f>IF(A5="","",IF(I5&lt;&gt;"Pret","A finaliser","OK"))</x:f>
        <x:v>A finaliser</x:v>
      </x:c>
    </x:row>
    <x:row r="6">
      <x:c r="A6" s="18" t="str">
        <x:v>C40-002</x:v>
      </x:c>
      <x:c r="B6" s="18" t="str">
        <x:v>Clean air</x:v>
      </x:c>
      <x:c r="C6" s="18" t="str">
        <x:v>Qualite de l'air et sante</x:v>
      </x:c>
      <x:c r="D6" s="18" t="str">
        <x:v>Moyenne PM2.5</x:v>
      </x:c>
      <x:c r="E6" s="18" t="str">
        <x:v>11_QUALITE_AIR</x:v>
      </x:c>
      <x:c r="F6" s="24" t="n">
        <x:f>IF(A6="","",SWITCH(A6,"C40-001",SUM('08_INVENTAIRE_GES'!$H$5:$H$104),"C40-002",AVERAGEIF('11_QUALITE_AIR'!$H$5:$H$104,"PM2.5",'11_QUALITE_AIR'!$I$5:$I$104),"C40-003",AVERAGE('14_DECHETS'!$L$5:$L$104),"C40-004",SUMIF('12_MOBILITE'!$C$5:$C$104,"Marche",'12_MOBILITE'!$N$5:$N$104)+SUMIF('12_MOBILITE'!$C$5:$C$104,"Velo",'12_MOBILITE'!$N$5:$N$104),""))</x:f>
        <x:v>25</x:v>
      </x:c>
      <x:c r="G6" s="18" t="str">
        <x:v>ug/m3</x:v>
      </x:c>
      <x:c r="H6" s="18" t="n">
        <x:v>2026</x:v>
      </x:c>
      <x:c r="I6" s="18" t="str">
        <x:v>A verifier</x:v>
      </x:c>
      <x:c r="J6" s="18" t="str">
        <x:v>Direction Environnement</x:v>
      </x:c>
      <x:c r="K6" s="18" t="str">
        <x:f>IF(A6="","",IF(I6&lt;&gt;"Pret","A finaliser","OK"))</x:f>
        <x:v>A finaliser</x:v>
      </x:c>
    </x:row>
    <x:row r="7">
      <x:c r="A7" s="18" t="str">
        <x:v>C40-003</x:v>
      </x:c>
      <x:c r="B7" s="18" t="str">
        <x:v>Waste</x:v>
      </x:c>
      <x:c r="C7" s="18" t="str">
        <x:v>Reduction methane dechets</x:v>
      </x:c>
      <x:c r="D7" s="18" t="str">
        <x:v>Taux valorisation dechets</x:v>
      </x:c>
      <x:c r="E7" s="18" t="str">
        <x:v>14_DECHETS</x:v>
      </x:c>
      <x:c r="F7" s="24" t="n">
        <x:f>IF(A7="","",SWITCH(A7,"C40-001",SUM('08_INVENTAIRE_GES'!$H$5:$H$104),"C40-002",AVERAGEIF('11_QUALITE_AIR'!$H$5:$H$104,"PM2.5",'11_QUALITE_AIR'!$I$5:$I$104),"C40-003",AVERAGE('14_DECHETS'!$L$5:$L$104),"C40-004",SUMIF('12_MOBILITE'!$C$5:$C$104,"Marche",'12_MOBILITE'!$N$5:$N$104)+SUMIF('12_MOBILITE'!$C$5:$C$104,"Velo",'12_MOBILITE'!$N$5:$N$104),""))</x:f>
        <x:v>0.12114914021164021</x:v>
      </x:c>
      <x:c r="G7" s="18" t="str">
        <x:v>%</x:v>
      </x:c>
      <x:c r="H7" s="18" t="n">
        <x:v>2025</x:v>
      </x:c>
      <x:c r="I7" s="18" t="str">
        <x:v>A completer</x:v>
      </x:c>
      <x:c r="J7" s="18" t="str">
        <x:v>Direction Dechets</x:v>
      </x:c>
      <x:c r="K7" s="18" t="str">
        <x:f>IF(A7="","",IF(I7&lt;&gt;"Pret","A finaliser","OK"))</x:f>
        <x:v>A finaliser</x:v>
      </x:c>
    </x:row>
    <x:row r="8">
      <x:c r="A8" s="18" t="str">
        <x:v>C40-004</x:v>
      </x:c>
      <x:c r="B8" s="18" t="str">
        <x:v>Transport</x:v>
      </x:c>
      <x:c r="C8" s="18" t="str">
        <x:v>Mobilite zero emission et active</x:v>
      </x:c>
      <x:c r="D8" s="18" t="str">
        <x:v>Part mobilite active</x:v>
      </x:c>
      <x:c r="E8" s="18" t="str">
        <x:v>12_MOBILITE</x:v>
      </x:c>
      <x:c r="F8" s="24" t="n">
        <x:f>IF(A8="","",SWITCH(A8,"C40-001",SUM('08_INVENTAIRE_GES'!$H$5:$H$104),"C40-002",AVERAGEIF('11_QUALITE_AIR'!$H$5:$H$104,"PM2.5",'11_QUALITE_AIR'!$I$5:$I$104),"C40-003",AVERAGE('14_DECHETS'!$L$5:$L$104),"C40-004",SUMIF('12_MOBILITE'!$C$5:$C$104,"Marche",'12_MOBILITE'!$N$5:$N$104)+SUMIF('12_MOBILITE'!$C$5:$C$104,"Velo",'12_MOBILITE'!$N$5:$N$104),""))</x:f>
        <x:v>0.35</x:v>
      </x:c>
      <x:c r="G8" s="18" t="str">
        <x:v>%</x:v>
      </x:c>
      <x:c r="H8" s="18" t="n">
        <x:v>2025</x:v>
      </x:c>
      <x:c r="I8" s="18" t="str">
        <x:v>A completer</x:v>
      </x:c>
      <x:c r="J8" s="18" t="str">
        <x:v>Direction Mobilite</x:v>
      </x:c>
      <x:c r="K8" s="18" t="str">
        <x:f>IF(A8="","",IF(I8&lt;&gt;"Pret","A finaliser","OK"))</x:f>
        <x:v>A finaliser</x:v>
      </x:c>
    </x:row>
    <x:row r="9">
      <x:c r="A9" s="18"/>
      <x:c r="B9" s="18"/>
      <x:c r="C9" s="18"/>
      <x:c r="D9" s="18"/>
      <x:c r="E9" s="18"/>
      <x:c r="F9" s="24" t="str">
        <x:f>IF(A9="","",SWITCH(A9,"C40-001",SUM('08_INVENTAIRE_GES'!$H$5:$H$104),"C40-002",AVERAGEIF('11_QUALITE_AIR'!$H$5:$H$104,"PM2.5",'11_QUALITE_AIR'!$I$5:$I$104),"C40-003",AVERAGE('14_DECHETS'!$L$5:$L$104),"C40-004",SUMIF('12_MOBILITE'!$C$5:$C$104,"Marche",'12_MOBILITE'!$N$5:$N$104)+SUMIF('12_MOBILITE'!$C$5:$C$104,"Velo",'12_MOBILITE'!$N$5:$N$104),""))</x:f>
      </x:c>
      <x:c r="G9" s="18"/>
      <x:c r="H9" s="18"/>
      <x:c r="I9" s="18"/>
      <x:c r="J9" s="18"/>
      <x:c r="K9" s="18" t="str">
        <x:f>IF(A9="","",IF(I9&lt;&gt;"Pret","A finaliser","OK"))</x:f>
      </x:c>
    </x:row>
    <x:row r="10">
      <x:c r="A10" s="18"/>
      <x:c r="B10" s="18"/>
      <x:c r="C10" s="18"/>
      <x:c r="D10" s="18"/>
      <x:c r="E10" s="18"/>
      <x:c r="F10" s="24" t="str">
        <x:f>IF(A10="","",SWITCH(A10,"C40-001",SUM('08_INVENTAIRE_GES'!$H$5:$H$104),"C40-002",AVERAGEIF('11_QUALITE_AIR'!$H$5:$H$104,"PM2.5",'11_QUALITE_AIR'!$I$5:$I$104),"C40-003",AVERAGE('14_DECHETS'!$L$5:$L$104),"C40-004",SUMIF('12_MOBILITE'!$C$5:$C$104,"Marche",'12_MOBILITE'!$N$5:$N$104)+SUMIF('12_MOBILITE'!$C$5:$C$104,"Velo",'12_MOBILITE'!$N$5:$N$104),""))</x:f>
      </x:c>
      <x:c r="G10" s="18"/>
      <x:c r="H10" s="18"/>
      <x:c r="I10" s="18"/>
      <x:c r="J10" s="18"/>
      <x:c r="K10" s="18" t="str">
        <x:f>IF(A10="","",IF(I10&lt;&gt;"Pret","A finaliser","OK"))</x:f>
      </x:c>
    </x:row>
    <x:row r="11">
      <x:c r="A11" s="18"/>
      <x:c r="B11" s="18"/>
      <x:c r="C11" s="18"/>
      <x:c r="D11" s="18"/>
      <x:c r="E11" s="18"/>
      <x:c r="F11" s="24" t="str">
        <x:f>IF(A11="","",SWITCH(A11,"C40-001",SUM('08_INVENTAIRE_GES'!$H$5:$H$104),"C40-002",AVERAGEIF('11_QUALITE_AIR'!$H$5:$H$104,"PM2.5",'11_QUALITE_AIR'!$I$5:$I$104),"C40-003",AVERAGE('14_DECHETS'!$L$5:$L$104),"C40-004",SUMIF('12_MOBILITE'!$C$5:$C$104,"Marche",'12_MOBILITE'!$N$5:$N$104)+SUMIF('12_MOBILITE'!$C$5:$C$104,"Velo",'12_MOBILITE'!$N$5:$N$104),""))</x:f>
      </x:c>
      <x:c r="G11" s="18"/>
      <x:c r="H11" s="18"/>
      <x:c r="I11" s="18"/>
      <x:c r="J11" s="18"/>
      <x:c r="K11" s="18" t="str">
        <x:f>IF(A11="","",IF(I11&lt;&gt;"Pret","A finaliser","OK"))</x:f>
      </x:c>
    </x:row>
    <x:row r="12">
      <x:c r="A12" s="18"/>
      <x:c r="B12" s="18"/>
      <x:c r="C12" s="18"/>
      <x:c r="D12" s="18"/>
      <x:c r="E12" s="18"/>
      <x:c r="F12" s="24" t="str">
        <x:f>IF(A12="","",SWITCH(A12,"C40-001",SUM('08_INVENTAIRE_GES'!$H$5:$H$104),"C40-002",AVERAGEIF('11_QUALITE_AIR'!$H$5:$H$104,"PM2.5",'11_QUALITE_AIR'!$I$5:$I$104),"C40-003",AVERAGE('14_DECHETS'!$L$5:$L$104),"C40-004",SUMIF('12_MOBILITE'!$C$5:$C$104,"Marche",'12_MOBILITE'!$N$5:$N$104)+SUMIF('12_MOBILITE'!$C$5:$C$104,"Velo",'12_MOBILITE'!$N$5:$N$104),""))</x:f>
      </x:c>
      <x:c r="G12" s="18"/>
      <x:c r="H12" s="18"/>
      <x:c r="I12" s="18"/>
      <x:c r="J12" s="18"/>
      <x:c r="K12" s="18" t="str">
        <x:f>IF(A12="","",IF(I12&lt;&gt;"Pret","A finaliser","OK"))</x:f>
      </x:c>
    </x:row>
    <x:row r="13">
      <x:c r="A13" s="18"/>
      <x:c r="B13" s="18"/>
      <x:c r="C13" s="18"/>
      <x:c r="D13" s="18"/>
      <x:c r="E13" s="18"/>
      <x:c r="F13" s="24" t="str">
        <x:f>IF(A13="","",SWITCH(A13,"C40-001",SUM('08_INVENTAIRE_GES'!$H$5:$H$104),"C40-002",AVERAGEIF('11_QUALITE_AIR'!$H$5:$H$104,"PM2.5",'11_QUALITE_AIR'!$I$5:$I$104),"C40-003",AVERAGE('14_DECHETS'!$L$5:$L$104),"C40-004",SUMIF('12_MOBILITE'!$C$5:$C$104,"Marche",'12_MOBILITE'!$N$5:$N$104)+SUMIF('12_MOBILITE'!$C$5:$C$104,"Velo",'12_MOBILITE'!$N$5:$N$104),""))</x:f>
      </x:c>
      <x:c r="G13" s="18"/>
      <x:c r="H13" s="18"/>
      <x:c r="I13" s="18"/>
      <x:c r="J13" s="18"/>
      <x:c r="K13" s="18" t="str">
        <x:f>IF(A13="","",IF(I13&lt;&gt;"Pret","A finaliser","OK"))</x:f>
      </x:c>
    </x:row>
    <x:row r="14">
      <x:c r="A14" s="18"/>
      <x:c r="B14" s="18"/>
      <x:c r="C14" s="18"/>
      <x:c r="D14" s="18"/>
      <x:c r="E14" s="18"/>
      <x:c r="F14" s="24" t="str">
        <x:f>IF(A14="","",SWITCH(A14,"C40-001",SUM('08_INVENTAIRE_GES'!$H$5:$H$104),"C40-002",AVERAGEIF('11_QUALITE_AIR'!$H$5:$H$104,"PM2.5",'11_QUALITE_AIR'!$I$5:$I$104),"C40-003",AVERAGE('14_DECHETS'!$L$5:$L$104),"C40-004",SUMIF('12_MOBILITE'!$C$5:$C$104,"Marche",'12_MOBILITE'!$N$5:$N$104)+SUMIF('12_MOBILITE'!$C$5:$C$104,"Velo",'12_MOBILITE'!$N$5:$N$104),""))</x:f>
      </x:c>
      <x:c r="G14" s="18"/>
      <x:c r="H14" s="18"/>
      <x:c r="I14" s="18"/>
      <x:c r="J14" s="18"/>
      <x:c r="K14" s="18" t="str">
        <x:f>IF(A14="","",IF(I14&lt;&gt;"Pret","A finaliser","OK"))</x:f>
      </x:c>
    </x:row>
    <x:row r="15">
      <x:c r="A15" s="18"/>
      <x:c r="B15" s="18"/>
      <x:c r="C15" s="18"/>
      <x:c r="D15" s="18"/>
      <x:c r="E15" s="18"/>
      <x:c r="F15" s="24" t="str">
        <x:f>IF(A15="","",SWITCH(A15,"C40-001",SUM('08_INVENTAIRE_GES'!$H$5:$H$104),"C40-002",AVERAGEIF('11_QUALITE_AIR'!$H$5:$H$104,"PM2.5",'11_QUALITE_AIR'!$I$5:$I$104),"C40-003",AVERAGE('14_DECHETS'!$L$5:$L$104),"C40-004",SUMIF('12_MOBILITE'!$C$5:$C$104,"Marche",'12_MOBILITE'!$N$5:$N$104)+SUMIF('12_MOBILITE'!$C$5:$C$104,"Velo",'12_MOBILITE'!$N$5:$N$104),""))</x:f>
      </x:c>
      <x:c r="G15" s="18"/>
      <x:c r="H15" s="18"/>
      <x:c r="I15" s="18"/>
      <x:c r="J15" s="18"/>
      <x:c r="K15" s="18" t="str">
        <x:f>IF(A15="","",IF(I15&lt;&gt;"Pret","A finaliser","OK"))</x:f>
      </x:c>
    </x:row>
    <x:row r="16">
      <x:c r="A16" s="18"/>
      <x:c r="B16" s="18"/>
      <x:c r="C16" s="18"/>
      <x:c r="D16" s="18"/>
      <x:c r="E16" s="18"/>
      <x:c r="F16" s="24" t="str">
        <x:f>IF(A16="","",SWITCH(A16,"C40-001",SUM('08_INVENTAIRE_GES'!$H$5:$H$104),"C40-002",AVERAGEIF('11_QUALITE_AIR'!$H$5:$H$104,"PM2.5",'11_QUALITE_AIR'!$I$5:$I$104),"C40-003",AVERAGE('14_DECHETS'!$L$5:$L$104),"C40-004",SUMIF('12_MOBILITE'!$C$5:$C$104,"Marche",'12_MOBILITE'!$N$5:$N$104)+SUMIF('12_MOBILITE'!$C$5:$C$104,"Velo",'12_MOBILITE'!$N$5:$N$104),""))</x:f>
      </x:c>
      <x:c r="G16" s="18"/>
      <x:c r="H16" s="18"/>
      <x:c r="I16" s="18"/>
      <x:c r="J16" s="18"/>
      <x:c r="K16" s="18" t="str">
        <x:f>IF(A16="","",IF(I16&lt;&gt;"Pret","A finaliser","OK"))</x:f>
      </x:c>
    </x:row>
    <x:row r="17">
      <x:c r="A17" s="18"/>
      <x:c r="B17" s="18"/>
      <x:c r="C17" s="18"/>
      <x:c r="D17" s="18"/>
      <x:c r="E17" s="18"/>
      <x:c r="F17" s="24" t="str">
        <x:f>IF(A17="","",SWITCH(A17,"C40-001",SUM('08_INVENTAIRE_GES'!$H$5:$H$104),"C40-002",AVERAGEIF('11_QUALITE_AIR'!$H$5:$H$104,"PM2.5",'11_QUALITE_AIR'!$I$5:$I$104),"C40-003",AVERAGE('14_DECHETS'!$L$5:$L$104),"C40-004",SUMIF('12_MOBILITE'!$C$5:$C$104,"Marche",'12_MOBILITE'!$N$5:$N$104)+SUMIF('12_MOBILITE'!$C$5:$C$104,"Velo",'12_MOBILITE'!$N$5:$N$104),""))</x:f>
      </x:c>
      <x:c r="G17" s="18"/>
      <x:c r="H17" s="18"/>
      <x:c r="I17" s="18"/>
      <x:c r="J17" s="18"/>
      <x:c r="K17" s="18" t="str">
        <x:f>IF(A17="","",IF(I17&lt;&gt;"Pret","A finaliser","OK"))</x:f>
      </x:c>
    </x:row>
    <x:row r="18">
      <x:c r="A18" s="18"/>
      <x:c r="B18" s="18"/>
      <x:c r="C18" s="18"/>
      <x:c r="D18" s="18"/>
      <x:c r="E18" s="18"/>
      <x:c r="F18" s="24" t="str">
        <x:f>IF(A18="","",SWITCH(A18,"C40-001",SUM('08_INVENTAIRE_GES'!$H$5:$H$104),"C40-002",AVERAGEIF('11_QUALITE_AIR'!$H$5:$H$104,"PM2.5",'11_QUALITE_AIR'!$I$5:$I$104),"C40-003",AVERAGE('14_DECHETS'!$L$5:$L$104),"C40-004",SUMIF('12_MOBILITE'!$C$5:$C$104,"Marche",'12_MOBILITE'!$N$5:$N$104)+SUMIF('12_MOBILITE'!$C$5:$C$104,"Velo",'12_MOBILITE'!$N$5:$N$104),""))</x:f>
      </x:c>
      <x:c r="G18" s="18"/>
      <x:c r="H18" s="18"/>
      <x:c r="I18" s="18"/>
      <x:c r="J18" s="18"/>
      <x:c r="K18" s="18" t="str">
        <x:f>IF(A18="","",IF(I18&lt;&gt;"Pret","A finaliser","OK"))</x:f>
      </x:c>
    </x:row>
    <x:row r="19">
      <x:c r="A19" s="18"/>
      <x:c r="B19" s="18"/>
      <x:c r="C19" s="18"/>
      <x:c r="D19" s="18"/>
      <x:c r="E19" s="18"/>
      <x:c r="F19" s="24" t="str">
        <x:f>IF(A19="","",SWITCH(A19,"C40-001",SUM('08_INVENTAIRE_GES'!$H$5:$H$104),"C40-002",AVERAGEIF('11_QUALITE_AIR'!$H$5:$H$104,"PM2.5",'11_QUALITE_AIR'!$I$5:$I$104),"C40-003",AVERAGE('14_DECHETS'!$L$5:$L$104),"C40-004",SUMIF('12_MOBILITE'!$C$5:$C$104,"Marche",'12_MOBILITE'!$N$5:$N$104)+SUMIF('12_MOBILITE'!$C$5:$C$104,"Velo",'12_MOBILITE'!$N$5:$N$104),""))</x:f>
      </x:c>
      <x:c r="G19" s="18"/>
      <x:c r="H19" s="18"/>
      <x:c r="I19" s="18"/>
      <x:c r="J19" s="18"/>
      <x:c r="K19" s="18" t="str">
        <x:f>IF(A19="","",IF(I19&lt;&gt;"Pret","A finaliser","OK"))</x:f>
      </x:c>
    </x:row>
    <x:row r="20">
      <x:c r="A20" s="18"/>
      <x:c r="B20" s="18"/>
      <x:c r="C20" s="18"/>
      <x:c r="D20" s="18"/>
      <x:c r="E20" s="18"/>
      <x:c r="F20" s="24" t="str">
        <x:f>IF(A20="","",SWITCH(A20,"C40-001",SUM('08_INVENTAIRE_GES'!$H$5:$H$104),"C40-002",AVERAGEIF('11_QUALITE_AIR'!$H$5:$H$104,"PM2.5",'11_QUALITE_AIR'!$I$5:$I$104),"C40-003",AVERAGE('14_DECHETS'!$L$5:$L$104),"C40-004",SUMIF('12_MOBILITE'!$C$5:$C$104,"Marche",'12_MOBILITE'!$N$5:$N$104)+SUMIF('12_MOBILITE'!$C$5:$C$104,"Velo",'12_MOBILITE'!$N$5:$N$104),""))</x:f>
      </x:c>
      <x:c r="G20" s="18"/>
      <x:c r="H20" s="18"/>
      <x:c r="I20" s="18"/>
      <x:c r="J20" s="18"/>
      <x:c r="K20" s="18" t="str">
        <x:f>IF(A20="","",IF(I20&lt;&gt;"Pret","A finaliser","OK"))</x:f>
      </x:c>
    </x:row>
    <x:row r="21">
      <x:c r="A21" s="18"/>
      <x:c r="B21" s="18"/>
      <x:c r="C21" s="18"/>
      <x:c r="D21" s="18"/>
      <x:c r="E21" s="18"/>
      <x:c r="F21" s="24" t="str">
        <x:f>IF(A21="","",SWITCH(A21,"C40-001",SUM('08_INVENTAIRE_GES'!$H$5:$H$104),"C40-002",AVERAGEIF('11_QUALITE_AIR'!$H$5:$H$104,"PM2.5",'11_QUALITE_AIR'!$I$5:$I$104),"C40-003",AVERAGE('14_DECHETS'!$L$5:$L$104),"C40-004",SUMIF('12_MOBILITE'!$C$5:$C$104,"Marche",'12_MOBILITE'!$N$5:$N$104)+SUMIF('12_MOBILITE'!$C$5:$C$104,"Velo",'12_MOBILITE'!$N$5:$N$104),""))</x:f>
      </x:c>
      <x:c r="G21" s="18"/>
      <x:c r="H21" s="18"/>
      <x:c r="I21" s="18"/>
      <x:c r="J21" s="18"/>
      <x:c r="K21" s="18" t="str">
        <x:f>IF(A21="","",IF(I21&lt;&gt;"Pret","A finaliser","OK"))</x:f>
      </x:c>
    </x:row>
    <x:row r="22">
      <x:c r="A22" s="18"/>
      <x:c r="B22" s="18"/>
      <x:c r="C22" s="18"/>
      <x:c r="D22" s="18"/>
      <x:c r="E22" s="18"/>
      <x:c r="F22" s="24" t="str">
        <x:f>IF(A22="","",SWITCH(A22,"C40-001",SUM('08_INVENTAIRE_GES'!$H$5:$H$104),"C40-002",AVERAGEIF('11_QUALITE_AIR'!$H$5:$H$104,"PM2.5",'11_QUALITE_AIR'!$I$5:$I$104),"C40-003",AVERAGE('14_DECHETS'!$L$5:$L$104),"C40-004",SUMIF('12_MOBILITE'!$C$5:$C$104,"Marche",'12_MOBILITE'!$N$5:$N$104)+SUMIF('12_MOBILITE'!$C$5:$C$104,"Velo",'12_MOBILITE'!$N$5:$N$104),""))</x:f>
      </x:c>
      <x:c r="G22" s="18"/>
      <x:c r="H22" s="18"/>
      <x:c r="I22" s="18"/>
      <x:c r="J22" s="18"/>
      <x:c r="K22" s="18" t="str">
        <x:f>IF(A22="","",IF(I22&lt;&gt;"Pret","A finaliser","OK"))</x:f>
      </x:c>
    </x:row>
    <x:row r="23">
      <x:c r="A23" s="18"/>
      <x:c r="B23" s="18"/>
      <x:c r="C23" s="18"/>
      <x:c r="D23" s="18"/>
      <x:c r="E23" s="18"/>
      <x:c r="F23" s="24" t="str">
        <x:f>IF(A23="","",SWITCH(A23,"C40-001",SUM('08_INVENTAIRE_GES'!$H$5:$H$104),"C40-002",AVERAGEIF('11_QUALITE_AIR'!$H$5:$H$104,"PM2.5",'11_QUALITE_AIR'!$I$5:$I$104),"C40-003",AVERAGE('14_DECHETS'!$L$5:$L$104),"C40-004",SUMIF('12_MOBILITE'!$C$5:$C$104,"Marche",'12_MOBILITE'!$N$5:$N$104)+SUMIF('12_MOBILITE'!$C$5:$C$104,"Velo",'12_MOBILITE'!$N$5:$N$104),""))</x:f>
      </x:c>
      <x:c r="G23" s="18"/>
      <x:c r="H23" s="18"/>
      <x:c r="I23" s="18"/>
      <x:c r="J23" s="18"/>
      <x:c r="K23" s="18" t="str">
        <x:f>IF(A23="","",IF(I23&lt;&gt;"Pret","A finaliser","OK"))</x:f>
      </x:c>
    </x:row>
    <x:row r="24">
      <x:c r="A24" s="18"/>
      <x:c r="B24" s="18"/>
      <x:c r="C24" s="18"/>
      <x:c r="D24" s="18"/>
      <x:c r="E24" s="18"/>
      <x:c r="F24" s="24" t="str">
        <x:f>IF(A24="","",SWITCH(A24,"C40-001",SUM('08_INVENTAIRE_GES'!$H$5:$H$104),"C40-002",AVERAGEIF('11_QUALITE_AIR'!$H$5:$H$104,"PM2.5",'11_QUALITE_AIR'!$I$5:$I$104),"C40-003",AVERAGE('14_DECHETS'!$L$5:$L$104),"C40-004",SUMIF('12_MOBILITE'!$C$5:$C$104,"Marche",'12_MOBILITE'!$N$5:$N$104)+SUMIF('12_MOBILITE'!$C$5:$C$104,"Velo",'12_MOBILITE'!$N$5:$N$104),""))</x:f>
      </x:c>
      <x:c r="G24" s="18"/>
      <x:c r="H24" s="18"/>
      <x:c r="I24" s="18"/>
      <x:c r="J24" s="18"/>
      <x:c r="K24" s="18" t="str">
        <x:f>IF(A24="","",IF(I24&lt;&gt;"Pret","A finaliser","OK"))</x:f>
      </x:c>
    </x:row>
    <x:row r="25">
      <x:c r="A25" s="18"/>
      <x:c r="B25" s="18"/>
      <x:c r="C25" s="18"/>
      <x:c r="D25" s="18"/>
      <x:c r="E25" s="18"/>
      <x:c r="F25" s="24" t="str">
        <x:f>IF(A25="","",SWITCH(A25,"C40-001",SUM('08_INVENTAIRE_GES'!$H$5:$H$104),"C40-002",AVERAGEIF('11_QUALITE_AIR'!$H$5:$H$104,"PM2.5",'11_QUALITE_AIR'!$I$5:$I$104),"C40-003",AVERAGE('14_DECHETS'!$L$5:$L$104),"C40-004",SUMIF('12_MOBILITE'!$C$5:$C$104,"Marche",'12_MOBILITE'!$N$5:$N$104)+SUMIF('12_MOBILITE'!$C$5:$C$104,"Velo",'12_MOBILITE'!$N$5:$N$104),""))</x:f>
      </x:c>
      <x:c r="G25" s="18"/>
      <x:c r="H25" s="18"/>
      <x:c r="I25" s="18"/>
      <x:c r="J25" s="18"/>
      <x:c r="K25" s="18" t="str">
        <x:f>IF(A25="","",IF(I25&lt;&gt;"Pret","A finaliser","OK"))</x:f>
      </x:c>
    </x:row>
    <x:row r="26">
      <x:c r="A26" s="18"/>
      <x:c r="B26" s="18"/>
      <x:c r="C26" s="18"/>
      <x:c r="D26" s="18"/>
      <x:c r="E26" s="18"/>
      <x:c r="F26" s="24" t="str">
        <x:f>IF(A26="","",SWITCH(A26,"C40-001",SUM('08_INVENTAIRE_GES'!$H$5:$H$104),"C40-002",AVERAGEIF('11_QUALITE_AIR'!$H$5:$H$104,"PM2.5",'11_QUALITE_AIR'!$I$5:$I$104),"C40-003",AVERAGE('14_DECHETS'!$L$5:$L$104),"C40-004",SUMIF('12_MOBILITE'!$C$5:$C$104,"Marche",'12_MOBILITE'!$N$5:$N$104)+SUMIF('12_MOBILITE'!$C$5:$C$104,"Velo",'12_MOBILITE'!$N$5:$N$104),""))</x:f>
      </x:c>
      <x:c r="G26" s="18"/>
      <x:c r="H26" s="18"/>
      <x:c r="I26" s="18"/>
      <x:c r="J26" s="18"/>
      <x:c r="K26" s="18" t="str">
        <x:f>IF(A26="","",IF(I26&lt;&gt;"Pret","A finaliser","OK"))</x:f>
      </x:c>
    </x:row>
    <x:row r="27">
      <x:c r="A27" s="18"/>
      <x:c r="B27" s="18"/>
      <x:c r="C27" s="18"/>
      <x:c r="D27" s="18"/>
      <x:c r="E27" s="18"/>
      <x:c r="F27" s="24" t="str">
        <x:f>IF(A27="","",SWITCH(A27,"C40-001",SUM('08_INVENTAIRE_GES'!$H$5:$H$104),"C40-002",AVERAGEIF('11_QUALITE_AIR'!$H$5:$H$104,"PM2.5",'11_QUALITE_AIR'!$I$5:$I$104),"C40-003",AVERAGE('14_DECHETS'!$L$5:$L$104),"C40-004",SUMIF('12_MOBILITE'!$C$5:$C$104,"Marche",'12_MOBILITE'!$N$5:$N$104)+SUMIF('12_MOBILITE'!$C$5:$C$104,"Velo",'12_MOBILITE'!$N$5:$N$104),""))</x:f>
      </x:c>
      <x:c r="G27" s="18"/>
      <x:c r="H27" s="18"/>
      <x:c r="I27" s="18"/>
      <x:c r="J27" s="18"/>
      <x:c r="K27" s="18" t="str">
        <x:f>IF(A27="","",IF(I27&lt;&gt;"Pret","A finaliser","OK"))</x:f>
      </x:c>
    </x:row>
    <x:row r="28">
      <x:c r="A28" s="18"/>
      <x:c r="B28" s="18"/>
      <x:c r="C28" s="18"/>
      <x:c r="D28" s="18"/>
      <x:c r="E28" s="18"/>
      <x:c r="F28" s="24" t="str">
        <x:f>IF(A28="","",SWITCH(A28,"C40-001",SUM('08_INVENTAIRE_GES'!$H$5:$H$104),"C40-002",AVERAGEIF('11_QUALITE_AIR'!$H$5:$H$104,"PM2.5",'11_QUALITE_AIR'!$I$5:$I$104),"C40-003",AVERAGE('14_DECHETS'!$L$5:$L$104),"C40-004",SUMIF('12_MOBILITE'!$C$5:$C$104,"Marche",'12_MOBILITE'!$N$5:$N$104)+SUMIF('12_MOBILITE'!$C$5:$C$104,"Velo",'12_MOBILITE'!$N$5:$N$104),""))</x:f>
      </x:c>
      <x:c r="G28" s="18"/>
      <x:c r="H28" s="18"/>
      <x:c r="I28" s="18"/>
      <x:c r="J28" s="18"/>
      <x:c r="K28" s="18" t="str">
        <x:f>IF(A28="","",IF(I28&lt;&gt;"Pret","A finaliser","OK"))</x:f>
      </x:c>
    </x:row>
    <x:row r="29">
      <x:c r="A29" s="18"/>
      <x:c r="B29" s="18"/>
      <x:c r="C29" s="18"/>
      <x:c r="D29" s="18"/>
      <x:c r="E29" s="18"/>
      <x:c r="F29" s="24" t="str">
        <x:f>IF(A29="","",SWITCH(A29,"C40-001",SUM('08_INVENTAIRE_GES'!$H$5:$H$104),"C40-002",AVERAGEIF('11_QUALITE_AIR'!$H$5:$H$104,"PM2.5",'11_QUALITE_AIR'!$I$5:$I$104),"C40-003",AVERAGE('14_DECHETS'!$L$5:$L$104),"C40-004",SUMIF('12_MOBILITE'!$C$5:$C$104,"Marche",'12_MOBILITE'!$N$5:$N$104)+SUMIF('12_MOBILITE'!$C$5:$C$104,"Velo",'12_MOBILITE'!$N$5:$N$104),""))</x:f>
      </x:c>
      <x:c r="G29" s="18"/>
      <x:c r="H29" s="18"/>
      <x:c r="I29" s="18"/>
      <x:c r="J29" s="18"/>
      <x:c r="K29" s="18" t="str">
        <x:f>IF(A29="","",IF(I29&lt;&gt;"Pret","A finaliser","OK"))</x:f>
      </x:c>
    </x:row>
    <x:row r="30">
      <x:c r="A30" s="18"/>
      <x:c r="B30" s="18"/>
      <x:c r="C30" s="18"/>
      <x:c r="D30" s="18"/>
      <x:c r="E30" s="18"/>
      <x:c r="F30" s="24" t="str">
        <x:f>IF(A30="","",SWITCH(A30,"C40-001",SUM('08_INVENTAIRE_GES'!$H$5:$H$104),"C40-002",AVERAGEIF('11_QUALITE_AIR'!$H$5:$H$104,"PM2.5",'11_QUALITE_AIR'!$I$5:$I$104),"C40-003",AVERAGE('14_DECHETS'!$L$5:$L$104),"C40-004",SUMIF('12_MOBILITE'!$C$5:$C$104,"Marche",'12_MOBILITE'!$N$5:$N$104)+SUMIF('12_MOBILITE'!$C$5:$C$104,"Velo",'12_MOBILITE'!$N$5:$N$104),""))</x:f>
      </x:c>
      <x:c r="G30" s="18"/>
      <x:c r="H30" s="18"/>
      <x:c r="I30" s="18"/>
      <x:c r="J30" s="18"/>
      <x:c r="K30" s="18" t="str">
        <x:f>IF(A30="","",IF(I30&lt;&gt;"Pret","A finaliser","OK"))</x:f>
      </x:c>
    </x:row>
    <x:row r="31">
      <x:c r="A31" s="18"/>
      <x:c r="B31" s="18"/>
      <x:c r="C31" s="18"/>
      <x:c r="D31" s="18"/>
      <x:c r="E31" s="18"/>
      <x:c r="F31" s="24" t="str">
        <x:f>IF(A31="","",SWITCH(A31,"C40-001",SUM('08_INVENTAIRE_GES'!$H$5:$H$104),"C40-002",AVERAGEIF('11_QUALITE_AIR'!$H$5:$H$104,"PM2.5",'11_QUALITE_AIR'!$I$5:$I$104),"C40-003",AVERAGE('14_DECHETS'!$L$5:$L$104),"C40-004",SUMIF('12_MOBILITE'!$C$5:$C$104,"Marche",'12_MOBILITE'!$N$5:$N$104)+SUMIF('12_MOBILITE'!$C$5:$C$104,"Velo",'12_MOBILITE'!$N$5:$N$104),""))</x:f>
      </x:c>
      <x:c r="G31" s="18"/>
      <x:c r="H31" s="18"/>
      <x:c r="I31" s="18"/>
      <x:c r="J31" s="18"/>
      <x:c r="K31" s="18" t="str">
        <x:f>IF(A31="","",IF(I31&lt;&gt;"Pret","A finaliser","OK"))</x:f>
      </x:c>
    </x:row>
    <x:row r="32">
      <x:c r="A32" s="18"/>
      <x:c r="B32" s="18"/>
      <x:c r="C32" s="18"/>
      <x:c r="D32" s="18"/>
      <x:c r="E32" s="18"/>
      <x:c r="F32" s="24" t="str">
        <x:f>IF(A32="","",SWITCH(A32,"C40-001",SUM('08_INVENTAIRE_GES'!$H$5:$H$104),"C40-002",AVERAGEIF('11_QUALITE_AIR'!$H$5:$H$104,"PM2.5",'11_QUALITE_AIR'!$I$5:$I$104),"C40-003",AVERAGE('14_DECHETS'!$L$5:$L$104),"C40-004",SUMIF('12_MOBILITE'!$C$5:$C$104,"Marche",'12_MOBILITE'!$N$5:$N$104)+SUMIF('12_MOBILITE'!$C$5:$C$104,"Velo",'12_MOBILITE'!$N$5:$N$104),""))</x:f>
      </x:c>
      <x:c r="G32" s="18"/>
      <x:c r="H32" s="18"/>
      <x:c r="I32" s="18"/>
      <x:c r="J32" s="18"/>
      <x:c r="K32" s="18" t="str">
        <x:f>IF(A32="","",IF(I32&lt;&gt;"Pret","A finaliser","OK"))</x:f>
      </x:c>
    </x:row>
    <x:row r="33">
      <x:c r="A33" s="18"/>
      <x:c r="B33" s="18"/>
      <x:c r="C33" s="18"/>
      <x:c r="D33" s="18"/>
      <x:c r="E33" s="18"/>
      <x:c r="F33" s="24" t="str">
        <x:f>IF(A33="","",SWITCH(A33,"C40-001",SUM('08_INVENTAIRE_GES'!$H$5:$H$104),"C40-002",AVERAGEIF('11_QUALITE_AIR'!$H$5:$H$104,"PM2.5",'11_QUALITE_AIR'!$I$5:$I$104),"C40-003",AVERAGE('14_DECHETS'!$L$5:$L$104),"C40-004",SUMIF('12_MOBILITE'!$C$5:$C$104,"Marche",'12_MOBILITE'!$N$5:$N$104)+SUMIF('12_MOBILITE'!$C$5:$C$104,"Velo",'12_MOBILITE'!$N$5:$N$104),""))</x:f>
      </x:c>
      <x:c r="G33" s="18"/>
      <x:c r="H33" s="18"/>
      <x:c r="I33" s="18"/>
      <x:c r="J33" s="18"/>
      <x:c r="K33" s="18" t="str">
        <x:f>IF(A33="","",IF(I33&lt;&gt;"Pret","A finaliser","OK"))</x:f>
      </x:c>
    </x:row>
    <x:row r="34">
      <x:c r="A34" s="18"/>
      <x:c r="B34" s="18"/>
      <x:c r="C34" s="18"/>
      <x:c r="D34" s="18"/>
      <x:c r="E34" s="18"/>
      <x:c r="F34" s="24" t="str">
        <x:f>IF(A34="","",SWITCH(A34,"C40-001",SUM('08_INVENTAIRE_GES'!$H$5:$H$104),"C40-002",AVERAGEIF('11_QUALITE_AIR'!$H$5:$H$104,"PM2.5",'11_QUALITE_AIR'!$I$5:$I$104),"C40-003",AVERAGE('14_DECHETS'!$L$5:$L$104),"C40-004",SUMIF('12_MOBILITE'!$C$5:$C$104,"Marche",'12_MOBILITE'!$N$5:$N$104)+SUMIF('12_MOBILITE'!$C$5:$C$104,"Velo",'12_MOBILITE'!$N$5:$N$104),""))</x:f>
      </x:c>
      <x:c r="G34" s="18"/>
      <x:c r="H34" s="18"/>
      <x:c r="I34" s="18"/>
      <x:c r="J34" s="18"/>
      <x:c r="K34" s="18" t="str">
        <x:f>IF(A34="","",IF(I34&lt;&gt;"Pret","A finaliser","OK"))</x:f>
      </x:c>
    </x:row>
    <x:row r="35">
      <x:c r="A35" s="18"/>
      <x:c r="B35" s="18"/>
      <x:c r="C35" s="18"/>
      <x:c r="D35" s="18"/>
      <x:c r="E35" s="18"/>
      <x:c r="F35" s="24" t="str">
        <x:f>IF(A35="","",SWITCH(A35,"C40-001",SUM('08_INVENTAIRE_GES'!$H$5:$H$104),"C40-002",AVERAGEIF('11_QUALITE_AIR'!$H$5:$H$104,"PM2.5",'11_QUALITE_AIR'!$I$5:$I$104),"C40-003",AVERAGE('14_DECHETS'!$L$5:$L$104),"C40-004",SUMIF('12_MOBILITE'!$C$5:$C$104,"Marche",'12_MOBILITE'!$N$5:$N$104)+SUMIF('12_MOBILITE'!$C$5:$C$104,"Velo",'12_MOBILITE'!$N$5:$N$104),""))</x:f>
      </x:c>
      <x:c r="G35" s="18"/>
      <x:c r="H35" s="18"/>
      <x:c r="I35" s="18"/>
      <x:c r="J35" s="18"/>
      <x:c r="K35" s="18" t="str">
        <x:f>IF(A35="","",IF(I35&lt;&gt;"Pret","A finaliser","OK"))</x:f>
      </x:c>
    </x:row>
    <x:row r="36">
      <x:c r="A36" s="18"/>
      <x:c r="B36" s="18"/>
      <x:c r="C36" s="18"/>
      <x:c r="D36" s="18"/>
      <x:c r="E36" s="18"/>
      <x:c r="F36" s="24" t="str">
        <x:f>IF(A36="","",SWITCH(A36,"C40-001",SUM('08_INVENTAIRE_GES'!$H$5:$H$104),"C40-002",AVERAGEIF('11_QUALITE_AIR'!$H$5:$H$104,"PM2.5",'11_QUALITE_AIR'!$I$5:$I$104),"C40-003",AVERAGE('14_DECHETS'!$L$5:$L$104),"C40-004",SUMIF('12_MOBILITE'!$C$5:$C$104,"Marche",'12_MOBILITE'!$N$5:$N$104)+SUMIF('12_MOBILITE'!$C$5:$C$104,"Velo",'12_MOBILITE'!$N$5:$N$104),""))</x:f>
      </x:c>
      <x:c r="G36" s="18"/>
      <x:c r="H36" s="18"/>
      <x:c r="I36" s="18"/>
      <x:c r="J36" s="18"/>
      <x:c r="K36" s="18" t="str">
        <x:f>IF(A36="","",IF(I36&lt;&gt;"Pret","A finaliser","OK"))</x:f>
      </x:c>
    </x:row>
    <x:row r="37">
      <x:c r="A37" s="18"/>
      <x:c r="B37" s="18"/>
      <x:c r="C37" s="18"/>
      <x:c r="D37" s="18"/>
      <x:c r="E37" s="18"/>
      <x:c r="F37" s="24" t="str">
        <x:f>IF(A37="","",SWITCH(A37,"C40-001",SUM('08_INVENTAIRE_GES'!$H$5:$H$104),"C40-002",AVERAGEIF('11_QUALITE_AIR'!$H$5:$H$104,"PM2.5",'11_QUALITE_AIR'!$I$5:$I$104),"C40-003",AVERAGE('14_DECHETS'!$L$5:$L$104),"C40-004",SUMIF('12_MOBILITE'!$C$5:$C$104,"Marche",'12_MOBILITE'!$N$5:$N$104)+SUMIF('12_MOBILITE'!$C$5:$C$104,"Velo",'12_MOBILITE'!$N$5:$N$104),""))</x:f>
      </x:c>
      <x:c r="G37" s="18"/>
      <x:c r="H37" s="18"/>
      <x:c r="I37" s="18"/>
      <x:c r="J37" s="18"/>
      <x:c r="K37" s="18" t="str">
        <x:f>IF(A37="","",IF(I37&lt;&gt;"Pret","A finaliser","OK"))</x:f>
      </x:c>
    </x:row>
    <x:row r="38">
      <x:c r="A38" s="18"/>
      <x:c r="B38" s="18"/>
      <x:c r="C38" s="18"/>
      <x:c r="D38" s="18"/>
      <x:c r="E38" s="18"/>
      <x:c r="F38" s="24" t="str">
        <x:f>IF(A38="","",SWITCH(A38,"C40-001",SUM('08_INVENTAIRE_GES'!$H$5:$H$104),"C40-002",AVERAGEIF('11_QUALITE_AIR'!$H$5:$H$104,"PM2.5",'11_QUALITE_AIR'!$I$5:$I$104),"C40-003",AVERAGE('14_DECHETS'!$L$5:$L$104),"C40-004",SUMIF('12_MOBILITE'!$C$5:$C$104,"Marche",'12_MOBILITE'!$N$5:$N$104)+SUMIF('12_MOBILITE'!$C$5:$C$104,"Velo",'12_MOBILITE'!$N$5:$N$104),""))</x:f>
      </x:c>
      <x:c r="G38" s="18"/>
      <x:c r="H38" s="18"/>
      <x:c r="I38" s="18"/>
      <x:c r="J38" s="18"/>
      <x:c r="K38" s="18" t="str">
        <x:f>IF(A38="","",IF(I38&lt;&gt;"Pret","A finaliser","OK"))</x:f>
      </x:c>
    </x:row>
    <x:row r="39">
      <x:c r="A39" s="18"/>
      <x:c r="B39" s="18"/>
      <x:c r="C39" s="18"/>
      <x:c r="D39" s="18"/>
      <x:c r="E39" s="18"/>
      <x:c r="F39" s="24" t="str">
        <x:f>IF(A39="","",SWITCH(A39,"C40-001",SUM('08_INVENTAIRE_GES'!$H$5:$H$104),"C40-002",AVERAGEIF('11_QUALITE_AIR'!$H$5:$H$104,"PM2.5",'11_QUALITE_AIR'!$I$5:$I$104),"C40-003",AVERAGE('14_DECHETS'!$L$5:$L$104),"C40-004",SUMIF('12_MOBILITE'!$C$5:$C$104,"Marche",'12_MOBILITE'!$N$5:$N$104)+SUMIF('12_MOBILITE'!$C$5:$C$104,"Velo",'12_MOBILITE'!$N$5:$N$104),""))</x:f>
      </x:c>
      <x:c r="G39" s="18"/>
      <x:c r="H39" s="18"/>
      <x:c r="I39" s="18"/>
      <x:c r="J39" s="18"/>
      <x:c r="K39" s="18" t="str">
        <x:f>IF(A39="","",IF(I39&lt;&gt;"Pret","A finaliser","OK"))</x:f>
      </x:c>
    </x:row>
    <x:row r="40">
      <x:c r="A40" s="18"/>
      <x:c r="B40" s="18"/>
      <x:c r="C40" s="18"/>
      <x:c r="D40" s="18"/>
      <x:c r="E40" s="18"/>
      <x:c r="F40" s="24" t="str">
        <x:f>IF(A40="","",SWITCH(A40,"C40-001",SUM('08_INVENTAIRE_GES'!$H$5:$H$104),"C40-002",AVERAGEIF('11_QUALITE_AIR'!$H$5:$H$104,"PM2.5",'11_QUALITE_AIR'!$I$5:$I$104),"C40-003",AVERAGE('14_DECHETS'!$L$5:$L$104),"C40-004",SUMIF('12_MOBILITE'!$C$5:$C$104,"Marche",'12_MOBILITE'!$N$5:$N$104)+SUMIF('12_MOBILITE'!$C$5:$C$104,"Velo",'12_MOBILITE'!$N$5:$N$104),""))</x:f>
      </x:c>
      <x:c r="G40" s="18"/>
      <x:c r="H40" s="18"/>
      <x:c r="I40" s="18"/>
      <x:c r="J40" s="18"/>
      <x:c r="K40" s="18" t="str">
        <x:f>IF(A40="","",IF(I40&lt;&gt;"Pret","A finaliser","OK"))</x:f>
      </x:c>
    </x:row>
    <x:row r="41">
      <x:c r="A41" s="18"/>
      <x:c r="B41" s="18"/>
      <x:c r="C41" s="18"/>
      <x:c r="D41" s="18"/>
      <x:c r="E41" s="18"/>
      <x:c r="F41" s="24" t="str">
        <x:f>IF(A41="","",SWITCH(A41,"C40-001",SUM('08_INVENTAIRE_GES'!$H$5:$H$104),"C40-002",AVERAGEIF('11_QUALITE_AIR'!$H$5:$H$104,"PM2.5",'11_QUALITE_AIR'!$I$5:$I$104),"C40-003",AVERAGE('14_DECHETS'!$L$5:$L$104),"C40-004",SUMIF('12_MOBILITE'!$C$5:$C$104,"Marche",'12_MOBILITE'!$N$5:$N$104)+SUMIF('12_MOBILITE'!$C$5:$C$104,"Velo",'12_MOBILITE'!$N$5:$N$104),""))</x:f>
      </x:c>
      <x:c r="G41" s="18"/>
      <x:c r="H41" s="18"/>
      <x:c r="I41" s="18"/>
      <x:c r="J41" s="18"/>
      <x:c r="K41" s="18" t="str">
        <x:f>IF(A41="","",IF(I41&lt;&gt;"Pret","A finaliser","OK"))</x:f>
      </x:c>
    </x:row>
    <x:row r="42">
      <x:c r="A42" s="18"/>
      <x:c r="B42" s="18"/>
      <x:c r="C42" s="18"/>
      <x:c r="D42" s="18"/>
      <x:c r="E42" s="18"/>
      <x:c r="F42" s="24" t="str">
        <x:f>IF(A42="","",SWITCH(A42,"C40-001",SUM('08_INVENTAIRE_GES'!$H$5:$H$104),"C40-002",AVERAGEIF('11_QUALITE_AIR'!$H$5:$H$104,"PM2.5",'11_QUALITE_AIR'!$I$5:$I$104),"C40-003",AVERAGE('14_DECHETS'!$L$5:$L$104),"C40-004",SUMIF('12_MOBILITE'!$C$5:$C$104,"Marche",'12_MOBILITE'!$N$5:$N$104)+SUMIF('12_MOBILITE'!$C$5:$C$104,"Velo",'12_MOBILITE'!$N$5:$N$104),""))</x:f>
      </x:c>
      <x:c r="G42" s="18"/>
      <x:c r="H42" s="18"/>
      <x:c r="I42" s="18"/>
      <x:c r="J42" s="18"/>
      <x:c r="K42" s="18" t="str">
        <x:f>IF(A42="","",IF(I42&lt;&gt;"Pret","A finaliser","OK"))</x:f>
      </x:c>
    </x:row>
    <x:row r="43">
      <x:c r="A43" s="18"/>
      <x:c r="B43" s="18"/>
      <x:c r="C43" s="18"/>
      <x:c r="D43" s="18"/>
      <x:c r="E43" s="18"/>
      <x:c r="F43" s="24" t="str">
        <x:f>IF(A43="","",SWITCH(A43,"C40-001",SUM('08_INVENTAIRE_GES'!$H$5:$H$104),"C40-002",AVERAGEIF('11_QUALITE_AIR'!$H$5:$H$104,"PM2.5",'11_QUALITE_AIR'!$I$5:$I$104),"C40-003",AVERAGE('14_DECHETS'!$L$5:$L$104),"C40-004",SUMIF('12_MOBILITE'!$C$5:$C$104,"Marche",'12_MOBILITE'!$N$5:$N$104)+SUMIF('12_MOBILITE'!$C$5:$C$104,"Velo",'12_MOBILITE'!$N$5:$N$104),""))</x:f>
      </x:c>
      <x:c r="G43" s="18"/>
      <x:c r="H43" s="18"/>
      <x:c r="I43" s="18"/>
      <x:c r="J43" s="18"/>
      <x:c r="K43" s="18" t="str">
        <x:f>IF(A43="","",IF(I43&lt;&gt;"Pret","A finaliser","OK"))</x:f>
      </x:c>
    </x:row>
    <x:row r="44">
      <x:c r="A44" s="18"/>
      <x:c r="B44" s="18"/>
      <x:c r="C44" s="18"/>
      <x:c r="D44" s="18"/>
      <x:c r="E44" s="18"/>
      <x:c r="F44" s="24" t="str">
        <x:f>IF(A44="","",SWITCH(A44,"C40-001",SUM('08_INVENTAIRE_GES'!$H$5:$H$104),"C40-002",AVERAGEIF('11_QUALITE_AIR'!$H$5:$H$104,"PM2.5",'11_QUALITE_AIR'!$I$5:$I$104),"C40-003",AVERAGE('14_DECHETS'!$L$5:$L$104),"C40-004",SUMIF('12_MOBILITE'!$C$5:$C$104,"Marche",'12_MOBILITE'!$N$5:$N$104)+SUMIF('12_MOBILITE'!$C$5:$C$104,"Velo",'12_MOBILITE'!$N$5:$N$104),""))</x:f>
      </x:c>
      <x:c r="G44" s="18"/>
      <x:c r="H44" s="18"/>
      <x:c r="I44" s="18"/>
      <x:c r="J44" s="18"/>
      <x:c r="K44" s="18" t="str">
        <x:f>IF(A44="","",IF(I44&lt;&gt;"Pret","A finaliser","OK"))</x:f>
      </x:c>
    </x:row>
  </x:sheetData>
  <x:mergeCells>
    <x:mergeCell ref="A1:J1"/>
    <x:mergeCell ref="A2:J2"/>
  </x:mergeCells>
  <x:conditionalFormatting sqref="K5:K44">
    <x:cfRule type="containsText" dxfId="80" priority="1" operator="containsText" text="Retard"/>
    <x:cfRule type="containsText" dxfId="81" priority="2" operator="containsText" text="critique"/>
    <x:cfRule type="containsText" dxfId="82" priority="3" operator="containsText" text="manquant"/>
    <x:cfRule type="containsText" dxfId="83"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I5:I44">
      <x:formula1>"Pret,A completer,A verifier,Non disponible,Soumis"</x:formula1>
    </x:dataValidation>
  </x:dataValidations>
  <x:pageMargins left="0.7" right="0.7" top="0.75" bottom="0.75" header="0.3" footer="0.3"/>
  <x:tableParts count="1">
    <x:tablePart xmlns:r="http://schemas.openxmlformats.org/officeDocument/2006/relationships" r:id="R02af2f5e4f0e42d6"/>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0.6299991607666" hidden="0" customWidth="1"/>
    <x:col min="3" max="3" width="32.5" hidden="0" customWidth="1"/>
    <x:col min="4" max="4" width="27.5" hidden="0" customWidth="1"/>
    <x:col min="5" max="5" width="18.75" hidden="0" customWidth="1"/>
    <x:col min="6" max="6" width="16.25" hidden="0" customWidth="1"/>
    <x:col min="7" max="7" width="11.880000114440918" hidden="0" customWidth="1"/>
    <x:col min="8" max="8" width="16.25" hidden="0" customWidth="1"/>
    <x:col min="9" max="9" width="21.25" hidden="0" customWidth="1"/>
    <x:col min="10" max="10" width="18.1299991607666" hidden="0" customWidth="1"/>
  </x:cols>
  <x:sheetData>
    <x:row r="1" ht="25.5" customHeight="1">
      <x:c r="A1" s="2" t="str">
        <x:v>Suivi CoM SSA / SEACAP</x:v>
      </x:c>
      <x:c r="B1" s="2"/>
      <x:c r="C1" s="2"/>
      <x:c r="D1" s="2"/>
      <x:c r="E1" s="2"/>
      <x:c r="F1" s="2"/>
      <x:c r="G1" s="2"/>
      <x:c r="H1" s="2"/>
      <x:c r="I1" s="2"/>
      <x:c r="J1" s="2"/>
    </x:row>
    <x:row r="2" ht="31.5" customHeight="1">
      <x:c r="A2" s="5" t="str">
        <x:v>Structuration selon les piliers energie durable, acces a l'energie, mitigation, adaptation et mise en oeuvre.</x:v>
      </x:c>
      <x:c r="B2" s="5"/>
      <x:c r="C2" s="5"/>
      <x:c r="D2" s="5"/>
      <x:c r="E2" s="5"/>
      <x:c r="F2" s="5"/>
      <x:c r="G2" s="5"/>
      <x:c r="H2" s="5"/>
      <x:c r="I2" s="5"/>
      <x:c r="J2" s="5"/>
    </x:row>
    <x:row r="4" ht="28.5" customHeight="1">
      <x:c r="A4" s="16" t="str">
        <x:v>COMSSA_ID</x:v>
      </x:c>
      <x:c r="B4" s="16" t="str">
        <x:v>Pilier_SEACAP</x:v>
      </x:c>
      <x:c r="C4" s="16" t="str">
        <x:v>Exigence_indicative</x:v>
      </x:c>
      <x:c r="D4" s="16" t="str">
        <x:v>Indicateur_Dakar</x:v>
      </x:c>
      <x:c r="E4" s="16" t="str">
        <x:v>Onglet_source</x:v>
      </x:c>
      <x:c r="F4" s="16" t="str">
        <x:v>Valeur</x:v>
      </x:c>
      <x:c r="G4" s="16" t="str">
        <x:v>Unite</x:v>
      </x:c>
      <x:c r="H4" s="16" t="str">
        <x:v>Statut</x:v>
      </x:c>
      <x:c r="I4" s="16" t="str">
        <x:v>Responsable</x:v>
      </x:c>
      <x:c r="J4" s="16" t="str">
        <x:v>Alerte</x:v>
      </x:c>
    </x:row>
    <x:row r="5">
      <x:c r="A5" s="18" t="str">
        <x:v>COM-001</x:v>
      </x:c>
      <x:c r="B5" s="18" t="str">
        <x:v>Mitigation</x:v>
      </x:c>
      <x:c r="C5" s="18" t="str">
        <x:v>Inventaire emissions et actions</x:v>
      </x:c>
      <x:c r="D5" s="18" t="str">
        <x:v>Emissions tCO2e</x:v>
      </x:c>
      <x:c r="E5" s="18" t="str">
        <x:v>08_INVENTAIRE_GES</x:v>
      </x:c>
      <x:c r="F5" s="24" t="n">
        <x:f>IF(A5="","",SWITCH(A5,"COM-001",SUM('08_INVENTAIRE_GES'!$H$5:$H$104),"COM-002",AVERAGE('13_ENERGIE'!$L$5:$L$104),"COM-003",COUNTIF('18_RISQUES_HYPOTHESES'!$H$5:$H$104,"Critique"),"COM-004",SUM('05_PROJETS_CLIMAT'!$V$5:$V$104),""))</x:f>
        <x:v>1515200</x:v>
      </x:c>
      <x:c r="G5" s="18" t="str">
        <x:v>tCO2e</x:v>
      </x:c>
      <x:c r="H5" s="18" t="str">
        <x:v>A verifier</x:v>
      </x:c>
      <x:c r="I5" s="18" t="str">
        <x:v>Referent GES</x:v>
      </x:c>
      <x:c r="J5" s="18" t="str">
        <x:f>IF(A5="","",IF(H5&lt;&gt;"Pret","A finaliser","OK"))</x:f>
        <x:v>A finaliser</x:v>
      </x:c>
    </x:row>
    <x:row r="6">
      <x:c r="A6" s="18" t="str">
        <x:v>COM-002</x:v>
      </x:c>
      <x:c r="B6" s="18" t="str">
        <x:v>Energie durable</x:v>
      </x:c>
      <x:c r="C6" s="18" t="str">
        <x:v>Efficacite energetique et renouvelables</x:v>
      </x:c>
      <x:c r="D6" s="18" t="str">
        <x:v>Part renouvelable energie</x:v>
      </x:c>
      <x:c r="E6" s="18" t="str">
        <x:v>13_ENERGIE</x:v>
      </x:c>
      <x:c r="F6" s="24" t="n">
        <x:f>IF(A6="","",SWITCH(A6,"COM-001",SUM('08_INVENTAIRE_GES'!$H$5:$H$104),"COM-002",AVERAGE('13_ENERGIE'!$L$5:$L$104),"COM-003",COUNTIF('18_RISQUES_HYPOTHESES'!$H$5:$H$104,"Critique"),"COM-004",SUM('05_PROJETS_CLIMAT'!$V$5:$V$104),""))</x:f>
        <x:v>0.3566666666666667</x:v>
      </x:c>
      <x:c r="G6" s="18" t="str">
        <x:v>%</x:v>
      </x:c>
      <x:c r="H6" s="18" t="str">
        <x:v>A completer</x:v>
      </x:c>
      <x:c r="I6" s="18" t="str">
        <x:v>Direction Energie</x:v>
      </x:c>
      <x:c r="J6" s="18" t="str">
        <x:f>IF(A6="","",IF(H6&lt;&gt;"Pret","A finaliser","OK"))</x:f>
        <x:v>A finaliser</x:v>
      </x:c>
    </x:row>
    <x:row r="7">
      <x:c r="A7" s="18" t="str">
        <x:v>COM-003</x:v>
      </x:c>
      <x:c r="B7" s="18" t="str">
        <x:v>Adaptation</x:v>
      </x:c>
      <x:c r="C7" s="18" t="str">
        <x:v>Risques et mesures d'adaptation</x:v>
      </x:c>
      <x:c r="D7" s="18" t="str">
        <x:v>Risques critiques ouverts</x:v>
      </x:c>
      <x:c r="E7" s="18" t="str">
        <x:v>18_RISQUES_HYPOTHESES</x:v>
      </x:c>
      <x:c r="F7" s="24" t="n">
        <x:f>IF(A7="","",SWITCH(A7,"COM-001",SUM('08_INVENTAIRE_GES'!$H$5:$H$104),"COM-002",AVERAGE('13_ENERGIE'!$L$5:$L$104),"COM-003",COUNTIF('18_RISQUES_HYPOTHESES'!$H$5:$H$104,"Critique"),"COM-004",SUM('05_PROJETS_CLIMAT'!$V$5:$V$104),""))</x:f>
        <x:v>2</x:v>
      </x:c>
      <x:c r="G7" s="18" t="str">
        <x:v>nombre</x:v>
      </x:c>
      <x:c r="H7" s="18" t="str">
        <x:v>A completer</x:v>
      </x:c>
      <x:c r="I7" s="18" t="str">
        <x:v>Direction Planification</x:v>
      </x:c>
      <x:c r="J7" s="18" t="str">
        <x:f>IF(A7="","",IF(H7&lt;&gt;"Pret","A finaliser","OK"))</x:f>
        <x:v>A finaliser</x:v>
      </x:c>
    </x:row>
    <x:row r="8">
      <x:c r="A8" s="18" t="str">
        <x:v>COM-004</x:v>
      </x:c>
      <x:c r="B8" s="18" t="str">
        <x:v>Acces / co-benefices</x:v>
      </x:c>
      <x:c r="C8" s="18" t="str">
        <x:v>Beneficiaires et inclusion</x:v>
      </x:c>
      <x:c r="D8" s="18" t="str">
        <x:v>Beneficiaires projets climat</x:v>
      </x:c>
      <x:c r="E8" s="18" t="str">
        <x:v>05_PROJETS_CLIMAT</x:v>
      </x:c>
      <x:c r="F8" s="24" t="n">
        <x:f>IF(A8="","",SWITCH(A8,"COM-001",SUM('08_INVENTAIRE_GES'!$H$5:$H$104),"COM-002",AVERAGE('13_ENERGIE'!$L$5:$L$104),"COM-003",COUNTIF('18_RISQUES_HYPOTHESES'!$H$5:$H$104,"Critique"),"COM-004",SUM('05_PROJETS_CLIMAT'!$V$5:$V$104),""))</x:f>
        <x:v>2090000</x:v>
      </x:c>
      <x:c r="G8" s="18" t="str">
        <x:v>personnes</x:v>
      </x:c>
      <x:c r="H8" s="18" t="str">
        <x:v>A verifier</x:v>
      </x:c>
      <x:c r="I8" s="18" t="str">
        <x:v>Cellule climat</x:v>
      </x:c>
      <x:c r="J8" s="18" t="str">
        <x:f>IF(A8="","",IF(H8&lt;&gt;"Pret","A finaliser","OK"))</x:f>
        <x:v>A finaliser</x:v>
      </x:c>
    </x:row>
    <x:row r="9">
      <x:c r="A9" s="18"/>
      <x:c r="B9" s="18"/>
      <x:c r="C9" s="18"/>
      <x:c r="D9" s="18"/>
      <x:c r="E9" s="18"/>
      <x:c r="F9" s="24" t="str">
        <x:f>IF(A9="","",SWITCH(A9,"COM-001",SUM('08_INVENTAIRE_GES'!$H$5:$H$104),"COM-002",AVERAGE('13_ENERGIE'!$L$5:$L$104),"COM-003",COUNTIF('18_RISQUES_HYPOTHESES'!$H$5:$H$104,"Critique"),"COM-004",SUM('05_PROJETS_CLIMAT'!$V$5:$V$104),""))</x:f>
      </x:c>
      <x:c r="G9" s="18"/>
      <x:c r="H9" s="18"/>
      <x:c r="I9" s="18"/>
      <x:c r="J9" s="18" t="str">
        <x:f>IF(A9="","",IF(H9&lt;&gt;"Pret","A finaliser","OK"))</x:f>
      </x:c>
    </x:row>
    <x:row r="10">
      <x:c r="A10" s="18"/>
      <x:c r="B10" s="18"/>
      <x:c r="C10" s="18"/>
      <x:c r="D10" s="18"/>
      <x:c r="E10" s="18"/>
      <x:c r="F10" s="24" t="str">
        <x:f>IF(A10="","",SWITCH(A10,"COM-001",SUM('08_INVENTAIRE_GES'!$H$5:$H$104),"COM-002",AVERAGE('13_ENERGIE'!$L$5:$L$104),"COM-003",COUNTIF('18_RISQUES_HYPOTHESES'!$H$5:$H$104,"Critique"),"COM-004",SUM('05_PROJETS_CLIMAT'!$V$5:$V$104),""))</x:f>
      </x:c>
      <x:c r="G10" s="18"/>
      <x:c r="H10" s="18"/>
      <x:c r="I10" s="18"/>
      <x:c r="J10" s="18" t="str">
        <x:f>IF(A10="","",IF(H10&lt;&gt;"Pret","A finaliser","OK"))</x:f>
      </x:c>
    </x:row>
    <x:row r="11">
      <x:c r="A11" s="18"/>
      <x:c r="B11" s="18"/>
      <x:c r="C11" s="18"/>
      <x:c r="D11" s="18"/>
      <x:c r="E11" s="18"/>
      <x:c r="F11" s="24" t="str">
        <x:f>IF(A11="","",SWITCH(A11,"COM-001",SUM('08_INVENTAIRE_GES'!$H$5:$H$104),"COM-002",AVERAGE('13_ENERGIE'!$L$5:$L$104),"COM-003",COUNTIF('18_RISQUES_HYPOTHESES'!$H$5:$H$104,"Critique"),"COM-004",SUM('05_PROJETS_CLIMAT'!$V$5:$V$104),""))</x:f>
      </x:c>
      <x:c r="G11" s="18"/>
      <x:c r="H11" s="18"/>
      <x:c r="I11" s="18"/>
      <x:c r="J11" s="18" t="str">
        <x:f>IF(A11="","",IF(H11&lt;&gt;"Pret","A finaliser","OK"))</x:f>
      </x:c>
    </x:row>
    <x:row r="12">
      <x:c r="A12" s="18"/>
      <x:c r="B12" s="18"/>
      <x:c r="C12" s="18"/>
      <x:c r="D12" s="18"/>
      <x:c r="E12" s="18"/>
      <x:c r="F12" s="24" t="str">
        <x:f>IF(A12="","",SWITCH(A12,"COM-001",SUM('08_INVENTAIRE_GES'!$H$5:$H$104),"COM-002",AVERAGE('13_ENERGIE'!$L$5:$L$104),"COM-003",COUNTIF('18_RISQUES_HYPOTHESES'!$H$5:$H$104,"Critique"),"COM-004",SUM('05_PROJETS_CLIMAT'!$V$5:$V$104),""))</x:f>
      </x:c>
      <x:c r="G12" s="18"/>
      <x:c r="H12" s="18"/>
      <x:c r="I12" s="18"/>
      <x:c r="J12" s="18" t="str">
        <x:f>IF(A12="","",IF(H12&lt;&gt;"Pret","A finaliser","OK"))</x:f>
      </x:c>
    </x:row>
    <x:row r="13">
      <x:c r="A13" s="18"/>
      <x:c r="B13" s="18"/>
      <x:c r="C13" s="18"/>
      <x:c r="D13" s="18"/>
      <x:c r="E13" s="18"/>
      <x:c r="F13" s="24" t="str">
        <x:f>IF(A13="","",SWITCH(A13,"COM-001",SUM('08_INVENTAIRE_GES'!$H$5:$H$104),"COM-002",AVERAGE('13_ENERGIE'!$L$5:$L$104),"COM-003",COUNTIF('18_RISQUES_HYPOTHESES'!$H$5:$H$104,"Critique"),"COM-004",SUM('05_PROJETS_CLIMAT'!$V$5:$V$104),""))</x:f>
      </x:c>
      <x:c r="G13" s="18"/>
      <x:c r="H13" s="18"/>
      <x:c r="I13" s="18"/>
      <x:c r="J13" s="18" t="str">
        <x:f>IF(A13="","",IF(H13&lt;&gt;"Pret","A finaliser","OK"))</x:f>
      </x:c>
    </x:row>
    <x:row r="14">
      <x:c r="A14" s="18"/>
      <x:c r="B14" s="18"/>
      <x:c r="C14" s="18"/>
      <x:c r="D14" s="18"/>
      <x:c r="E14" s="18"/>
      <x:c r="F14" s="24" t="str">
        <x:f>IF(A14="","",SWITCH(A14,"COM-001",SUM('08_INVENTAIRE_GES'!$H$5:$H$104),"COM-002",AVERAGE('13_ENERGIE'!$L$5:$L$104),"COM-003",COUNTIF('18_RISQUES_HYPOTHESES'!$H$5:$H$104,"Critique"),"COM-004",SUM('05_PROJETS_CLIMAT'!$V$5:$V$104),""))</x:f>
      </x:c>
      <x:c r="G14" s="18"/>
      <x:c r="H14" s="18"/>
      <x:c r="I14" s="18"/>
      <x:c r="J14" s="18" t="str">
        <x:f>IF(A14="","",IF(H14&lt;&gt;"Pret","A finaliser","OK"))</x:f>
      </x:c>
    </x:row>
    <x:row r="15">
      <x:c r="A15" s="18"/>
      <x:c r="B15" s="18"/>
      <x:c r="C15" s="18"/>
      <x:c r="D15" s="18"/>
      <x:c r="E15" s="18"/>
      <x:c r="F15" s="24" t="str">
        <x:f>IF(A15="","",SWITCH(A15,"COM-001",SUM('08_INVENTAIRE_GES'!$H$5:$H$104),"COM-002",AVERAGE('13_ENERGIE'!$L$5:$L$104),"COM-003",COUNTIF('18_RISQUES_HYPOTHESES'!$H$5:$H$104,"Critique"),"COM-004",SUM('05_PROJETS_CLIMAT'!$V$5:$V$104),""))</x:f>
      </x:c>
      <x:c r="G15" s="18"/>
      <x:c r="H15" s="18"/>
      <x:c r="I15" s="18"/>
      <x:c r="J15" s="18" t="str">
        <x:f>IF(A15="","",IF(H15&lt;&gt;"Pret","A finaliser","OK"))</x:f>
      </x:c>
    </x:row>
    <x:row r="16">
      <x:c r="A16" s="18"/>
      <x:c r="B16" s="18"/>
      <x:c r="C16" s="18"/>
      <x:c r="D16" s="18"/>
      <x:c r="E16" s="18"/>
      <x:c r="F16" s="24" t="str">
        <x:f>IF(A16="","",SWITCH(A16,"COM-001",SUM('08_INVENTAIRE_GES'!$H$5:$H$104),"COM-002",AVERAGE('13_ENERGIE'!$L$5:$L$104),"COM-003",COUNTIF('18_RISQUES_HYPOTHESES'!$H$5:$H$104,"Critique"),"COM-004",SUM('05_PROJETS_CLIMAT'!$V$5:$V$104),""))</x:f>
      </x:c>
      <x:c r="G16" s="18"/>
      <x:c r="H16" s="18"/>
      <x:c r="I16" s="18"/>
      <x:c r="J16" s="18" t="str">
        <x:f>IF(A16="","",IF(H16&lt;&gt;"Pret","A finaliser","OK"))</x:f>
      </x:c>
    </x:row>
    <x:row r="17">
      <x:c r="A17" s="18"/>
      <x:c r="B17" s="18"/>
      <x:c r="C17" s="18"/>
      <x:c r="D17" s="18"/>
      <x:c r="E17" s="18"/>
      <x:c r="F17" s="24" t="str">
        <x:f>IF(A17="","",SWITCH(A17,"COM-001",SUM('08_INVENTAIRE_GES'!$H$5:$H$104),"COM-002",AVERAGE('13_ENERGIE'!$L$5:$L$104),"COM-003",COUNTIF('18_RISQUES_HYPOTHESES'!$H$5:$H$104,"Critique"),"COM-004",SUM('05_PROJETS_CLIMAT'!$V$5:$V$104),""))</x:f>
      </x:c>
      <x:c r="G17" s="18"/>
      <x:c r="H17" s="18"/>
      <x:c r="I17" s="18"/>
      <x:c r="J17" s="18" t="str">
        <x:f>IF(A17="","",IF(H17&lt;&gt;"Pret","A finaliser","OK"))</x:f>
      </x:c>
    </x:row>
    <x:row r="18">
      <x:c r="A18" s="18"/>
      <x:c r="B18" s="18"/>
      <x:c r="C18" s="18"/>
      <x:c r="D18" s="18"/>
      <x:c r="E18" s="18"/>
      <x:c r="F18" s="24" t="str">
        <x:f>IF(A18="","",SWITCH(A18,"COM-001",SUM('08_INVENTAIRE_GES'!$H$5:$H$104),"COM-002",AVERAGE('13_ENERGIE'!$L$5:$L$104),"COM-003",COUNTIF('18_RISQUES_HYPOTHESES'!$H$5:$H$104,"Critique"),"COM-004",SUM('05_PROJETS_CLIMAT'!$V$5:$V$104),""))</x:f>
      </x:c>
      <x:c r="G18" s="18"/>
      <x:c r="H18" s="18"/>
      <x:c r="I18" s="18"/>
      <x:c r="J18" s="18" t="str">
        <x:f>IF(A18="","",IF(H18&lt;&gt;"Pret","A finaliser","OK"))</x:f>
      </x:c>
    </x:row>
    <x:row r="19">
      <x:c r="A19" s="18"/>
      <x:c r="B19" s="18"/>
      <x:c r="C19" s="18"/>
      <x:c r="D19" s="18"/>
      <x:c r="E19" s="18"/>
      <x:c r="F19" s="24" t="str">
        <x:f>IF(A19="","",SWITCH(A19,"COM-001",SUM('08_INVENTAIRE_GES'!$H$5:$H$104),"COM-002",AVERAGE('13_ENERGIE'!$L$5:$L$104),"COM-003",COUNTIF('18_RISQUES_HYPOTHESES'!$H$5:$H$104,"Critique"),"COM-004",SUM('05_PROJETS_CLIMAT'!$V$5:$V$104),""))</x:f>
      </x:c>
      <x:c r="G19" s="18"/>
      <x:c r="H19" s="18"/>
      <x:c r="I19" s="18"/>
      <x:c r="J19" s="18" t="str">
        <x:f>IF(A19="","",IF(H19&lt;&gt;"Pret","A finaliser","OK"))</x:f>
      </x:c>
    </x:row>
    <x:row r="20">
      <x:c r="A20" s="18"/>
      <x:c r="B20" s="18"/>
      <x:c r="C20" s="18"/>
      <x:c r="D20" s="18"/>
      <x:c r="E20" s="18"/>
      <x:c r="F20" s="24" t="str">
        <x:f>IF(A20="","",SWITCH(A20,"COM-001",SUM('08_INVENTAIRE_GES'!$H$5:$H$104),"COM-002",AVERAGE('13_ENERGIE'!$L$5:$L$104),"COM-003",COUNTIF('18_RISQUES_HYPOTHESES'!$H$5:$H$104,"Critique"),"COM-004",SUM('05_PROJETS_CLIMAT'!$V$5:$V$104),""))</x:f>
      </x:c>
      <x:c r="G20" s="18"/>
      <x:c r="H20" s="18"/>
      <x:c r="I20" s="18"/>
      <x:c r="J20" s="18" t="str">
        <x:f>IF(A20="","",IF(H20&lt;&gt;"Pret","A finaliser","OK"))</x:f>
      </x:c>
    </x:row>
    <x:row r="21">
      <x:c r="A21" s="18"/>
      <x:c r="B21" s="18"/>
      <x:c r="C21" s="18"/>
      <x:c r="D21" s="18"/>
      <x:c r="E21" s="18"/>
      <x:c r="F21" s="24" t="str">
        <x:f>IF(A21="","",SWITCH(A21,"COM-001",SUM('08_INVENTAIRE_GES'!$H$5:$H$104),"COM-002",AVERAGE('13_ENERGIE'!$L$5:$L$104),"COM-003",COUNTIF('18_RISQUES_HYPOTHESES'!$H$5:$H$104,"Critique"),"COM-004",SUM('05_PROJETS_CLIMAT'!$V$5:$V$104),""))</x:f>
      </x:c>
      <x:c r="G21" s="18"/>
      <x:c r="H21" s="18"/>
      <x:c r="I21" s="18"/>
      <x:c r="J21" s="18" t="str">
        <x:f>IF(A21="","",IF(H21&lt;&gt;"Pret","A finaliser","OK"))</x:f>
      </x:c>
    </x:row>
    <x:row r="22">
      <x:c r="A22" s="18"/>
      <x:c r="B22" s="18"/>
      <x:c r="C22" s="18"/>
      <x:c r="D22" s="18"/>
      <x:c r="E22" s="18"/>
      <x:c r="F22" s="24" t="str">
        <x:f>IF(A22="","",SWITCH(A22,"COM-001",SUM('08_INVENTAIRE_GES'!$H$5:$H$104),"COM-002",AVERAGE('13_ENERGIE'!$L$5:$L$104),"COM-003",COUNTIF('18_RISQUES_HYPOTHESES'!$H$5:$H$104,"Critique"),"COM-004",SUM('05_PROJETS_CLIMAT'!$V$5:$V$104),""))</x:f>
      </x:c>
      <x:c r="G22" s="18"/>
      <x:c r="H22" s="18"/>
      <x:c r="I22" s="18"/>
      <x:c r="J22" s="18" t="str">
        <x:f>IF(A22="","",IF(H22&lt;&gt;"Pret","A finaliser","OK"))</x:f>
      </x:c>
    </x:row>
    <x:row r="23">
      <x:c r="A23" s="18"/>
      <x:c r="B23" s="18"/>
      <x:c r="C23" s="18"/>
      <x:c r="D23" s="18"/>
      <x:c r="E23" s="18"/>
      <x:c r="F23" s="24" t="str">
        <x:f>IF(A23="","",SWITCH(A23,"COM-001",SUM('08_INVENTAIRE_GES'!$H$5:$H$104),"COM-002",AVERAGE('13_ENERGIE'!$L$5:$L$104),"COM-003",COUNTIF('18_RISQUES_HYPOTHESES'!$H$5:$H$104,"Critique"),"COM-004",SUM('05_PROJETS_CLIMAT'!$V$5:$V$104),""))</x:f>
      </x:c>
      <x:c r="G23" s="18"/>
      <x:c r="H23" s="18"/>
      <x:c r="I23" s="18"/>
      <x:c r="J23" s="18" t="str">
        <x:f>IF(A23="","",IF(H23&lt;&gt;"Pret","A finaliser","OK"))</x:f>
      </x:c>
    </x:row>
    <x:row r="24">
      <x:c r="A24" s="18"/>
      <x:c r="B24" s="18"/>
      <x:c r="C24" s="18"/>
      <x:c r="D24" s="18"/>
      <x:c r="E24" s="18"/>
      <x:c r="F24" s="24" t="str">
        <x:f>IF(A24="","",SWITCH(A24,"COM-001",SUM('08_INVENTAIRE_GES'!$H$5:$H$104),"COM-002",AVERAGE('13_ENERGIE'!$L$5:$L$104),"COM-003",COUNTIF('18_RISQUES_HYPOTHESES'!$H$5:$H$104,"Critique"),"COM-004",SUM('05_PROJETS_CLIMAT'!$V$5:$V$104),""))</x:f>
      </x:c>
      <x:c r="G24" s="18"/>
      <x:c r="H24" s="18"/>
      <x:c r="I24" s="18"/>
      <x:c r="J24" s="18" t="str">
        <x:f>IF(A24="","",IF(H24&lt;&gt;"Pret","A finaliser","OK"))</x:f>
      </x:c>
    </x:row>
    <x:row r="25">
      <x:c r="A25" s="18"/>
      <x:c r="B25" s="18"/>
      <x:c r="C25" s="18"/>
      <x:c r="D25" s="18"/>
      <x:c r="E25" s="18"/>
      <x:c r="F25" s="24" t="str">
        <x:f>IF(A25="","",SWITCH(A25,"COM-001",SUM('08_INVENTAIRE_GES'!$H$5:$H$104),"COM-002",AVERAGE('13_ENERGIE'!$L$5:$L$104),"COM-003",COUNTIF('18_RISQUES_HYPOTHESES'!$H$5:$H$104,"Critique"),"COM-004",SUM('05_PROJETS_CLIMAT'!$V$5:$V$104),""))</x:f>
      </x:c>
      <x:c r="G25" s="18"/>
      <x:c r="H25" s="18"/>
      <x:c r="I25" s="18"/>
      <x:c r="J25" s="18" t="str">
        <x:f>IF(A25="","",IF(H25&lt;&gt;"Pret","A finaliser","OK"))</x:f>
      </x:c>
    </x:row>
    <x:row r="26">
      <x:c r="A26" s="18"/>
      <x:c r="B26" s="18"/>
      <x:c r="C26" s="18"/>
      <x:c r="D26" s="18"/>
      <x:c r="E26" s="18"/>
      <x:c r="F26" s="24" t="str">
        <x:f>IF(A26="","",SWITCH(A26,"COM-001",SUM('08_INVENTAIRE_GES'!$H$5:$H$104),"COM-002",AVERAGE('13_ENERGIE'!$L$5:$L$104),"COM-003",COUNTIF('18_RISQUES_HYPOTHESES'!$H$5:$H$104,"Critique"),"COM-004",SUM('05_PROJETS_CLIMAT'!$V$5:$V$104),""))</x:f>
      </x:c>
      <x:c r="G26" s="18"/>
      <x:c r="H26" s="18"/>
      <x:c r="I26" s="18"/>
      <x:c r="J26" s="18" t="str">
        <x:f>IF(A26="","",IF(H26&lt;&gt;"Pret","A finaliser","OK"))</x:f>
      </x:c>
    </x:row>
    <x:row r="27">
      <x:c r="A27" s="18"/>
      <x:c r="B27" s="18"/>
      <x:c r="C27" s="18"/>
      <x:c r="D27" s="18"/>
      <x:c r="E27" s="18"/>
      <x:c r="F27" s="24" t="str">
        <x:f>IF(A27="","",SWITCH(A27,"COM-001",SUM('08_INVENTAIRE_GES'!$H$5:$H$104),"COM-002",AVERAGE('13_ENERGIE'!$L$5:$L$104),"COM-003",COUNTIF('18_RISQUES_HYPOTHESES'!$H$5:$H$104,"Critique"),"COM-004",SUM('05_PROJETS_CLIMAT'!$V$5:$V$104),""))</x:f>
      </x:c>
      <x:c r="G27" s="18"/>
      <x:c r="H27" s="18"/>
      <x:c r="I27" s="18"/>
      <x:c r="J27" s="18" t="str">
        <x:f>IF(A27="","",IF(H27&lt;&gt;"Pret","A finaliser","OK"))</x:f>
      </x:c>
    </x:row>
    <x:row r="28">
      <x:c r="A28" s="18"/>
      <x:c r="B28" s="18"/>
      <x:c r="C28" s="18"/>
      <x:c r="D28" s="18"/>
      <x:c r="E28" s="18"/>
      <x:c r="F28" s="24" t="str">
        <x:f>IF(A28="","",SWITCH(A28,"COM-001",SUM('08_INVENTAIRE_GES'!$H$5:$H$104),"COM-002",AVERAGE('13_ENERGIE'!$L$5:$L$104),"COM-003",COUNTIF('18_RISQUES_HYPOTHESES'!$H$5:$H$104,"Critique"),"COM-004",SUM('05_PROJETS_CLIMAT'!$V$5:$V$104),""))</x:f>
      </x:c>
      <x:c r="G28" s="18"/>
      <x:c r="H28" s="18"/>
      <x:c r="I28" s="18"/>
      <x:c r="J28" s="18" t="str">
        <x:f>IF(A28="","",IF(H28&lt;&gt;"Pret","A finaliser","OK"))</x:f>
      </x:c>
    </x:row>
    <x:row r="29">
      <x:c r="A29" s="18"/>
      <x:c r="B29" s="18"/>
      <x:c r="C29" s="18"/>
      <x:c r="D29" s="18"/>
      <x:c r="E29" s="18"/>
      <x:c r="F29" s="24" t="str">
        <x:f>IF(A29="","",SWITCH(A29,"COM-001",SUM('08_INVENTAIRE_GES'!$H$5:$H$104),"COM-002",AVERAGE('13_ENERGIE'!$L$5:$L$104),"COM-003",COUNTIF('18_RISQUES_HYPOTHESES'!$H$5:$H$104,"Critique"),"COM-004",SUM('05_PROJETS_CLIMAT'!$V$5:$V$104),""))</x:f>
      </x:c>
      <x:c r="G29" s="18"/>
      <x:c r="H29" s="18"/>
      <x:c r="I29" s="18"/>
      <x:c r="J29" s="18" t="str">
        <x:f>IF(A29="","",IF(H29&lt;&gt;"Pret","A finaliser","OK"))</x:f>
      </x:c>
    </x:row>
    <x:row r="30">
      <x:c r="A30" s="18"/>
      <x:c r="B30" s="18"/>
      <x:c r="C30" s="18"/>
      <x:c r="D30" s="18"/>
      <x:c r="E30" s="18"/>
      <x:c r="F30" s="24" t="str">
        <x:f>IF(A30="","",SWITCH(A30,"COM-001",SUM('08_INVENTAIRE_GES'!$H$5:$H$104),"COM-002",AVERAGE('13_ENERGIE'!$L$5:$L$104),"COM-003",COUNTIF('18_RISQUES_HYPOTHESES'!$H$5:$H$104,"Critique"),"COM-004",SUM('05_PROJETS_CLIMAT'!$V$5:$V$104),""))</x:f>
      </x:c>
      <x:c r="G30" s="18"/>
      <x:c r="H30" s="18"/>
      <x:c r="I30" s="18"/>
      <x:c r="J30" s="18" t="str">
        <x:f>IF(A30="","",IF(H30&lt;&gt;"Pret","A finaliser","OK"))</x:f>
      </x:c>
    </x:row>
    <x:row r="31">
      <x:c r="A31" s="18"/>
      <x:c r="B31" s="18"/>
      <x:c r="C31" s="18"/>
      <x:c r="D31" s="18"/>
      <x:c r="E31" s="18"/>
      <x:c r="F31" s="24" t="str">
        <x:f>IF(A31="","",SWITCH(A31,"COM-001",SUM('08_INVENTAIRE_GES'!$H$5:$H$104),"COM-002",AVERAGE('13_ENERGIE'!$L$5:$L$104),"COM-003",COUNTIF('18_RISQUES_HYPOTHESES'!$H$5:$H$104,"Critique"),"COM-004",SUM('05_PROJETS_CLIMAT'!$V$5:$V$104),""))</x:f>
      </x:c>
      <x:c r="G31" s="18"/>
      <x:c r="H31" s="18"/>
      <x:c r="I31" s="18"/>
      <x:c r="J31" s="18" t="str">
        <x:f>IF(A31="","",IF(H31&lt;&gt;"Pret","A finaliser","OK"))</x:f>
      </x:c>
    </x:row>
    <x:row r="32">
      <x:c r="A32" s="18"/>
      <x:c r="B32" s="18"/>
      <x:c r="C32" s="18"/>
      <x:c r="D32" s="18"/>
      <x:c r="E32" s="18"/>
      <x:c r="F32" s="24" t="str">
        <x:f>IF(A32="","",SWITCH(A32,"COM-001",SUM('08_INVENTAIRE_GES'!$H$5:$H$104),"COM-002",AVERAGE('13_ENERGIE'!$L$5:$L$104),"COM-003",COUNTIF('18_RISQUES_HYPOTHESES'!$H$5:$H$104,"Critique"),"COM-004",SUM('05_PROJETS_CLIMAT'!$V$5:$V$104),""))</x:f>
      </x:c>
      <x:c r="G32" s="18"/>
      <x:c r="H32" s="18"/>
      <x:c r="I32" s="18"/>
      <x:c r="J32" s="18" t="str">
        <x:f>IF(A32="","",IF(H32&lt;&gt;"Pret","A finaliser","OK"))</x:f>
      </x:c>
    </x:row>
    <x:row r="33">
      <x:c r="A33" s="18"/>
      <x:c r="B33" s="18"/>
      <x:c r="C33" s="18"/>
      <x:c r="D33" s="18"/>
      <x:c r="E33" s="18"/>
      <x:c r="F33" s="24" t="str">
        <x:f>IF(A33="","",SWITCH(A33,"COM-001",SUM('08_INVENTAIRE_GES'!$H$5:$H$104),"COM-002",AVERAGE('13_ENERGIE'!$L$5:$L$104),"COM-003",COUNTIF('18_RISQUES_HYPOTHESES'!$H$5:$H$104,"Critique"),"COM-004",SUM('05_PROJETS_CLIMAT'!$V$5:$V$104),""))</x:f>
      </x:c>
      <x:c r="G33" s="18"/>
      <x:c r="H33" s="18"/>
      <x:c r="I33" s="18"/>
      <x:c r="J33" s="18" t="str">
        <x:f>IF(A33="","",IF(H33&lt;&gt;"Pret","A finaliser","OK"))</x:f>
      </x:c>
    </x:row>
    <x:row r="34">
      <x:c r="A34" s="18"/>
      <x:c r="B34" s="18"/>
      <x:c r="C34" s="18"/>
      <x:c r="D34" s="18"/>
      <x:c r="E34" s="18"/>
      <x:c r="F34" s="24" t="str">
        <x:f>IF(A34="","",SWITCH(A34,"COM-001",SUM('08_INVENTAIRE_GES'!$H$5:$H$104),"COM-002",AVERAGE('13_ENERGIE'!$L$5:$L$104),"COM-003",COUNTIF('18_RISQUES_HYPOTHESES'!$H$5:$H$104,"Critique"),"COM-004",SUM('05_PROJETS_CLIMAT'!$V$5:$V$104),""))</x:f>
      </x:c>
      <x:c r="G34" s="18"/>
      <x:c r="H34" s="18"/>
      <x:c r="I34" s="18"/>
      <x:c r="J34" s="18" t="str">
        <x:f>IF(A34="","",IF(H34&lt;&gt;"Pret","A finaliser","OK"))</x:f>
      </x:c>
    </x:row>
    <x:row r="35">
      <x:c r="A35" s="18"/>
      <x:c r="B35" s="18"/>
      <x:c r="C35" s="18"/>
      <x:c r="D35" s="18"/>
      <x:c r="E35" s="18"/>
      <x:c r="F35" s="24" t="str">
        <x:f>IF(A35="","",SWITCH(A35,"COM-001",SUM('08_INVENTAIRE_GES'!$H$5:$H$104),"COM-002",AVERAGE('13_ENERGIE'!$L$5:$L$104),"COM-003",COUNTIF('18_RISQUES_HYPOTHESES'!$H$5:$H$104,"Critique"),"COM-004",SUM('05_PROJETS_CLIMAT'!$V$5:$V$104),""))</x:f>
      </x:c>
      <x:c r="G35" s="18"/>
      <x:c r="H35" s="18"/>
      <x:c r="I35" s="18"/>
      <x:c r="J35" s="18" t="str">
        <x:f>IF(A35="","",IF(H35&lt;&gt;"Pret","A finaliser","OK"))</x:f>
      </x:c>
    </x:row>
    <x:row r="36">
      <x:c r="A36" s="18"/>
      <x:c r="B36" s="18"/>
      <x:c r="C36" s="18"/>
      <x:c r="D36" s="18"/>
      <x:c r="E36" s="18"/>
      <x:c r="F36" s="24" t="str">
        <x:f>IF(A36="","",SWITCH(A36,"COM-001",SUM('08_INVENTAIRE_GES'!$H$5:$H$104),"COM-002",AVERAGE('13_ENERGIE'!$L$5:$L$104),"COM-003",COUNTIF('18_RISQUES_HYPOTHESES'!$H$5:$H$104,"Critique"),"COM-004",SUM('05_PROJETS_CLIMAT'!$V$5:$V$104),""))</x:f>
      </x:c>
      <x:c r="G36" s="18"/>
      <x:c r="H36" s="18"/>
      <x:c r="I36" s="18"/>
      <x:c r="J36" s="18" t="str">
        <x:f>IF(A36="","",IF(H36&lt;&gt;"Pret","A finaliser","OK"))</x:f>
      </x:c>
    </x:row>
    <x:row r="37">
      <x:c r="A37" s="18"/>
      <x:c r="B37" s="18"/>
      <x:c r="C37" s="18"/>
      <x:c r="D37" s="18"/>
      <x:c r="E37" s="18"/>
      <x:c r="F37" s="24" t="str">
        <x:f>IF(A37="","",SWITCH(A37,"COM-001",SUM('08_INVENTAIRE_GES'!$H$5:$H$104),"COM-002",AVERAGE('13_ENERGIE'!$L$5:$L$104),"COM-003",COUNTIF('18_RISQUES_HYPOTHESES'!$H$5:$H$104,"Critique"),"COM-004",SUM('05_PROJETS_CLIMAT'!$V$5:$V$104),""))</x:f>
      </x:c>
      <x:c r="G37" s="18"/>
      <x:c r="H37" s="18"/>
      <x:c r="I37" s="18"/>
      <x:c r="J37" s="18" t="str">
        <x:f>IF(A37="","",IF(H37&lt;&gt;"Pret","A finaliser","OK"))</x:f>
      </x:c>
    </x:row>
    <x:row r="38">
      <x:c r="A38" s="18"/>
      <x:c r="B38" s="18"/>
      <x:c r="C38" s="18"/>
      <x:c r="D38" s="18"/>
      <x:c r="E38" s="18"/>
      <x:c r="F38" s="24" t="str">
        <x:f>IF(A38="","",SWITCH(A38,"COM-001",SUM('08_INVENTAIRE_GES'!$H$5:$H$104),"COM-002",AVERAGE('13_ENERGIE'!$L$5:$L$104),"COM-003",COUNTIF('18_RISQUES_HYPOTHESES'!$H$5:$H$104,"Critique"),"COM-004",SUM('05_PROJETS_CLIMAT'!$V$5:$V$104),""))</x:f>
      </x:c>
      <x:c r="G38" s="18"/>
      <x:c r="H38" s="18"/>
      <x:c r="I38" s="18"/>
      <x:c r="J38" s="18" t="str">
        <x:f>IF(A38="","",IF(H38&lt;&gt;"Pret","A finaliser","OK"))</x:f>
      </x:c>
    </x:row>
    <x:row r="39">
      <x:c r="A39" s="18"/>
      <x:c r="B39" s="18"/>
      <x:c r="C39" s="18"/>
      <x:c r="D39" s="18"/>
      <x:c r="E39" s="18"/>
      <x:c r="F39" s="24" t="str">
        <x:f>IF(A39="","",SWITCH(A39,"COM-001",SUM('08_INVENTAIRE_GES'!$H$5:$H$104),"COM-002",AVERAGE('13_ENERGIE'!$L$5:$L$104),"COM-003",COUNTIF('18_RISQUES_HYPOTHESES'!$H$5:$H$104,"Critique"),"COM-004",SUM('05_PROJETS_CLIMAT'!$V$5:$V$104),""))</x:f>
      </x:c>
      <x:c r="G39" s="18"/>
      <x:c r="H39" s="18"/>
      <x:c r="I39" s="18"/>
      <x:c r="J39" s="18" t="str">
        <x:f>IF(A39="","",IF(H39&lt;&gt;"Pret","A finaliser","OK"))</x:f>
      </x:c>
    </x:row>
    <x:row r="40">
      <x:c r="A40" s="18"/>
      <x:c r="B40" s="18"/>
      <x:c r="C40" s="18"/>
      <x:c r="D40" s="18"/>
      <x:c r="E40" s="18"/>
      <x:c r="F40" s="24" t="str">
        <x:f>IF(A40="","",SWITCH(A40,"COM-001",SUM('08_INVENTAIRE_GES'!$H$5:$H$104),"COM-002",AVERAGE('13_ENERGIE'!$L$5:$L$104),"COM-003",COUNTIF('18_RISQUES_HYPOTHESES'!$H$5:$H$104,"Critique"),"COM-004",SUM('05_PROJETS_CLIMAT'!$V$5:$V$104),""))</x:f>
      </x:c>
      <x:c r="G40" s="18"/>
      <x:c r="H40" s="18"/>
      <x:c r="I40" s="18"/>
      <x:c r="J40" s="18" t="str">
        <x:f>IF(A40="","",IF(H40&lt;&gt;"Pret","A finaliser","OK"))</x:f>
      </x:c>
    </x:row>
    <x:row r="41">
      <x:c r="A41" s="18"/>
      <x:c r="B41" s="18"/>
      <x:c r="C41" s="18"/>
      <x:c r="D41" s="18"/>
      <x:c r="E41" s="18"/>
      <x:c r="F41" s="24" t="str">
        <x:f>IF(A41="","",SWITCH(A41,"COM-001",SUM('08_INVENTAIRE_GES'!$H$5:$H$104),"COM-002",AVERAGE('13_ENERGIE'!$L$5:$L$104),"COM-003",COUNTIF('18_RISQUES_HYPOTHESES'!$H$5:$H$104,"Critique"),"COM-004",SUM('05_PROJETS_CLIMAT'!$V$5:$V$104),""))</x:f>
      </x:c>
      <x:c r="G41" s="18"/>
      <x:c r="H41" s="18"/>
      <x:c r="I41" s="18"/>
      <x:c r="J41" s="18" t="str">
        <x:f>IF(A41="","",IF(H41&lt;&gt;"Pret","A finaliser","OK"))</x:f>
      </x:c>
    </x:row>
    <x:row r="42">
      <x:c r="A42" s="18"/>
      <x:c r="B42" s="18"/>
      <x:c r="C42" s="18"/>
      <x:c r="D42" s="18"/>
      <x:c r="E42" s="18"/>
      <x:c r="F42" s="24" t="str">
        <x:f>IF(A42="","",SWITCH(A42,"COM-001",SUM('08_INVENTAIRE_GES'!$H$5:$H$104),"COM-002",AVERAGE('13_ENERGIE'!$L$5:$L$104),"COM-003",COUNTIF('18_RISQUES_HYPOTHESES'!$H$5:$H$104,"Critique"),"COM-004",SUM('05_PROJETS_CLIMAT'!$V$5:$V$104),""))</x:f>
      </x:c>
      <x:c r="G42" s="18"/>
      <x:c r="H42" s="18"/>
      <x:c r="I42" s="18"/>
      <x:c r="J42" s="18" t="str">
        <x:f>IF(A42="","",IF(H42&lt;&gt;"Pret","A finaliser","OK"))</x:f>
      </x:c>
    </x:row>
    <x:row r="43">
      <x:c r="A43" s="18"/>
      <x:c r="B43" s="18"/>
      <x:c r="C43" s="18"/>
      <x:c r="D43" s="18"/>
      <x:c r="E43" s="18"/>
      <x:c r="F43" s="24" t="str">
        <x:f>IF(A43="","",SWITCH(A43,"COM-001",SUM('08_INVENTAIRE_GES'!$H$5:$H$104),"COM-002",AVERAGE('13_ENERGIE'!$L$5:$L$104),"COM-003",COUNTIF('18_RISQUES_HYPOTHESES'!$H$5:$H$104,"Critique"),"COM-004",SUM('05_PROJETS_CLIMAT'!$V$5:$V$104),""))</x:f>
      </x:c>
      <x:c r="G43" s="18"/>
      <x:c r="H43" s="18"/>
      <x:c r="I43" s="18"/>
      <x:c r="J43" s="18" t="str">
        <x:f>IF(A43="","",IF(H43&lt;&gt;"Pret","A finaliser","OK"))</x:f>
      </x:c>
    </x:row>
    <x:row r="44">
      <x:c r="A44" s="18"/>
      <x:c r="B44" s="18"/>
      <x:c r="C44" s="18"/>
      <x:c r="D44" s="18"/>
      <x:c r="E44" s="18"/>
      <x:c r="F44" s="24" t="str">
        <x:f>IF(A44="","",SWITCH(A44,"COM-001",SUM('08_INVENTAIRE_GES'!$H$5:$H$104),"COM-002",AVERAGE('13_ENERGIE'!$L$5:$L$104),"COM-003",COUNTIF('18_RISQUES_HYPOTHESES'!$H$5:$H$104,"Critique"),"COM-004",SUM('05_PROJETS_CLIMAT'!$V$5:$V$104),""))</x:f>
      </x:c>
      <x:c r="G44" s="18"/>
      <x:c r="H44" s="18"/>
      <x:c r="I44" s="18"/>
      <x:c r="J44" s="18" t="str">
        <x:f>IF(A44="","",IF(H44&lt;&gt;"Pret","A finaliser","OK"))</x:f>
      </x:c>
    </x:row>
  </x:sheetData>
  <x:mergeCells>
    <x:mergeCell ref="A1:J1"/>
    <x:mergeCell ref="A2:J2"/>
  </x:mergeCells>
  <x:conditionalFormatting sqref="J5:J44">
    <x:cfRule type="containsText" dxfId="84" priority="1" operator="containsText" text="Retard"/>
    <x:cfRule type="containsText" dxfId="85" priority="2" operator="containsText" text="critique"/>
    <x:cfRule type="containsText" dxfId="86" priority="3" operator="containsText" text="manquant"/>
    <x:cfRule type="containsText" dxfId="8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e000220d09f94864"/>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6.25" hidden="0" customWidth="1"/>
    <x:col min="3" max="3" width="33.75" hidden="0" customWidth="1"/>
    <x:col min="4" max="4" width="32.5" hidden="0" customWidth="1"/>
    <x:col min="5" max="5" width="13.130000114440918" hidden="0" customWidth="1"/>
    <x:col min="6" max="6" width="31.25" hidden="0" customWidth="1"/>
    <x:col min="7" max="7" width="18.1299991607666" hidden="0" customWidth="1"/>
    <x:col min="8" max="8" width="18.1299991607666" hidden="0" customWidth="1"/>
    <x:col min="9" max="9" width="19.3799991607666" hidden="0" customWidth="1"/>
    <x:col min="10" max="10" width="18.75" hidden="0" customWidth="1"/>
    <x:col min="11" max="11" width="16.25" hidden="0" customWidth="1"/>
    <x:col min="12" max="12" width="18.1299991607666" hidden="0" customWidth="1"/>
  </x:cols>
  <x:sheetData>
    <x:row r="1" ht="25.5" customHeight="1">
      <x:c r="A1" s="2" t="str">
        <x:v>Alignement CDN Senegal</x:v>
      </x:c>
      <x:c r="B1" s="2"/>
      <x:c r="C1" s="2"/>
      <x:c r="D1" s="2"/>
      <x:c r="E1" s="2"/>
      <x:c r="F1" s="2"/>
      <x:c r="G1" s="2"/>
      <x:c r="H1" s="2"/>
      <x:c r="I1" s="2"/>
      <x:c r="J1" s="2"/>
    </x:row>
    <x:row r="2" ht="31.5" customHeight="1">
      <x:c r="A2" s="5" t="str">
        <x:v>Contribution territoriale de Dakar aux axes de la CDN du Senegal, avec suivi des projets, emissions evitees et financements.</x:v>
      </x:c>
      <x:c r="B2" s="5"/>
      <x:c r="C2" s="5"/>
      <x:c r="D2" s="5"/>
      <x:c r="E2" s="5"/>
      <x:c r="F2" s="5"/>
      <x:c r="G2" s="5"/>
      <x:c r="H2" s="5"/>
      <x:c r="I2" s="5"/>
      <x:c r="J2" s="5"/>
    </x:row>
    <x:row r="4" ht="28.5" customHeight="1">
      <x:c r="A4" s="16" t="str">
        <x:v>CDN_ID</x:v>
      </x:c>
      <x:c r="B4" s="16" t="str">
        <x:v>Secteur_CDN</x:v>
      </x:c>
      <x:c r="C4" s="16" t="str">
        <x:v>Action_CDN_indicative</x:v>
      </x:c>
      <x:c r="D4" s="16" t="str">
        <x:v>Projet_Dakar</x:v>
      </x:c>
      <x:c r="E4" s="16" t="str">
        <x:v>Project_ID</x:v>
      </x:c>
      <x:c r="F4" s="16" t="str">
        <x:v>Contribution</x:v>
      </x:c>
      <x:c r="G4" s="16" t="str">
        <x:v>Emissions_evitees_tCO2e_an</x:v>
      </x:c>
      <x:c r="H4" s="16" t="str">
        <x:v>Budget_total_XOF</x:v>
      </x:c>
      <x:c r="I4" s="16" t="str">
        <x:v>Financement_securise_XOF</x:v>
      </x:c>
      <x:c r="J4" s="16" t="str">
        <x:v>Besoin_financement_XOF</x:v>
      </x:c>
      <x:c r="K4" s="16" t="str">
        <x:v>Statut</x:v>
      </x:c>
      <x:c r="L4" s="16" t="str">
        <x:v>Alerte</x:v>
      </x:c>
    </x:row>
    <x:row r="5">
      <x:c r="A5" s="18" t="str">
        <x:v>CDN-001</x:v>
      </x:c>
      <x:c r="B5" s="18" t="str">
        <x:v>Energie</x:v>
      </x:c>
      <x:c r="C5" s="18" t="str">
        <x:v>Energies renouvelables et efficacite energetique</x:v>
      </x:c>
      <x:c r="D5" s="18" t="str">
        <x:v>Programme solaire sur batiments municipaux</x:v>
      </x:c>
      <x:c r="E5" s="18" t="str">
        <x:v>PRJ-001</x:v>
      </x:c>
      <x:c r="F5" s="18" t="str">
        <x:v>Production solaire municipale</x:v>
      </x:c>
      <x:c r="G5" s="22" t="n">
        <x:f>IF(E5="","",IFERROR(XLOOKUP(E5,'05_PROJETS_CLIMAT'!$A$5:$A$104,'05_PROJETS_CLIMAT'!$U$5:$U$104),""))</x:f>
        <x:v>6200</x:v>
      </x:c>
      <x:c r="H5" s="21" t="n">
        <x:f>IF(E5="","",IFERROR(XLOOKUP(E5,'05_PROJETS_CLIMAT'!$A$5:$A$104,'05_PROJETS_CLIMAT'!$P$5:$P$104),""))</x:f>
        <x:v>2500000000</x:v>
      </x:c>
      <x:c r="I5" s="21" t="n">
        <x:f>IF(E5="","",IFERROR(XLOOKUP(E5,'05_PROJETS_CLIMAT'!$A$5:$A$104,'05_PROJETS_CLIMAT'!$S$5:$S$104),""))</x:f>
        <x:v>1500000000</x:v>
      </x:c>
      <x:c r="J5" s="21" t="n">
        <x:f>IF(E5="","",IFERROR(XLOOKUP(E5,'05_PROJETS_CLIMAT'!$A$5:$A$104,'05_PROJETS_CLIMAT'!$T$5:$T$104),""))</x:f>
        <x:v>1000000000</x:v>
      </x:c>
      <x:c r="K5" s="18" t="str">
        <x:v>A verifier</x:v>
      </x:c>
      <x:c r="L5" s="18" t="str">
        <x:f>IF(A5="","",IF(K5&lt;&gt;"Pret","A finaliser","OK"))</x:f>
        <x:v>A finaliser</x:v>
      </x:c>
    </x:row>
    <x:row r="6">
      <x:c r="A6" s="18" t="str">
        <x:v>CDN-002</x:v>
      </x:c>
      <x:c r="B6" s="18" t="str">
        <x:v>Dechets</x:v>
      </x:c>
      <x:c r="C6" s="18" t="str">
        <x:v>Amelioration de la gestion des dechets</x:v>
      </x:c>
      <x:c r="D6" s="18" t="str">
        <x:v>Modernisation collecte et valorisation des dechets</x:v>
      </x:c>
      <x:c r="E6" s="18" t="str">
        <x:v>PRJ-002</x:v>
      </x:c>
      <x:c r="F6" s="18" t="str">
        <x:v>Valorisation et reduction methane</x:v>
      </x:c>
      <x:c r="G6" s="22" t="n">
        <x:f>IF(E6="","",IFERROR(XLOOKUP(E6,'05_PROJETS_CLIMAT'!$A$5:$A$104,'05_PROJETS_CLIMAT'!$U$5:$U$104),""))</x:f>
        <x:v>9400</x:v>
      </x:c>
      <x:c r="H6" s="21" t="n">
        <x:f>IF(E6="","",IFERROR(XLOOKUP(E6,'05_PROJETS_CLIMAT'!$A$5:$A$104,'05_PROJETS_CLIMAT'!$P$5:$P$104),""))</x:f>
        <x:v>1800000000</x:v>
      </x:c>
      <x:c r="I6" s="21" t="n">
        <x:f>IF(E6="","",IFERROR(XLOOKUP(E6,'05_PROJETS_CLIMAT'!$A$5:$A$104,'05_PROJETS_CLIMAT'!$S$5:$S$104),""))</x:f>
        <x:v>700000000</x:v>
      </x:c>
      <x:c r="J6" s="21" t="n">
        <x:f>IF(E6="","",IFERROR(XLOOKUP(E6,'05_PROJETS_CLIMAT'!$A$5:$A$104,'05_PROJETS_CLIMAT'!$T$5:$T$104),""))</x:f>
        <x:v>1100000000</x:v>
      </x:c>
      <x:c r="K6" s="18" t="str">
        <x:v>A verifier</x:v>
      </x:c>
      <x:c r="L6" s="18" t="str">
        <x:f>IF(A6="","",IF(K6&lt;&gt;"Pret","A finaliser","OK"))</x:f>
        <x:v>A finaliser</x:v>
      </x:c>
    </x:row>
    <x:row r="7">
      <x:c r="A7" s="18" t="str">
        <x:v>CDN-003</x:v>
      </x:c>
      <x:c r="B7" s="18" t="str">
        <x:v>Transport</x:v>
      </x:c>
      <x:c r="C7" s="18" t="str">
        <x:v>Mobilite sobre et transports propres</x:v>
      </x:c>
      <x:c r="D7" s="18" t="str">
        <x:v>Couloirs de mobilite active</x:v>
      </x:c>
      <x:c r="E7" s="18" t="str">
        <x:v>PRJ-003</x:v>
      </x:c>
      <x:c r="F7" s="18" t="str">
        <x:v>Report modal marche/velo</x:v>
      </x:c>
      <x:c r="G7" s="22" t="n">
        <x:f>IF(E7="","",IFERROR(XLOOKUP(E7,'05_PROJETS_CLIMAT'!$A$5:$A$104,'05_PROJETS_CLIMAT'!$U$5:$U$104),""))</x:f>
        <x:v>3100</x:v>
      </x:c>
      <x:c r="H7" s="21" t="n">
        <x:f>IF(E7="","",IFERROR(XLOOKUP(E7,'05_PROJETS_CLIMAT'!$A$5:$A$104,'05_PROJETS_CLIMAT'!$P$5:$P$104),""))</x:f>
        <x:v>950000000</x:v>
      </x:c>
      <x:c r="I7" s="21" t="n">
        <x:f>IF(E7="","",IFERROR(XLOOKUP(E7,'05_PROJETS_CLIMAT'!$A$5:$A$104,'05_PROJETS_CLIMAT'!$S$5:$S$104),""))</x:f>
        <x:v>180000000</x:v>
      </x:c>
      <x:c r="J7" s="21" t="n">
        <x:f>IF(E7="","",IFERROR(XLOOKUP(E7,'05_PROJETS_CLIMAT'!$A$5:$A$104,'05_PROJETS_CLIMAT'!$T$5:$T$104),""))</x:f>
        <x:v>770000000</x:v>
      </x:c>
      <x:c r="K7" s="18" t="str">
        <x:v>A completer</x:v>
      </x:c>
      <x:c r="L7" s="18" t="str">
        <x:f>IF(A7="","",IF(K7&lt;&gt;"Pret","A finaliser","OK"))</x:f>
        <x:v>A finaliser</x:v>
      </x:c>
    </x:row>
    <x:row r="8">
      <x:c r="A8" s="18" t="str">
        <x:v>CDN-004</x:v>
      </x:c>
      <x:c r="B8" s="18" t="str">
        <x:v>Adaptation</x:v>
      </x:c>
      <x:c r="C8" s="18" t="str">
        <x:v>Resilience urbaine et gestion des risques</x:v>
      </x:c>
      <x:c r="D8" s="18" t="str">
        <x:v>Resilience littorale et drainage urbain</x:v>
      </x:c>
      <x:c r="E8" s="18" t="str">
        <x:v>PRJ-004</x:v>
      </x:c>
      <x:c r="F8" s="18" t="str">
        <x:v>Protection contre inondations</x:v>
      </x:c>
      <x:c r="G8" s="22" t="n">
        <x:f>IF(E8="","",IFERROR(XLOOKUP(E8,'05_PROJETS_CLIMAT'!$A$5:$A$104,'05_PROJETS_CLIMAT'!$U$5:$U$104),""))</x:f>
        <x:v>0</x:v>
      </x:c>
      <x:c r="H8" s="21" t="n">
        <x:f>IF(E8="","",IFERROR(XLOOKUP(E8,'05_PROJETS_CLIMAT'!$A$5:$A$104,'05_PROJETS_CLIMAT'!$P$5:$P$104),""))</x:f>
        <x:v>4200000000</x:v>
      </x:c>
      <x:c r="I8" s="21" t="n">
        <x:f>IF(E8="","",IFERROR(XLOOKUP(E8,'05_PROJETS_CLIMAT'!$A$5:$A$104,'05_PROJETS_CLIMAT'!$S$5:$S$104),""))</x:f>
        <x:v>1000000000</x:v>
      </x:c>
      <x:c r="J8" s="21" t="n">
        <x:f>IF(E8="","",IFERROR(XLOOKUP(E8,'05_PROJETS_CLIMAT'!$A$5:$A$104,'05_PROJETS_CLIMAT'!$T$5:$T$104),""))</x:f>
        <x:v>3200000000</x:v>
      </x:c>
      <x:c r="K8" s="18" t="str">
        <x:v>A completer</x:v>
      </x:c>
      <x:c r="L8" s="18" t="str">
        <x:f>IF(A8="","",IF(K8&lt;&gt;"Pret","A finaliser","OK"))</x:f>
        <x:v>A finaliser</x:v>
      </x:c>
    </x:row>
    <x:row r="9">
      <x:c r="A9" s="18"/>
      <x:c r="B9" s="18"/>
      <x:c r="C9" s="18"/>
      <x:c r="D9" s="18"/>
      <x:c r="E9" s="18"/>
      <x:c r="F9" s="18"/>
      <x:c r="G9" s="22" t="str">
        <x:f>IF(E9="","",IFERROR(XLOOKUP(E9,'05_PROJETS_CLIMAT'!$A$5:$A$104,'05_PROJETS_CLIMAT'!$U$5:$U$104),""))</x:f>
      </x:c>
      <x:c r="H9" s="21" t="str">
        <x:f>IF(E9="","",IFERROR(XLOOKUP(E9,'05_PROJETS_CLIMAT'!$A$5:$A$104,'05_PROJETS_CLIMAT'!$P$5:$P$104),""))</x:f>
      </x:c>
      <x:c r="I9" s="21" t="str">
        <x:f>IF(E9="","",IFERROR(XLOOKUP(E9,'05_PROJETS_CLIMAT'!$A$5:$A$104,'05_PROJETS_CLIMAT'!$S$5:$S$104),""))</x:f>
      </x:c>
      <x:c r="J9" s="21" t="str">
        <x:f>IF(E9="","",IFERROR(XLOOKUP(E9,'05_PROJETS_CLIMAT'!$A$5:$A$104,'05_PROJETS_CLIMAT'!$T$5:$T$104),""))</x:f>
      </x:c>
      <x:c r="K9" s="18"/>
      <x:c r="L9" s="18" t="str">
        <x:f>IF(A9="","",IF(K9&lt;&gt;"Pret","A finaliser","OK"))</x:f>
      </x:c>
    </x:row>
    <x:row r="10">
      <x:c r="A10" s="18"/>
      <x:c r="B10" s="18"/>
      <x:c r="C10" s="18"/>
      <x:c r="D10" s="18"/>
      <x:c r="E10" s="18"/>
      <x:c r="F10" s="18"/>
      <x:c r="G10" s="22" t="str">
        <x:f>IF(E10="","",IFERROR(XLOOKUP(E10,'05_PROJETS_CLIMAT'!$A$5:$A$104,'05_PROJETS_CLIMAT'!$U$5:$U$104),""))</x:f>
      </x:c>
      <x:c r="H10" s="21" t="str">
        <x:f>IF(E10="","",IFERROR(XLOOKUP(E10,'05_PROJETS_CLIMAT'!$A$5:$A$104,'05_PROJETS_CLIMAT'!$P$5:$P$104),""))</x:f>
      </x:c>
      <x:c r="I10" s="21" t="str">
        <x:f>IF(E10="","",IFERROR(XLOOKUP(E10,'05_PROJETS_CLIMAT'!$A$5:$A$104,'05_PROJETS_CLIMAT'!$S$5:$S$104),""))</x:f>
      </x:c>
      <x:c r="J10" s="21" t="str">
        <x:f>IF(E10="","",IFERROR(XLOOKUP(E10,'05_PROJETS_CLIMAT'!$A$5:$A$104,'05_PROJETS_CLIMAT'!$T$5:$T$104),""))</x:f>
      </x:c>
      <x:c r="K10" s="18"/>
      <x:c r="L10" s="18" t="str">
        <x:f>IF(A10="","",IF(K10&lt;&gt;"Pret","A finaliser","OK"))</x:f>
      </x:c>
    </x:row>
    <x:row r="11">
      <x:c r="A11" s="18"/>
      <x:c r="B11" s="18"/>
      <x:c r="C11" s="18"/>
      <x:c r="D11" s="18"/>
      <x:c r="E11" s="18"/>
      <x:c r="F11" s="18"/>
      <x:c r="G11" s="22" t="str">
        <x:f>IF(E11="","",IFERROR(XLOOKUP(E11,'05_PROJETS_CLIMAT'!$A$5:$A$104,'05_PROJETS_CLIMAT'!$U$5:$U$104),""))</x:f>
      </x:c>
      <x:c r="H11" s="21" t="str">
        <x:f>IF(E11="","",IFERROR(XLOOKUP(E11,'05_PROJETS_CLIMAT'!$A$5:$A$104,'05_PROJETS_CLIMAT'!$P$5:$P$104),""))</x:f>
      </x:c>
      <x:c r="I11" s="21" t="str">
        <x:f>IF(E11="","",IFERROR(XLOOKUP(E11,'05_PROJETS_CLIMAT'!$A$5:$A$104,'05_PROJETS_CLIMAT'!$S$5:$S$104),""))</x:f>
      </x:c>
      <x:c r="J11" s="21" t="str">
        <x:f>IF(E11="","",IFERROR(XLOOKUP(E11,'05_PROJETS_CLIMAT'!$A$5:$A$104,'05_PROJETS_CLIMAT'!$T$5:$T$104),""))</x:f>
      </x:c>
      <x:c r="K11" s="18"/>
      <x:c r="L11" s="18" t="str">
        <x:f>IF(A11="","",IF(K11&lt;&gt;"Pret","A finaliser","OK"))</x:f>
      </x:c>
    </x:row>
    <x:row r="12">
      <x:c r="A12" s="18"/>
      <x:c r="B12" s="18"/>
      <x:c r="C12" s="18"/>
      <x:c r="D12" s="18"/>
      <x:c r="E12" s="18"/>
      <x:c r="F12" s="18"/>
      <x:c r="G12" s="22" t="str">
        <x:f>IF(E12="","",IFERROR(XLOOKUP(E12,'05_PROJETS_CLIMAT'!$A$5:$A$104,'05_PROJETS_CLIMAT'!$U$5:$U$104),""))</x:f>
      </x:c>
      <x:c r="H12" s="21" t="str">
        <x:f>IF(E12="","",IFERROR(XLOOKUP(E12,'05_PROJETS_CLIMAT'!$A$5:$A$104,'05_PROJETS_CLIMAT'!$P$5:$P$104),""))</x:f>
      </x:c>
      <x:c r="I12" s="21" t="str">
        <x:f>IF(E12="","",IFERROR(XLOOKUP(E12,'05_PROJETS_CLIMAT'!$A$5:$A$104,'05_PROJETS_CLIMAT'!$S$5:$S$104),""))</x:f>
      </x:c>
      <x:c r="J12" s="21" t="str">
        <x:f>IF(E12="","",IFERROR(XLOOKUP(E12,'05_PROJETS_CLIMAT'!$A$5:$A$104,'05_PROJETS_CLIMAT'!$T$5:$T$104),""))</x:f>
      </x:c>
      <x:c r="K12" s="18"/>
      <x:c r="L12" s="18" t="str">
        <x:f>IF(A12="","",IF(K12&lt;&gt;"Pret","A finaliser","OK"))</x:f>
      </x:c>
    </x:row>
    <x:row r="13">
      <x:c r="A13" s="18"/>
      <x:c r="B13" s="18"/>
      <x:c r="C13" s="18"/>
      <x:c r="D13" s="18"/>
      <x:c r="E13" s="18"/>
      <x:c r="F13" s="18"/>
      <x:c r="G13" s="22" t="str">
        <x:f>IF(E13="","",IFERROR(XLOOKUP(E13,'05_PROJETS_CLIMAT'!$A$5:$A$104,'05_PROJETS_CLIMAT'!$U$5:$U$104),""))</x:f>
      </x:c>
      <x:c r="H13" s="21" t="str">
        <x:f>IF(E13="","",IFERROR(XLOOKUP(E13,'05_PROJETS_CLIMAT'!$A$5:$A$104,'05_PROJETS_CLIMAT'!$P$5:$P$104),""))</x:f>
      </x:c>
      <x:c r="I13" s="21" t="str">
        <x:f>IF(E13="","",IFERROR(XLOOKUP(E13,'05_PROJETS_CLIMAT'!$A$5:$A$104,'05_PROJETS_CLIMAT'!$S$5:$S$104),""))</x:f>
      </x:c>
      <x:c r="J13" s="21" t="str">
        <x:f>IF(E13="","",IFERROR(XLOOKUP(E13,'05_PROJETS_CLIMAT'!$A$5:$A$104,'05_PROJETS_CLIMAT'!$T$5:$T$104),""))</x:f>
      </x:c>
      <x:c r="K13" s="18"/>
      <x:c r="L13" s="18" t="str">
        <x:f>IF(A13="","",IF(K13&lt;&gt;"Pret","A finaliser","OK"))</x:f>
      </x:c>
    </x:row>
    <x:row r="14">
      <x:c r="A14" s="18"/>
      <x:c r="B14" s="18"/>
      <x:c r="C14" s="18"/>
      <x:c r="D14" s="18"/>
      <x:c r="E14" s="18"/>
      <x:c r="F14" s="18"/>
      <x:c r="G14" s="22" t="str">
        <x:f>IF(E14="","",IFERROR(XLOOKUP(E14,'05_PROJETS_CLIMAT'!$A$5:$A$104,'05_PROJETS_CLIMAT'!$U$5:$U$104),""))</x:f>
      </x:c>
      <x:c r="H14" s="21" t="str">
        <x:f>IF(E14="","",IFERROR(XLOOKUP(E14,'05_PROJETS_CLIMAT'!$A$5:$A$104,'05_PROJETS_CLIMAT'!$P$5:$P$104),""))</x:f>
      </x:c>
      <x:c r="I14" s="21" t="str">
        <x:f>IF(E14="","",IFERROR(XLOOKUP(E14,'05_PROJETS_CLIMAT'!$A$5:$A$104,'05_PROJETS_CLIMAT'!$S$5:$S$104),""))</x:f>
      </x:c>
      <x:c r="J14" s="21" t="str">
        <x:f>IF(E14="","",IFERROR(XLOOKUP(E14,'05_PROJETS_CLIMAT'!$A$5:$A$104,'05_PROJETS_CLIMAT'!$T$5:$T$104),""))</x:f>
      </x:c>
      <x:c r="K14" s="18"/>
      <x:c r="L14" s="18" t="str">
        <x:f>IF(A14="","",IF(K14&lt;&gt;"Pret","A finaliser","OK"))</x:f>
      </x:c>
    </x:row>
    <x:row r="15">
      <x:c r="A15" s="18"/>
      <x:c r="B15" s="18"/>
      <x:c r="C15" s="18"/>
      <x:c r="D15" s="18"/>
      <x:c r="E15" s="18"/>
      <x:c r="F15" s="18"/>
      <x:c r="G15" s="22" t="str">
        <x:f>IF(E15="","",IFERROR(XLOOKUP(E15,'05_PROJETS_CLIMAT'!$A$5:$A$104,'05_PROJETS_CLIMAT'!$U$5:$U$104),""))</x:f>
      </x:c>
      <x:c r="H15" s="21" t="str">
        <x:f>IF(E15="","",IFERROR(XLOOKUP(E15,'05_PROJETS_CLIMAT'!$A$5:$A$104,'05_PROJETS_CLIMAT'!$P$5:$P$104),""))</x:f>
      </x:c>
      <x:c r="I15" s="21" t="str">
        <x:f>IF(E15="","",IFERROR(XLOOKUP(E15,'05_PROJETS_CLIMAT'!$A$5:$A$104,'05_PROJETS_CLIMAT'!$S$5:$S$104),""))</x:f>
      </x:c>
      <x:c r="J15" s="21" t="str">
        <x:f>IF(E15="","",IFERROR(XLOOKUP(E15,'05_PROJETS_CLIMAT'!$A$5:$A$104,'05_PROJETS_CLIMAT'!$T$5:$T$104),""))</x:f>
      </x:c>
      <x:c r="K15" s="18"/>
      <x:c r="L15" s="18" t="str">
        <x:f>IF(A15="","",IF(K15&lt;&gt;"Pret","A finaliser","OK"))</x:f>
      </x:c>
    </x:row>
    <x:row r="16">
      <x:c r="A16" s="18"/>
      <x:c r="B16" s="18"/>
      <x:c r="C16" s="18"/>
      <x:c r="D16" s="18"/>
      <x:c r="E16" s="18"/>
      <x:c r="F16" s="18"/>
      <x:c r="G16" s="22" t="str">
        <x:f>IF(E16="","",IFERROR(XLOOKUP(E16,'05_PROJETS_CLIMAT'!$A$5:$A$104,'05_PROJETS_CLIMAT'!$U$5:$U$104),""))</x:f>
      </x:c>
      <x:c r="H16" s="21" t="str">
        <x:f>IF(E16="","",IFERROR(XLOOKUP(E16,'05_PROJETS_CLIMAT'!$A$5:$A$104,'05_PROJETS_CLIMAT'!$P$5:$P$104),""))</x:f>
      </x:c>
      <x:c r="I16" s="21" t="str">
        <x:f>IF(E16="","",IFERROR(XLOOKUP(E16,'05_PROJETS_CLIMAT'!$A$5:$A$104,'05_PROJETS_CLIMAT'!$S$5:$S$104),""))</x:f>
      </x:c>
      <x:c r="J16" s="21" t="str">
        <x:f>IF(E16="","",IFERROR(XLOOKUP(E16,'05_PROJETS_CLIMAT'!$A$5:$A$104,'05_PROJETS_CLIMAT'!$T$5:$T$104),""))</x:f>
      </x:c>
      <x:c r="K16" s="18"/>
      <x:c r="L16" s="18" t="str">
        <x:f>IF(A16="","",IF(K16&lt;&gt;"Pret","A finaliser","OK"))</x:f>
      </x:c>
    </x:row>
    <x:row r="17">
      <x:c r="A17" s="18"/>
      <x:c r="B17" s="18"/>
      <x:c r="C17" s="18"/>
      <x:c r="D17" s="18"/>
      <x:c r="E17" s="18"/>
      <x:c r="F17" s="18"/>
      <x:c r="G17" s="22" t="str">
        <x:f>IF(E17="","",IFERROR(XLOOKUP(E17,'05_PROJETS_CLIMAT'!$A$5:$A$104,'05_PROJETS_CLIMAT'!$U$5:$U$104),""))</x:f>
      </x:c>
      <x:c r="H17" s="21" t="str">
        <x:f>IF(E17="","",IFERROR(XLOOKUP(E17,'05_PROJETS_CLIMAT'!$A$5:$A$104,'05_PROJETS_CLIMAT'!$P$5:$P$104),""))</x:f>
      </x:c>
      <x:c r="I17" s="21" t="str">
        <x:f>IF(E17="","",IFERROR(XLOOKUP(E17,'05_PROJETS_CLIMAT'!$A$5:$A$104,'05_PROJETS_CLIMAT'!$S$5:$S$104),""))</x:f>
      </x:c>
      <x:c r="J17" s="21" t="str">
        <x:f>IF(E17="","",IFERROR(XLOOKUP(E17,'05_PROJETS_CLIMAT'!$A$5:$A$104,'05_PROJETS_CLIMAT'!$T$5:$T$104),""))</x:f>
      </x:c>
      <x:c r="K17" s="18"/>
      <x:c r="L17" s="18" t="str">
        <x:f>IF(A17="","",IF(K17&lt;&gt;"Pret","A finaliser","OK"))</x:f>
      </x:c>
    </x:row>
    <x:row r="18">
      <x:c r="A18" s="18"/>
      <x:c r="B18" s="18"/>
      <x:c r="C18" s="18"/>
      <x:c r="D18" s="18"/>
      <x:c r="E18" s="18"/>
      <x:c r="F18" s="18"/>
      <x:c r="G18" s="22" t="str">
        <x:f>IF(E18="","",IFERROR(XLOOKUP(E18,'05_PROJETS_CLIMAT'!$A$5:$A$104,'05_PROJETS_CLIMAT'!$U$5:$U$104),""))</x:f>
      </x:c>
      <x:c r="H18" s="21" t="str">
        <x:f>IF(E18="","",IFERROR(XLOOKUP(E18,'05_PROJETS_CLIMAT'!$A$5:$A$104,'05_PROJETS_CLIMAT'!$P$5:$P$104),""))</x:f>
      </x:c>
      <x:c r="I18" s="21" t="str">
        <x:f>IF(E18="","",IFERROR(XLOOKUP(E18,'05_PROJETS_CLIMAT'!$A$5:$A$104,'05_PROJETS_CLIMAT'!$S$5:$S$104),""))</x:f>
      </x:c>
      <x:c r="J18" s="21" t="str">
        <x:f>IF(E18="","",IFERROR(XLOOKUP(E18,'05_PROJETS_CLIMAT'!$A$5:$A$104,'05_PROJETS_CLIMAT'!$T$5:$T$104),""))</x:f>
      </x:c>
      <x:c r="K18" s="18"/>
      <x:c r="L18" s="18" t="str">
        <x:f>IF(A18="","",IF(K18&lt;&gt;"Pret","A finaliser","OK"))</x:f>
      </x:c>
    </x:row>
    <x:row r="19">
      <x:c r="A19" s="18"/>
      <x:c r="B19" s="18"/>
      <x:c r="C19" s="18"/>
      <x:c r="D19" s="18"/>
      <x:c r="E19" s="18"/>
      <x:c r="F19" s="18"/>
      <x:c r="G19" s="22" t="str">
        <x:f>IF(E19="","",IFERROR(XLOOKUP(E19,'05_PROJETS_CLIMAT'!$A$5:$A$104,'05_PROJETS_CLIMAT'!$U$5:$U$104),""))</x:f>
      </x:c>
      <x:c r="H19" s="21" t="str">
        <x:f>IF(E19="","",IFERROR(XLOOKUP(E19,'05_PROJETS_CLIMAT'!$A$5:$A$104,'05_PROJETS_CLIMAT'!$P$5:$P$104),""))</x:f>
      </x:c>
      <x:c r="I19" s="21" t="str">
        <x:f>IF(E19="","",IFERROR(XLOOKUP(E19,'05_PROJETS_CLIMAT'!$A$5:$A$104,'05_PROJETS_CLIMAT'!$S$5:$S$104),""))</x:f>
      </x:c>
      <x:c r="J19" s="21" t="str">
        <x:f>IF(E19="","",IFERROR(XLOOKUP(E19,'05_PROJETS_CLIMAT'!$A$5:$A$104,'05_PROJETS_CLIMAT'!$T$5:$T$104),""))</x:f>
      </x:c>
      <x:c r="K19" s="18"/>
      <x:c r="L19" s="18" t="str">
        <x:f>IF(A19="","",IF(K19&lt;&gt;"Pret","A finaliser","OK"))</x:f>
      </x:c>
    </x:row>
    <x:row r="20">
      <x:c r="A20" s="18"/>
      <x:c r="B20" s="18"/>
      <x:c r="C20" s="18"/>
      <x:c r="D20" s="18"/>
      <x:c r="E20" s="18"/>
      <x:c r="F20" s="18"/>
      <x:c r="G20" s="22" t="str">
        <x:f>IF(E20="","",IFERROR(XLOOKUP(E20,'05_PROJETS_CLIMAT'!$A$5:$A$104,'05_PROJETS_CLIMAT'!$U$5:$U$104),""))</x:f>
      </x:c>
      <x:c r="H20" s="21" t="str">
        <x:f>IF(E20="","",IFERROR(XLOOKUP(E20,'05_PROJETS_CLIMAT'!$A$5:$A$104,'05_PROJETS_CLIMAT'!$P$5:$P$104),""))</x:f>
      </x:c>
      <x:c r="I20" s="21" t="str">
        <x:f>IF(E20="","",IFERROR(XLOOKUP(E20,'05_PROJETS_CLIMAT'!$A$5:$A$104,'05_PROJETS_CLIMAT'!$S$5:$S$104),""))</x:f>
      </x:c>
      <x:c r="J20" s="21" t="str">
        <x:f>IF(E20="","",IFERROR(XLOOKUP(E20,'05_PROJETS_CLIMAT'!$A$5:$A$104,'05_PROJETS_CLIMAT'!$T$5:$T$104),""))</x:f>
      </x:c>
      <x:c r="K20" s="18"/>
      <x:c r="L20" s="18" t="str">
        <x:f>IF(A20="","",IF(K20&lt;&gt;"Pret","A finaliser","OK"))</x:f>
      </x:c>
    </x:row>
    <x:row r="21">
      <x:c r="A21" s="18"/>
      <x:c r="B21" s="18"/>
      <x:c r="C21" s="18"/>
      <x:c r="D21" s="18"/>
      <x:c r="E21" s="18"/>
      <x:c r="F21" s="18"/>
      <x:c r="G21" s="22" t="str">
        <x:f>IF(E21="","",IFERROR(XLOOKUP(E21,'05_PROJETS_CLIMAT'!$A$5:$A$104,'05_PROJETS_CLIMAT'!$U$5:$U$104),""))</x:f>
      </x:c>
      <x:c r="H21" s="21" t="str">
        <x:f>IF(E21="","",IFERROR(XLOOKUP(E21,'05_PROJETS_CLIMAT'!$A$5:$A$104,'05_PROJETS_CLIMAT'!$P$5:$P$104),""))</x:f>
      </x:c>
      <x:c r="I21" s="21" t="str">
        <x:f>IF(E21="","",IFERROR(XLOOKUP(E21,'05_PROJETS_CLIMAT'!$A$5:$A$104,'05_PROJETS_CLIMAT'!$S$5:$S$104),""))</x:f>
      </x:c>
      <x:c r="J21" s="21" t="str">
        <x:f>IF(E21="","",IFERROR(XLOOKUP(E21,'05_PROJETS_CLIMAT'!$A$5:$A$104,'05_PROJETS_CLIMAT'!$T$5:$T$104),""))</x:f>
      </x:c>
      <x:c r="K21" s="18"/>
      <x:c r="L21" s="18" t="str">
        <x:f>IF(A21="","",IF(K21&lt;&gt;"Pret","A finaliser","OK"))</x:f>
      </x:c>
    </x:row>
    <x:row r="22">
      <x:c r="A22" s="18"/>
      <x:c r="B22" s="18"/>
      <x:c r="C22" s="18"/>
      <x:c r="D22" s="18"/>
      <x:c r="E22" s="18"/>
      <x:c r="F22" s="18"/>
      <x:c r="G22" s="22" t="str">
        <x:f>IF(E22="","",IFERROR(XLOOKUP(E22,'05_PROJETS_CLIMAT'!$A$5:$A$104,'05_PROJETS_CLIMAT'!$U$5:$U$104),""))</x:f>
      </x:c>
      <x:c r="H22" s="21" t="str">
        <x:f>IF(E22="","",IFERROR(XLOOKUP(E22,'05_PROJETS_CLIMAT'!$A$5:$A$104,'05_PROJETS_CLIMAT'!$P$5:$P$104),""))</x:f>
      </x:c>
      <x:c r="I22" s="21" t="str">
        <x:f>IF(E22="","",IFERROR(XLOOKUP(E22,'05_PROJETS_CLIMAT'!$A$5:$A$104,'05_PROJETS_CLIMAT'!$S$5:$S$104),""))</x:f>
      </x:c>
      <x:c r="J22" s="21" t="str">
        <x:f>IF(E22="","",IFERROR(XLOOKUP(E22,'05_PROJETS_CLIMAT'!$A$5:$A$104,'05_PROJETS_CLIMAT'!$T$5:$T$104),""))</x:f>
      </x:c>
      <x:c r="K22" s="18"/>
      <x:c r="L22" s="18" t="str">
        <x:f>IF(A22="","",IF(K22&lt;&gt;"Pret","A finaliser","OK"))</x:f>
      </x:c>
    </x:row>
    <x:row r="23">
      <x:c r="A23" s="18"/>
      <x:c r="B23" s="18"/>
      <x:c r="C23" s="18"/>
      <x:c r="D23" s="18"/>
      <x:c r="E23" s="18"/>
      <x:c r="F23" s="18"/>
      <x:c r="G23" s="22" t="str">
        <x:f>IF(E23="","",IFERROR(XLOOKUP(E23,'05_PROJETS_CLIMAT'!$A$5:$A$104,'05_PROJETS_CLIMAT'!$U$5:$U$104),""))</x:f>
      </x:c>
      <x:c r="H23" s="21" t="str">
        <x:f>IF(E23="","",IFERROR(XLOOKUP(E23,'05_PROJETS_CLIMAT'!$A$5:$A$104,'05_PROJETS_CLIMAT'!$P$5:$P$104),""))</x:f>
      </x:c>
      <x:c r="I23" s="21" t="str">
        <x:f>IF(E23="","",IFERROR(XLOOKUP(E23,'05_PROJETS_CLIMAT'!$A$5:$A$104,'05_PROJETS_CLIMAT'!$S$5:$S$104),""))</x:f>
      </x:c>
      <x:c r="J23" s="21" t="str">
        <x:f>IF(E23="","",IFERROR(XLOOKUP(E23,'05_PROJETS_CLIMAT'!$A$5:$A$104,'05_PROJETS_CLIMAT'!$T$5:$T$104),""))</x:f>
      </x:c>
      <x:c r="K23" s="18"/>
      <x:c r="L23" s="18" t="str">
        <x:f>IF(A23="","",IF(K23&lt;&gt;"Pret","A finaliser","OK"))</x:f>
      </x:c>
    </x:row>
    <x:row r="24">
      <x:c r="A24" s="18"/>
      <x:c r="B24" s="18"/>
      <x:c r="C24" s="18"/>
      <x:c r="D24" s="18"/>
      <x:c r="E24" s="18"/>
      <x:c r="F24" s="18"/>
      <x:c r="G24" s="22" t="str">
        <x:f>IF(E24="","",IFERROR(XLOOKUP(E24,'05_PROJETS_CLIMAT'!$A$5:$A$104,'05_PROJETS_CLIMAT'!$U$5:$U$104),""))</x:f>
      </x:c>
      <x:c r="H24" s="21" t="str">
        <x:f>IF(E24="","",IFERROR(XLOOKUP(E24,'05_PROJETS_CLIMAT'!$A$5:$A$104,'05_PROJETS_CLIMAT'!$P$5:$P$104),""))</x:f>
      </x:c>
      <x:c r="I24" s="21" t="str">
        <x:f>IF(E24="","",IFERROR(XLOOKUP(E24,'05_PROJETS_CLIMAT'!$A$5:$A$104,'05_PROJETS_CLIMAT'!$S$5:$S$104),""))</x:f>
      </x:c>
      <x:c r="J24" s="21" t="str">
        <x:f>IF(E24="","",IFERROR(XLOOKUP(E24,'05_PROJETS_CLIMAT'!$A$5:$A$104,'05_PROJETS_CLIMAT'!$T$5:$T$104),""))</x:f>
      </x:c>
      <x:c r="K24" s="18"/>
      <x:c r="L24" s="18" t="str">
        <x:f>IF(A24="","",IF(K24&lt;&gt;"Pret","A finaliser","OK"))</x:f>
      </x:c>
    </x:row>
    <x:row r="25">
      <x:c r="A25" s="18"/>
      <x:c r="B25" s="18"/>
      <x:c r="C25" s="18"/>
      <x:c r="D25" s="18"/>
      <x:c r="E25" s="18"/>
      <x:c r="F25" s="18"/>
      <x:c r="G25" s="22" t="str">
        <x:f>IF(E25="","",IFERROR(XLOOKUP(E25,'05_PROJETS_CLIMAT'!$A$5:$A$104,'05_PROJETS_CLIMAT'!$U$5:$U$104),""))</x:f>
      </x:c>
      <x:c r="H25" s="21" t="str">
        <x:f>IF(E25="","",IFERROR(XLOOKUP(E25,'05_PROJETS_CLIMAT'!$A$5:$A$104,'05_PROJETS_CLIMAT'!$P$5:$P$104),""))</x:f>
      </x:c>
      <x:c r="I25" s="21" t="str">
        <x:f>IF(E25="","",IFERROR(XLOOKUP(E25,'05_PROJETS_CLIMAT'!$A$5:$A$104,'05_PROJETS_CLIMAT'!$S$5:$S$104),""))</x:f>
      </x:c>
      <x:c r="J25" s="21" t="str">
        <x:f>IF(E25="","",IFERROR(XLOOKUP(E25,'05_PROJETS_CLIMAT'!$A$5:$A$104,'05_PROJETS_CLIMAT'!$T$5:$T$104),""))</x:f>
      </x:c>
      <x:c r="K25" s="18"/>
      <x:c r="L25" s="18" t="str">
        <x:f>IF(A25="","",IF(K25&lt;&gt;"Pret","A finaliser","OK"))</x:f>
      </x:c>
    </x:row>
    <x:row r="26">
      <x:c r="A26" s="18"/>
      <x:c r="B26" s="18"/>
      <x:c r="C26" s="18"/>
      <x:c r="D26" s="18"/>
      <x:c r="E26" s="18"/>
      <x:c r="F26" s="18"/>
      <x:c r="G26" s="22" t="str">
        <x:f>IF(E26="","",IFERROR(XLOOKUP(E26,'05_PROJETS_CLIMAT'!$A$5:$A$104,'05_PROJETS_CLIMAT'!$U$5:$U$104),""))</x:f>
      </x:c>
      <x:c r="H26" s="21" t="str">
        <x:f>IF(E26="","",IFERROR(XLOOKUP(E26,'05_PROJETS_CLIMAT'!$A$5:$A$104,'05_PROJETS_CLIMAT'!$P$5:$P$104),""))</x:f>
      </x:c>
      <x:c r="I26" s="21" t="str">
        <x:f>IF(E26="","",IFERROR(XLOOKUP(E26,'05_PROJETS_CLIMAT'!$A$5:$A$104,'05_PROJETS_CLIMAT'!$S$5:$S$104),""))</x:f>
      </x:c>
      <x:c r="J26" s="21" t="str">
        <x:f>IF(E26="","",IFERROR(XLOOKUP(E26,'05_PROJETS_CLIMAT'!$A$5:$A$104,'05_PROJETS_CLIMAT'!$T$5:$T$104),""))</x:f>
      </x:c>
      <x:c r="K26" s="18"/>
      <x:c r="L26" s="18" t="str">
        <x:f>IF(A26="","",IF(K26&lt;&gt;"Pret","A finaliser","OK"))</x:f>
      </x:c>
    </x:row>
    <x:row r="27">
      <x:c r="A27" s="18"/>
      <x:c r="B27" s="18"/>
      <x:c r="C27" s="18"/>
      <x:c r="D27" s="18"/>
      <x:c r="E27" s="18"/>
      <x:c r="F27" s="18"/>
      <x:c r="G27" s="22" t="str">
        <x:f>IF(E27="","",IFERROR(XLOOKUP(E27,'05_PROJETS_CLIMAT'!$A$5:$A$104,'05_PROJETS_CLIMAT'!$U$5:$U$104),""))</x:f>
      </x:c>
      <x:c r="H27" s="21" t="str">
        <x:f>IF(E27="","",IFERROR(XLOOKUP(E27,'05_PROJETS_CLIMAT'!$A$5:$A$104,'05_PROJETS_CLIMAT'!$P$5:$P$104),""))</x:f>
      </x:c>
      <x:c r="I27" s="21" t="str">
        <x:f>IF(E27="","",IFERROR(XLOOKUP(E27,'05_PROJETS_CLIMAT'!$A$5:$A$104,'05_PROJETS_CLIMAT'!$S$5:$S$104),""))</x:f>
      </x:c>
      <x:c r="J27" s="21" t="str">
        <x:f>IF(E27="","",IFERROR(XLOOKUP(E27,'05_PROJETS_CLIMAT'!$A$5:$A$104,'05_PROJETS_CLIMAT'!$T$5:$T$104),""))</x:f>
      </x:c>
      <x:c r="K27" s="18"/>
      <x:c r="L27" s="18" t="str">
        <x:f>IF(A27="","",IF(K27&lt;&gt;"Pret","A finaliser","OK"))</x:f>
      </x:c>
    </x:row>
    <x:row r="28">
      <x:c r="A28" s="18"/>
      <x:c r="B28" s="18"/>
      <x:c r="C28" s="18"/>
      <x:c r="D28" s="18"/>
      <x:c r="E28" s="18"/>
      <x:c r="F28" s="18"/>
      <x:c r="G28" s="22" t="str">
        <x:f>IF(E28="","",IFERROR(XLOOKUP(E28,'05_PROJETS_CLIMAT'!$A$5:$A$104,'05_PROJETS_CLIMAT'!$U$5:$U$104),""))</x:f>
      </x:c>
      <x:c r="H28" s="21" t="str">
        <x:f>IF(E28="","",IFERROR(XLOOKUP(E28,'05_PROJETS_CLIMAT'!$A$5:$A$104,'05_PROJETS_CLIMAT'!$P$5:$P$104),""))</x:f>
      </x:c>
      <x:c r="I28" s="21" t="str">
        <x:f>IF(E28="","",IFERROR(XLOOKUP(E28,'05_PROJETS_CLIMAT'!$A$5:$A$104,'05_PROJETS_CLIMAT'!$S$5:$S$104),""))</x:f>
      </x:c>
      <x:c r="J28" s="21" t="str">
        <x:f>IF(E28="","",IFERROR(XLOOKUP(E28,'05_PROJETS_CLIMAT'!$A$5:$A$104,'05_PROJETS_CLIMAT'!$T$5:$T$104),""))</x:f>
      </x:c>
      <x:c r="K28" s="18"/>
      <x:c r="L28" s="18" t="str">
        <x:f>IF(A28="","",IF(K28&lt;&gt;"Pret","A finaliser","OK"))</x:f>
      </x:c>
    </x:row>
    <x:row r="29">
      <x:c r="A29" s="18"/>
      <x:c r="B29" s="18"/>
      <x:c r="C29" s="18"/>
      <x:c r="D29" s="18"/>
      <x:c r="E29" s="18"/>
      <x:c r="F29" s="18"/>
      <x:c r="G29" s="22" t="str">
        <x:f>IF(E29="","",IFERROR(XLOOKUP(E29,'05_PROJETS_CLIMAT'!$A$5:$A$104,'05_PROJETS_CLIMAT'!$U$5:$U$104),""))</x:f>
      </x:c>
      <x:c r="H29" s="21" t="str">
        <x:f>IF(E29="","",IFERROR(XLOOKUP(E29,'05_PROJETS_CLIMAT'!$A$5:$A$104,'05_PROJETS_CLIMAT'!$P$5:$P$104),""))</x:f>
      </x:c>
      <x:c r="I29" s="21" t="str">
        <x:f>IF(E29="","",IFERROR(XLOOKUP(E29,'05_PROJETS_CLIMAT'!$A$5:$A$104,'05_PROJETS_CLIMAT'!$S$5:$S$104),""))</x:f>
      </x:c>
      <x:c r="J29" s="21" t="str">
        <x:f>IF(E29="","",IFERROR(XLOOKUP(E29,'05_PROJETS_CLIMAT'!$A$5:$A$104,'05_PROJETS_CLIMAT'!$T$5:$T$104),""))</x:f>
      </x:c>
      <x:c r="K29" s="18"/>
      <x:c r="L29" s="18" t="str">
        <x:f>IF(A29="","",IF(K29&lt;&gt;"Pret","A finaliser","OK"))</x:f>
      </x:c>
    </x:row>
    <x:row r="30">
      <x:c r="A30" s="18"/>
      <x:c r="B30" s="18"/>
      <x:c r="C30" s="18"/>
      <x:c r="D30" s="18"/>
      <x:c r="E30" s="18"/>
      <x:c r="F30" s="18"/>
      <x:c r="G30" s="22" t="str">
        <x:f>IF(E30="","",IFERROR(XLOOKUP(E30,'05_PROJETS_CLIMAT'!$A$5:$A$104,'05_PROJETS_CLIMAT'!$U$5:$U$104),""))</x:f>
      </x:c>
      <x:c r="H30" s="21" t="str">
        <x:f>IF(E30="","",IFERROR(XLOOKUP(E30,'05_PROJETS_CLIMAT'!$A$5:$A$104,'05_PROJETS_CLIMAT'!$P$5:$P$104),""))</x:f>
      </x:c>
      <x:c r="I30" s="21" t="str">
        <x:f>IF(E30="","",IFERROR(XLOOKUP(E30,'05_PROJETS_CLIMAT'!$A$5:$A$104,'05_PROJETS_CLIMAT'!$S$5:$S$104),""))</x:f>
      </x:c>
      <x:c r="J30" s="21" t="str">
        <x:f>IF(E30="","",IFERROR(XLOOKUP(E30,'05_PROJETS_CLIMAT'!$A$5:$A$104,'05_PROJETS_CLIMAT'!$T$5:$T$104),""))</x:f>
      </x:c>
      <x:c r="K30" s="18"/>
      <x:c r="L30" s="18" t="str">
        <x:f>IF(A30="","",IF(K30&lt;&gt;"Pret","A finaliser","OK"))</x:f>
      </x:c>
    </x:row>
    <x:row r="31">
      <x:c r="A31" s="18"/>
      <x:c r="B31" s="18"/>
      <x:c r="C31" s="18"/>
      <x:c r="D31" s="18"/>
      <x:c r="E31" s="18"/>
      <x:c r="F31" s="18"/>
      <x:c r="G31" s="22" t="str">
        <x:f>IF(E31="","",IFERROR(XLOOKUP(E31,'05_PROJETS_CLIMAT'!$A$5:$A$104,'05_PROJETS_CLIMAT'!$U$5:$U$104),""))</x:f>
      </x:c>
      <x:c r="H31" s="21" t="str">
        <x:f>IF(E31="","",IFERROR(XLOOKUP(E31,'05_PROJETS_CLIMAT'!$A$5:$A$104,'05_PROJETS_CLIMAT'!$P$5:$P$104),""))</x:f>
      </x:c>
      <x:c r="I31" s="21" t="str">
        <x:f>IF(E31="","",IFERROR(XLOOKUP(E31,'05_PROJETS_CLIMAT'!$A$5:$A$104,'05_PROJETS_CLIMAT'!$S$5:$S$104),""))</x:f>
      </x:c>
      <x:c r="J31" s="21" t="str">
        <x:f>IF(E31="","",IFERROR(XLOOKUP(E31,'05_PROJETS_CLIMAT'!$A$5:$A$104,'05_PROJETS_CLIMAT'!$T$5:$T$104),""))</x:f>
      </x:c>
      <x:c r="K31" s="18"/>
      <x:c r="L31" s="18" t="str">
        <x:f>IF(A31="","",IF(K31&lt;&gt;"Pret","A finaliser","OK"))</x:f>
      </x:c>
    </x:row>
    <x:row r="32">
      <x:c r="A32" s="18"/>
      <x:c r="B32" s="18"/>
      <x:c r="C32" s="18"/>
      <x:c r="D32" s="18"/>
      <x:c r="E32" s="18"/>
      <x:c r="F32" s="18"/>
      <x:c r="G32" s="22" t="str">
        <x:f>IF(E32="","",IFERROR(XLOOKUP(E32,'05_PROJETS_CLIMAT'!$A$5:$A$104,'05_PROJETS_CLIMAT'!$U$5:$U$104),""))</x:f>
      </x:c>
      <x:c r="H32" s="21" t="str">
        <x:f>IF(E32="","",IFERROR(XLOOKUP(E32,'05_PROJETS_CLIMAT'!$A$5:$A$104,'05_PROJETS_CLIMAT'!$P$5:$P$104),""))</x:f>
      </x:c>
      <x:c r="I32" s="21" t="str">
        <x:f>IF(E32="","",IFERROR(XLOOKUP(E32,'05_PROJETS_CLIMAT'!$A$5:$A$104,'05_PROJETS_CLIMAT'!$S$5:$S$104),""))</x:f>
      </x:c>
      <x:c r="J32" s="21" t="str">
        <x:f>IF(E32="","",IFERROR(XLOOKUP(E32,'05_PROJETS_CLIMAT'!$A$5:$A$104,'05_PROJETS_CLIMAT'!$T$5:$T$104),""))</x:f>
      </x:c>
      <x:c r="K32" s="18"/>
      <x:c r="L32" s="18" t="str">
        <x:f>IF(A32="","",IF(K32&lt;&gt;"Pret","A finaliser","OK"))</x:f>
      </x:c>
    </x:row>
    <x:row r="33">
      <x:c r="A33" s="18"/>
      <x:c r="B33" s="18"/>
      <x:c r="C33" s="18"/>
      <x:c r="D33" s="18"/>
      <x:c r="E33" s="18"/>
      <x:c r="F33" s="18"/>
      <x:c r="G33" s="22" t="str">
        <x:f>IF(E33="","",IFERROR(XLOOKUP(E33,'05_PROJETS_CLIMAT'!$A$5:$A$104,'05_PROJETS_CLIMAT'!$U$5:$U$104),""))</x:f>
      </x:c>
      <x:c r="H33" s="21" t="str">
        <x:f>IF(E33="","",IFERROR(XLOOKUP(E33,'05_PROJETS_CLIMAT'!$A$5:$A$104,'05_PROJETS_CLIMAT'!$P$5:$P$104),""))</x:f>
      </x:c>
      <x:c r="I33" s="21" t="str">
        <x:f>IF(E33="","",IFERROR(XLOOKUP(E33,'05_PROJETS_CLIMAT'!$A$5:$A$104,'05_PROJETS_CLIMAT'!$S$5:$S$104),""))</x:f>
      </x:c>
      <x:c r="J33" s="21" t="str">
        <x:f>IF(E33="","",IFERROR(XLOOKUP(E33,'05_PROJETS_CLIMAT'!$A$5:$A$104,'05_PROJETS_CLIMAT'!$T$5:$T$104),""))</x:f>
      </x:c>
      <x:c r="K33" s="18"/>
      <x:c r="L33" s="18" t="str">
        <x:f>IF(A33="","",IF(K33&lt;&gt;"Pret","A finaliser","OK"))</x:f>
      </x:c>
    </x:row>
    <x:row r="34">
      <x:c r="A34" s="18"/>
      <x:c r="B34" s="18"/>
      <x:c r="C34" s="18"/>
      <x:c r="D34" s="18"/>
      <x:c r="E34" s="18"/>
      <x:c r="F34" s="18"/>
      <x:c r="G34" s="22" t="str">
        <x:f>IF(E34="","",IFERROR(XLOOKUP(E34,'05_PROJETS_CLIMAT'!$A$5:$A$104,'05_PROJETS_CLIMAT'!$U$5:$U$104),""))</x:f>
      </x:c>
      <x:c r="H34" s="21" t="str">
        <x:f>IF(E34="","",IFERROR(XLOOKUP(E34,'05_PROJETS_CLIMAT'!$A$5:$A$104,'05_PROJETS_CLIMAT'!$P$5:$P$104),""))</x:f>
      </x:c>
      <x:c r="I34" s="21" t="str">
        <x:f>IF(E34="","",IFERROR(XLOOKUP(E34,'05_PROJETS_CLIMAT'!$A$5:$A$104,'05_PROJETS_CLIMAT'!$S$5:$S$104),""))</x:f>
      </x:c>
      <x:c r="J34" s="21" t="str">
        <x:f>IF(E34="","",IFERROR(XLOOKUP(E34,'05_PROJETS_CLIMAT'!$A$5:$A$104,'05_PROJETS_CLIMAT'!$T$5:$T$104),""))</x:f>
      </x:c>
      <x:c r="K34" s="18"/>
      <x:c r="L34" s="18" t="str">
        <x:f>IF(A34="","",IF(K34&lt;&gt;"Pret","A finaliser","OK"))</x:f>
      </x:c>
    </x:row>
    <x:row r="35">
      <x:c r="A35" s="18"/>
      <x:c r="B35" s="18"/>
      <x:c r="C35" s="18"/>
      <x:c r="D35" s="18"/>
      <x:c r="E35" s="18"/>
      <x:c r="F35" s="18"/>
      <x:c r="G35" s="22" t="str">
        <x:f>IF(E35="","",IFERROR(XLOOKUP(E35,'05_PROJETS_CLIMAT'!$A$5:$A$104,'05_PROJETS_CLIMAT'!$U$5:$U$104),""))</x:f>
      </x:c>
      <x:c r="H35" s="21" t="str">
        <x:f>IF(E35="","",IFERROR(XLOOKUP(E35,'05_PROJETS_CLIMAT'!$A$5:$A$104,'05_PROJETS_CLIMAT'!$P$5:$P$104),""))</x:f>
      </x:c>
      <x:c r="I35" s="21" t="str">
        <x:f>IF(E35="","",IFERROR(XLOOKUP(E35,'05_PROJETS_CLIMAT'!$A$5:$A$104,'05_PROJETS_CLIMAT'!$S$5:$S$104),""))</x:f>
      </x:c>
      <x:c r="J35" s="21" t="str">
        <x:f>IF(E35="","",IFERROR(XLOOKUP(E35,'05_PROJETS_CLIMAT'!$A$5:$A$104,'05_PROJETS_CLIMAT'!$T$5:$T$104),""))</x:f>
      </x:c>
      <x:c r="K35" s="18"/>
      <x:c r="L35" s="18" t="str">
        <x:f>IF(A35="","",IF(K35&lt;&gt;"Pret","A finaliser","OK"))</x:f>
      </x:c>
    </x:row>
    <x:row r="36">
      <x:c r="A36" s="18"/>
      <x:c r="B36" s="18"/>
      <x:c r="C36" s="18"/>
      <x:c r="D36" s="18"/>
      <x:c r="E36" s="18"/>
      <x:c r="F36" s="18"/>
      <x:c r="G36" s="22" t="str">
        <x:f>IF(E36="","",IFERROR(XLOOKUP(E36,'05_PROJETS_CLIMAT'!$A$5:$A$104,'05_PROJETS_CLIMAT'!$U$5:$U$104),""))</x:f>
      </x:c>
      <x:c r="H36" s="21" t="str">
        <x:f>IF(E36="","",IFERROR(XLOOKUP(E36,'05_PROJETS_CLIMAT'!$A$5:$A$104,'05_PROJETS_CLIMAT'!$P$5:$P$104),""))</x:f>
      </x:c>
      <x:c r="I36" s="21" t="str">
        <x:f>IF(E36="","",IFERROR(XLOOKUP(E36,'05_PROJETS_CLIMAT'!$A$5:$A$104,'05_PROJETS_CLIMAT'!$S$5:$S$104),""))</x:f>
      </x:c>
      <x:c r="J36" s="21" t="str">
        <x:f>IF(E36="","",IFERROR(XLOOKUP(E36,'05_PROJETS_CLIMAT'!$A$5:$A$104,'05_PROJETS_CLIMAT'!$T$5:$T$104),""))</x:f>
      </x:c>
      <x:c r="K36" s="18"/>
      <x:c r="L36" s="18" t="str">
        <x:f>IF(A36="","",IF(K36&lt;&gt;"Pret","A finaliser","OK"))</x:f>
      </x:c>
    </x:row>
    <x:row r="37">
      <x:c r="A37" s="18"/>
      <x:c r="B37" s="18"/>
      <x:c r="C37" s="18"/>
      <x:c r="D37" s="18"/>
      <x:c r="E37" s="18"/>
      <x:c r="F37" s="18"/>
      <x:c r="G37" s="22" t="str">
        <x:f>IF(E37="","",IFERROR(XLOOKUP(E37,'05_PROJETS_CLIMAT'!$A$5:$A$104,'05_PROJETS_CLIMAT'!$U$5:$U$104),""))</x:f>
      </x:c>
      <x:c r="H37" s="21" t="str">
        <x:f>IF(E37="","",IFERROR(XLOOKUP(E37,'05_PROJETS_CLIMAT'!$A$5:$A$104,'05_PROJETS_CLIMAT'!$P$5:$P$104),""))</x:f>
      </x:c>
      <x:c r="I37" s="21" t="str">
        <x:f>IF(E37="","",IFERROR(XLOOKUP(E37,'05_PROJETS_CLIMAT'!$A$5:$A$104,'05_PROJETS_CLIMAT'!$S$5:$S$104),""))</x:f>
      </x:c>
      <x:c r="J37" s="21" t="str">
        <x:f>IF(E37="","",IFERROR(XLOOKUP(E37,'05_PROJETS_CLIMAT'!$A$5:$A$104,'05_PROJETS_CLIMAT'!$T$5:$T$104),""))</x:f>
      </x:c>
      <x:c r="K37" s="18"/>
      <x:c r="L37" s="18" t="str">
        <x:f>IF(A37="","",IF(K37&lt;&gt;"Pret","A finaliser","OK"))</x:f>
      </x:c>
    </x:row>
    <x:row r="38">
      <x:c r="A38" s="18"/>
      <x:c r="B38" s="18"/>
      <x:c r="C38" s="18"/>
      <x:c r="D38" s="18"/>
      <x:c r="E38" s="18"/>
      <x:c r="F38" s="18"/>
      <x:c r="G38" s="22" t="str">
        <x:f>IF(E38="","",IFERROR(XLOOKUP(E38,'05_PROJETS_CLIMAT'!$A$5:$A$104,'05_PROJETS_CLIMAT'!$U$5:$U$104),""))</x:f>
      </x:c>
      <x:c r="H38" s="21" t="str">
        <x:f>IF(E38="","",IFERROR(XLOOKUP(E38,'05_PROJETS_CLIMAT'!$A$5:$A$104,'05_PROJETS_CLIMAT'!$P$5:$P$104),""))</x:f>
      </x:c>
      <x:c r="I38" s="21" t="str">
        <x:f>IF(E38="","",IFERROR(XLOOKUP(E38,'05_PROJETS_CLIMAT'!$A$5:$A$104,'05_PROJETS_CLIMAT'!$S$5:$S$104),""))</x:f>
      </x:c>
      <x:c r="J38" s="21" t="str">
        <x:f>IF(E38="","",IFERROR(XLOOKUP(E38,'05_PROJETS_CLIMAT'!$A$5:$A$104,'05_PROJETS_CLIMAT'!$T$5:$T$104),""))</x:f>
      </x:c>
      <x:c r="K38" s="18"/>
      <x:c r="L38" s="18" t="str">
        <x:f>IF(A38="","",IF(K38&lt;&gt;"Pret","A finaliser","OK"))</x:f>
      </x:c>
    </x:row>
    <x:row r="39">
      <x:c r="A39" s="18"/>
      <x:c r="B39" s="18"/>
      <x:c r="C39" s="18"/>
      <x:c r="D39" s="18"/>
      <x:c r="E39" s="18"/>
      <x:c r="F39" s="18"/>
      <x:c r="G39" s="22" t="str">
        <x:f>IF(E39="","",IFERROR(XLOOKUP(E39,'05_PROJETS_CLIMAT'!$A$5:$A$104,'05_PROJETS_CLIMAT'!$U$5:$U$104),""))</x:f>
      </x:c>
      <x:c r="H39" s="21" t="str">
        <x:f>IF(E39="","",IFERROR(XLOOKUP(E39,'05_PROJETS_CLIMAT'!$A$5:$A$104,'05_PROJETS_CLIMAT'!$P$5:$P$104),""))</x:f>
      </x:c>
      <x:c r="I39" s="21" t="str">
        <x:f>IF(E39="","",IFERROR(XLOOKUP(E39,'05_PROJETS_CLIMAT'!$A$5:$A$104,'05_PROJETS_CLIMAT'!$S$5:$S$104),""))</x:f>
      </x:c>
      <x:c r="J39" s="21" t="str">
        <x:f>IF(E39="","",IFERROR(XLOOKUP(E39,'05_PROJETS_CLIMAT'!$A$5:$A$104,'05_PROJETS_CLIMAT'!$T$5:$T$104),""))</x:f>
      </x:c>
      <x:c r="K39" s="18"/>
      <x:c r="L39" s="18" t="str">
        <x:f>IF(A39="","",IF(K39&lt;&gt;"Pret","A finaliser","OK"))</x:f>
      </x:c>
    </x:row>
    <x:row r="40">
      <x:c r="A40" s="18"/>
      <x:c r="B40" s="18"/>
      <x:c r="C40" s="18"/>
      <x:c r="D40" s="18"/>
      <x:c r="E40" s="18"/>
      <x:c r="F40" s="18"/>
      <x:c r="G40" s="22" t="str">
        <x:f>IF(E40="","",IFERROR(XLOOKUP(E40,'05_PROJETS_CLIMAT'!$A$5:$A$104,'05_PROJETS_CLIMAT'!$U$5:$U$104),""))</x:f>
      </x:c>
      <x:c r="H40" s="21" t="str">
        <x:f>IF(E40="","",IFERROR(XLOOKUP(E40,'05_PROJETS_CLIMAT'!$A$5:$A$104,'05_PROJETS_CLIMAT'!$P$5:$P$104),""))</x:f>
      </x:c>
      <x:c r="I40" s="21" t="str">
        <x:f>IF(E40="","",IFERROR(XLOOKUP(E40,'05_PROJETS_CLIMAT'!$A$5:$A$104,'05_PROJETS_CLIMAT'!$S$5:$S$104),""))</x:f>
      </x:c>
      <x:c r="J40" s="21" t="str">
        <x:f>IF(E40="","",IFERROR(XLOOKUP(E40,'05_PROJETS_CLIMAT'!$A$5:$A$104,'05_PROJETS_CLIMAT'!$T$5:$T$104),""))</x:f>
      </x:c>
      <x:c r="K40" s="18"/>
      <x:c r="L40" s="18" t="str">
        <x:f>IF(A40="","",IF(K40&lt;&gt;"Pret","A finaliser","OK"))</x:f>
      </x:c>
    </x:row>
    <x:row r="41">
      <x:c r="A41" s="18"/>
      <x:c r="B41" s="18"/>
      <x:c r="C41" s="18"/>
      <x:c r="D41" s="18"/>
      <x:c r="E41" s="18"/>
      <x:c r="F41" s="18"/>
      <x:c r="G41" s="22" t="str">
        <x:f>IF(E41="","",IFERROR(XLOOKUP(E41,'05_PROJETS_CLIMAT'!$A$5:$A$104,'05_PROJETS_CLIMAT'!$U$5:$U$104),""))</x:f>
      </x:c>
      <x:c r="H41" s="21" t="str">
        <x:f>IF(E41="","",IFERROR(XLOOKUP(E41,'05_PROJETS_CLIMAT'!$A$5:$A$104,'05_PROJETS_CLIMAT'!$P$5:$P$104),""))</x:f>
      </x:c>
      <x:c r="I41" s="21" t="str">
        <x:f>IF(E41="","",IFERROR(XLOOKUP(E41,'05_PROJETS_CLIMAT'!$A$5:$A$104,'05_PROJETS_CLIMAT'!$S$5:$S$104),""))</x:f>
      </x:c>
      <x:c r="J41" s="21" t="str">
        <x:f>IF(E41="","",IFERROR(XLOOKUP(E41,'05_PROJETS_CLIMAT'!$A$5:$A$104,'05_PROJETS_CLIMAT'!$T$5:$T$104),""))</x:f>
      </x:c>
      <x:c r="K41" s="18"/>
      <x:c r="L41" s="18" t="str">
        <x:f>IF(A41="","",IF(K41&lt;&gt;"Pret","A finaliser","OK"))</x:f>
      </x:c>
    </x:row>
    <x:row r="42">
      <x:c r="A42" s="18"/>
      <x:c r="B42" s="18"/>
      <x:c r="C42" s="18"/>
      <x:c r="D42" s="18"/>
      <x:c r="E42" s="18"/>
      <x:c r="F42" s="18"/>
      <x:c r="G42" s="22" t="str">
        <x:f>IF(E42="","",IFERROR(XLOOKUP(E42,'05_PROJETS_CLIMAT'!$A$5:$A$104,'05_PROJETS_CLIMAT'!$U$5:$U$104),""))</x:f>
      </x:c>
      <x:c r="H42" s="21" t="str">
        <x:f>IF(E42="","",IFERROR(XLOOKUP(E42,'05_PROJETS_CLIMAT'!$A$5:$A$104,'05_PROJETS_CLIMAT'!$P$5:$P$104),""))</x:f>
      </x:c>
      <x:c r="I42" s="21" t="str">
        <x:f>IF(E42="","",IFERROR(XLOOKUP(E42,'05_PROJETS_CLIMAT'!$A$5:$A$104,'05_PROJETS_CLIMAT'!$S$5:$S$104),""))</x:f>
      </x:c>
      <x:c r="J42" s="21" t="str">
        <x:f>IF(E42="","",IFERROR(XLOOKUP(E42,'05_PROJETS_CLIMAT'!$A$5:$A$104,'05_PROJETS_CLIMAT'!$T$5:$T$104),""))</x:f>
      </x:c>
      <x:c r="K42" s="18"/>
      <x:c r="L42" s="18" t="str">
        <x:f>IF(A42="","",IF(K42&lt;&gt;"Pret","A finaliser","OK"))</x:f>
      </x:c>
    </x:row>
    <x:row r="43">
      <x:c r="A43" s="18"/>
      <x:c r="B43" s="18"/>
      <x:c r="C43" s="18"/>
      <x:c r="D43" s="18"/>
      <x:c r="E43" s="18"/>
      <x:c r="F43" s="18"/>
      <x:c r="G43" s="22" t="str">
        <x:f>IF(E43="","",IFERROR(XLOOKUP(E43,'05_PROJETS_CLIMAT'!$A$5:$A$104,'05_PROJETS_CLIMAT'!$U$5:$U$104),""))</x:f>
      </x:c>
      <x:c r="H43" s="21" t="str">
        <x:f>IF(E43="","",IFERROR(XLOOKUP(E43,'05_PROJETS_CLIMAT'!$A$5:$A$104,'05_PROJETS_CLIMAT'!$P$5:$P$104),""))</x:f>
      </x:c>
      <x:c r="I43" s="21" t="str">
        <x:f>IF(E43="","",IFERROR(XLOOKUP(E43,'05_PROJETS_CLIMAT'!$A$5:$A$104,'05_PROJETS_CLIMAT'!$S$5:$S$104),""))</x:f>
      </x:c>
      <x:c r="J43" s="21" t="str">
        <x:f>IF(E43="","",IFERROR(XLOOKUP(E43,'05_PROJETS_CLIMAT'!$A$5:$A$104,'05_PROJETS_CLIMAT'!$T$5:$T$104),""))</x:f>
      </x:c>
      <x:c r="K43" s="18"/>
      <x:c r="L43" s="18" t="str">
        <x:f>IF(A43="","",IF(K43&lt;&gt;"Pret","A finaliser","OK"))</x:f>
      </x:c>
    </x:row>
    <x:row r="44">
      <x:c r="A44" s="18"/>
      <x:c r="B44" s="18"/>
      <x:c r="C44" s="18"/>
      <x:c r="D44" s="18"/>
      <x:c r="E44" s="18"/>
      <x:c r="F44" s="18"/>
      <x:c r="G44" s="22" t="str">
        <x:f>IF(E44="","",IFERROR(XLOOKUP(E44,'05_PROJETS_CLIMAT'!$A$5:$A$104,'05_PROJETS_CLIMAT'!$U$5:$U$104),""))</x:f>
      </x:c>
      <x:c r="H44" s="21" t="str">
        <x:f>IF(E44="","",IFERROR(XLOOKUP(E44,'05_PROJETS_CLIMAT'!$A$5:$A$104,'05_PROJETS_CLIMAT'!$P$5:$P$104),""))</x:f>
      </x:c>
      <x:c r="I44" s="21" t="str">
        <x:f>IF(E44="","",IFERROR(XLOOKUP(E44,'05_PROJETS_CLIMAT'!$A$5:$A$104,'05_PROJETS_CLIMAT'!$S$5:$S$104),""))</x:f>
      </x:c>
      <x:c r="J44" s="21" t="str">
        <x:f>IF(E44="","",IFERROR(XLOOKUP(E44,'05_PROJETS_CLIMAT'!$A$5:$A$104,'05_PROJETS_CLIMAT'!$T$5:$T$104),""))</x:f>
      </x:c>
      <x:c r="K44" s="18"/>
      <x:c r="L44" s="18" t="str">
        <x:f>IF(A44="","",IF(K44&lt;&gt;"Pret","A finaliser","OK"))</x:f>
      </x:c>
    </x:row>
  </x:sheetData>
  <x:mergeCells>
    <x:mergeCell ref="A1:J1"/>
    <x:mergeCell ref="A2:J2"/>
  </x:mergeCells>
  <x:conditionalFormatting sqref="L5:L44">
    <x:cfRule type="containsText" dxfId="88" priority="1" operator="containsText" text="Retard"/>
    <x:cfRule type="containsText" dxfId="89" priority="2" operator="containsText" text="critique"/>
    <x:cfRule type="containsText" dxfId="90" priority="3" operator="containsText" text="manquant"/>
    <x:cfRule type="containsText" dxfId="9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B5:B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s>
  <x:pageMargins left="0.7" right="0.7" top="0.75" bottom="0.75" header="0.3" footer="0.3"/>
  <x:tableParts count="1">
    <x:tablePart xmlns:r="http://schemas.openxmlformats.org/officeDocument/2006/relationships" r:id="R36f6330995544a94"/>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7.5" hidden="0" customWidth="1"/>
    <x:col min="4" max="4" width="20" hidden="0" customWidth="1"/>
    <x:col min="5" max="5" width="27.5" hidden="0" customWidth="1"/>
    <x:col min="6" max="6" width="17.5" hidden="0" customWidth="1"/>
    <x:col min="7" max="7" width="32.5" hidden="0" customWidth="1"/>
    <x:col min="8" max="8" width="27.5" hidden="0" customWidth="1"/>
    <x:col min="9" max="9" width="16.25" hidden="0" customWidth="1"/>
    <x:col min="10" max="10" width="28.75" hidden="0" customWidth="1"/>
  </x:cols>
  <x:sheetData>
    <x:row r="1" ht="25.5" customHeight="1">
      <x:c r="A1" s="2" t="str">
        <x:v>Journal des modifications</x:v>
      </x:c>
      <x:c r="B1" s="2"/>
      <x:c r="C1" s="2"/>
      <x:c r="D1" s="2"/>
      <x:c r="E1" s="2"/>
      <x:c r="F1" s="2"/>
      <x:c r="G1" s="2"/>
      <x:c r="H1" s="2"/>
      <x:c r="I1" s="2"/>
      <x:c r="J1" s="2"/>
    </x:row>
    <x:row r="2" ht="31.5" customHeight="1">
      <x:c r="A2" s="5" t="str">
        <x:v>Historique des versions et modifications importantes du classeur.</x:v>
      </x:c>
      <x:c r="B2" s="5"/>
      <x:c r="C2" s="5"/>
      <x:c r="D2" s="5"/>
      <x:c r="E2" s="5"/>
      <x:c r="F2" s="5"/>
      <x:c r="G2" s="5"/>
      <x:c r="H2" s="5"/>
      <x:c r="I2" s="5"/>
      <x:c r="J2" s="5"/>
    </x:row>
    <x:row r="4" ht="28.5" customHeight="1">
      <x:c r="A4" s="16" t="str">
        <x:v>Change_ID</x:v>
      </x:c>
      <x:c r="B4" s="16" t="str">
        <x:v>Date_modification</x:v>
      </x:c>
      <x:c r="C4" s="16" t="str">
        <x:v>Auteur</x:v>
      </x:c>
      <x:c r="D4" s="16" t="str">
        <x:v>Onglet</x:v>
      </x:c>
      <x:c r="E4" s="16" t="str">
        <x:v>Element_modifie</x:v>
      </x:c>
      <x:c r="F4" s="16" t="str">
        <x:v>Type_modification</x:v>
      </x:c>
      <x:c r="G4" s="16" t="str">
        <x:v>Raison</x:v>
      </x:c>
      <x:c r="H4" s="16" t="str">
        <x:v>Impact_reporting</x:v>
      </x:c>
      <x:c r="I4" s="16" t="str">
        <x:v>Validation</x:v>
      </x:c>
      <x:c r="J4" s="16" t="str">
        <x:v>Commentaires</x:v>
      </x:c>
    </x:row>
    <x:row r="5">
      <x:c r="A5" s="18" t="str">
        <x:v>CHG-001</x:v>
      </x:c>
      <x:c r="B5" s="19" t="n">
        <x:v>46173</x:v>
      </x:c>
      <x:c r="C5" s="18" t="str">
        <x:v>ChatGPT</x:v>
      </x:c>
      <x:c r="D5" s="18" t="str">
        <x:v>Classeur complet</x:v>
      </x:c>
      <x:c r="E5" s="18" t="str">
        <x:v>Creation initiale</x:v>
      </x:c>
      <x:c r="F5" s="18" t="str">
        <x:v>Creation</x:v>
      </x:c>
      <x:c r="G5" s="18" t="str">
        <x:v>Mise en place du systeme maitre climat Dakar</x:v>
      </x:c>
      <x:c r="H5" s="18" t="str">
        <x:v>Base de reporting creee</x:v>
      </x:c>
      <x:c r="I5" s="18" t="str">
        <x:v>A valider</x:v>
      </x:c>
      <x:c r="J5" s="18" t="str"/>
    </x:row>
    <x:row r="6">
      <x:c r="A6" s="18"/>
      <x:c r="B6" s="19"/>
      <x:c r="C6" s="18"/>
      <x:c r="D6" s="18"/>
      <x:c r="E6" s="18"/>
      <x:c r="F6" s="18"/>
      <x:c r="G6" s="18"/>
      <x:c r="H6" s="18"/>
      <x:c r="I6" s="18"/>
      <x:c r="J6" s="18"/>
    </x:row>
    <x:row r="7">
      <x:c r="A7" s="18"/>
      <x:c r="B7" s="19"/>
      <x:c r="C7" s="18"/>
      <x:c r="D7" s="18"/>
      <x:c r="E7" s="18"/>
      <x:c r="F7" s="18"/>
      <x:c r="G7" s="18"/>
      <x:c r="H7" s="18"/>
      <x:c r="I7" s="18"/>
      <x:c r="J7" s="18"/>
    </x:row>
    <x:row r="8">
      <x:c r="A8" s="18"/>
      <x:c r="B8" s="19"/>
      <x:c r="C8" s="18"/>
      <x:c r="D8" s="18"/>
      <x:c r="E8" s="18"/>
      <x:c r="F8" s="18"/>
      <x:c r="G8" s="18"/>
      <x:c r="H8" s="18"/>
      <x:c r="I8" s="18"/>
      <x:c r="J8" s="18"/>
    </x:row>
    <x:row r="9">
      <x:c r="A9" s="18"/>
      <x:c r="B9" s="19"/>
      <x:c r="C9" s="18"/>
      <x:c r="D9" s="18"/>
      <x:c r="E9" s="18"/>
      <x:c r="F9" s="18"/>
      <x:c r="G9" s="18"/>
      <x:c r="H9" s="18"/>
      <x:c r="I9" s="18"/>
      <x:c r="J9" s="18"/>
    </x:row>
    <x:row r="10">
      <x:c r="A10" s="18"/>
      <x:c r="B10" s="19"/>
      <x:c r="C10" s="18"/>
      <x:c r="D10" s="18"/>
      <x:c r="E10" s="18"/>
      <x:c r="F10" s="18"/>
      <x:c r="G10" s="18"/>
      <x:c r="H10" s="18"/>
      <x:c r="I10" s="18"/>
      <x:c r="J10" s="18"/>
    </x:row>
    <x:row r="11">
      <x:c r="A11" s="18"/>
      <x:c r="B11" s="19"/>
      <x:c r="C11" s="18"/>
      <x:c r="D11" s="18"/>
      <x:c r="E11" s="18"/>
      <x:c r="F11" s="18"/>
      <x:c r="G11" s="18"/>
      <x:c r="H11" s="18"/>
      <x:c r="I11" s="18"/>
      <x:c r="J11" s="18"/>
    </x:row>
    <x:row r="12">
      <x:c r="A12" s="18"/>
      <x:c r="B12" s="19"/>
      <x:c r="C12" s="18"/>
      <x:c r="D12" s="18"/>
      <x:c r="E12" s="18"/>
      <x:c r="F12" s="18"/>
      <x:c r="G12" s="18"/>
      <x:c r="H12" s="18"/>
      <x:c r="I12" s="18"/>
      <x:c r="J12" s="18"/>
    </x:row>
    <x:row r="13">
      <x:c r="A13" s="18"/>
      <x:c r="B13" s="19"/>
      <x:c r="C13" s="18"/>
      <x:c r="D13" s="18"/>
      <x:c r="E13" s="18"/>
      <x:c r="F13" s="18"/>
      <x:c r="G13" s="18"/>
      <x:c r="H13" s="18"/>
      <x:c r="I13" s="18"/>
      <x:c r="J13" s="18"/>
    </x:row>
    <x:row r="14">
      <x:c r="A14" s="18"/>
      <x:c r="B14" s="19"/>
      <x:c r="C14" s="18"/>
      <x:c r="D14" s="18"/>
      <x:c r="E14" s="18"/>
      <x:c r="F14" s="18"/>
      <x:c r="G14" s="18"/>
      <x:c r="H14" s="18"/>
      <x:c r="I14" s="18"/>
      <x:c r="J14" s="18"/>
    </x:row>
    <x:row r="15">
      <x:c r="A15" s="18"/>
      <x:c r="B15" s="19"/>
      <x:c r="C15" s="18"/>
      <x:c r="D15" s="18"/>
      <x:c r="E15" s="18"/>
      <x:c r="F15" s="18"/>
      <x:c r="G15" s="18"/>
      <x:c r="H15" s="18"/>
      <x:c r="I15" s="18"/>
      <x:c r="J15" s="18"/>
    </x:row>
    <x:row r="16">
      <x:c r="A16" s="18"/>
      <x:c r="B16" s="19"/>
      <x:c r="C16" s="18"/>
      <x:c r="D16" s="18"/>
      <x:c r="E16" s="18"/>
      <x:c r="F16" s="18"/>
      <x:c r="G16" s="18"/>
      <x:c r="H16" s="18"/>
      <x:c r="I16" s="18"/>
      <x:c r="J16" s="18"/>
    </x:row>
    <x:row r="17">
      <x:c r="A17" s="18"/>
      <x:c r="B17" s="19"/>
      <x:c r="C17" s="18"/>
      <x:c r="D17" s="18"/>
      <x:c r="E17" s="18"/>
      <x:c r="F17" s="18"/>
      <x:c r="G17" s="18"/>
      <x:c r="H17" s="18"/>
      <x:c r="I17" s="18"/>
      <x:c r="J17" s="18"/>
    </x:row>
    <x:row r="18">
      <x:c r="A18" s="18"/>
      <x:c r="B18" s="19"/>
      <x:c r="C18" s="18"/>
      <x:c r="D18" s="18"/>
      <x:c r="E18" s="18"/>
      <x:c r="F18" s="18"/>
      <x:c r="G18" s="18"/>
      <x:c r="H18" s="18"/>
      <x:c r="I18" s="18"/>
      <x:c r="J18" s="18"/>
    </x:row>
    <x:row r="19">
      <x:c r="A19" s="18"/>
      <x:c r="B19" s="19"/>
      <x:c r="C19" s="18"/>
      <x:c r="D19" s="18"/>
      <x:c r="E19" s="18"/>
      <x:c r="F19" s="18"/>
      <x:c r="G19" s="18"/>
      <x:c r="H19" s="18"/>
      <x:c r="I19" s="18"/>
      <x:c r="J19" s="18"/>
    </x:row>
    <x:row r="20">
      <x:c r="A20" s="18"/>
      <x:c r="B20" s="19"/>
      <x:c r="C20" s="18"/>
      <x:c r="D20" s="18"/>
      <x:c r="E20" s="18"/>
      <x:c r="F20" s="18"/>
      <x:c r="G20" s="18"/>
      <x:c r="H20" s="18"/>
      <x:c r="I20" s="18"/>
      <x:c r="J20" s="18"/>
    </x:row>
    <x:row r="21">
      <x:c r="A21" s="18"/>
      <x:c r="B21" s="19"/>
      <x:c r="C21" s="18"/>
      <x:c r="D21" s="18"/>
      <x:c r="E21" s="18"/>
      <x:c r="F21" s="18"/>
      <x:c r="G21" s="18"/>
      <x:c r="H21" s="18"/>
      <x:c r="I21" s="18"/>
      <x:c r="J21" s="18"/>
    </x:row>
    <x:row r="22">
      <x:c r="A22" s="18"/>
      <x:c r="B22" s="19"/>
      <x:c r="C22" s="18"/>
      <x:c r="D22" s="18"/>
      <x:c r="E22" s="18"/>
      <x:c r="F22" s="18"/>
      <x:c r="G22" s="18"/>
      <x:c r="H22" s="18"/>
      <x:c r="I22" s="18"/>
      <x:c r="J22" s="18"/>
    </x:row>
    <x:row r="23">
      <x:c r="A23" s="18"/>
      <x:c r="B23" s="19"/>
      <x:c r="C23" s="18"/>
      <x:c r="D23" s="18"/>
      <x:c r="E23" s="18"/>
      <x:c r="F23" s="18"/>
      <x:c r="G23" s="18"/>
      <x:c r="H23" s="18"/>
      <x:c r="I23" s="18"/>
      <x:c r="J23" s="18"/>
    </x:row>
    <x:row r="24">
      <x:c r="A24" s="18"/>
      <x:c r="B24" s="19"/>
      <x:c r="C24" s="18"/>
      <x:c r="D24" s="18"/>
      <x:c r="E24" s="18"/>
      <x:c r="F24" s="18"/>
      <x:c r="G24" s="18"/>
      <x:c r="H24" s="18"/>
      <x:c r="I24" s="18"/>
      <x:c r="J24" s="18"/>
    </x:row>
    <x:row r="25">
      <x:c r="A25" s="18"/>
      <x:c r="B25" s="19"/>
      <x:c r="C25" s="18"/>
      <x:c r="D25" s="18"/>
      <x:c r="E25" s="18"/>
      <x:c r="F25" s="18"/>
      <x:c r="G25" s="18"/>
      <x:c r="H25" s="18"/>
      <x:c r="I25" s="18"/>
      <x:c r="J25" s="18"/>
    </x:row>
    <x:row r="26">
      <x:c r="A26" s="18"/>
      <x:c r="B26" s="19"/>
      <x:c r="C26" s="18"/>
      <x:c r="D26" s="18"/>
      <x:c r="E26" s="18"/>
      <x:c r="F26" s="18"/>
      <x:c r="G26" s="18"/>
      <x:c r="H26" s="18"/>
      <x:c r="I26" s="18"/>
      <x:c r="J26" s="18"/>
    </x:row>
    <x:row r="27">
      <x:c r="A27" s="18"/>
      <x:c r="B27" s="19"/>
      <x:c r="C27" s="18"/>
      <x:c r="D27" s="18"/>
      <x:c r="E27" s="18"/>
      <x:c r="F27" s="18"/>
      <x:c r="G27" s="18"/>
      <x:c r="H27" s="18"/>
      <x:c r="I27" s="18"/>
      <x:c r="J27" s="18"/>
    </x:row>
    <x:row r="28">
      <x:c r="A28" s="18"/>
      <x:c r="B28" s="19"/>
      <x:c r="C28" s="18"/>
      <x:c r="D28" s="18"/>
      <x:c r="E28" s="18"/>
      <x:c r="F28" s="18"/>
      <x:c r="G28" s="18"/>
      <x:c r="H28" s="18"/>
      <x:c r="I28" s="18"/>
      <x:c r="J28" s="18"/>
    </x:row>
    <x:row r="29">
      <x:c r="A29" s="18"/>
      <x:c r="B29" s="19"/>
      <x:c r="C29" s="18"/>
      <x:c r="D29" s="18"/>
      <x:c r="E29" s="18"/>
      <x:c r="F29" s="18"/>
      <x:c r="G29" s="18"/>
      <x:c r="H29" s="18"/>
      <x:c r="I29" s="18"/>
      <x:c r="J29" s="18"/>
    </x:row>
    <x:row r="30">
      <x:c r="A30" s="18"/>
      <x:c r="B30" s="19"/>
      <x:c r="C30" s="18"/>
      <x:c r="D30" s="18"/>
      <x:c r="E30" s="18"/>
      <x:c r="F30" s="18"/>
      <x:c r="G30" s="18"/>
      <x:c r="H30" s="18"/>
      <x:c r="I30" s="18"/>
      <x:c r="J30" s="18"/>
    </x:row>
    <x:row r="31">
      <x:c r="A31" s="18"/>
      <x:c r="B31" s="19"/>
      <x:c r="C31" s="18"/>
      <x:c r="D31" s="18"/>
      <x:c r="E31" s="18"/>
      <x:c r="F31" s="18"/>
      <x:c r="G31" s="18"/>
      <x:c r="H31" s="18"/>
      <x:c r="I31" s="18"/>
      <x:c r="J31" s="18"/>
    </x:row>
    <x:row r="32">
      <x:c r="A32" s="18"/>
      <x:c r="B32" s="19"/>
      <x:c r="C32" s="18"/>
      <x:c r="D32" s="18"/>
      <x:c r="E32" s="18"/>
      <x:c r="F32" s="18"/>
      <x:c r="G32" s="18"/>
      <x:c r="H32" s="18"/>
      <x:c r="I32" s="18"/>
      <x:c r="J32" s="18"/>
    </x:row>
    <x:row r="33">
      <x:c r="A33" s="18"/>
      <x:c r="B33" s="19"/>
      <x:c r="C33" s="18"/>
      <x:c r="D33" s="18"/>
      <x:c r="E33" s="18"/>
      <x:c r="F33" s="18"/>
      <x:c r="G33" s="18"/>
      <x:c r="H33" s="18"/>
      <x:c r="I33" s="18"/>
      <x:c r="J33" s="18"/>
    </x:row>
    <x:row r="34">
      <x:c r="A34" s="18"/>
      <x:c r="B34" s="19"/>
      <x:c r="C34" s="18"/>
      <x:c r="D34" s="18"/>
      <x:c r="E34" s="18"/>
      <x:c r="F34" s="18"/>
      <x:c r="G34" s="18"/>
      <x:c r="H34" s="18"/>
      <x:c r="I34" s="18"/>
      <x:c r="J34" s="18"/>
    </x:row>
  </x:sheetData>
  <x:mergeCells>
    <x:mergeCell ref="A1:J1"/>
    <x:mergeCell ref="A2:J2"/>
  </x:mergeCells>
  <x:dataValidations count="2">
    <x:dataValidation type="list" errorStyle="warning" showInputMessage="1" showErrorMessage="1" errorTitle="Valeur inattendue" error="Cette colonne utilise une liste controlee." promptTitle="Liste controlee" prompt="Choisir une valeur dans la liste." sqref="F5:F34">
      <x:formula1>"Creation,Correction,Mise a jour donnees,Validation,Archivage"</x:formula1>
    </x:dataValidation>
    <x:dataValidation type="list" errorStyle="warning" showInputMessage="1" showErrorMessage="1" errorTitle="Valeur inattendue" error="Cette colonne utilise une liste controlee." promptTitle="Liste controlee" prompt="Choisir une valeur dans la liste." sqref="I5:I34">
      <x:formula1>"A valider,Valide,Rejete"</x:formula1>
    </x:dataValidation>
  </x:dataValidations>
  <x:pageMargins left="0.7" right="0.7" top="0.75" bottom="0.75" header="0.3" footer="0.3"/>
  <x:tableParts count="1">
    <x:tablePart xmlns:r="http://schemas.openxmlformats.org/officeDocument/2006/relationships" r:id="R50ffaf2c621245a4"/>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38.75" hidden="0" customWidth="1"/>
    <x:col min="4" max="4" width="35" hidden="0" customWidth="1"/>
    <x:col min="5" max="5" width="37.5" hidden="0" customWidth="1"/>
    <x:col min="6" max="6" width="31.25" hidden="0" customWidth="1"/>
    <x:col min="7" max="7" width="11.880000114440918" hidden="0" customWidth="1"/>
    <x:col min="8" max="8" width="27.5" hidden="0" customWidth="1"/>
    <x:col min="9" max="9" width="14.380000114440918" hidden="0" customWidth="1"/>
  </x:cols>
  <x:sheetData>
    <x:row r="1" ht="25.5" customHeight="1">
      <x:c r="A1" s="48" t="str">
        <x:v>Audit expert international du modele V1</x:v>
      </x:c>
      <x:c r="B1" s="48"/>
      <x:c r="C1" s="48"/>
      <x:c r="D1" s="48"/>
      <x:c r="E1" s="48"/>
      <x:c r="F1" s="48"/>
      <x:c r="G1" s="48"/>
      <x:c r="H1" s="48"/>
      <x:c r="I1" s="48"/>
      <x:c r="J1" s="48"/>
      <x:c r="K1" s="48"/>
    </x:row>
    <x:row r="2" ht="31.5" customHeight="1">
      <x:c r="A2" s="51" t="str">
        <x:v>Diagnostic selon les attentes C40, CDP-ICLEI, ICLEI/GPC, GCoM, CoM SSA, Fonds Vert Climat, Banque mondiale et BAD.</x:v>
      </x:c>
      <x:c r="B2" s="51"/>
      <x:c r="C2" s="51"/>
      <x:c r="D2" s="51"/>
      <x:c r="E2" s="51"/>
      <x:c r="F2" s="51"/>
      <x:c r="G2" s="51"/>
      <x:c r="H2" s="51"/>
      <x:c r="I2" s="51"/>
      <x:c r="J2" s="51"/>
      <x:c r="K2" s="51"/>
    </x:row>
    <x:row r="4">
      <x:c r="A4" s="54" t="str">
        <x:v>Audit_ID</x:v>
      </x:c>
      <x:c r="B4" s="54" t="str">
        <x:v>Categorie</x:v>
      </x:c>
      <x:c r="C4" s="54" t="str">
        <x:v>Faiblesse_V1</x:v>
      </x:c>
      <x:c r="D4" s="54" t="str">
        <x:v>Risque_pour_Dakar</x:v>
      </x:c>
      <x:c r="E4" s="54" t="str">
        <x:v>Bonne_pratique_internationale</x:v>
      </x:c>
      <x:c r="F4" s="54" t="str">
        <x:v>Reponse_V2</x:v>
      </x:c>
      <x:c r="G4" s="54" t="str">
        <x:v>Priorite</x:v>
      </x:c>
      <x:c r="H4" s="54" t="str">
        <x:v>Cadres_concernes</x:v>
      </x:c>
      <x:c r="I4" s="54" t="str">
        <x:v>Statut</x:v>
      </x:c>
    </x:row>
    <x:row r="5">
      <x:c r="A5" s="56" t="str">
        <x:v>AUD-001</x:v>
      </x:c>
      <x:c r="B5" s="56" t="str">
        <x:v>Inventaire GES</x:v>
      </x:c>
      <x:c r="C5" s="56" t="str">
        <x:v>Inventaire non detaille par code GPC, perimetre BASIC/BASIC+, gaz et incertitude</x:v>
      </x:c>
      <x:c r="D5" s="56" t="str">
        <x:v>Risque de non-comparabilite et de non-validation GCoM/CDP</x:v>
      </x:c>
      <x:c r="E5" s="56" t="str">
        <x:v>Aligner secteurs, scopes, gaz, methodes, sources et QA/QC</x:v>
      </x:c>
      <x:c r="F5" s="56" t="str">
        <x:v>Ajout scorecard conformite + bibliotheque indicateurs + registre preuves</x:v>
      </x:c>
      <x:c r="G5" s="56" t="str">
        <x:v>Critique</x:v>
      </x:c>
      <x:c r="H5" s="56" t="str">
        <x:v>CDP-ICLEI; ICLEI/GPC; GCoM</x:v>
      </x:c>
      <x:c r="I5" s="56" t="str">
        <x:v>Traite V2</x:v>
      </x:c>
    </x:row>
    <x:row r="6">
      <x:c r="A6" s="56" t="str">
        <x:v>AUD-002</x:v>
      </x:c>
      <x:c r="B6" s="56" t="str">
        <x:v>Trajectoire</x:v>
      </x:c>
      <x:c r="C6" s="56" t="str">
        <x:v>Absence de BAU, cible 2030, trajectoire 1.5C et budget carbone local</x:v>
      </x:c>
      <x:c r="D6" s="56" t="str">
        <x:v>Difficile de prouver l'ambition et la coherence Paris</x:v>
      </x:c>
      <x:c r="E6" s="56" t="str">
        <x:v>Relier inventaire, scenario et cibles intermediaires</x:v>
      </x:c>
      <x:c r="F6" s="56" t="str">
        <x:v>Ajout 28_TRAJECTOIRES_CIBLES</x:v>
      </x:c>
      <x:c r="G6" s="56" t="str">
        <x:v>Critique</x:v>
      </x:c>
      <x:c r="H6" s="56" t="str">
        <x:v>C40; CDP-ICLEI; GCoM</x:v>
      </x:c>
      <x:c r="I6" s="56" t="str">
        <x:v>Traite V2</x:v>
      </x:c>
    </x:row>
    <x:row r="7">
      <x:c r="A7" s="56" t="str">
        <x:v>AUD-003</x:v>
      </x:c>
      <x:c r="B7" s="56" t="str">
        <x:v>Adaptation</x:v>
      </x:c>
      <x:c r="C7" s="56" t="str">
        <x:v>Risque climatique trop general, sans exposition, vulnerabilite ni horizons</x:v>
      </x:c>
      <x:c r="D7" s="56" t="str">
        <x:v>Plan adaptation faible pour SEACAP/GCoM et finance climat</x:v>
      </x:c>
      <x:c r="E7" s="56" t="str">
        <x:v>Analyser aleas, exposition, sensibilite, capacite adaptative et groupes vulnerables</x:v>
      </x:c>
      <x:c r="F7" s="56" t="str">
        <x:v>Ajout 29_RISQUES_CLIMATIQUES et 30_ACTIFS_EXPOSITION</x:v>
      </x:c>
      <x:c r="G7" s="56" t="str">
        <x:v>Critique</x:v>
      </x:c>
      <x:c r="H7" s="56" t="str">
        <x:v>GCoM; CoM SSA; GCF; Banque mondiale; BAD</x:v>
      </x:c>
      <x:c r="I7" s="56" t="str">
        <x:v>Traite V2</x:v>
      </x:c>
    </x:row>
    <x:row r="8">
      <x:c r="A8" s="56" t="str">
        <x:v>AUD-004</x:v>
      </x:c>
      <x:c r="B8" s="56" t="str">
        <x:v>Finance climat</x:v>
      </x:c>
      <x:c r="C8" s="56" t="str">
        <x:v>Budgets et financements sans bancabilite, criteres GCF, E&amp;S, genre, O&amp;M</x:v>
      </x:c>
      <x:c r="D8" s="56" t="str">
        <x:v>Dossiers peu competitifs pour bailleurs</x:v>
      </x:c>
      <x:c r="E8" s="56" t="str">
        <x:v>Documenter criteres investissement, cofinancement, risques, sauvegardes et resultats</x:v>
      </x:c>
      <x:c r="F8" s="56" t="str">
        <x:v>Ajout 31_PIPELINE_BANCABLE et 32_READINESS_FINANCE</x:v>
      </x:c>
      <x:c r="G8" s="56" t="str">
        <x:v>Critique</x:v>
      </x:c>
      <x:c r="H8" s="56" t="str">
        <x:v>GCF; Banque mondiale; BAD</x:v>
      </x:c>
      <x:c r="I8" s="56" t="str">
        <x:v>Traite V2</x:v>
      </x:c>
    </x:row>
    <x:row r="9">
      <x:c r="A9" s="56" t="str">
        <x:v>AUD-005</x:v>
      </x:c>
      <x:c r="B9" s="56" t="str">
        <x:v>MRV</x:v>
      </x:c>
      <x:c r="C9" s="56" t="str">
        <x:v>Preuves, versions, audit trail et responsabilites insuffisants</x:v>
      </x:c>
      <x:c r="D9" s="56" t="str">
        <x:v>Faible auditabilite et risque de donnees non defendables</x:v>
      </x:c>
      <x:c r="E9" s="56" t="str">
        <x:v>Registre de preuves, controle qualite, proprietaires, validation</x:v>
      </x:c>
      <x:c r="F9" s="56" t="str">
        <x:v>Ajout 34_REGISTRE_PREUVES_MRV et 35_PLAN_DONNEES</x:v>
      </x:c>
      <x:c r="G9" s="56" t="str">
        <x:v>Haute</x:v>
      </x:c>
      <x:c r="H9" s="56" t="str">
        <x:v>CDP-ICLEI; GCoM; GCF</x:v>
      </x:c>
      <x:c r="I9" s="56" t="str">
        <x:v>Traite V2</x:v>
      </x:c>
    </x:row>
    <x:row r="10">
      <x:c r="A10" s="56" t="str">
        <x:v>AUD-006</x:v>
      </x:c>
      <x:c r="B10" s="56" t="str">
        <x:v>Inclusion</x:v>
      </x:c>
      <x:c r="C10" s="56" t="str">
        <x:v>Co-benefices sociaux et justice climatique peu structures</x:v>
      </x:c>
      <x:c r="D10" s="56" t="str">
        <x:v>Benefices sous-estimes et faiblesse face aux criteres developpement durable</x:v>
      </x:c>
      <x:c r="E10" s="56" t="str">
        <x:v>Suivre genre, inclusion, sante, emplois, SDG et distribution des benefices</x:v>
      </x:c>
      <x:c r="F10" s="56" t="str">
        <x:v>Ajout 33_COBENEFICES_JUSTICE</x:v>
      </x:c>
      <x:c r="G10" s="56" t="str">
        <x:v>Haute</x:v>
      </x:c>
      <x:c r="H10" s="56" t="str">
        <x:v>C40; CDP-ICLEI; GCF; BAD</x:v>
      </x:c>
      <x:c r="I10" s="56" t="str">
        <x:v>Traite V2</x:v>
      </x:c>
    </x:row>
    <x:row r="11">
      <x:c r="A11" s="56" t="str">
        <x:v>AUD-007</x:v>
      </x:c>
      <x:c r="B11" s="56" t="str">
        <x:v>Execution</x:v>
      </x:c>
      <x:c r="C11" s="56" t="str">
        <x:v>Pas de passation de marches, contrats, jalons ni readiness implementation</x:v>
      </x:c>
      <x:c r="D11" s="56" t="str">
        <x:v>Risque de sous-execution et faiblesse Banque mondiale/BAD</x:v>
      </x:c>
      <x:c r="E11" s="56" t="str">
        <x:v>Suivre procurement, contrats, conditions de decaissement, O&amp;M</x:v>
      </x:c>
      <x:c r="F11" s="56" t="str">
        <x:v>Ajout 36_PASSATION_MARCHES</x:v>
      </x:c>
      <x:c r="G11" s="56" t="str">
        <x:v>Haute</x:v>
      </x:c>
      <x:c r="H11" s="56" t="str">
        <x:v>Banque mondiale; BAD; GCF</x:v>
      </x:c>
      <x:c r="I11" s="56" t="str">
        <x:v>Traite V2</x:v>
      </x:c>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G5:G34">
      <x:formula1>"Critique,Haute,Moyenne,Basse"</x:formula1>
    </x:dataValidation>
  </x:dataValidations>
  <x:pageMargins left="0.7" right="0.7" top="0.75" bottom="0.75" header="0.3" footer="0.3"/>
  <x:tableParts count="1">
    <x:tablePart xmlns:r="http://schemas.openxmlformats.org/officeDocument/2006/relationships" r:id="R84a361a05d24422f"/>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18.75" hidden="0" customWidth="1"/>
    <x:col min="4" max="4" width="38.75" hidden="0" customWidth="1"/>
    <x:col min="5" max="5" width="28.75" hidden="0" customWidth="1"/>
    <x:col min="6" max="6" width="11.25" hidden="0" customWidth="1"/>
    <x:col min="7" max="7" width="10" hidden="0" customWidth="1"/>
    <x:col min="8" max="8" width="14.380000114440918" hidden="0" customWidth="1"/>
    <x:col min="9" max="9" width="14.380000114440918" hidden="0" customWidth="1"/>
    <x:col min="10" max="10" width="35" hidden="0" customWidth="1"/>
    <x:col min="11" max="11" width="20" hidden="0" customWidth="1"/>
    <x:col min="12" max="12" width="14.380000114440918" hidden="0" customWidth="1"/>
  </x:cols>
  <x:sheetData>
    <x:row r="1" ht="25.5" customHeight="1">
      <x:c r="A1" s="48" t="str">
        <x:v>Scorecard de conformite internationale</x:v>
      </x:c>
      <x:c r="B1" s="48"/>
      <x:c r="C1" s="48"/>
      <x:c r="D1" s="48"/>
      <x:c r="E1" s="48"/>
      <x:c r="F1" s="48"/>
      <x:c r="G1" s="48"/>
      <x:c r="H1" s="48"/>
      <x:c r="I1" s="48"/>
      <x:c r="J1" s="48"/>
      <x:c r="K1" s="48"/>
    </x:row>
    <x:row r="2" ht="31.5" customHeight="1">
      <x:c r="A2" s="51" t="str">
        <x:v>Notation 0-5 par exigence cle pour piloter la mise en conformite des rapports et dossiers de financement.</x:v>
      </x:c>
      <x:c r="B2" s="51"/>
      <x:c r="C2" s="51"/>
      <x:c r="D2" s="51"/>
      <x:c r="E2" s="51"/>
      <x:c r="F2" s="51"/>
      <x:c r="G2" s="51"/>
      <x:c r="H2" s="51"/>
      <x:c r="I2" s="51"/>
      <x:c r="J2" s="51"/>
      <x:c r="K2" s="51"/>
    </x:row>
    <x:row r="4">
      <x:c r="A4" s="54" t="str">
        <x:v>Score_ID</x:v>
      </x:c>
      <x:c r="B4" s="54" t="str">
        <x:v>Cadre</x:v>
      </x:c>
      <x:c r="C4" s="54" t="str">
        <x:v>Dimension</x:v>
      </x:c>
      <x:c r="D4" s="54" t="str">
        <x:v>Exigence</x:v>
      </x:c>
      <x:c r="E4" s="54" t="str">
        <x:v>Source_preuve_attendue</x:v>
      </x:c>
      <x:c r="F4" s="54" t="str">
        <x:v>Score_0_5</x:v>
      </x:c>
      <x:c r="G4" s="54" t="str">
        <x:v>Poids</x:v>
      </x:c>
      <x:c r="H4" s="54" t="str">
        <x:v>Score_pondere</x:v>
      </x:c>
      <x:c r="I4" s="54" t="str">
        <x:v>Statut</x:v>
      </x:c>
      <x:c r="J4" s="54" t="str">
        <x:v>Action_corrective</x:v>
      </x:c>
      <x:c r="K4" s="54" t="str">
        <x:v>Responsable</x:v>
      </x:c>
      <x:c r="L4" s="54" t="str">
        <x:v>Echeance</x:v>
      </x:c>
    </x:row>
    <x:row r="5">
      <x:c r="A5" s="56" t="str">
        <x:v>SC-001</x:v>
      </x:c>
      <x:c r="B5" s="56" t="str">
        <x:v>CDP-ICLEI</x:v>
      </x:c>
      <x:c r="C5" s="56" t="str">
        <x:v>Gouvernance</x:v>
      </x:c>
      <x:c r="D5" s="56" t="str">
        <x:v>Roles, responsabilites et supervision politique du climat</x:v>
      </x:c>
      <x:c r="E5" s="56" t="str">
        <x:v>15_PARTIES_PRENANTES; 25_JOURNAL_MODIFS</x:v>
      </x:c>
      <x:c r="F5" s="56" t="n">
        <x:v>3</x:v>
      </x:c>
      <x:c r="G5" s="56" t="n">
        <x:v>1</x:v>
      </x:c>
      <x:c r="H5" s="56" t="n">
        <x:f>IF(A5="","",F5*G5)</x:f>
        <x:v>3</x:v>
      </x:c>
      <x:c r="I5" s="56" t="str">
        <x:f>IF(A5="","",IF(F5&gt;=4,"Pret",IF(F5&gt;=3,"A verifier","A completer")))</x:f>
        <x:v>A verifier</x:v>
      </x:c>
      <x:c r="J5" s="56" t="str">
        <x:v>Formaliser mandat et comite climat</x:v>
      </x:c>
      <x:c r="K5" s="56" t="str">
        <x:v>Cabinet du Maire</x:v>
      </x:c>
      <x:c r="L5" s="57" t="n">
        <x:v>46295</x:v>
      </x:c>
    </x:row>
    <x:row r="6">
      <x:c r="A6" s="56" t="str">
        <x:v>SC-002</x:v>
      </x:c>
      <x:c r="B6" s="56" t="str">
        <x:v>ICLEI/GPC</x:v>
      </x:c>
      <x:c r="C6" s="56" t="str">
        <x:v>Inventaire GES</x:v>
      </x:c>
      <x:c r="D6" s="56" t="str">
        <x:v>Inventaire par secteur, scope, gaz, methode, source et qualite</x:v>
      </x:c>
      <x:c r="E6" s="56" t="str">
        <x:v>08_INVENTAIRE_GES; 09_DONNEES_GES_ACTIVITE</x:v>
      </x:c>
      <x:c r="F6" s="56" t="n">
        <x:v>3</x:v>
      </x:c>
      <x:c r="G6" s="56" t="n">
        <x:v>1.5</x:v>
      </x:c>
      <x:c r="H6" s="56" t="n">
        <x:f>IF(A6="","",F6*G6)</x:f>
        <x:v>4.5</x:v>
      </x:c>
      <x:c r="I6" s="56" t="str">
        <x:f>IF(A6="","",IF(F6&gt;=4,"Pret",IF(F6&gt;=3,"A verifier","A completer")))</x:f>
        <x:v>A verifier</x:v>
      </x:c>
      <x:c r="J6" s="56" t="str">
        <x:v>Ajouter codes GPC complets et incertitudes</x:v>
      </x:c>
      <x:c r="K6" s="56" t="str">
        <x:v>Referent GES</x:v>
      </x:c>
      <x:c r="L6" s="57" t="n">
        <x:v>46326</x:v>
      </x:c>
    </x:row>
    <x:row r="7">
      <x:c r="A7" s="56" t="str">
        <x:v>SC-003</x:v>
      </x:c>
      <x:c r="B7" s="56" t="str">
        <x:v>GCoM CRF</x:v>
      </x:c>
      <x:c r="C7" s="56" t="str">
        <x:v>Cibles</x:v>
      </x:c>
      <x:c r="D7" s="56" t="str">
        <x:v>Objectif mitigation, baseline, annee cible et progres</x:v>
      </x:c>
      <x:c r="E7" s="56" t="str">
        <x:v>28_TRAJECTOIRES_CIBLES</x:v>
      </x:c>
      <x:c r="F7" s="56" t="n">
        <x:v>2</x:v>
      </x:c>
      <x:c r="G7" s="56" t="n">
        <x:v>1.5</x:v>
      </x:c>
      <x:c r="H7" s="56" t="n">
        <x:f>IF(A7="","",F7*G7)</x:f>
        <x:v>3</x:v>
      </x:c>
      <x:c r="I7" s="56" t="str">
        <x:f>IF(A7="","",IF(F7&gt;=4,"Pret",IF(F7&gt;=3,"A verifier","A completer")))</x:f>
        <x:v>A completer</x:v>
      </x:c>
      <x:c r="J7" s="56" t="str">
        <x:v>Valider cible 2030 et scenario BAU</x:v>
      </x:c>
      <x:c r="K7" s="56" t="str">
        <x:v>Cellule climat</x:v>
      </x:c>
      <x:c r="L7" s="57" t="n">
        <x:v>46356</x:v>
      </x:c>
    </x:row>
    <x:row r="8">
      <x:c r="A8" s="56" t="str">
        <x:v>SC-004</x:v>
      </x:c>
      <x:c r="B8" s="56" t="str">
        <x:v>GCoM CRF</x:v>
      </x:c>
      <x:c r="C8" s="56" t="str">
        <x:v>Adaptation</x:v>
      </x:c>
      <x:c r="D8" s="56" t="str">
        <x:v>Evaluation risques et vulnerabilites multi-aleas</x:v>
      </x:c>
      <x:c r="E8" s="56" t="str">
        <x:v>29_RISQUES_CLIMATIQUES; 30_ACTIFS_EXPOSITION</x:v>
      </x:c>
      <x:c r="F8" s="56" t="n">
        <x:v>2</x:v>
      </x:c>
      <x:c r="G8" s="56" t="n">
        <x:v>1.5</x:v>
      </x:c>
      <x:c r="H8" s="56" t="n">
        <x:f>IF(A8="","",F8*G8)</x:f>
        <x:v>3</x:v>
      </x:c>
      <x:c r="I8" s="56" t="str">
        <x:f>IF(A8="","",IF(F8&gt;=4,"Pret",IF(F8&gt;=3,"A verifier","A completer")))</x:f>
        <x:v>A completer</x:v>
      </x:c>
      <x:c r="J8" s="56" t="str">
        <x:v>Completer exposition par quartier et actifs critiques</x:v>
      </x:c>
      <x:c r="K8" s="56" t="str">
        <x:v>Direction Planification</x:v>
      </x:c>
      <x:c r="L8" s="57" t="n">
        <x:v>46371</x:v>
      </x:c>
    </x:row>
    <x:row r="9">
      <x:c r="A9" s="56" t="str">
        <x:v>SC-005</x:v>
      </x:c>
      <x:c r="B9" s="56" t="str">
        <x:v>C40</x:v>
      </x:c>
      <x:c r="C9" s="56" t="str">
        <x:v>Plan 1.5C</x:v>
      </x:c>
      <x:c r="D9" s="56" t="str">
        <x:v>Trajectoire compatible Paris et actions prioritaires</x:v>
      </x:c>
      <x:c r="E9" s="56" t="str">
        <x:v>28_TRAJECTOIRES_CIBLES; 05_PROJETS_CLIMAT</x:v>
      </x:c>
      <x:c r="F9" s="56" t="n">
        <x:v>2</x:v>
      </x:c>
      <x:c r="G9" s="56" t="n">
        <x:v>1.5</x:v>
      </x:c>
      <x:c r="H9" s="56" t="n">
        <x:f>IF(A9="","",F9*G9)</x:f>
        <x:v>3</x:v>
      </x:c>
      <x:c r="I9" s="56" t="str">
        <x:f>IF(A9="","",IF(F9&gt;=4,"Pret",IF(F9&gt;=3,"A verifier","A completer")))</x:f>
        <x:v>A completer</x:v>
      </x:c>
      <x:c r="J9" s="56" t="str">
        <x:v>Construire scenario 1.5C et actions de rupture</x:v>
      </x:c>
      <x:c r="K9" s="56" t="str">
        <x:v>Cellule climat</x:v>
      </x:c>
      <x:c r="L9" s="57" t="n">
        <x:v>46387</x:v>
      </x:c>
    </x:row>
    <x:row r="10">
      <x:c r="A10" s="56" t="str">
        <x:v>SC-006</x:v>
      </x:c>
      <x:c r="B10" s="56" t="str">
        <x:v>CoM SSA/SEACAP</x:v>
      </x:c>
      <x:c r="C10" s="56" t="str">
        <x:v>Energie acces</x:v>
      </x:c>
      <x:c r="D10" s="56" t="str">
        <x:v>Acces a energie propre, adaptation et mitigation integres</x:v>
      </x:c>
      <x:c r="E10" s="56" t="str">
        <x:v>37_ACCES_ENERGIE_SEACAP</x:v>
      </x:c>
      <x:c r="F10" s="56" t="n">
        <x:v>1</x:v>
      </x:c>
      <x:c r="G10" s="56" t="n">
        <x:v>1.2</x:v>
      </x:c>
      <x:c r="H10" s="56" t="n">
        <x:f>IF(A10="","",F10*G10)</x:f>
        <x:v>1.2</x:v>
      </x:c>
      <x:c r="I10" s="56" t="str">
        <x:f>IF(A10="","",IF(F10&gt;=4,"Pret",IF(F10&gt;=3,"A verifier","A completer")))</x:f>
        <x:v>A completer</x:v>
      </x:c>
      <x:c r="J10" s="56" t="str">
        <x:v>Ajouter diagnostic acces energie menages/services</x:v>
      </x:c>
      <x:c r="K10" s="56" t="str">
        <x:v>Direction Energie</x:v>
      </x:c>
      <x:c r="L10" s="57" t="n">
        <x:v>46326</x:v>
      </x:c>
    </x:row>
    <x:row r="11">
      <x:c r="A11" s="56" t="str">
        <x:v>SC-007</x:v>
      </x:c>
      <x:c r="B11" s="56" t="str">
        <x:v>GCF</x:v>
      </x:c>
      <x:c r="C11" s="56" t="str">
        <x:v>Bancabilite</x:v>
      </x:c>
      <x:c r="D11" s="56" t="str">
        <x:v>Criteres investissement, climate rationale, E&amp;S, genre, O&amp;M</x:v>
      </x:c>
      <x:c r="E11" s="56" t="str">
        <x:v>31_PIPELINE_BANCABLE; 32_READINESS_FINANCE</x:v>
      </x:c>
      <x:c r="F11" s="56" t="n">
        <x:v>2</x:v>
      </x:c>
      <x:c r="G11" s="56" t="n">
        <x:v>2</x:v>
      </x:c>
      <x:c r="H11" s="56" t="n">
        <x:f>IF(A11="","",F11*G11)</x:f>
        <x:v>4</x:v>
      </x:c>
      <x:c r="I11" s="56" t="str">
        <x:f>IF(A11="","",IF(F11&gt;=4,"Pret",IF(F11&gt;=3,"A verifier","A completer")))</x:f>
        <x:v>A completer</x:v>
      </x:c>
      <x:c r="J11" s="56" t="str">
        <x:v>Preparer fiches concept note GCF</x:v>
      </x:c>
      <x:c r="K11" s="56" t="str">
        <x:v>Direction Finance</x:v>
      </x:c>
      <x:c r="L11" s="57" t="n">
        <x:v>46387</x:v>
      </x:c>
    </x:row>
    <x:row r="12">
      <x:c r="A12" s="56" t="str">
        <x:v>SC-008</x:v>
      </x:c>
      <x:c r="B12" s="56" t="str">
        <x:v>Banque mondiale</x:v>
      </x:c>
      <x:c r="C12" s="56" t="str">
        <x:v>Execution</x:v>
      </x:c>
      <x:c r="D12" s="56" t="str">
        <x:v>Jalons, procurement, risques, sauvegardes, resultats</x:v>
      </x:c>
      <x:c r="E12" s="56" t="str">
        <x:v>36_PASSATION_MARCHES; 32_READINESS_FINANCE</x:v>
      </x:c>
      <x:c r="F12" s="56" t="n">
        <x:v>2</x:v>
      </x:c>
      <x:c r="G12" s="56" t="n">
        <x:v>1.5</x:v>
      </x:c>
      <x:c r="H12" s="56" t="n">
        <x:f>IF(A12="","",F12*G12)</x:f>
        <x:v>3</x:v>
      </x:c>
      <x:c r="I12" s="56" t="str">
        <x:f>IF(A12="","",IF(F12&gt;=4,"Pret",IF(F12&gt;=3,"A verifier","A completer")))</x:f>
        <x:v>A completer</x:v>
      </x:c>
      <x:c r="J12" s="56" t="str">
        <x:v>Mettre a jour plan procurement et ESF</x:v>
      </x:c>
      <x:c r="K12" s="56" t="str">
        <x:v>Direction Finance</x:v>
      </x:c>
      <x:c r="L12" s="57" t="n">
        <x:v>46356</x:v>
      </x:c>
    </x:row>
    <x:row r="13">
      <x:c r="A13" s="56" t="str">
        <x:v>SC-009</x:v>
      </x:c>
      <x:c r="B13" s="56" t="str">
        <x:v>BAD</x:v>
      </x:c>
      <x:c r="C13" s="56" t="str">
        <x:v>Croissance verte</x:v>
      </x:c>
      <x:c r="D13" s="56" t="str">
        <x:v>Alignement climat, inclusion, genre, resilience et finance</x:v>
      </x:c>
      <x:c r="E13" s="56" t="str">
        <x:v>33_COBENEFICES_JUSTICE; 32_READINESS_FINANCE</x:v>
      </x:c>
      <x:c r="F13" s="56" t="n">
        <x:v>2</x:v>
      </x:c>
      <x:c r="G13" s="56" t="n">
        <x:v>1.5</x:v>
      </x:c>
      <x:c r="H13" s="56" t="n">
        <x:f>IF(A13="","",F13*G13)</x:f>
        <x:v>3</x:v>
      </x:c>
      <x:c r="I13" s="56" t="str">
        <x:f>IF(A13="","",IF(F13&gt;=4,"Pret",IF(F13&gt;=3,"A verifier","A completer")))</x:f>
        <x:v>A completer</x:v>
      </x:c>
      <x:c r="J13" s="56" t="str">
        <x:v>Quantifier co-benefices et genre</x:v>
      </x:c>
      <x:c r="K13" s="56" t="str">
        <x:v>Cellule climat</x:v>
      </x:c>
      <x:c r="L13" s="57" t="n">
        <x:v>46356</x:v>
      </x:c>
    </x:row>
    <x:row r="14">
      <x:c r="A14" s="56"/>
      <x:c r="B14" s="56"/>
      <x:c r="C14" s="56"/>
      <x:c r="D14" s="56"/>
      <x:c r="E14" s="56"/>
      <x:c r="F14" s="56"/>
      <x:c r="G14" s="56"/>
      <x:c r="H14" s="56" t="str">
        <x:f>IF(A14="","",F14*G14)</x:f>
      </x:c>
      <x:c r="I14" s="56" t="str">
        <x:f>IF(A14="","",IF(F14&gt;=4,"Pret",IF(F14&gt;=3,"A verifier","A completer")))</x:f>
      </x:c>
      <x:c r="J14" s="56"/>
      <x:c r="K14" s="56"/>
      <x:c r="L14" s="57"/>
    </x:row>
    <x:row r="15">
      <x:c r="A15" s="56"/>
      <x:c r="B15" s="56"/>
      <x:c r="C15" s="56"/>
      <x:c r="D15" s="56"/>
      <x:c r="E15" s="56"/>
      <x:c r="F15" s="56"/>
      <x:c r="G15" s="56"/>
      <x:c r="H15" s="56" t="str">
        <x:f>IF(A15="","",F15*G15)</x:f>
      </x:c>
      <x:c r="I15" s="56" t="str">
        <x:f>IF(A15="","",IF(F15&gt;=4,"Pret",IF(F15&gt;=3,"A verifier","A completer")))</x:f>
      </x:c>
      <x:c r="J15" s="56"/>
      <x:c r="K15" s="56"/>
      <x:c r="L15" s="57"/>
    </x:row>
    <x:row r="16">
      <x:c r="A16" s="56"/>
      <x:c r="B16" s="56"/>
      <x:c r="C16" s="56"/>
      <x:c r="D16" s="56"/>
      <x:c r="E16" s="56"/>
      <x:c r="F16" s="56"/>
      <x:c r="G16" s="56"/>
      <x:c r="H16" s="56" t="str">
        <x:f>IF(A16="","",F16*G16)</x:f>
      </x:c>
      <x:c r="I16" s="56" t="str">
        <x:f>IF(A16="","",IF(F16&gt;=4,"Pret",IF(F16&gt;=3,"A verifier","A completer")))</x:f>
      </x:c>
      <x:c r="J16" s="56"/>
      <x:c r="K16" s="56"/>
      <x:c r="L16" s="57"/>
    </x:row>
    <x:row r="17">
      <x:c r="A17" s="56"/>
      <x:c r="B17" s="56"/>
      <x:c r="C17" s="56"/>
      <x:c r="D17" s="56"/>
      <x:c r="E17" s="56"/>
      <x:c r="F17" s="56"/>
      <x:c r="G17" s="56"/>
      <x:c r="H17" s="56" t="str">
        <x:f>IF(A17="","",F17*G17)</x:f>
      </x:c>
      <x:c r="I17" s="56" t="str">
        <x:f>IF(A17="","",IF(F17&gt;=4,"Pret",IF(F17&gt;=3,"A verifier","A completer")))</x:f>
      </x:c>
      <x:c r="J17" s="56"/>
      <x:c r="K17" s="56"/>
      <x:c r="L17" s="57"/>
    </x:row>
    <x:row r="18">
      <x:c r="A18" s="56"/>
      <x:c r="B18" s="56"/>
      <x:c r="C18" s="56"/>
      <x:c r="D18" s="56"/>
      <x:c r="E18" s="56"/>
      <x:c r="F18" s="56"/>
      <x:c r="G18" s="56"/>
      <x:c r="H18" s="56" t="str">
        <x:f>IF(A18="","",F18*G18)</x:f>
      </x:c>
      <x:c r="I18" s="56" t="str">
        <x:f>IF(A18="","",IF(F18&gt;=4,"Pret",IF(F18&gt;=3,"A verifier","A completer")))</x:f>
      </x:c>
      <x:c r="J18" s="56"/>
      <x:c r="K18" s="56"/>
      <x:c r="L18" s="57"/>
    </x:row>
    <x:row r="19">
      <x:c r="A19" s="56"/>
      <x:c r="B19" s="56"/>
      <x:c r="C19" s="56"/>
      <x:c r="D19" s="56"/>
      <x:c r="E19" s="56"/>
      <x:c r="F19" s="56"/>
      <x:c r="G19" s="56"/>
      <x:c r="H19" s="56" t="str">
        <x:f>IF(A19="","",F19*G19)</x:f>
      </x:c>
      <x:c r="I19" s="56" t="str">
        <x:f>IF(A19="","",IF(F19&gt;=4,"Pret",IF(F19&gt;=3,"A verifier","A completer")))</x:f>
      </x:c>
      <x:c r="J19" s="56"/>
      <x:c r="K19" s="56"/>
      <x:c r="L19" s="57"/>
    </x:row>
    <x:row r="20">
      <x:c r="A20" s="56"/>
      <x:c r="B20" s="56"/>
      <x:c r="C20" s="56"/>
      <x:c r="D20" s="56"/>
      <x:c r="E20" s="56"/>
      <x:c r="F20" s="56"/>
      <x:c r="G20" s="56"/>
      <x:c r="H20" s="56" t="str">
        <x:f>IF(A20="","",F20*G20)</x:f>
      </x:c>
      <x:c r="I20" s="56" t="str">
        <x:f>IF(A20="","",IF(F20&gt;=4,"Pret",IF(F20&gt;=3,"A verifier","A completer")))</x:f>
      </x:c>
      <x:c r="J20" s="56"/>
      <x:c r="K20" s="56"/>
      <x:c r="L20" s="57"/>
    </x:row>
    <x:row r="21">
      <x:c r="A21" s="56"/>
      <x:c r="B21" s="56"/>
      <x:c r="C21" s="56"/>
      <x:c r="D21" s="56"/>
      <x:c r="E21" s="56"/>
      <x:c r="F21" s="56"/>
      <x:c r="G21" s="56"/>
      <x:c r="H21" s="56" t="str">
        <x:f>IF(A21="","",F21*G21)</x:f>
      </x:c>
      <x:c r="I21" s="56" t="str">
        <x:f>IF(A21="","",IF(F21&gt;=4,"Pret",IF(F21&gt;=3,"A verifier","A completer")))</x:f>
      </x:c>
      <x:c r="J21" s="56"/>
      <x:c r="K21" s="56"/>
      <x:c r="L21" s="57"/>
    </x:row>
    <x:row r="22">
      <x:c r="A22" s="56"/>
      <x:c r="B22" s="56"/>
      <x:c r="C22" s="56"/>
      <x:c r="D22" s="56"/>
      <x:c r="E22" s="56"/>
      <x:c r="F22" s="56"/>
      <x:c r="G22" s="56"/>
      <x:c r="H22" s="56" t="str">
        <x:f>IF(A22="","",F22*G22)</x:f>
      </x:c>
      <x:c r="I22" s="56" t="str">
        <x:f>IF(A22="","",IF(F22&gt;=4,"Pret",IF(F22&gt;=3,"A verifier","A completer")))</x:f>
      </x:c>
      <x:c r="J22" s="56"/>
      <x:c r="K22" s="56"/>
      <x:c r="L22" s="57"/>
    </x:row>
    <x:row r="23">
      <x:c r="A23" s="56"/>
      <x:c r="B23" s="56"/>
      <x:c r="C23" s="56"/>
      <x:c r="D23" s="56"/>
      <x:c r="E23" s="56"/>
      <x:c r="F23" s="56"/>
      <x:c r="G23" s="56"/>
      <x:c r="H23" s="56" t="str">
        <x:f>IF(A23="","",F23*G23)</x:f>
      </x:c>
      <x:c r="I23" s="56" t="str">
        <x:f>IF(A23="","",IF(F23&gt;=4,"Pret",IF(F23&gt;=3,"A verifier","A completer")))</x:f>
      </x:c>
      <x:c r="J23" s="56"/>
      <x:c r="K23" s="56"/>
      <x:c r="L23" s="57"/>
    </x:row>
    <x:row r="24">
      <x:c r="A24" s="56"/>
      <x:c r="B24" s="56"/>
      <x:c r="C24" s="56"/>
      <x:c r="D24" s="56"/>
      <x:c r="E24" s="56"/>
      <x:c r="F24" s="56"/>
      <x:c r="G24" s="56"/>
      <x:c r="H24" s="56" t="str">
        <x:f>IF(A24="","",F24*G24)</x:f>
      </x:c>
      <x:c r="I24" s="56" t="str">
        <x:f>IF(A24="","",IF(F24&gt;=4,"Pret",IF(F24&gt;=3,"A verifier","A completer")))</x:f>
      </x:c>
      <x:c r="J24" s="56"/>
      <x:c r="K24" s="56"/>
      <x:c r="L24" s="57"/>
    </x:row>
    <x:row r="25">
      <x:c r="A25" s="56"/>
      <x:c r="B25" s="56"/>
      <x:c r="C25" s="56"/>
      <x:c r="D25" s="56"/>
      <x:c r="E25" s="56"/>
      <x:c r="F25" s="56"/>
      <x:c r="G25" s="56"/>
      <x:c r="H25" s="56" t="str">
        <x:f>IF(A25="","",F25*G25)</x:f>
      </x:c>
      <x:c r="I25" s="56" t="str">
        <x:f>IF(A25="","",IF(F25&gt;=4,"Pret",IF(F25&gt;=3,"A verifier","A completer")))</x:f>
      </x:c>
      <x:c r="J25" s="56"/>
      <x:c r="K25" s="56"/>
      <x:c r="L25" s="57"/>
    </x:row>
    <x:row r="26">
      <x:c r="A26" s="56"/>
      <x:c r="B26" s="56"/>
      <x:c r="C26" s="56"/>
      <x:c r="D26" s="56"/>
      <x:c r="E26" s="56"/>
      <x:c r="F26" s="56"/>
      <x:c r="G26" s="56"/>
      <x:c r="H26" s="56" t="str">
        <x:f>IF(A26="","",F26*G26)</x:f>
      </x:c>
      <x:c r="I26" s="56" t="str">
        <x:f>IF(A26="","",IF(F26&gt;=4,"Pret",IF(F26&gt;=3,"A verifier","A completer")))</x:f>
      </x:c>
      <x:c r="J26" s="56"/>
      <x:c r="K26" s="56"/>
      <x:c r="L26" s="57"/>
    </x:row>
    <x:row r="27">
      <x:c r="A27" s="56"/>
      <x:c r="B27" s="56"/>
      <x:c r="C27" s="56"/>
      <x:c r="D27" s="56"/>
      <x:c r="E27" s="56"/>
      <x:c r="F27" s="56"/>
      <x:c r="G27" s="56"/>
      <x:c r="H27" s="56" t="str">
        <x:f>IF(A27="","",F27*G27)</x:f>
      </x:c>
      <x:c r="I27" s="56" t="str">
        <x:f>IF(A27="","",IF(F27&gt;=4,"Pret",IF(F27&gt;=3,"A verifier","A completer")))</x:f>
      </x:c>
      <x:c r="J27" s="56"/>
      <x:c r="K27" s="56"/>
      <x:c r="L27" s="57"/>
    </x:row>
    <x:row r="28">
      <x:c r="A28" s="56"/>
      <x:c r="B28" s="56"/>
      <x:c r="C28" s="56"/>
      <x:c r="D28" s="56"/>
      <x:c r="E28" s="56"/>
      <x:c r="F28" s="56"/>
      <x:c r="G28" s="56"/>
      <x:c r="H28" s="56" t="str">
        <x:f>IF(A28="","",F28*G28)</x:f>
      </x:c>
      <x:c r="I28" s="56" t="str">
        <x:f>IF(A28="","",IF(F28&gt;=4,"Pret",IF(F28&gt;=3,"A verifier","A completer")))</x:f>
      </x:c>
      <x:c r="J28" s="56"/>
      <x:c r="K28" s="56"/>
      <x:c r="L28" s="57"/>
    </x:row>
    <x:row r="29">
      <x:c r="A29" s="56"/>
      <x:c r="B29" s="56"/>
      <x:c r="C29" s="56"/>
      <x:c r="D29" s="56"/>
      <x:c r="E29" s="56"/>
      <x:c r="F29" s="56"/>
      <x:c r="G29" s="56"/>
      <x:c r="H29" s="56" t="str">
        <x:f>IF(A29="","",F29*G29)</x:f>
      </x:c>
      <x:c r="I29" s="56" t="str">
        <x:f>IF(A29="","",IF(F29&gt;=4,"Pret",IF(F29&gt;=3,"A verifier","A completer")))</x:f>
      </x:c>
      <x:c r="J29" s="56"/>
      <x:c r="K29" s="56"/>
      <x:c r="L29" s="57"/>
    </x:row>
    <x:row r="30">
      <x:c r="A30" s="56"/>
      <x:c r="B30" s="56"/>
      <x:c r="C30" s="56"/>
      <x:c r="D30" s="56"/>
      <x:c r="E30" s="56"/>
      <x:c r="F30" s="56"/>
      <x:c r="G30" s="56"/>
      <x:c r="H30" s="56" t="str">
        <x:f>IF(A30="","",F30*G30)</x:f>
      </x:c>
      <x:c r="I30" s="56" t="str">
        <x:f>IF(A30="","",IF(F30&gt;=4,"Pret",IF(F30&gt;=3,"A verifier","A completer")))</x:f>
      </x:c>
      <x:c r="J30" s="56"/>
      <x:c r="K30" s="56"/>
      <x:c r="L30" s="57"/>
    </x:row>
    <x:row r="31">
      <x:c r="A31" s="56"/>
      <x:c r="B31" s="56"/>
      <x:c r="C31" s="56"/>
      <x:c r="D31" s="56"/>
      <x:c r="E31" s="56"/>
      <x:c r="F31" s="56"/>
      <x:c r="G31" s="56"/>
      <x:c r="H31" s="56" t="str">
        <x:f>IF(A31="","",F31*G31)</x:f>
      </x:c>
      <x:c r="I31" s="56" t="str">
        <x:f>IF(A31="","",IF(F31&gt;=4,"Pret",IF(F31&gt;=3,"A verifier","A completer")))</x:f>
      </x:c>
      <x:c r="J31" s="56"/>
      <x:c r="K31" s="56"/>
      <x:c r="L31" s="57"/>
    </x:row>
    <x:row r="32">
      <x:c r="A32" s="56"/>
      <x:c r="B32" s="56"/>
      <x:c r="C32" s="56"/>
      <x:c r="D32" s="56"/>
      <x:c r="E32" s="56"/>
      <x:c r="F32" s="56"/>
      <x:c r="G32" s="56"/>
      <x:c r="H32" s="56" t="str">
        <x:f>IF(A32="","",F32*G32)</x:f>
      </x:c>
      <x:c r="I32" s="56" t="str">
        <x:f>IF(A32="","",IF(F32&gt;=4,"Pret",IF(F32&gt;=3,"A verifier","A completer")))</x:f>
      </x:c>
      <x:c r="J32" s="56"/>
      <x:c r="K32" s="56"/>
      <x:c r="L32" s="57"/>
    </x:row>
    <x:row r="33">
      <x:c r="A33" s="56"/>
      <x:c r="B33" s="56"/>
      <x:c r="C33" s="56"/>
      <x:c r="D33" s="56"/>
      <x:c r="E33" s="56"/>
      <x:c r="F33" s="56"/>
      <x:c r="G33" s="56"/>
      <x:c r="H33" s="56" t="str">
        <x:f>IF(A33="","",F33*G33)</x:f>
      </x:c>
      <x:c r="I33" s="56" t="str">
        <x:f>IF(A33="","",IF(F33&gt;=4,"Pret",IF(F33&gt;=3,"A verifier","A completer")))</x:f>
      </x:c>
      <x:c r="J33" s="56"/>
      <x:c r="K33" s="56"/>
      <x:c r="L33" s="57"/>
    </x:row>
    <x:row r="34">
      <x:c r="A34" s="56"/>
      <x:c r="B34" s="56"/>
      <x:c r="C34" s="56"/>
      <x:c r="D34" s="56"/>
      <x:c r="E34" s="56"/>
      <x:c r="F34" s="56"/>
      <x:c r="G34" s="56"/>
      <x:c r="H34" s="56" t="str">
        <x:f>IF(A34="","",F34*G34)</x:f>
      </x:c>
      <x:c r="I34" s="56" t="str">
        <x:f>IF(A34="","",IF(F34&gt;=4,"Pret",IF(F34&gt;=3,"A verifier","A completer")))</x:f>
      </x:c>
      <x:c r="J34" s="56"/>
      <x:c r="K34" s="56"/>
      <x:c r="L34" s="57"/>
    </x:row>
    <x:row r="35">
      <x:c r="A35" s="56"/>
      <x:c r="B35" s="56"/>
      <x:c r="C35" s="56"/>
      <x:c r="D35" s="56"/>
      <x:c r="E35" s="56"/>
      <x:c r="F35" s="56"/>
      <x:c r="G35" s="56"/>
      <x:c r="H35" s="56" t="str">
        <x:f>IF(A35="","",F35*G35)</x:f>
      </x:c>
      <x:c r="I35" s="56" t="str">
        <x:f>IF(A35="","",IF(F35&gt;=4,"Pret",IF(F35&gt;=3,"A verifier","A completer")))</x:f>
      </x:c>
      <x:c r="J35" s="56"/>
      <x:c r="K35" s="56"/>
      <x:c r="L35" s="57"/>
    </x:row>
    <x:row r="36">
      <x:c r="A36" s="56"/>
      <x:c r="B36" s="56"/>
      <x:c r="C36" s="56"/>
      <x:c r="D36" s="56"/>
      <x:c r="E36" s="56"/>
      <x:c r="F36" s="56"/>
      <x:c r="G36" s="56"/>
      <x:c r="H36" s="56" t="str">
        <x:f>IF(A36="","",F36*G36)</x:f>
      </x:c>
      <x:c r="I36" s="56" t="str">
        <x:f>IF(A36="","",IF(F36&gt;=4,"Pret",IF(F36&gt;=3,"A verifier","A completer")))</x:f>
      </x:c>
      <x:c r="J36" s="56"/>
      <x:c r="K36" s="56"/>
      <x:c r="L36" s="57"/>
    </x:row>
    <x:row r="37">
      <x:c r="A37" s="56"/>
      <x:c r="B37" s="56"/>
      <x:c r="C37" s="56"/>
      <x:c r="D37" s="56"/>
      <x:c r="E37" s="56"/>
      <x:c r="F37" s="56"/>
      <x:c r="G37" s="56"/>
      <x:c r="H37" s="56" t="str">
        <x:f>IF(A37="","",F37*G37)</x:f>
      </x:c>
      <x:c r="I37" s="56" t="str">
        <x:f>IF(A37="","",IF(F37&gt;=4,"Pret",IF(F37&gt;=3,"A verifier","A completer")))</x:f>
      </x:c>
      <x:c r="J37" s="56"/>
      <x:c r="K37" s="56"/>
      <x:c r="L37" s="57"/>
    </x:row>
    <x:row r="38">
      <x:c r="A38" s="56"/>
      <x:c r="B38" s="56"/>
      <x:c r="C38" s="56"/>
      <x:c r="D38" s="56"/>
      <x:c r="E38" s="56"/>
      <x:c r="F38" s="56"/>
      <x:c r="G38" s="56"/>
      <x:c r="H38" s="56" t="str">
        <x:f>IF(A38="","",F38*G38)</x:f>
      </x:c>
      <x:c r="I38" s="56" t="str">
        <x:f>IF(A38="","",IF(F38&gt;=4,"Pret",IF(F38&gt;=3,"A verifier","A completer")))</x:f>
      </x:c>
      <x:c r="J38" s="56"/>
      <x:c r="K38" s="56"/>
      <x:c r="L38" s="57"/>
    </x:row>
    <x:row r="39">
      <x:c r="A39" s="56"/>
      <x:c r="B39" s="56"/>
      <x:c r="C39" s="56"/>
      <x:c r="D39" s="56"/>
      <x:c r="E39" s="56"/>
      <x:c r="F39" s="56"/>
      <x:c r="G39" s="56"/>
      <x:c r="H39" s="56" t="str">
        <x:f>IF(A39="","",F39*G39)</x:f>
      </x:c>
      <x:c r="I39" s="56" t="str">
        <x:f>IF(A39="","",IF(F39&gt;=4,"Pret",IF(F39&gt;=3,"A verifier","A completer")))</x:f>
      </x:c>
      <x:c r="J39" s="56"/>
      <x:c r="K39" s="56"/>
      <x:c r="L39" s="57"/>
    </x:row>
    <x:row r="40">
      <x:c r="A40" s="56"/>
      <x:c r="B40" s="56"/>
      <x:c r="C40" s="56"/>
      <x:c r="D40" s="56"/>
      <x:c r="E40" s="56"/>
      <x:c r="F40" s="56"/>
      <x:c r="G40" s="56"/>
      <x:c r="H40" s="56" t="str">
        <x:f>IF(A40="","",F40*G40)</x:f>
      </x:c>
      <x:c r="I40" s="56" t="str">
        <x:f>IF(A40="","",IF(F40&gt;=4,"Pret",IF(F40&gt;=3,"A verifier","A completer")))</x:f>
      </x:c>
      <x:c r="J40" s="56"/>
      <x:c r="K40" s="56"/>
      <x:c r="L40" s="57"/>
    </x:row>
    <x:row r="41">
      <x:c r="A41" s="56"/>
      <x:c r="B41" s="56"/>
      <x:c r="C41" s="56"/>
      <x:c r="D41" s="56"/>
      <x:c r="E41" s="56"/>
      <x:c r="F41" s="56"/>
      <x:c r="G41" s="56"/>
      <x:c r="H41" s="56" t="str">
        <x:f>IF(A41="","",F41*G41)</x:f>
      </x:c>
      <x:c r="I41" s="56" t="str">
        <x:f>IF(A41="","",IF(F41&gt;=4,"Pret",IF(F41&gt;=3,"A verifier","A completer")))</x:f>
      </x:c>
      <x:c r="J41" s="56"/>
      <x:c r="K41" s="56"/>
      <x:c r="L41" s="57"/>
    </x:row>
    <x:row r="42">
      <x:c r="A42" s="56"/>
      <x:c r="B42" s="56"/>
      <x:c r="C42" s="56"/>
      <x:c r="D42" s="56"/>
      <x:c r="E42" s="56"/>
      <x:c r="F42" s="56"/>
      <x:c r="G42" s="56"/>
      <x:c r="H42" s="56" t="str">
        <x:f>IF(A42="","",F42*G42)</x:f>
      </x:c>
      <x:c r="I42" s="56" t="str">
        <x:f>IF(A42="","",IF(F42&gt;=4,"Pret",IF(F42&gt;=3,"A verifier","A completer")))</x:f>
      </x:c>
      <x:c r="J42" s="56"/>
      <x:c r="K42" s="56"/>
      <x:c r="L42" s="57"/>
    </x:row>
    <x:row r="43">
      <x:c r="A43" s="56"/>
      <x:c r="B43" s="56"/>
      <x:c r="C43" s="56"/>
      <x:c r="D43" s="56"/>
      <x:c r="E43" s="56"/>
      <x:c r="F43" s="56"/>
      <x:c r="G43" s="56"/>
      <x:c r="H43" s="56" t="str">
        <x:f>IF(A43="","",F43*G43)</x:f>
      </x:c>
      <x:c r="I43" s="56" t="str">
        <x:f>IF(A43="","",IF(F43&gt;=4,"Pret",IF(F43&gt;=3,"A verifier","A completer")))</x:f>
      </x:c>
      <x:c r="J43" s="56"/>
      <x:c r="K43" s="56"/>
      <x:c r="L43" s="57"/>
    </x:row>
    <x:row r="44">
      <x:c r="A44" s="56"/>
      <x:c r="B44" s="56"/>
      <x:c r="C44" s="56"/>
      <x:c r="D44" s="56"/>
      <x:c r="E44" s="56"/>
      <x:c r="F44" s="56"/>
      <x:c r="G44" s="56"/>
      <x:c r="H44" s="56" t="str">
        <x:f>IF(A44="","",F44*G44)</x:f>
      </x:c>
      <x:c r="I44" s="56" t="str">
        <x:f>IF(A44="","",IF(F44&gt;=4,"Pret",IF(F44&gt;=3,"A verifier","A completer")))</x:f>
      </x:c>
      <x:c r="J44" s="56"/>
      <x:c r="K44" s="56"/>
      <x:c r="L44" s="57"/>
    </x:row>
  </x:sheetData>
  <x:mergeCells>
    <x:mergeCell ref="A1:K1"/>
    <x:mergeCell ref="A2:K2"/>
  </x:mergeCells>
  <x:conditionalFormatting sqref="I5:I44">
    <x:cfRule type="containsText" dxfId="96" priority="1" operator="containsText" text="Critique"/>
    <x:cfRule type="containsText" dxfId="97" priority="2" operator="containsText" text="A completer"/>
    <x:cfRule type="containsText" dxfId="98" priority="3" operator="containsText" text="Pret"/>
    <x:cfRule type="containsText" dxfId="99"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B5:B44">
      <x:formula1>"CDP-ICLEI,C40,ICLEI/GPC,GCoM CRF,CoM SSA/SEACAP,GCF,Banque mondiale,BAD,CDN Senegal,Interne Dakar"</x:formula1>
    </x:dataValidation>
    <x:dataValidation type="list" errorStyle="warning" showInputMessage="1" showErrorMessage="1" errorTitle="Valeur inattendue" error="Verifier la liste de valeurs." promptTitle="Liste controlee" prompt="Choisir une valeur autorisee." sqref="I5:I44">
      <x:formula1>"Non demarre,A completer,En cours,A verifier,Pret,Soumis,Valide"</x:formula1>
    </x:dataValidation>
  </x:dataValidations>
  <x:pageMargins left="0.7" right="0.7" top="0.75" bottom="0.75" header="0.3" footer="0.3"/>
  <x:tableParts count="1">
    <x:tablePart xmlns:r="http://schemas.openxmlformats.org/officeDocument/2006/relationships" r:id="Ra2f6a8ee363c48e4"/>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0" hidden="0" customWidth="1"/>
    <x:col min="2" max="2" width="18.75" hidden="0" customWidth="1"/>
    <x:col min="3" max="3" width="18.75" hidden="0" customWidth="1"/>
    <x:col min="4" max="4" width="20" hidden="0" customWidth="1"/>
    <x:col min="5" max="5" width="17.5" hidden="0" customWidth="1"/>
    <x:col min="6" max="6" width="20" hidden="0" customWidth="1"/>
    <x:col min="7" max="7" width="21.25" hidden="0" customWidth="1"/>
    <x:col min="8" max="8" width="15.630000114440918" hidden="0" customWidth="1"/>
    <x:col min="9" max="9" width="36.25" hidden="0" customWidth="1"/>
    <x:col min="10" max="10" width="20" hidden="0" customWidth="1"/>
  </x:cols>
  <x:sheetData>
    <x:row r="1" ht="25.5" customHeight="1">
      <x:c r="A1" s="48" t="str">
        <x:v>Trajectoires emissions et cibles climat</x:v>
      </x:c>
      <x:c r="B1" s="48"/>
      <x:c r="C1" s="48"/>
      <x:c r="D1" s="48"/>
      <x:c r="E1" s="48"/>
      <x:c r="F1" s="48"/>
      <x:c r="G1" s="48"/>
      <x:c r="H1" s="48"/>
      <x:c r="I1" s="48"/>
      <x:c r="J1" s="48"/>
      <x:c r="K1" s="48"/>
    </x:row>
    <x:row r="2" ht="31.5" customHeight="1">
      <x:c r="A2" s="51" t="str">
        <x:v>Module de pilotage BAU, cible 2030, trajectoire locale et ecart d'ambition.</x:v>
      </x:c>
      <x:c r="B2" s="51"/>
      <x:c r="C2" s="51"/>
      <x:c r="D2" s="51"/>
      <x:c r="E2" s="51"/>
      <x:c r="F2" s="51"/>
      <x:c r="G2" s="51"/>
      <x:c r="H2" s="51"/>
      <x:c r="I2" s="51"/>
      <x:c r="J2" s="51"/>
      <x:c r="K2" s="51"/>
    </x:row>
    <x:row r="4">
      <x:c r="A4" s="54" t="str">
        <x:v>Annee</x:v>
      </x:c>
      <x:c r="B4" s="54" t="str">
        <x:v>Emissions_historique_tCO2e</x:v>
      </x:c>
      <x:c r="C4" s="54" t="str">
        <x:v>Scenario_BAU_tCO2e</x:v>
      </x:c>
      <x:c r="D4" s="54" t="str">
        <x:v>Trajectoire_cible_tCO2e</x:v>
      </x:c>
      <x:c r="E4" s="54" t="str">
        <x:v>Reduction_vs_baseline_pct</x:v>
      </x:c>
      <x:c r="F4" s="54" t="str">
        <x:v>Ecart_BAU_vs_cible_tCO2e</x:v>
      </x:c>
      <x:c r="G4" s="54" t="str">
        <x:v>Budget_carbone_restant_tCO2e</x:v>
      </x:c>
      <x:c r="H4" s="54" t="str">
        <x:v>Statut_ambition</x:v>
      </x:c>
      <x:c r="I4" s="54" t="str">
        <x:v>Hypothese_cle</x:v>
      </x:c>
      <x:c r="J4" s="54" t="str">
        <x:v>Source</x:v>
      </x:c>
    </x:row>
    <x:row r="5">
      <x:c r="A5" s="56" t="n">
        <x:v>2024</x:v>
      </x:c>
      <x:c r="B5" s="58" t="n">
        <x:v>1465000</x:v>
      </x:c>
      <x:c r="C5" s="58" t="n">
        <x:v>1465000</x:v>
      </x:c>
      <x:c r="D5" s="58" t="n">
        <x:v>1465000</x:v>
      </x:c>
      <x:c r="E5" s="59" t="n">
        <x:f>IF(A5="","",IFERROR(1-D5/$B$5,""))</x:f>
        <x:v>0</x:v>
      </x:c>
      <x:c r="F5" s="58" t="n">
        <x:f>IF(A5="","",IFERROR(C5-D5,""))</x:f>
        <x:v>0</x:v>
      </x:c>
      <x:c r="G5" s="58" t="n">
        <x:v>9000000</x:v>
      </x:c>
      <x:c r="H5" s="56" t="str">
        <x:f>IF(A5="","",IF(F5&gt;=300000,"Ecart critique",IF(F5&gt;=100000,"A surveiller","OK")))</x:f>
        <x:v>OK</x:v>
      </x:c>
      <x:c r="I5" s="56" t="str">
        <x:v>Baseline a confirmer par inventaire complet GPC</x:v>
      </x:c>
      <x:c r="J5" s="56" t="str">
        <x:v>08_INVENTAIRE_GES</x:v>
      </x:c>
    </x:row>
    <x:row r="6">
      <x:c r="A6" s="56" t="n">
        <x:v>2025</x:v>
      </x:c>
      <x:c r="B6" s="58" t="n">
        <x:v>1515200</x:v>
      </x:c>
      <x:c r="C6" s="58" t="n">
        <x:v>1515200</x:v>
      </x:c>
      <x:c r="D6" s="58" t="n">
        <x:v>1390000</x:v>
      </x:c>
      <x:c r="E6" s="59" t="n">
        <x:f>IF(A6="","",IFERROR(1-D6/$B$5,""))</x:f>
        <x:v>0.05119453924914674</x:v>
      </x:c>
      <x:c r="F6" s="58" t="n">
        <x:f>IF(A6="","",IFERROR(C6-D6,""))</x:f>
        <x:v>125200</x:v>
      </x:c>
      <x:c r="G6" s="58" t="n">
        <x:v>7610000</x:v>
      </x:c>
      <x:c r="H6" s="56" t="str">
        <x:f>IF(A6="","",IF(F6&gt;=300000,"Ecart critique",IF(F6&gt;=100000,"A surveiller","OK")))</x:f>
        <x:v>A surveiller</x:v>
      </x:c>
      <x:c r="I6" s="56" t="str">
        <x:v>Premiere consolidation territoriale</x:v>
      </x:c>
      <x:c r="J6" s="56" t="str">
        <x:v>08_INVENTAIRE_GES</x:v>
      </x:c>
    </x:row>
    <x:row r="7">
      <x:c r="A7" s="56" t="n">
        <x:v>2026</x:v>
      </x:c>
      <x:c r="B7" s="58"/>
      <x:c r="C7" s="58" t="n">
        <x:v>1560000</x:v>
      </x:c>
      <x:c r="D7" s="58" t="n">
        <x:v>1320000</x:v>
      </x:c>
      <x:c r="E7" s="59" t="n">
        <x:f>IF(A7="","",IFERROR(1-D7/$B$5,""))</x:f>
        <x:v>0.0989761092150171</x:v>
      </x:c>
      <x:c r="F7" s="58" t="n">
        <x:f>IF(A7="","",IFERROR(C7-D7,""))</x:f>
        <x:v>240000</x:v>
      </x:c>
      <x:c r="G7" s="58" t="n">
        <x:v>6290000</x:v>
      </x:c>
      <x:c r="H7" s="56" t="str">
        <x:f>IF(A7="","",IF(F7&gt;=300000,"Ecart critique",IF(F7&gt;=100000,"A surveiller","OK")))</x:f>
        <x:v>A surveiller</x:v>
      </x:c>
      <x:c r="I7" s="56" t="str">
        <x:v>BAU +3% annuel indicatif</x:v>
      </x:c>
      <x:c r="J7" s="56" t="str">
        <x:v>Scenario municipal</x:v>
      </x:c>
    </x:row>
    <x:row r="8">
      <x:c r="A8" s="56" t="n">
        <x:v>2027</x:v>
      </x:c>
      <x:c r="B8" s="58"/>
      <x:c r="C8" s="58" t="n">
        <x:v>1607000</x:v>
      </x:c>
      <x:c r="D8" s="58" t="n">
        <x:v>1250000</x:v>
      </x:c>
      <x:c r="E8" s="59" t="n">
        <x:f>IF(A8="","",IFERROR(1-D8/$B$5,""))</x:f>
        <x:v>0.14675767918088733</x:v>
      </x:c>
      <x:c r="F8" s="58" t="n">
        <x:f>IF(A8="","",IFERROR(C8-D8,""))</x:f>
        <x:v>357000</x:v>
      </x:c>
      <x:c r="G8" s="58" t="n">
        <x:v>5040000</x:v>
      </x:c>
      <x:c r="H8" s="56" t="str">
        <x:f>IF(A8="","",IF(F8&gt;=300000,"Ecart critique",IF(F8&gt;=100000,"A surveiller","OK")))</x:f>
        <x:v>Ecart critique</x:v>
      </x:c>
      <x:c r="I8" s="56" t="str">
        <x:v>Renforcement energie/dechets</x:v>
      </x:c>
      <x:c r="J8" s="56" t="str">
        <x:v>Scenario municipal</x:v>
      </x:c>
    </x:row>
    <x:row r="9">
      <x:c r="A9" s="56" t="n">
        <x:v>2028</x:v>
      </x:c>
      <x:c r="B9" s="58"/>
      <x:c r="C9" s="58" t="n">
        <x:v>1655000</x:v>
      </x:c>
      <x:c r="D9" s="58" t="n">
        <x:v>1180000</x:v>
      </x:c>
      <x:c r="E9" s="59" t="n">
        <x:f>IF(A9="","",IFERROR(1-D9/$B$5,""))</x:f>
        <x:v>0.1945392491467577</x:v>
      </x:c>
      <x:c r="F9" s="58" t="n">
        <x:f>IF(A9="","",IFERROR(C9-D9,""))</x:f>
        <x:v>475000</x:v>
      </x:c>
      <x:c r="G9" s="58" t="n">
        <x:v>3860000</x:v>
      </x:c>
      <x:c r="H9" s="56" t="str">
        <x:f>IF(A9="","",IF(F9&gt;=300000,"Ecart critique",IF(F9&gt;=100000,"A surveiller","OK")))</x:f>
        <x:v>Ecart critique</x:v>
      </x:c>
      <x:c r="I9" s="56" t="str">
        <x:v>Actions structurantes</x:v>
      </x:c>
      <x:c r="J9" s="56" t="str">
        <x:v>Scenario municipal</x:v>
      </x:c>
    </x:row>
    <x:row r="10">
      <x:c r="A10" s="56" t="n">
        <x:v>2029</x:v>
      </x:c>
      <x:c r="B10" s="58"/>
      <x:c r="C10" s="58" t="n">
        <x:v>1705000</x:v>
      </x:c>
      <x:c r="D10" s="58" t="n">
        <x:v>1100000</x:v>
      </x:c>
      <x:c r="E10" s="59" t="n">
        <x:f>IF(A10="","",IFERROR(1-D10/$B$5,""))</x:f>
        <x:v>0.24914675767918093</x:v>
      </x:c>
      <x:c r="F10" s="58" t="n">
        <x:f>IF(A10="","",IFERROR(C10-D10,""))</x:f>
        <x:v>605000</x:v>
      </x:c>
      <x:c r="G10" s="58" t="n">
        <x:v>2760000</x:v>
      </x:c>
      <x:c r="H10" s="56" t="str">
        <x:f>IF(A10="","",IF(F10&gt;=300000,"Ecart critique",IF(F10&gt;=100000,"A surveiller","OK")))</x:f>
        <x:v>Ecart critique</x:v>
      </x:c>
      <x:c r="I10" s="56" t="str">
        <x:v>Acceleration investissements</x:v>
      </x:c>
      <x:c r="J10" s="56" t="str">
        <x:v>Scenario municipal</x:v>
      </x:c>
    </x:row>
    <x:row r="11">
      <x:c r="A11" s="56" t="n">
        <x:v>2030</x:v>
      </x:c>
      <x:c r="B11" s="58"/>
      <x:c r="C11" s="58" t="n">
        <x:v>1756000</x:v>
      </x:c>
      <x:c r="D11" s="58" t="n">
        <x:v>1020000</x:v>
      </x:c>
      <x:c r="E11" s="59" t="n">
        <x:f>IF(A11="","",IFERROR(1-D11/$B$5,""))</x:f>
        <x:v>0.30375426621160406</x:v>
      </x:c>
      <x:c r="F11" s="58" t="n">
        <x:f>IF(A11="","",IFERROR(C11-D11,""))</x:f>
        <x:v>736000</x:v>
      </x:c>
      <x:c r="G11" s="58" t="n">
        <x:v>1740000</x:v>
      </x:c>
      <x:c r="H11" s="56" t="str">
        <x:f>IF(A11="","",IF(F11&gt;=300000,"Ecart critique",IF(F11&gt;=100000,"A surveiller","OK")))</x:f>
        <x:v>Ecart critique</x:v>
      </x:c>
      <x:c r="I11" s="56" t="str">
        <x:v>Cible 2030 a valider politiquement</x:v>
      </x:c>
      <x:c r="J11" s="56" t="str">
        <x:v>Scenario municipal</x:v>
      </x:c>
    </x:row>
    <x:row r="12">
      <x:c r="A12" s="56"/>
      <x:c r="B12" s="58"/>
      <x:c r="C12" s="58"/>
      <x:c r="D12" s="58"/>
      <x:c r="E12" s="59" t="str">
        <x:f>IF(A12="","",IFERROR(1-D12/$B$5,""))</x:f>
      </x:c>
      <x:c r="F12" s="58" t="str">
        <x:f>IF(A12="","",IFERROR(C12-D12,""))</x:f>
      </x:c>
      <x:c r="G12" s="58"/>
      <x:c r="H12" s="56" t="str">
        <x:f>IF(A12="","",IF(F12&gt;=300000,"Ecart critique",IF(F12&gt;=100000,"A surveiller","OK")))</x:f>
      </x:c>
      <x:c r="I12" s="56"/>
      <x:c r="J12" s="56"/>
    </x:row>
    <x:row r="13">
      <x:c r="A13" s="56"/>
      <x:c r="B13" s="58"/>
      <x:c r="C13" s="58"/>
      <x:c r="D13" s="58"/>
      <x:c r="E13" s="59" t="str">
        <x:f>IF(A13="","",IFERROR(1-D13/$B$5,""))</x:f>
      </x:c>
      <x:c r="F13" s="58" t="str">
        <x:f>IF(A13="","",IFERROR(C13-D13,""))</x:f>
      </x:c>
      <x:c r="G13" s="58"/>
      <x:c r="H13" s="56" t="str">
        <x:f>IF(A13="","",IF(F13&gt;=300000,"Ecart critique",IF(F13&gt;=100000,"A surveiller","OK")))</x:f>
      </x:c>
      <x:c r="I13" s="56"/>
      <x:c r="J13" s="56"/>
    </x:row>
    <x:row r="14">
      <x:c r="A14" s="56"/>
      <x:c r="B14" s="58"/>
      <x:c r="C14" s="58"/>
      <x:c r="D14" s="58"/>
      <x:c r="E14" s="59" t="str">
        <x:f>IF(A14="","",IFERROR(1-D14/$B$5,""))</x:f>
      </x:c>
      <x:c r="F14" s="58" t="str">
        <x:f>IF(A14="","",IFERROR(C14-D14,""))</x:f>
      </x:c>
      <x:c r="G14" s="58"/>
      <x:c r="H14" s="56" t="str">
        <x:f>IF(A14="","",IF(F14&gt;=300000,"Ecart critique",IF(F14&gt;=100000,"A surveiller","OK")))</x:f>
      </x:c>
      <x:c r="I14" s="56"/>
      <x:c r="J14" s="56"/>
    </x:row>
    <x:row r="15">
      <x:c r="A15" s="56"/>
      <x:c r="B15" s="58"/>
      <x:c r="C15" s="58"/>
      <x:c r="D15" s="58"/>
      <x:c r="E15" s="59" t="str">
        <x:f>IF(A15="","",IFERROR(1-D15/$B$5,""))</x:f>
      </x:c>
      <x:c r="F15" s="58" t="str">
        <x:f>IF(A15="","",IFERROR(C15-D15,""))</x:f>
      </x:c>
      <x:c r="G15" s="58"/>
      <x:c r="H15" s="56" t="str">
        <x:f>IF(A15="","",IF(F15&gt;=300000,"Ecart critique",IF(F15&gt;=100000,"A surveiller","OK")))</x:f>
      </x:c>
      <x:c r="I15" s="56"/>
      <x:c r="J15" s="56"/>
    </x:row>
    <x:row r="16">
      <x:c r="A16" s="56"/>
      <x:c r="B16" s="58"/>
      <x:c r="C16" s="58"/>
      <x:c r="D16" s="58"/>
      <x:c r="E16" s="59" t="str">
        <x:f>IF(A16="","",IFERROR(1-D16/$B$5,""))</x:f>
      </x:c>
      <x:c r="F16" s="58" t="str">
        <x:f>IF(A16="","",IFERROR(C16-D16,""))</x:f>
      </x:c>
      <x:c r="G16" s="58"/>
      <x:c r="H16" s="56" t="str">
        <x:f>IF(A16="","",IF(F16&gt;=300000,"Ecart critique",IF(F16&gt;=100000,"A surveiller","OK")))</x:f>
      </x:c>
      <x:c r="I16" s="56"/>
      <x:c r="J16" s="56"/>
    </x:row>
    <x:row r="17">
      <x:c r="A17" s="56"/>
      <x:c r="B17" s="58"/>
      <x:c r="C17" s="58"/>
      <x:c r="D17" s="58"/>
      <x:c r="E17" s="59" t="str">
        <x:f>IF(A17="","",IFERROR(1-D17/$B$5,""))</x:f>
      </x:c>
      <x:c r="F17" s="58" t="str">
        <x:f>IF(A17="","",IFERROR(C17-D17,""))</x:f>
      </x:c>
      <x:c r="G17" s="58"/>
      <x:c r="H17" s="56" t="str">
        <x:f>IF(A17="","",IF(F17&gt;=300000,"Ecart critique",IF(F17&gt;=100000,"A surveiller","OK")))</x:f>
      </x:c>
      <x:c r="I17" s="56"/>
      <x:c r="J17" s="56"/>
    </x:row>
    <x:row r="18">
      <x:c r="A18" s="56"/>
      <x:c r="B18" s="58"/>
      <x:c r="C18" s="58"/>
      <x:c r="D18" s="58"/>
      <x:c r="E18" s="59" t="str">
        <x:f>IF(A18="","",IFERROR(1-D18/$B$5,""))</x:f>
      </x:c>
      <x:c r="F18" s="58" t="str">
        <x:f>IF(A18="","",IFERROR(C18-D18,""))</x:f>
      </x:c>
      <x:c r="G18" s="58"/>
      <x:c r="H18" s="56" t="str">
        <x:f>IF(A18="","",IF(F18&gt;=300000,"Ecart critique",IF(F18&gt;=100000,"A surveiller","OK")))</x:f>
      </x:c>
      <x:c r="I18" s="56"/>
      <x:c r="J18" s="56"/>
    </x:row>
    <x:row r="19">
      <x:c r="A19" s="56"/>
      <x:c r="B19" s="58"/>
      <x:c r="C19" s="58"/>
      <x:c r="D19" s="58"/>
      <x:c r="E19" s="59" t="str">
        <x:f>IF(A19="","",IFERROR(1-D19/$B$5,""))</x:f>
      </x:c>
      <x:c r="F19" s="58" t="str">
        <x:f>IF(A19="","",IFERROR(C19-D19,""))</x:f>
      </x:c>
      <x:c r="G19" s="58"/>
      <x:c r="H19" s="56" t="str">
        <x:f>IF(A19="","",IF(F19&gt;=300000,"Ecart critique",IF(F19&gt;=100000,"A surveiller","OK")))</x:f>
      </x:c>
      <x:c r="I19" s="56"/>
      <x:c r="J19" s="56"/>
    </x:row>
    <x:row r="20">
      <x:c r="A20" s="56"/>
      <x:c r="B20" s="58"/>
      <x:c r="C20" s="58"/>
      <x:c r="D20" s="58"/>
      <x:c r="E20" s="59" t="str">
        <x:f>IF(A20="","",IFERROR(1-D20/$B$5,""))</x:f>
      </x:c>
      <x:c r="F20" s="58" t="str">
        <x:f>IF(A20="","",IFERROR(C20-D20,""))</x:f>
      </x:c>
      <x:c r="G20" s="58"/>
      <x:c r="H20" s="56" t="str">
        <x:f>IF(A20="","",IF(F20&gt;=300000,"Ecart critique",IF(F20&gt;=100000,"A surveiller","OK")))</x:f>
      </x:c>
      <x:c r="I20" s="56"/>
      <x:c r="J20" s="56"/>
    </x:row>
    <x:row r="21">
      <x:c r="A21" s="56"/>
      <x:c r="B21" s="58"/>
      <x:c r="C21" s="58"/>
      <x:c r="D21" s="58"/>
      <x:c r="E21" s="59" t="str">
        <x:f>IF(A21="","",IFERROR(1-D21/$B$5,""))</x:f>
      </x:c>
      <x:c r="F21" s="58" t="str">
        <x:f>IF(A21="","",IFERROR(C21-D21,""))</x:f>
      </x:c>
      <x:c r="G21" s="58"/>
      <x:c r="H21" s="56" t="str">
        <x:f>IF(A21="","",IF(F21&gt;=300000,"Ecart critique",IF(F21&gt;=100000,"A surveiller","OK")))</x:f>
      </x:c>
      <x:c r="I21" s="56"/>
      <x:c r="J21" s="56"/>
    </x:row>
    <x:row r="22">
      <x:c r="A22" s="56"/>
      <x:c r="B22" s="58"/>
      <x:c r="C22" s="58"/>
      <x:c r="D22" s="58"/>
      <x:c r="E22" s="59" t="str">
        <x:f>IF(A22="","",IFERROR(1-D22/$B$5,""))</x:f>
      </x:c>
      <x:c r="F22" s="58" t="str">
        <x:f>IF(A22="","",IFERROR(C22-D22,""))</x:f>
      </x:c>
      <x:c r="G22" s="58"/>
      <x:c r="H22" s="56" t="str">
        <x:f>IF(A22="","",IF(F22&gt;=300000,"Ecart critique",IF(F22&gt;=100000,"A surveiller","OK")))</x:f>
      </x:c>
      <x:c r="I22" s="56"/>
      <x:c r="J22" s="56"/>
    </x:row>
    <x:row r="23">
      <x:c r="A23" s="56"/>
      <x:c r="B23" s="58"/>
      <x:c r="C23" s="58"/>
      <x:c r="D23" s="58"/>
      <x:c r="E23" s="59" t="str">
        <x:f>IF(A23="","",IFERROR(1-D23/$B$5,""))</x:f>
      </x:c>
      <x:c r="F23" s="58" t="str">
        <x:f>IF(A23="","",IFERROR(C23-D23,""))</x:f>
      </x:c>
      <x:c r="G23" s="58"/>
      <x:c r="H23" s="56" t="str">
        <x:f>IF(A23="","",IF(F23&gt;=300000,"Ecart critique",IF(F23&gt;=100000,"A surveiller","OK")))</x:f>
      </x:c>
      <x:c r="I23" s="56"/>
      <x:c r="J23" s="56"/>
    </x:row>
    <x:row r="24">
      <x:c r="A24" s="56"/>
      <x:c r="B24" s="58"/>
      <x:c r="C24" s="58"/>
      <x:c r="D24" s="58"/>
      <x:c r="E24" s="59" t="str">
        <x:f>IF(A24="","",IFERROR(1-D24/$B$5,""))</x:f>
      </x:c>
      <x:c r="F24" s="58" t="str">
        <x:f>IF(A24="","",IFERROR(C24-D24,""))</x:f>
      </x:c>
      <x:c r="G24" s="58"/>
      <x:c r="H24" s="56" t="str">
        <x:f>IF(A24="","",IF(F24&gt;=300000,"Ecart critique",IF(F24&gt;=100000,"A surveiller","OK")))</x:f>
      </x:c>
      <x:c r="I24" s="56"/>
      <x:c r="J24" s="56"/>
    </x:row>
  </x:sheetData>
  <x:mergeCells>
    <x:mergeCell ref="A1:K1"/>
    <x:mergeCell ref="A2:K2"/>
  </x:mergeCells>
  <x:conditionalFormatting sqref="H5:H24">
    <x:cfRule type="containsText" dxfId="100" priority="1" operator="containsText" text="Critique"/>
    <x:cfRule type="containsText" dxfId="101" priority="2" operator="containsText" text="A completer"/>
    <x:cfRule type="containsText" dxfId="102" priority="3" operator="containsText" text="Pret"/>
    <x:cfRule type="containsText" dxfId="103" priority="4" operator="containsText" text="OK"/>
  </x:conditionalFormatting>
  <x:pageMargins left="0.7" right="0.7" top="0.75" bottom="0.75" header="0.3" footer="0.3"/>
  <x:tableParts count="1">
    <x:tablePart xmlns:r="http://schemas.openxmlformats.org/officeDocument/2006/relationships" r:id="Rb942616acab84b35"/>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75" hidden="0" customWidth="1"/>
    <x:col min="3" max="3" width="18.75" hidden="0" customWidth="1"/>
    <x:col min="4" max="4" width="11.25" hidden="0" customWidth="1"/>
    <x:col min="5" max="5" width="21.25" hidden="0" customWidth="1"/>
    <x:col min="6" max="6" width="12.5" hidden="0" customWidth="1"/>
    <x:col min="7" max="7" width="11.25" hidden="0" customWidth="1"/>
    <x:col min="8" max="8" width="13.130000114440918" hidden="0" customWidth="1"/>
    <x:col min="9" max="9" width="15" hidden="0" customWidth="1"/>
    <x:col min="10" max="10" width="13.130000114440918" hidden="0" customWidth="1"/>
    <x:col min="11" max="11" width="15" hidden="0" customWidth="1"/>
    <x:col min="12" max="12" width="16.25" hidden="0" customWidth="1"/>
    <x:col min="13" max="13" width="28.75" hidden="0" customWidth="1"/>
    <x:col min="14" max="14" width="22.5" hidden="0" customWidth="1"/>
    <x:col min="15" max="15" width="32.5" hidden="0" customWidth="1"/>
    <x:col min="16" max="16" width="23.75" hidden="0" customWidth="1"/>
    <x:col min="17" max="17" width="15.630000114440918" hidden="0" customWidth="1"/>
  </x:cols>
  <x:sheetData>
    <x:row r="1" ht="25.5" customHeight="1">
      <x:c r="A1" s="48" t="str">
        <x:v>Evaluation risques et vulnerabilites climatiques</x:v>
      </x:c>
      <x:c r="B1" s="48"/>
      <x:c r="C1" s="48"/>
      <x:c r="D1" s="48"/>
      <x:c r="E1" s="48"/>
      <x:c r="F1" s="48"/>
      <x:c r="G1" s="48"/>
      <x:c r="H1" s="48"/>
      <x:c r="I1" s="48"/>
      <x:c r="J1" s="48"/>
      <x:c r="K1" s="48"/>
    </x:row>
    <x:row r="2" ht="31.5" customHeight="1">
      <x:c r="A2" s="51" t="str">
        <x:v>Analyse alea-exposition-vulnerabilite par quartier, horizon et groupe sensible.</x:v>
      </x:c>
      <x:c r="B2" s="51"/>
      <x:c r="C2" s="51"/>
      <x:c r="D2" s="51"/>
      <x:c r="E2" s="51"/>
      <x:c r="F2" s="51"/>
      <x:c r="G2" s="51"/>
      <x:c r="H2" s="51"/>
      <x:c r="I2" s="51"/>
      <x:c r="J2" s="51"/>
      <x:c r="K2" s="51"/>
    </x:row>
    <x:row r="4">
      <x:c r="A4" s="54" t="str">
        <x:v>Risk_ID</x:v>
      </x:c>
      <x:c r="B4" s="54" t="str">
        <x:v>Alea</x:v>
      </x:c>
      <x:c r="C4" s="54" t="str">
        <x:v>Quartier_zone</x:v>
      </x:c>
      <x:c r="D4" s="54" t="str">
        <x:v>Horizon</x:v>
      </x:c>
      <x:c r="E4" s="54" t="str">
        <x:v>Scenario_climatique</x:v>
      </x:c>
      <x:c r="F4" s="54" t="str">
        <x:v>Probabilite_1_5</x:v>
      </x:c>
      <x:c r="G4" s="54" t="str">
        <x:v>Impact_1_5</x:v>
      </x:c>
      <x:c r="H4" s="54" t="str">
        <x:v>Exposition_1_5</x:v>
      </x:c>
      <x:c r="I4" s="54" t="str">
        <x:v>Vulnerabilite_1_5</x:v>
      </x:c>
      <x:c r="J4" s="54" t="str">
        <x:v>Score_risque</x:v>
      </x:c>
      <x:c r="K4" s="54" t="str">
        <x:v>Niveau_risque</x:v>
      </x:c>
      <x:c r="L4" s="54" t="str">
        <x:v>Population_exposee</x:v>
      </x:c>
      <x:c r="M4" s="54" t="str">
        <x:v>Groupes_vulnerables</x:v>
      </x:c>
      <x:c r="N4" s="54" t="str">
        <x:v>Secteurs_affectes</x:v>
      </x:c>
      <x:c r="O4" s="54" t="str">
        <x:v>Mesures_adaptation</x:v>
      </x:c>
      <x:c r="P4" s="54" t="str">
        <x:v>Source_preuve</x:v>
      </x:c>
      <x:c r="Q4" s="54" t="str">
        <x:v>Alerte</x:v>
      </x:c>
    </x:row>
    <x:row r="5">
      <x:c r="A5" s="56" t="str">
        <x:v>RVA-001</x:v>
      </x:c>
      <x:c r="B5" s="56" t="str">
        <x:v>Inondation pluviale</x:v>
      </x:c>
      <x:c r="C5" s="56" t="str">
        <x:v>Medina</x:v>
      </x:c>
      <x:c r="D5" s="56" t="str">
        <x:v>2030</x:v>
      </x:c>
      <x:c r="E5" s="56" t="str">
        <x:v>SSP2/RCP4.5 indicatif</x:v>
      </x:c>
      <x:c r="F5" s="56" t="n">
        <x:v>4</x:v>
      </x:c>
      <x:c r="G5" s="56" t="n">
        <x:v>4</x:v>
      </x:c>
      <x:c r="H5" s="56" t="n">
        <x:v>4</x:v>
      </x:c>
      <x:c r="I5" s="56" t="n">
        <x:v>4</x:v>
      </x:c>
      <x:c r="J5" s="56" t="n">
        <x:f>IF(A5="","",ROUND(AVERAGE(F5:I5)*MAX(F5:I5),1))</x:f>
        <x:v>16</x:v>
      </x:c>
      <x:c r="K5" s="56" t="str">
        <x:f>IF(A5="","",IF(J5&gt;=18,"Critique",IF(J5&gt;=12,"Eleve",IF(J5&gt;=7,"Modere","Faible"))))</x:f>
        <x:v>Eleve</x:v>
      </x:c>
      <x:c r="L5" s="58" t="n">
        <x:v>85000</x:v>
      </x:c>
      <x:c r="M5" s="56" t="str">
        <x:v>Menages faibles revenus; Jeunes</x:v>
      </x:c>
      <x:c r="N5" s="56" t="str">
        <x:v>Mobilite; Sante; Logement</x:v>
      </x:c>
      <x:c r="O5" s="56" t="str">
        <x:v>Drainage, alerte precoce, entretien caniveaux</x:v>
      </x:c>
      <x:c r="P5" s="56" t="str">
        <x:v>Etudes hydrologiques a compiler</x:v>
      </x:c>
      <x:c r="Q5" s="56" t="str">
        <x:f>IF(A5="","",IF(OR(P5="",L5=""),"A completer",IF(K5="Critique","Critique","OK")))</x:f>
        <x:v>OK</x:v>
      </x:c>
    </x:row>
    <x:row r="6">
      <x:c r="A6" s="56" t="str">
        <x:v>RVA-002</x:v>
      </x:c>
      <x:c r="B6" s="56" t="str">
        <x:v>Submersion marine</x:v>
      </x:c>
      <x:c r="C6" s="56" t="str">
        <x:v>Yoff</x:v>
      </x:c>
      <x:c r="D6" s="56" t="str">
        <x:v>2050</x:v>
      </x:c>
      <x:c r="E6" s="56" t="str">
        <x:v>SSP5/RCP8.5 stress-test</x:v>
      </x:c>
      <x:c r="F6" s="56" t="n">
        <x:v>3</x:v>
      </x:c>
      <x:c r="G6" s="56" t="n">
        <x:v>5</x:v>
      </x:c>
      <x:c r="H6" s="56" t="n">
        <x:v>4</x:v>
      </x:c>
      <x:c r="I6" s="56" t="n">
        <x:v>3</x:v>
      </x:c>
      <x:c r="J6" s="56" t="n">
        <x:f>IF(A6="","",ROUND(AVERAGE(F6:I6)*MAX(F6:I6),1))</x:f>
        <x:v>18.8</x:v>
      </x:c>
      <x:c r="K6" s="56" t="str">
        <x:f>IF(A6="","",IF(J6&gt;=18,"Critique",IF(J6&gt;=12,"Eleve",IF(J6&gt;=7,"Modere","Faible"))))</x:f>
        <x:v>Critique</x:v>
      </x:c>
      <x:c r="L6" s="58" t="n">
        <x:v>45000</x:v>
      </x:c>
      <x:c r="M6" s="56" t="str">
        <x:v>Pecheurs; Menages faibles revenus</x:v>
      </x:c>
      <x:c r="N6" s="56" t="str">
        <x:v>Littoral; Economie locale</x:v>
      </x:c>
      <x:c r="O6" s="56" t="str">
        <x:v>Protection douce, repli, restauration dunes</x:v>
      </x:c>
      <x:c r="P6" s="56" t="str">
        <x:v>Cartographie littorale</x:v>
      </x:c>
      <x:c r="Q6" s="56" t="str">
        <x:f>IF(A6="","",IF(OR(P6="",L6=""),"A completer",IF(K6="Critique","Critique","OK")))</x:f>
        <x:v>Critique</x:v>
      </x:c>
    </x:row>
    <x:row r="7">
      <x:c r="A7" s="56" t="str">
        <x:v>RVA-003</x:v>
      </x:c>
      <x:c r="B7" s="56" t="str">
        <x:v>Chaleur extreme</x:v>
      </x:c>
      <x:c r="C7" s="56" t="str">
        <x:v>Dakar - Ensemble ville</x:v>
      </x:c>
      <x:c r="D7" s="56" t="str">
        <x:v>2030</x:v>
      </x:c>
      <x:c r="E7" s="56" t="str">
        <x:v>SSP2/RCP4.5 indicatif</x:v>
      </x:c>
      <x:c r="F7" s="56" t="n">
        <x:v>4</x:v>
      </x:c>
      <x:c r="G7" s="56" t="n">
        <x:v>3</x:v>
      </x:c>
      <x:c r="H7" s="56" t="n">
        <x:v>5</x:v>
      </x:c>
      <x:c r="I7" s="56" t="n">
        <x:v>4</x:v>
      </x:c>
      <x:c r="J7" s="56" t="n">
        <x:f>IF(A7="","",ROUND(AVERAGE(F7:I7)*MAX(F7:I7),1))</x:f>
        <x:v>20</x:v>
      </x:c>
      <x:c r="K7" s="56" t="str">
        <x:f>IF(A7="","",IF(J7&gt;=18,"Critique",IF(J7&gt;=12,"Eleve",IF(J7&gt;=7,"Modere","Faible"))))</x:f>
        <x:v>Critique</x:v>
      </x:c>
      <x:c r="L7" s="58" t="n">
        <x:v>350000</x:v>
      </x:c>
      <x:c r="M7" s="56" t="str">
        <x:v>Personnes agees; Travailleurs informels</x:v>
      </x:c>
      <x:c r="N7" s="56" t="str">
        <x:v>Sante; Energie</x:v>
      </x:c>
      <x:c r="O7" s="56" t="str">
        <x:v>Canopée urbaine, ilots de fraicheur</x:v>
      </x:c>
      <x:c r="P7" s="56" t="str">
        <x:v>Donnees meteo nationales</x:v>
      </x:c>
      <x:c r="Q7" s="56" t="str">
        <x:f>IF(A7="","",IF(OR(P7="",L7=""),"A completer",IF(K7="Critique","Critique","OK")))</x:f>
        <x:v>Critique</x:v>
      </x:c>
    </x:row>
    <x:row r="8">
      <x:c r="A8" s="56"/>
      <x:c r="B8" s="56"/>
      <x:c r="C8" s="56"/>
      <x:c r="D8" s="56"/>
      <x:c r="E8" s="56"/>
      <x:c r="F8" s="56"/>
      <x:c r="G8" s="56"/>
      <x:c r="H8" s="56"/>
      <x:c r="I8" s="56"/>
      <x:c r="J8" s="56" t="str">
        <x:f>IF(A8="","",ROUND(AVERAGE(F8:I8)*MAX(F8:I8),1))</x:f>
      </x:c>
      <x:c r="K8" s="56" t="str">
        <x:f>IF(A8="","",IF(J8&gt;=18,"Critique",IF(J8&gt;=12,"Eleve",IF(J8&gt;=7,"Modere","Faible"))))</x:f>
      </x:c>
      <x:c r="L8" s="58"/>
      <x:c r="M8" s="56"/>
      <x:c r="N8" s="56"/>
      <x:c r="O8" s="56"/>
      <x:c r="P8" s="56"/>
      <x:c r="Q8" s="56" t="str">
        <x:f>IF(A8="","",IF(OR(P8="",L8=""),"A completer",IF(K8="Critique","Critique","OK")))</x:f>
      </x:c>
    </x:row>
    <x:row r="9">
      <x:c r="A9" s="56"/>
      <x:c r="B9" s="56"/>
      <x:c r="C9" s="56"/>
      <x:c r="D9" s="56"/>
      <x:c r="E9" s="56"/>
      <x:c r="F9" s="56"/>
      <x:c r="G9" s="56"/>
      <x:c r="H9" s="56"/>
      <x:c r="I9" s="56"/>
      <x:c r="J9" s="56" t="str">
        <x:f>IF(A9="","",ROUND(AVERAGE(F9:I9)*MAX(F9:I9),1))</x:f>
      </x:c>
      <x:c r="K9" s="56" t="str">
        <x:f>IF(A9="","",IF(J9&gt;=18,"Critique",IF(J9&gt;=12,"Eleve",IF(J9&gt;=7,"Modere","Faible"))))</x:f>
      </x:c>
      <x:c r="L9" s="58"/>
      <x:c r="M9" s="56"/>
      <x:c r="N9" s="56"/>
      <x:c r="O9" s="56"/>
      <x:c r="P9" s="56"/>
      <x:c r="Q9" s="56" t="str">
        <x:f>IF(A9="","",IF(OR(P9="",L9=""),"A completer",IF(K9="Critique","Critique","OK")))</x:f>
      </x:c>
    </x:row>
    <x:row r="10">
      <x:c r="A10" s="56"/>
      <x:c r="B10" s="56"/>
      <x:c r="C10" s="56"/>
      <x:c r="D10" s="56"/>
      <x:c r="E10" s="56"/>
      <x:c r="F10" s="56"/>
      <x:c r="G10" s="56"/>
      <x:c r="H10" s="56"/>
      <x:c r="I10" s="56"/>
      <x:c r="J10" s="56" t="str">
        <x:f>IF(A10="","",ROUND(AVERAGE(F10:I10)*MAX(F10:I10),1))</x:f>
      </x:c>
      <x:c r="K10" s="56" t="str">
        <x:f>IF(A10="","",IF(J10&gt;=18,"Critique",IF(J10&gt;=12,"Eleve",IF(J10&gt;=7,"Modere","Faible"))))</x:f>
      </x:c>
      <x:c r="L10" s="58"/>
      <x:c r="M10" s="56"/>
      <x:c r="N10" s="56"/>
      <x:c r="O10" s="56"/>
      <x:c r="P10" s="56"/>
      <x:c r="Q10" s="56" t="str">
        <x:f>IF(A10="","",IF(OR(P10="",L10=""),"A completer",IF(K10="Critique","Critique","OK")))</x:f>
      </x:c>
    </x:row>
    <x:row r="11">
      <x:c r="A11" s="56"/>
      <x:c r="B11" s="56"/>
      <x:c r="C11" s="56"/>
      <x:c r="D11" s="56"/>
      <x:c r="E11" s="56"/>
      <x:c r="F11" s="56"/>
      <x:c r="G11" s="56"/>
      <x:c r="H11" s="56"/>
      <x:c r="I11" s="56"/>
      <x:c r="J11" s="56" t="str">
        <x:f>IF(A11="","",ROUND(AVERAGE(F11:I11)*MAX(F11:I11),1))</x:f>
      </x:c>
      <x:c r="K11" s="56" t="str">
        <x:f>IF(A11="","",IF(J11&gt;=18,"Critique",IF(J11&gt;=12,"Eleve",IF(J11&gt;=7,"Modere","Faible"))))</x:f>
      </x:c>
      <x:c r="L11" s="58"/>
      <x:c r="M11" s="56"/>
      <x:c r="N11" s="56"/>
      <x:c r="O11" s="56"/>
      <x:c r="P11" s="56"/>
      <x:c r="Q11" s="56" t="str">
        <x:f>IF(A11="","",IF(OR(P11="",L11=""),"A completer",IF(K11="Critique","Critique","OK")))</x:f>
      </x:c>
    </x:row>
    <x:row r="12">
      <x:c r="A12" s="56"/>
      <x:c r="B12" s="56"/>
      <x:c r="C12" s="56"/>
      <x:c r="D12" s="56"/>
      <x:c r="E12" s="56"/>
      <x:c r="F12" s="56"/>
      <x:c r="G12" s="56"/>
      <x:c r="H12" s="56"/>
      <x:c r="I12" s="56"/>
      <x:c r="J12" s="56" t="str">
        <x:f>IF(A12="","",ROUND(AVERAGE(F12:I12)*MAX(F12:I12),1))</x:f>
      </x:c>
      <x:c r="K12" s="56" t="str">
        <x:f>IF(A12="","",IF(J12&gt;=18,"Critique",IF(J12&gt;=12,"Eleve",IF(J12&gt;=7,"Modere","Faible"))))</x:f>
      </x:c>
      <x:c r="L12" s="58"/>
      <x:c r="M12" s="56"/>
      <x:c r="N12" s="56"/>
      <x:c r="O12" s="56"/>
      <x:c r="P12" s="56"/>
      <x:c r="Q12" s="56" t="str">
        <x:f>IF(A12="","",IF(OR(P12="",L12=""),"A completer",IF(K12="Critique","Critique","OK")))</x:f>
      </x:c>
    </x:row>
    <x:row r="13">
      <x:c r="A13" s="56"/>
      <x:c r="B13" s="56"/>
      <x:c r="C13" s="56"/>
      <x:c r="D13" s="56"/>
      <x:c r="E13" s="56"/>
      <x:c r="F13" s="56"/>
      <x:c r="G13" s="56"/>
      <x:c r="H13" s="56"/>
      <x:c r="I13" s="56"/>
      <x:c r="J13" s="56" t="str">
        <x:f>IF(A13="","",ROUND(AVERAGE(F13:I13)*MAX(F13:I13),1))</x:f>
      </x:c>
      <x:c r="K13" s="56" t="str">
        <x:f>IF(A13="","",IF(J13&gt;=18,"Critique",IF(J13&gt;=12,"Eleve",IF(J13&gt;=7,"Modere","Faible"))))</x:f>
      </x:c>
      <x:c r="L13" s="58"/>
      <x:c r="M13" s="56"/>
      <x:c r="N13" s="56"/>
      <x:c r="O13" s="56"/>
      <x:c r="P13" s="56"/>
      <x:c r="Q13" s="56" t="str">
        <x:f>IF(A13="","",IF(OR(P13="",L13=""),"A completer",IF(K13="Critique","Critique","OK")))</x:f>
      </x:c>
    </x:row>
    <x:row r="14">
      <x:c r="A14" s="56"/>
      <x:c r="B14" s="56"/>
      <x:c r="C14" s="56"/>
      <x:c r="D14" s="56"/>
      <x:c r="E14" s="56"/>
      <x:c r="F14" s="56"/>
      <x:c r="G14" s="56"/>
      <x:c r="H14" s="56"/>
      <x:c r="I14" s="56"/>
      <x:c r="J14" s="56" t="str">
        <x:f>IF(A14="","",ROUND(AVERAGE(F14:I14)*MAX(F14:I14),1))</x:f>
      </x:c>
      <x:c r="K14" s="56" t="str">
        <x:f>IF(A14="","",IF(J14&gt;=18,"Critique",IF(J14&gt;=12,"Eleve",IF(J14&gt;=7,"Modere","Faible"))))</x:f>
      </x:c>
      <x:c r="L14" s="58"/>
      <x:c r="M14" s="56"/>
      <x:c r="N14" s="56"/>
      <x:c r="O14" s="56"/>
      <x:c r="P14" s="56"/>
      <x:c r="Q14" s="56" t="str">
        <x:f>IF(A14="","",IF(OR(P14="",L14=""),"A completer",IF(K14="Critique","Critique","OK")))</x:f>
      </x:c>
    </x:row>
    <x:row r="15">
      <x:c r="A15" s="56"/>
      <x:c r="B15" s="56"/>
      <x:c r="C15" s="56"/>
      <x:c r="D15" s="56"/>
      <x:c r="E15" s="56"/>
      <x:c r="F15" s="56"/>
      <x:c r="G15" s="56"/>
      <x:c r="H15" s="56"/>
      <x:c r="I15" s="56"/>
      <x:c r="J15" s="56" t="str">
        <x:f>IF(A15="","",ROUND(AVERAGE(F15:I15)*MAX(F15:I15),1))</x:f>
      </x:c>
      <x:c r="K15" s="56" t="str">
        <x:f>IF(A15="","",IF(J15&gt;=18,"Critique",IF(J15&gt;=12,"Eleve",IF(J15&gt;=7,"Modere","Faible"))))</x:f>
      </x:c>
      <x:c r="L15" s="58"/>
      <x:c r="M15" s="56"/>
      <x:c r="N15" s="56"/>
      <x:c r="O15" s="56"/>
      <x:c r="P15" s="56"/>
      <x:c r="Q15" s="56" t="str">
        <x:f>IF(A15="","",IF(OR(P15="",L15=""),"A completer",IF(K15="Critique","Critique","OK")))</x:f>
      </x:c>
    </x:row>
    <x:row r="16">
      <x:c r="A16" s="56"/>
      <x:c r="B16" s="56"/>
      <x:c r="C16" s="56"/>
      <x:c r="D16" s="56"/>
      <x:c r="E16" s="56"/>
      <x:c r="F16" s="56"/>
      <x:c r="G16" s="56"/>
      <x:c r="H16" s="56"/>
      <x:c r="I16" s="56"/>
      <x:c r="J16" s="56" t="str">
        <x:f>IF(A16="","",ROUND(AVERAGE(F16:I16)*MAX(F16:I16),1))</x:f>
      </x:c>
      <x:c r="K16" s="56" t="str">
        <x:f>IF(A16="","",IF(J16&gt;=18,"Critique",IF(J16&gt;=12,"Eleve",IF(J16&gt;=7,"Modere","Faible"))))</x:f>
      </x:c>
      <x:c r="L16" s="58"/>
      <x:c r="M16" s="56"/>
      <x:c r="N16" s="56"/>
      <x:c r="O16" s="56"/>
      <x:c r="P16" s="56"/>
      <x:c r="Q16" s="56" t="str">
        <x:f>IF(A16="","",IF(OR(P16="",L16=""),"A completer",IF(K16="Critique","Critique","OK")))</x:f>
      </x:c>
    </x:row>
    <x:row r="17">
      <x:c r="A17" s="56"/>
      <x:c r="B17" s="56"/>
      <x:c r="C17" s="56"/>
      <x:c r="D17" s="56"/>
      <x:c r="E17" s="56"/>
      <x:c r="F17" s="56"/>
      <x:c r="G17" s="56"/>
      <x:c r="H17" s="56"/>
      <x:c r="I17" s="56"/>
      <x:c r="J17" s="56" t="str">
        <x:f>IF(A17="","",ROUND(AVERAGE(F17:I17)*MAX(F17:I17),1))</x:f>
      </x:c>
      <x:c r="K17" s="56" t="str">
        <x:f>IF(A17="","",IF(J17&gt;=18,"Critique",IF(J17&gt;=12,"Eleve",IF(J17&gt;=7,"Modere","Faible"))))</x:f>
      </x:c>
      <x:c r="L17" s="58"/>
      <x:c r="M17" s="56"/>
      <x:c r="N17" s="56"/>
      <x:c r="O17" s="56"/>
      <x:c r="P17" s="56"/>
      <x:c r="Q17" s="56" t="str">
        <x:f>IF(A17="","",IF(OR(P17="",L17=""),"A completer",IF(K17="Critique","Critique","OK")))</x:f>
      </x:c>
    </x:row>
    <x:row r="18">
      <x:c r="A18" s="56"/>
      <x:c r="B18" s="56"/>
      <x:c r="C18" s="56"/>
      <x:c r="D18" s="56"/>
      <x:c r="E18" s="56"/>
      <x:c r="F18" s="56"/>
      <x:c r="G18" s="56"/>
      <x:c r="H18" s="56"/>
      <x:c r="I18" s="56"/>
      <x:c r="J18" s="56" t="str">
        <x:f>IF(A18="","",ROUND(AVERAGE(F18:I18)*MAX(F18:I18),1))</x:f>
      </x:c>
      <x:c r="K18" s="56" t="str">
        <x:f>IF(A18="","",IF(J18&gt;=18,"Critique",IF(J18&gt;=12,"Eleve",IF(J18&gt;=7,"Modere","Faible"))))</x:f>
      </x:c>
      <x:c r="L18" s="58"/>
      <x:c r="M18" s="56"/>
      <x:c r="N18" s="56"/>
      <x:c r="O18" s="56"/>
      <x:c r="P18" s="56"/>
      <x:c r="Q18" s="56" t="str">
        <x:f>IF(A18="","",IF(OR(P18="",L18=""),"A completer",IF(K18="Critique","Critique","OK")))</x:f>
      </x:c>
    </x:row>
    <x:row r="19">
      <x:c r="A19" s="56"/>
      <x:c r="B19" s="56"/>
      <x:c r="C19" s="56"/>
      <x:c r="D19" s="56"/>
      <x:c r="E19" s="56"/>
      <x:c r="F19" s="56"/>
      <x:c r="G19" s="56"/>
      <x:c r="H19" s="56"/>
      <x:c r="I19" s="56"/>
      <x:c r="J19" s="56" t="str">
        <x:f>IF(A19="","",ROUND(AVERAGE(F19:I19)*MAX(F19:I19),1))</x:f>
      </x:c>
      <x:c r="K19" s="56" t="str">
        <x:f>IF(A19="","",IF(J19&gt;=18,"Critique",IF(J19&gt;=12,"Eleve",IF(J19&gt;=7,"Modere","Faible"))))</x:f>
      </x:c>
      <x:c r="L19" s="58"/>
      <x:c r="M19" s="56"/>
      <x:c r="N19" s="56"/>
      <x:c r="O19" s="56"/>
      <x:c r="P19" s="56"/>
      <x:c r="Q19" s="56" t="str">
        <x:f>IF(A19="","",IF(OR(P19="",L19=""),"A completer",IF(K19="Critique","Critique","OK")))</x:f>
      </x:c>
    </x:row>
    <x:row r="20">
      <x:c r="A20" s="56"/>
      <x:c r="B20" s="56"/>
      <x:c r="C20" s="56"/>
      <x:c r="D20" s="56"/>
      <x:c r="E20" s="56"/>
      <x:c r="F20" s="56"/>
      <x:c r="G20" s="56"/>
      <x:c r="H20" s="56"/>
      <x:c r="I20" s="56"/>
      <x:c r="J20" s="56" t="str">
        <x:f>IF(A20="","",ROUND(AVERAGE(F20:I20)*MAX(F20:I20),1))</x:f>
      </x:c>
      <x:c r="K20" s="56" t="str">
        <x:f>IF(A20="","",IF(J20&gt;=18,"Critique",IF(J20&gt;=12,"Eleve",IF(J20&gt;=7,"Modere","Faible"))))</x:f>
      </x:c>
      <x:c r="L20" s="58"/>
      <x:c r="M20" s="56"/>
      <x:c r="N20" s="56"/>
      <x:c r="O20" s="56"/>
      <x:c r="P20" s="56"/>
      <x:c r="Q20" s="56" t="str">
        <x:f>IF(A20="","",IF(OR(P20="",L20=""),"A completer",IF(K20="Critique","Critique","OK")))</x:f>
      </x:c>
    </x:row>
    <x:row r="21">
      <x:c r="A21" s="56"/>
      <x:c r="B21" s="56"/>
      <x:c r="C21" s="56"/>
      <x:c r="D21" s="56"/>
      <x:c r="E21" s="56"/>
      <x:c r="F21" s="56"/>
      <x:c r="G21" s="56"/>
      <x:c r="H21" s="56"/>
      <x:c r="I21" s="56"/>
      <x:c r="J21" s="56" t="str">
        <x:f>IF(A21="","",ROUND(AVERAGE(F21:I21)*MAX(F21:I21),1))</x:f>
      </x:c>
      <x:c r="K21" s="56" t="str">
        <x:f>IF(A21="","",IF(J21&gt;=18,"Critique",IF(J21&gt;=12,"Eleve",IF(J21&gt;=7,"Modere","Faible"))))</x:f>
      </x:c>
      <x:c r="L21" s="58"/>
      <x:c r="M21" s="56"/>
      <x:c r="N21" s="56"/>
      <x:c r="O21" s="56"/>
      <x:c r="P21" s="56"/>
      <x:c r="Q21" s="56" t="str">
        <x:f>IF(A21="","",IF(OR(P21="",L21=""),"A completer",IF(K21="Critique","Critique","OK")))</x:f>
      </x:c>
    </x:row>
    <x:row r="22">
      <x:c r="A22" s="56"/>
      <x:c r="B22" s="56"/>
      <x:c r="C22" s="56"/>
      <x:c r="D22" s="56"/>
      <x:c r="E22" s="56"/>
      <x:c r="F22" s="56"/>
      <x:c r="G22" s="56"/>
      <x:c r="H22" s="56"/>
      <x:c r="I22" s="56"/>
      <x:c r="J22" s="56" t="str">
        <x:f>IF(A22="","",ROUND(AVERAGE(F22:I22)*MAX(F22:I22),1))</x:f>
      </x:c>
      <x:c r="K22" s="56" t="str">
        <x:f>IF(A22="","",IF(J22&gt;=18,"Critique",IF(J22&gt;=12,"Eleve",IF(J22&gt;=7,"Modere","Faible"))))</x:f>
      </x:c>
      <x:c r="L22" s="58"/>
      <x:c r="M22" s="56"/>
      <x:c r="N22" s="56"/>
      <x:c r="O22" s="56"/>
      <x:c r="P22" s="56"/>
      <x:c r="Q22" s="56" t="str">
        <x:f>IF(A22="","",IF(OR(P22="",L22=""),"A completer",IF(K22="Critique","Critique","OK")))</x:f>
      </x:c>
    </x:row>
    <x:row r="23">
      <x:c r="A23" s="56"/>
      <x:c r="B23" s="56"/>
      <x:c r="C23" s="56"/>
      <x:c r="D23" s="56"/>
      <x:c r="E23" s="56"/>
      <x:c r="F23" s="56"/>
      <x:c r="G23" s="56"/>
      <x:c r="H23" s="56"/>
      <x:c r="I23" s="56"/>
      <x:c r="J23" s="56" t="str">
        <x:f>IF(A23="","",ROUND(AVERAGE(F23:I23)*MAX(F23:I23),1))</x:f>
      </x:c>
      <x:c r="K23" s="56" t="str">
        <x:f>IF(A23="","",IF(J23&gt;=18,"Critique",IF(J23&gt;=12,"Eleve",IF(J23&gt;=7,"Modere","Faible"))))</x:f>
      </x:c>
      <x:c r="L23" s="58"/>
      <x:c r="M23" s="56"/>
      <x:c r="N23" s="56"/>
      <x:c r="O23" s="56"/>
      <x:c r="P23" s="56"/>
      <x:c r="Q23" s="56" t="str">
        <x:f>IF(A23="","",IF(OR(P23="",L23=""),"A completer",IF(K23="Critique","Critique","OK")))</x:f>
      </x:c>
    </x:row>
    <x:row r="24">
      <x:c r="A24" s="56"/>
      <x:c r="B24" s="56"/>
      <x:c r="C24" s="56"/>
      <x:c r="D24" s="56"/>
      <x:c r="E24" s="56"/>
      <x:c r="F24" s="56"/>
      <x:c r="G24" s="56"/>
      <x:c r="H24" s="56"/>
      <x:c r="I24" s="56"/>
      <x:c r="J24" s="56" t="str">
        <x:f>IF(A24="","",ROUND(AVERAGE(F24:I24)*MAX(F24:I24),1))</x:f>
      </x:c>
      <x:c r="K24" s="56" t="str">
        <x:f>IF(A24="","",IF(J24&gt;=18,"Critique",IF(J24&gt;=12,"Eleve",IF(J24&gt;=7,"Modere","Faible"))))</x:f>
      </x:c>
      <x:c r="L24" s="58"/>
      <x:c r="M24" s="56"/>
      <x:c r="N24" s="56"/>
      <x:c r="O24" s="56"/>
      <x:c r="P24" s="56"/>
      <x:c r="Q24" s="56" t="str">
        <x:f>IF(A24="","",IF(OR(P24="",L24=""),"A completer",IF(K24="Critique","Critique","OK")))</x:f>
      </x:c>
    </x:row>
    <x:row r="25">
      <x:c r="A25" s="56"/>
      <x:c r="B25" s="56"/>
      <x:c r="C25" s="56"/>
      <x:c r="D25" s="56"/>
      <x:c r="E25" s="56"/>
      <x:c r="F25" s="56"/>
      <x:c r="G25" s="56"/>
      <x:c r="H25" s="56"/>
      <x:c r="I25" s="56"/>
      <x:c r="J25" s="56" t="str">
        <x:f>IF(A25="","",ROUND(AVERAGE(F25:I25)*MAX(F25:I25),1))</x:f>
      </x:c>
      <x:c r="K25" s="56" t="str">
        <x:f>IF(A25="","",IF(J25&gt;=18,"Critique",IF(J25&gt;=12,"Eleve",IF(J25&gt;=7,"Modere","Faible"))))</x:f>
      </x:c>
      <x:c r="L25" s="58"/>
      <x:c r="M25" s="56"/>
      <x:c r="N25" s="56"/>
      <x:c r="O25" s="56"/>
      <x:c r="P25" s="56"/>
      <x:c r="Q25" s="56" t="str">
        <x:f>IF(A25="","",IF(OR(P25="",L25=""),"A completer",IF(K25="Critique","Critique","OK")))</x:f>
      </x:c>
    </x:row>
    <x:row r="26">
      <x:c r="A26" s="56"/>
      <x:c r="B26" s="56"/>
      <x:c r="C26" s="56"/>
      <x:c r="D26" s="56"/>
      <x:c r="E26" s="56"/>
      <x:c r="F26" s="56"/>
      <x:c r="G26" s="56"/>
      <x:c r="H26" s="56"/>
      <x:c r="I26" s="56"/>
      <x:c r="J26" s="56" t="str">
        <x:f>IF(A26="","",ROUND(AVERAGE(F26:I26)*MAX(F26:I26),1))</x:f>
      </x:c>
      <x:c r="K26" s="56" t="str">
        <x:f>IF(A26="","",IF(J26&gt;=18,"Critique",IF(J26&gt;=12,"Eleve",IF(J26&gt;=7,"Modere","Faible"))))</x:f>
      </x:c>
      <x:c r="L26" s="58"/>
      <x:c r="M26" s="56"/>
      <x:c r="N26" s="56"/>
      <x:c r="O26" s="56"/>
      <x:c r="P26" s="56"/>
      <x:c r="Q26" s="56" t="str">
        <x:f>IF(A26="","",IF(OR(P26="",L26=""),"A completer",IF(K26="Critique","Critique","OK")))</x:f>
      </x:c>
    </x:row>
    <x:row r="27">
      <x:c r="A27" s="56"/>
      <x:c r="B27" s="56"/>
      <x:c r="C27" s="56"/>
      <x:c r="D27" s="56"/>
      <x:c r="E27" s="56"/>
      <x:c r="F27" s="56"/>
      <x:c r="G27" s="56"/>
      <x:c r="H27" s="56"/>
      <x:c r="I27" s="56"/>
      <x:c r="J27" s="56" t="str">
        <x:f>IF(A27="","",ROUND(AVERAGE(F27:I27)*MAX(F27:I27),1))</x:f>
      </x:c>
      <x:c r="K27" s="56" t="str">
        <x:f>IF(A27="","",IF(J27&gt;=18,"Critique",IF(J27&gt;=12,"Eleve",IF(J27&gt;=7,"Modere","Faible"))))</x:f>
      </x:c>
      <x:c r="L27" s="58"/>
      <x:c r="M27" s="56"/>
      <x:c r="N27" s="56"/>
      <x:c r="O27" s="56"/>
      <x:c r="P27" s="56"/>
      <x:c r="Q27" s="56" t="str">
        <x:f>IF(A27="","",IF(OR(P27="",L27=""),"A completer",IF(K27="Critique","Critique","OK")))</x:f>
      </x:c>
    </x:row>
    <x:row r="28">
      <x:c r="A28" s="56"/>
      <x:c r="B28" s="56"/>
      <x:c r="C28" s="56"/>
      <x:c r="D28" s="56"/>
      <x:c r="E28" s="56"/>
      <x:c r="F28" s="56"/>
      <x:c r="G28" s="56"/>
      <x:c r="H28" s="56"/>
      <x:c r="I28" s="56"/>
      <x:c r="J28" s="56" t="str">
        <x:f>IF(A28="","",ROUND(AVERAGE(F28:I28)*MAX(F28:I28),1))</x:f>
      </x:c>
      <x:c r="K28" s="56" t="str">
        <x:f>IF(A28="","",IF(J28&gt;=18,"Critique",IF(J28&gt;=12,"Eleve",IF(J28&gt;=7,"Modere","Faible"))))</x:f>
      </x:c>
      <x:c r="L28" s="58"/>
      <x:c r="M28" s="56"/>
      <x:c r="N28" s="56"/>
      <x:c r="O28" s="56"/>
      <x:c r="P28" s="56"/>
      <x:c r="Q28" s="56" t="str">
        <x:f>IF(A28="","",IF(OR(P28="",L28=""),"A completer",IF(K28="Critique","Critique","OK")))</x:f>
      </x:c>
    </x:row>
    <x:row r="29">
      <x:c r="A29" s="56"/>
      <x:c r="B29" s="56"/>
      <x:c r="C29" s="56"/>
      <x:c r="D29" s="56"/>
      <x:c r="E29" s="56"/>
      <x:c r="F29" s="56"/>
      <x:c r="G29" s="56"/>
      <x:c r="H29" s="56"/>
      <x:c r="I29" s="56"/>
      <x:c r="J29" s="56" t="str">
        <x:f>IF(A29="","",ROUND(AVERAGE(F29:I29)*MAX(F29:I29),1))</x:f>
      </x:c>
      <x:c r="K29" s="56" t="str">
        <x:f>IF(A29="","",IF(J29&gt;=18,"Critique",IF(J29&gt;=12,"Eleve",IF(J29&gt;=7,"Modere","Faible"))))</x:f>
      </x:c>
      <x:c r="L29" s="58"/>
      <x:c r="M29" s="56"/>
      <x:c r="N29" s="56"/>
      <x:c r="O29" s="56"/>
      <x:c r="P29" s="56"/>
      <x:c r="Q29" s="56" t="str">
        <x:f>IF(A29="","",IF(OR(P29="",L29=""),"A completer",IF(K29="Critique","Critique","OK")))</x:f>
      </x:c>
    </x:row>
    <x:row r="30">
      <x:c r="A30" s="56"/>
      <x:c r="B30" s="56"/>
      <x:c r="C30" s="56"/>
      <x:c r="D30" s="56"/>
      <x:c r="E30" s="56"/>
      <x:c r="F30" s="56"/>
      <x:c r="G30" s="56"/>
      <x:c r="H30" s="56"/>
      <x:c r="I30" s="56"/>
      <x:c r="J30" s="56" t="str">
        <x:f>IF(A30="","",ROUND(AVERAGE(F30:I30)*MAX(F30:I30),1))</x:f>
      </x:c>
      <x:c r="K30" s="56" t="str">
        <x:f>IF(A30="","",IF(J30&gt;=18,"Critique",IF(J30&gt;=12,"Eleve",IF(J30&gt;=7,"Modere","Faible"))))</x:f>
      </x:c>
      <x:c r="L30" s="58"/>
      <x:c r="M30" s="56"/>
      <x:c r="N30" s="56"/>
      <x:c r="O30" s="56"/>
      <x:c r="P30" s="56"/>
      <x:c r="Q30" s="56" t="str">
        <x:f>IF(A30="","",IF(OR(P30="",L30=""),"A completer",IF(K30="Critique","Critique","OK")))</x:f>
      </x:c>
    </x:row>
    <x:row r="31">
      <x:c r="A31" s="56"/>
      <x:c r="B31" s="56"/>
      <x:c r="C31" s="56"/>
      <x:c r="D31" s="56"/>
      <x:c r="E31" s="56"/>
      <x:c r="F31" s="56"/>
      <x:c r="G31" s="56"/>
      <x:c r="H31" s="56"/>
      <x:c r="I31" s="56"/>
      <x:c r="J31" s="56" t="str">
        <x:f>IF(A31="","",ROUND(AVERAGE(F31:I31)*MAX(F31:I31),1))</x:f>
      </x:c>
      <x:c r="K31" s="56" t="str">
        <x:f>IF(A31="","",IF(J31&gt;=18,"Critique",IF(J31&gt;=12,"Eleve",IF(J31&gt;=7,"Modere","Faible"))))</x:f>
      </x:c>
      <x:c r="L31" s="58"/>
      <x:c r="M31" s="56"/>
      <x:c r="N31" s="56"/>
      <x:c r="O31" s="56"/>
      <x:c r="P31" s="56"/>
      <x:c r="Q31" s="56" t="str">
        <x:f>IF(A31="","",IF(OR(P31="",L31=""),"A completer",IF(K31="Critique","Critique","OK")))</x:f>
      </x:c>
    </x:row>
    <x:row r="32">
      <x:c r="A32" s="56"/>
      <x:c r="B32" s="56"/>
      <x:c r="C32" s="56"/>
      <x:c r="D32" s="56"/>
      <x:c r="E32" s="56"/>
      <x:c r="F32" s="56"/>
      <x:c r="G32" s="56"/>
      <x:c r="H32" s="56"/>
      <x:c r="I32" s="56"/>
      <x:c r="J32" s="56" t="str">
        <x:f>IF(A32="","",ROUND(AVERAGE(F32:I32)*MAX(F32:I32),1))</x:f>
      </x:c>
      <x:c r="K32" s="56" t="str">
        <x:f>IF(A32="","",IF(J32&gt;=18,"Critique",IF(J32&gt;=12,"Eleve",IF(J32&gt;=7,"Modere","Faible"))))</x:f>
      </x:c>
      <x:c r="L32" s="58"/>
      <x:c r="M32" s="56"/>
      <x:c r="N32" s="56"/>
      <x:c r="O32" s="56"/>
      <x:c r="P32" s="56"/>
      <x:c r="Q32" s="56" t="str">
        <x:f>IF(A32="","",IF(OR(P32="",L32=""),"A completer",IF(K32="Critique","Critique","OK")))</x:f>
      </x:c>
    </x:row>
    <x:row r="33">
      <x:c r="A33" s="56"/>
      <x:c r="B33" s="56"/>
      <x:c r="C33" s="56"/>
      <x:c r="D33" s="56"/>
      <x:c r="E33" s="56"/>
      <x:c r="F33" s="56"/>
      <x:c r="G33" s="56"/>
      <x:c r="H33" s="56"/>
      <x:c r="I33" s="56"/>
      <x:c r="J33" s="56" t="str">
        <x:f>IF(A33="","",ROUND(AVERAGE(F33:I33)*MAX(F33:I33),1))</x:f>
      </x:c>
      <x:c r="K33" s="56" t="str">
        <x:f>IF(A33="","",IF(J33&gt;=18,"Critique",IF(J33&gt;=12,"Eleve",IF(J33&gt;=7,"Modere","Faible"))))</x:f>
      </x:c>
      <x:c r="L33" s="58"/>
      <x:c r="M33" s="56"/>
      <x:c r="N33" s="56"/>
      <x:c r="O33" s="56"/>
      <x:c r="P33" s="56"/>
      <x:c r="Q33" s="56" t="str">
        <x:f>IF(A33="","",IF(OR(P33="",L33=""),"A completer",IF(K33="Critique","Critique","OK")))</x:f>
      </x:c>
    </x:row>
    <x:row r="34">
      <x:c r="A34" s="56"/>
      <x:c r="B34" s="56"/>
      <x:c r="C34" s="56"/>
      <x:c r="D34" s="56"/>
      <x:c r="E34" s="56"/>
      <x:c r="F34" s="56"/>
      <x:c r="G34" s="56"/>
      <x:c r="H34" s="56"/>
      <x:c r="I34" s="56"/>
      <x:c r="J34" s="56" t="str">
        <x:f>IF(A34="","",ROUND(AVERAGE(F34:I34)*MAX(F34:I34),1))</x:f>
      </x:c>
      <x:c r="K34" s="56" t="str">
        <x:f>IF(A34="","",IF(J34&gt;=18,"Critique",IF(J34&gt;=12,"Eleve",IF(J34&gt;=7,"Modere","Faible"))))</x:f>
      </x:c>
      <x:c r="L34" s="58"/>
      <x:c r="M34" s="56"/>
      <x:c r="N34" s="56"/>
      <x:c r="O34" s="56"/>
      <x:c r="P34" s="56"/>
      <x:c r="Q34" s="56" t="str">
        <x:f>IF(A34="","",IF(OR(P34="",L34=""),"A completer",IF(K34="Critique","Critique","OK")))</x:f>
      </x:c>
    </x:row>
    <x:row r="35">
      <x:c r="A35" s="56"/>
      <x:c r="B35" s="56"/>
      <x:c r="C35" s="56"/>
      <x:c r="D35" s="56"/>
      <x:c r="E35" s="56"/>
      <x:c r="F35" s="56"/>
      <x:c r="G35" s="56"/>
      <x:c r="H35" s="56"/>
      <x:c r="I35" s="56"/>
      <x:c r="J35" s="56" t="str">
        <x:f>IF(A35="","",ROUND(AVERAGE(F35:I35)*MAX(F35:I35),1))</x:f>
      </x:c>
      <x:c r="K35" s="56" t="str">
        <x:f>IF(A35="","",IF(J35&gt;=18,"Critique",IF(J35&gt;=12,"Eleve",IF(J35&gt;=7,"Modere","Faible"))))</x:f>
      </x:c>
      <x:c r="L35" s="58"/>
      <x:c r="M35" s="56"/>
      <x:c r="N35" s="56"/>
      <x:c r="O35" s="56"/>
      <x:c r="P35" s="56"/>
      <x:c r="Q35" s="56" t="str">
        <x:f>IF(A35="","",IF(OR(P35="",L35=""),"A completer",IF(K35="Critique","Critique","OK")))</x:f>
      </x:c>
    </x:row>
    <x:row r="36">
      <x:c r="A36" s="56"/>
      <x:c r="B36" s="56"/>
      <x:c r="C36" s="56"/>
      <x:c r="D36" s="56"/>
      <x:c r="E36" s="56"/>
      <x:c r="F36" s="56"/>
      <x:c r="G36" s="56"/>
      <x:c r="H36" s="56"/>
      <x:c r="I36" s="56"/>
      <x:c r="J36" s="56" t="str">
        <x:f>IF(A36="","",ROUND(AVERAGE(F36:I36)*MAX(F36:I36),1))</x:f>
      </x:c>
      <x:c r="K36" s="56" t="str">
        <x:f>IF(A36="","",IF(J36&gt;=18,"Critique",IF(J36&gt;=12,"Eleve",IF(J36&gt;=7,"Modere","Faible"))))</x:f>
      </x:c>
      <x:c r="L36" s="58"/>
      <x:c r="M36" s="56"/>
      <x:c r="N36" s="56"/>
      <x:c r="O36" s="56"/>
      <x:c r="P36" s="56"/>
      <x:c r="Q36" s="56" t="str">
        <x:f>IF(A36="","",IF(OR(P36="",L36=""),"A completer",IF(K36="Critique","Critique","OK")))</x:f>
      </x:c>
    </x:row>
    <x:row r="37">
      <x:c r="A37" s="56"/>
      <x:c r="B37" s="56"/>
      <x:c r="C37" s="56"/>
      <x:c r="D37" s="56"/>
      <x:c r="E37" s="56"/>
      <x:c r="F37" s="56"/>
      <x:c r="G37" s="56"/>
      <x:c r="H37" s="56"/>
      <x:c r="I37" s="56"/>
      <x:c r="J37" s="56" t="str">
        <x:f>IF(A37="","",ROUND(AVERAGE(F37:I37)*MAX(F37:I37),1))</x:f>
      </x:c>
      <x:c r="K37" s="56" t="str">
        <x:f>IF(A37="","",IF(J37&gt;=18,"Critique",IF(J37&gt;=12,"Eleve",IF(J37&gt;=7,"Modere","Faible"))))</x:f>
      </x:c>
      <x:c r="L37" s="58"/>
      <x:c r="M37" s="56"/>
      <x:c r="N37" s="56"/>
      <x:c r="O37" s="56"/>
      <x:c r="P37" s="56"/>
      <x:c r="Q37" s="56" t="str">
        <x:f>IF(A37="","",IF(OR(P37="",L37=""),"A completer",IF(K37="Critique","Critique","OK")))</x:f>
      </x:c>
    </x:row>
    <x:row r="38">
      <x:c r="A38" s="56"/>
      <x:c r="B38" s="56"/>
      <x:c r="C38" s="56"/>
      <x:c r="D38" s="56"/>
      <x:c r="E38" s="56"/>
      <x:c r="F38" s="56"/>
      <x:c r="G38" s="56"/>
      <x:c r="H38" s="56"/>
      <x:c r="I38" s="56"/>
      <x:c r="J38" s="56" t="str">
        <x:f>IF(A38="","",ROUND(AVERAGE(F38:I38)*MAX(F38:I38),1))</x:f>
      </x:c>
      <x:c r="K38" s="56" t="str">
        <x:f>IF(A38="","",IF(J38&gt;=18,"Critique",IF(J38&gt;=12,"Eleve",IF(J38&gt;=7,"Modere","Faible"))))</x:f>
      </x:c>
      <x:c r="L38" s="58"/>
      <x:c r="M38" s="56"/>
      <x:c r="N38" s="56"/>
      <x:c r="O38" s="56"/>
      <x:c r="P38" s="56"/>
      <x:c r="Q38" s="56" t="str">
        <x:f>IF(A38="","",IF(OR(P38="",L38=""),"A completer",IF(K38="Critique","Critique","OK")))</x:f>
      </x:c>
    </x:row>
    <x:row r="39">
      <x:c r="A39" s="56"/>
      <x:c r="B39" s="56"/>
      <x:c r="C39" s="56"/>
      <x:c r="D39" s="56"/>
      <x:c r="E39" s="56"/>
      <x:c r="F39" s="56"/>
      <x:c r="G39" s="56"/>
      <x:c r="H39" s="56"/>
      <x:c r="I39" s="56"/>
      <x:c r="J39" s="56" t="str">
        <x:f>IF(A39="","",ROUND(AVERAGE(F39:I39)*MAX(F39:I39),1))</x:f>
      </x:c>
      <x:c r="K39" s="56" t="str">
        <x:f>IF(A39="","",IF(J39&gt;=18,"Critique",IF(J39&gt;=12,"Eleve",IF(J39&gt;=7,"Modere","Faible"))))</x:f>
      </x:c>
      <x:c r="L39" s="58"/>
      <x:c r="M39" s="56"/>
      <x:c r="N39" s="56"/>
      <x:c r="O39" s="56"/>
      <x:c r="P39" s="56"/>
      <x:c r="Q39" s="56" t="str">
        <x:f>IF(A39="","",IF(OR(P39="",L39=""),"A completer",IF(K39="Critique","Critique","OK")))</x:f>
      </x:c>
    </x:row>
    <x:row r="40">
      <x:c r="A40" s="56"/>
      <x:c r="B40" s="56"/>
      <x:c r="C40" s="56"/>
      <x:c r="D40" s="56"/>
      <x:c r="E40" s="56"/>
      <x:c r="F40" s="56"/>
      <x:c r="G40" s="56"/>
      <x:c r="H40" s="56"/>
      <x:c r="I40" s="56"/>
      <x:c r="J40" s="56" t="str">
        <x:f>IF(A40="","",ROUND(AVERAGE(F40:I40)*MAX(F40:I40),1))</x:f>
      </x:c>
      <x:c r="K40" s="56" t="str">
        <x:f>IF(A40="","",IF(J40&gt;=18,"Critique",IF(J40&gt;=12,"Eleve",IF(J40&gt;=7,"Modere","Faible"))))</x:f>
      </x:c>
      <x:c r="L40" s="58"/>
      <x:c r="M40" s="56"/>
      <x:c r="N40" s="56"/>
      <x:c r="O40" s="56"/>
      <x:c r="P40" s="56"/>
      <x:c r="Q40" s="56" t="str">
        <x:f>IF(A40="","",IF(OR(P40="",L40=""),"A completer",IF(K40="Critique","Critique","OK")))</x:f>
      </x:c>
    </x:row>
    <x:row r="41">
      <x:c r="A41" s="56"/>
      <x:c r="B41" s="56"/>
      <x:c r="C41" s="56"/>
      <x:c r="D41" s="56"/>
      <x:c r="E41" s="56"/>
      <x:c r="F41" s="56"/>
      <x:c r="G41" s="56"/>
      <x:c r="H41" s="56"/>
      <x:c r="I41" s="56"/>
      <x:c r="J41" s="56" t="str">
        <x:f>IF(A41="","",ROUND(AVERAGE(F41:I41)*MAX(F41:I41),1))</x:f>
      </x:c>
      <x:c r="K41" s="56" t="str">
        <x:f>IF(A41="","",IF(J41&gt;=18,"Critique",IF(J41&gt;=12,"Eleve",IF(J41&gt;=7,"Modere","Faible"))))</x:f>
      </x:c>
      <x:c r="L41" s="58"/>
      <x:c r="M41" s="56"/>
      <x:c r="N41" s="56"/>
      <x:c r="O41" s="56"/>
      <x:c r="P41" s="56"/>
      <x:c r="Q41" s="56" t="str">
        <x:f>IF(A41="","",IF(OR(P41="",L41=""),"A completer",IF(K41="Critique","Critique","OK")))</x:f>
      </x:c>
    </x:row>
    <x:row r="42">
      <x:c r="A42" s="56"/>
      <x:c r="B42" s="56"/>
      <x:c r="C42" s="56"/>
      <x:c r="D42" s="56"/>
      <x:c r="E42" s="56"/>
      <x:c r="F42" s="56"/>
      <x:c r="G42" s="56"/>
      <x:c r="H42" s="56"/>
      <x:c r="I42" s="56"/>
      <x:c r="J42" s="56" t="str">
        <x:f>IF(A42="","",ROUND(AVERAGE(F42:I42)*MAX(F42:I42),1))</x:f>
      </x:c>
      <x:c r="K42" s="56" t="str">
        <x:f>IF(A42="","",IF(J42&gt;=18,"Critique",IF(J42&gt;=12,"Eleve",IF(J42&gt;=7,"Modere","Faible"))))</x:f>
      </x:c>
      <x:c r="L42" s="58"/>
      <x:c r="M42" s="56"/>
      <x:c r="N42" s="56"/>
      <x:c r="O42" s="56"/>
      <x:c r="P42" s="56"/>
      <x:c r="Q42" s="56" t="str">
        <x:f>IF(A42="","",IF(OR(P42="",L42=""),"A completer",IF(K42="Critique","Critique","OK")))</x:f>
      </x:c>
    </x:row>
    <x:row r="43">
      <x:c r="A43" s="56"/>
      <x:c r="B43" s="56"/>
      <x:c r="C43" s="56"/>
      <x:c r="D43" s="56"/>
      <x:c r="E43" s="56"/>
      <x:c r="F43" s="56"/>
      <x:c r="G43" s="56"/>
      <x:c r="H43" s="56"/>
      <x:c r="I43" s="56"/>
      <x:c r="J43" s="56" t="str">
        <x:f>IF(A43="","",ROUND(AVERAGE(F43:I43)*MAX(F43:I43),1))</x:f>
      </x:c>
      <x:c r="K43" s="56" t="str">
        <x:f>IF(A43="","",IF(J43&gt;=18,"Critique",IF(J43&gt;=12,"Eleve",IF(J43&gt;=7,"Modere","Faible"))))</x:f>
      </x:c>
      <x:c r="L43" s="58"/>
      <x:c r="M43" s="56"/>
      <x:c r="N43" s="56"/>
      <x:c r="O43" s="56"/>
      <x:c r="P43" s="56"/>
      <x:c r="Q43" s="56" t="str">
        <x:f>IF(A43="","",IF(OR(P43="",L43=""),"A completer",IF(K43="Critique","Critique","OK")))</x:f>
      </x:c>
    </x:row>
    <x:row r="44">
      <x:c r="A44" s="56"/>
      <x:c r="B44" s="56"/>
      <x:c r="C44" s="56"/>
      <x:c r="D44" s="56"/>
      <x:c r="E44" s="56"/>
      <x:c r="F44" s="56"/>
      <x:c r="G44" s="56"/>
      <x:c r="H44" s="56"/>
      <x:c r="I44" s="56"/>
      <x:c r="J44" s="56" t="str">
        <x:f>IF(A44="","",ROUND(AVERAGE(F44:I44)*MAX(F44:I44),1))</x:f>
      </x:c>
      <x:c r="K44" s="56" t="str">
        <x:f>IF(A44="","",IF(J44&gt;=18,"Critique",IF(J44&gt;=12,"Eleve",IF(J44&gt;=7,"Modere","Faible"))))</x:f>
      </x:c>
      <x:c r="L44" s="58"/>
      <x:c r="M44" s="56"/>
      <x:c r="N44" s="56"/>
      <x:c r="O44" s="56"/>
      <x:c r="P44" s="56"/>
      <x:c r="Q44" s="56" t="str">
        <x:f>IF(A44="","",IF(OR(P44="",L44=""),"A completer",IF(K44="Critique","Critique","OK")))</x:f>
      </x:c>
    </x:row>
    <x:row r="45">
      <x:c r="A45" s="56"/>
      <x:c r="B45" s="56"/>
      <x:c r="C45" s="56"/>
      <x:c r="D45" s="56"/>
      <x:c r="E45" s="56"/>
      <x:c r="F45" s="56"/>
      <x:c r="G45" s="56"/>
      <x:c r="H45" s="56"/>
      <x:c r="I45" s="56"/>
      <x:c r="J45" s="56" t="str">
        <x:f>IF(A45="","",ROUND(AVERAGE(F45:I45)*MAX(F45:I45),1))</x:f>
      </x:c>
      <x:c r="K45" s="56" t="str">
        <x:f>IF(A45="","",IF(J45&gt;=18,"Critique",IF(J45&gt;=12,"Eleve",IF(J45&gt;=7,"Modere","Faible"))))</x:f>
      </x:c>
      <x:c r="L45" s="58"/>
      <x:c r="M45" s="56"/>
      <x:c r="N45" s="56"/>
      <x:c r="O45" s="56"/>
      <x:c r="P45" s="56"/>
      <x:c r="Q45" s="56" t="str">
        <x:f>IF(A45="","",IF(OR(P45="",L45=""),"A completer",IF(K45="Critique","Critique","OK")))</x:f>
      </x:c>
    </x:row>
    <x:row r="46">
      <x:c r="A46" s="56"/>
      <x:c r="B46" s="56"/>
      <x:c r="C46" s="56"/>
      <x:c r="D46" s="56"/>
      <x:c r="E46" s="56"/>
      <x:c r="F46" s="56"/>
      <x:c r="G46" s="56"/>
      <x:c r="H46" s="56"/>
      <x:c r="I46" s="56"/>
      <x:c r="J46" s="56" t="str">
        <x:f>IF(A46="","",ROUND(AVERAGE(F46:I46)*MAX(F46:I46),1))</x:f>
      </x:c>
      <x:c r="K46" s="56" t="str">
        <x:f>IF(A46="","",IF(J46&gt;=18,"Critique",IF(J46&gt;=12,"Eleve",IF(J46&gt;=7,"Modere","Faible"))))</x:f>
      </x:c>
      <x:c r="L46" s="58"/>
      <x:c r="M46" s="56"/>
      <x:c r="N46" s="56"/>
      <x:c r="O46" s="56"/>
      <x:c r="P46" s="56"/>
      <x:c r="Q46" s="56" t="str">
        <x:f>IF(A46="","",IF(OR(P46="",L46=""),"A completer",IF(K46="Critique","Critique","OK")))</x:f>
      </x:c>
    </x:row>
    <x:row r="47">
      <x:c r="A47" s="56"/>
      <x:c r="B47" s="56"/>
      <x:c r="C47" s="56"/>
      <x:c r="D47" s="56"/>
      <x:c r="E47" s="56"/>
      <x:c r="F47" s="56"/>
      <x:c r="G47" s="56"/>
      <x:c r="H47" s="56"/>
      <x:c r="I47" s="56"/>
      <x:c r="J47" s="56" t="str">
        <x:f>IF(A47="","",ROUND(AVERAGE(F47:I47)*MAX(F47:I47),1))</x:f>
      </x:c>
      <x:c r="K47" s="56" t="str">
        <x:f>IF(A47="","",IF(J47&gt;=18,"Critique",IF(J47&gt;=12,"Eleve",IF(J47&gt;=7,"Modere","Faible"))))</x:f>
      </x:c>
      <x:c r="L47" s="58"/>
      <x:c r="M47" s="56"/>
      <x:c r="N47" s="56"/>
      <x:c r="O47" s="56"/>
      <x:c r="P47" s="56"/>
      <x:c r="Q47" s="56" t="str">
        <x:f>IF(A47="","",IF(OR(P47="",L47=""),"A completer",IF(K47="Critique","Critique","OK")))</x:f>
      </x:c>
    </x:row>
    <x:row r="48">
      <x:c r="A48" s="56"/>
      <x:c r="B48" s="56"/>
      <x:c r="C48" s="56"/>
      <x:c r="D48" s="56"/>
      <x:c r="E48" s="56"/>
      <x:c r="F48" s="56"/>
      <x:c r="G48" s="56"/>
      <x:c r="H48" s="56"/>
      <x:c r="I48" s="56"/>
      <x:c r="J48" s="56" t="str">
        <x:f>IF(A48="","",ROUND(AVERAGE(F48:I48)*MAX(F48:I48),1))</x:f>
      </x:c>
      <x:c r="K48" s="56" t="str">
        <x:f>IF(A48="","",IF(J48&gt;=18,"Critique",IF(J48&gt;=12,"Eleve",IF(J48&gt;=7,"Modere","Faible"))))</x:f>
      </x:c>
      <x:c r="L48" s="58"/>
      <x:c r="M48" s="56"/>
      <x:c r="N48" s="56"/>
      <x:c r="O48" s="56"/>
      <x:c r="P48" s="56"/>
      <x:c r="Q48" s="56" t="str">
        <x:f>IF(A48="","",IF(OR(P48="",L48=""),"A completer",IF(K48="Critique","Critique","OK")))</x:f>
      </x:c>
    </x:row>
    <x:row r="49">
      <x:c r="A49" s="56"/>
      <x:c r="B49" s="56"/>
      <x:c r="C49" s="56"/>
      <x:c r="D49" s="56"/>
      <x:c r="E49" s="56"/>
      <x:c r="F49" s="56"/>
      <x:c r="G49" s="56"/>
      <x:c r="H49" s="56"/>
      <x:c r="I49" s="56"/>
      <x:c r="J49" s="56" t="str">
        <x:f>IF(A49="","",ROUND(AVERAGE(F49:I49)*MAX(F49:I49),1))</x:f>
      </x:c>
      <x:c r="K49" s="56" t="str">
        <x:f>IF(A49="","",IF(J49&gt;=18,"Critique",IF(J49&gt;=12,"Eleve",IF(J49&gt;=7,"Modere","Faible"))))</x:f>
      </x:c>
      <x:c r="L49" s="58"/>
      <x:c r="M49" s="56"/>
      <x:c r="N49" s="56"/>
      <x:c r="O49" s="56"/>
      <x:c r="P49" s="56"/>
      <x:c r="Q49" s="56" t="str">
        <x:f>IF(A49="","",IF(OR(P49="",L49=""),"A completer",IF(K49="Critique","Critique","OK")))</x:f>
      </x:c>
    </x:row>
  </x:sheetData>
  <x:mergeCells>
    <x:mergeCell ref="A1:K1"/>
    <x:mergeCell ref="A2:K2"/>
  </x:mergeCells>
  <x:conditionalFormatting sqref="K5:K49">
    <x:cfRule type="containsText" dxfId="104" priority="1" operator="containsText" text="Critique"/>
    <x:cfRule type="containsText" dxfId="105" priority="2" operator="containsText" text="A completer"/>
    <x:cfRule type="containsText" dxfId="106" priority="3" operator="containsText" text="Pret"/>
    <x:cfRule type="containsText" dxfId="107" priority="4" operator="containsText" text="OK"/>
  </x:conditionalFormatting>
  <x:conditionalFormatting sqref="Q5:Q49">
    <x:cfRule type="containsText" dxfId="108" priority="5" operator="containsText" text="Critique"/>
    <x:cfRule type="containsText" dxfId="109" priority="6" operator="containsText" text="A completer"/>
    <x:cfRule type="containsText" dxfId="110" priority="7" operator="containsText" text="Pret"/>
    <x:cfRule type="containsText" dxfId="111" priority="8"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B5:B49">
      <x:formula1>"Chaleur extreme,Inondation pluviale,Submersion marine,Erosion cotiere,Secheresse,Qualite de l'air,Maladie vectorielle,Rupture infrastructure"</x:formula1>
    </x:dataValidation>
  </x:dataValidations>
  <x:pageMargins left="0.7" right="0.7" top="0.75" bottom="0.75" header="0.3" footer="0.3"/>
  <x:tableParts count="1">
    <x:tablePart xmlns:r="http://schemas.openxmlformats.org/officeDocument/2006/relationships" r:id="Ra8acfdda0d284aa6"/>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20" hidden="0" customWidth="1"/>
    <x:col min="4" max="4" width="18.75" hidden="0" customWidth="1"/>
    <x:col min="5" max="5" width="11.25" hidden="0" customWidth="1"/>
    <x:col min="6" max="6" width="11.25" hidden="0" customWidth="1"/>
    <x:col min="7" max="7" width="20" hidden="0" customWidth="1"/>
    <x:col min="8" max="8" width="20" hidden="0" customWidth="1"/>
    <x:col min="9" max="9" width="18.75" hidden="0" customWidth="1"/>
    <x:col min="10" max="10" width="15.630000114440918" hidden="0" customWidth="1"/>
    <x:col min="11" max="11" width="20" hidden="0" customWidth="1"/>
    <x:col min="12" max="12" width="16.25" hidden="0" customWidth="1"/>
    <x:col min="13" max="13" width="13.75" hidden="0" customWidth="1"/>
    <x:col min="14" max="14" width="30" hidden="0" customWidth="1"/>
    <x:col min="15" max="15" width="18.1299991607666" hidden="0" customWidth="1"/>
    <x:col min="16" max="16" width="18.1299991607666" hidden="0" customWidth="1"/>
  </x:cols>
  <x:sheetData>
    <x:row r="1" ht="25.5" customHeight="1">
      <x:c r="A1" s="48" t="str">
        <x:v>Actifs exposes et donnees geospatiales</x:v>
      </x:c>
      <x:c r="B1" s="48"/>
      <x:c r="C1" s="48"/>
      <x:c r="D1" s="48"/>
      <x:c r="E1" s="48"/>
      <x:c r="F1" s="48"/>
      <x:c r="G1" s="48"/>
      <x:c r="H1" s="48"/>
      <x:c r="I1" s="48"/>
      <x:c r="J1" s="48"/>
      <x:c r="K1" s="48"/>
    </x:row>
    <x:row r="2" ht="31.5" customHeight="1">
      <x:c r="A2" s="51" t="str">
        <x:v>Registre des actifs critiques pour relier projets, aleas, couts, benefices et priorisation spatiale.</x:v>
      </x:c>
      <x:c r="B2" s="51"/>
      <x:c r="C2" s="51"/>
      <x:c r="D2" s="51"/>
      <x:c r="E2" s="51"/>
      <x:c r="F2" s="51"/>
      <x:c r="G2" s="51"/>
      <x:c r="H2" s="51"/>
      <x:c r="I2" s="51"/>
      <x:c r="J2" s="51"/>
      <x:c r="K2" s="51"/>
    </x:row>
    <x:row r="4">
      <x:c r="A4" s="54" t="str">
        <x:v>Asset_ID</x:v>
      </x:c>
      <x:c r="B4" s="54" t="str">
        <x:v>Nom_actif</x:v>
      </x:c>
      <x:c r="C4" s="54" t="str">
        <x:v>Type_actif</x:v>
      </x:c>
      <x:c r="D4" s="54" t="str">
        <x:v>Quartier_zone</x:v>
      </x:c>
      <x:c r="E4" s="54" t="str">
        <x:v>Latitude</x:v>
      </x:c>
      <x:c r="F4" s="54" t="str">
        <x:v>Longitude</x:v>
      </x:c>
      <x:c r="G4" s="54" t="str">
        <x:v>Proprietaire</x:v>
      </x:c>
      <x:c r="H4" s="54" t="str">
        <x:v>Service_essentiel</x:v>
      </x:c>
      <x:c r="I4" s="54" t="str">
        <x:v>Alea_principal</x:v>
      </x:c>
      <x:c r="J4" s="54" t="str">
        <x:v>Niveau_exposition</x:v>
      </x:c>
      <x:c r="K4" s="54" t="str">
        <x:v>Valeur_remplacement_XOF</x:v>
      </x:c>
      <x:c r="L4" s="54" t="str">
        <x:v>Population_servie</x:v>
      </x:c>
      <x:c r="M4" s="54" t="str">
        <x:v>Projet_associe</x:v>
      </x:c>
      <x:c r="N4" s="54" t="str">
        <x:v>Mesure_resilience</x:v>
      </x:c>
      <x:c r="O4" s="54" t="str">
        <x:v>Priorite_investissement</x:v>
      </x:c>
      <x:c r="P4" s="54" t="str">
        <x:v>Donnee_SIG_disponible</x:v>
      </x:c>
    </x:row>
    <x:row r="5">
      <x:c r="A5" s="56" t="str">
        <x:v>AST-001</x:v>
      </x:c>
      <x:c r="B5" s="56" t="str">
        <x:v>Station pompage Medina</x:v>
      </x:c>
      <x:c r="C5" s="56" t="str">
        <x:v>Infrastructure drainage</x:v>
      </x:c>
      <x:c r="D5" s="56" t="str">
        <x:v>Medina</x:v>
      </x:c>
      <x:c r="E5" s="60" t="n">
        <x:v>14.682</x:v>
      </x:c>
      <x:c r="F5" s="60" t="n">
        <x:v>-17.448</x:v>
      </x:c>
      <x:c r="G5" s="56" t="str">
        <x:v>Ville/ONAS</x:v>
      </x:c>
      <x:c r="H5" s="56" t="str">
        <x:v>Assainissement</x:v>
      </x:c>
      <x:c r="I5" s="56" t="str">
        <x:v>Inondation pluviale</x:v>
      </x:c>
      <x:c r="J5" s="56" t="str">
        <x:v>Eleve</x:v>
      </x:c>
      <x:c r="K5" s="61" t="n">
        <x:v>850000000</x:v>
      </x:c>
      <x:c r="L5" s="58" t="n">
        <x:v>120000</x:v>
      </x:c>
      <x:c r="M5" s="56" t="str">
        <x:v>PRJ-004</x:v>
      </x:c>
      <x:c r="N5" s="56" t="str">
        <x:v>Protection electrique et entretien</x:v>
      </x:c>
      <x:c r="O5" s="56" t="str">
        <x:v>Critique</x:v>
      </x:c>
      <x:c r="P5" s="56" t="str">
        <x:v>Partiel</x:v>
      </x:c>
    </x:row>
    <x:row r="6">
      <x:c r="A6" s="56" t="str">
        <x:v>AST-002</x:v>
      </x:c>
      <x:c r="B6" s="56" t="str">
        <x:v>Marche Grand Dakar</x:v>
      </x:c>
      <x:c r="C6" s="56" t="str">
        <x:v>Equipement public</x:v>
      </x:c>
      <x:c r="D6" s="56" t="str">
        <x:v>Grand Dakar</x:v>
      </x:c>
      <x:c r="E6" s="60" t="n">
        <x:v>14.708</x:v>
      </x:c>
      <x:c r="F6" s="60" t="n">
        <x:v>-17.454</x:v>
      </x:c>
      <x:c r="G6" s="56" t="str">
        <x:v>Ville</x:v>
      </x:c>
      <x:c r="H6" s="56" t="str">
        <x:v>Economie locale</x:v>
      </x:c>
      <x:c r="I6" s="56" t="str">
        <x:v>Chaleur extreme</x:v>
      </x:c>
      <x:c r="J6" s="56" t="str">
        <x:v>Modere</x:v>
      </x:c>
      <x:c r="K6" s="61" t="n">
        <x:v>1200000000</x:v>
      </x:c>
      <x:c r="L6" s="58" t="n">
        <x:v>65000</x:v>
      </x:c>
      <x:c r="M6" s="56" t="str"/>
      <x:c r="N6" s="56" t="str">
        <x:v>Ombrage, eau, ventilation</x:v>
      </x:c>
      <x:c r="O6" s="56" t="str">
        <x:v>Haute</x:v>
      </x:c>
      <x:c r="P6" s="56" t="str">
        <x:v>Non</x:v>
      </x:c>
    </x:row>
    <x:row r="7">
      <x:c r="A7" s="56" t="str">
        <x:v>AST-003</x:v>
      </x:c>
      <x:c r="B7" s="56" t="str">
        <x:v>Zone littorale Yoff</x:v>
      </x:c>
      <x:c r="C7" s="56" t="str">
        <x:v>Ecosysteme littoral</x:v>
      </x:c>
      <x:c r="D7" s="56" t="str">
        <x:v>Yoff</x:v>
      </x:c>
      <x:c r="E7" s="60" t="n">
        <x:v>14.758</x:v>
      </x:c>
      <x:c r="F7" s="60" t="n">
        <x:v>-17.473</x:v>
      </x:c>
      <x:c r="G7" s="56" t="str">
        <x:v>Etat/Ville</x:v>
      </x:c>
      <x:c r="H7" s="56" t="str">
        <x:v>Protection cotiere</x:v>
      </x:c>
      <x:c r="I7" s="56" t="str">
        <x:v>Submersion marine</x:v>
      </x:c>
      <x:c r="J7" s="56" t="str">
        <x:v>Eleve</x:v>
      </x:c>
      <x:c r="K7" s="61" t="n">
        <x:v>2500000000</x:v>
      </x:c>
      <x:c r="L7" s="58" t="n">
        <x:v>90000</x:v>
      </x:c>
      <x:c r="M7" s="56" t="str">
        <x:v>PRJ-004</x:v>
      </x:c>
      <x:c r="N7" s="56" t="str">
        <x:v>Restauration dunes</x:v>
      </x:c>
      <x:c r="O7" s="56" t="str">
        <x:v>Critique</x:v>
      </x:c>
      <x:c r="P7" s="56" t="str">
        <x:v>Oui</x:v>
      </x:c>
    </x:row>
    <x:row r="8">
      <x:c r="A8" s="56"/>
      <x:c r="B8" s="56"/>
      <x:c r="C8" s="56"/>
      <x:c r="D8" s="56"/>
      <x:c r="E8" s="60"/>
      <x:c r="F8" s="60"/>
      <x:c r="G8" s="56"/>
      <x:c r="H8" s="56"/>
      <x:c r="I8" s="56"/>
      <x:c r="J8" s="56"/>
      <x:c r="K8" s="61"/>
      <x:c r="L8" s="58"/>
      <x:c r="M8" s="56"/>
      <x:c r="N8" s="56"/>
      <x:c r="O8" s="56"/>
      <x:c r="P8" s="56"/>
    </x:row>
    <x:row r="9">
      <x:c r="A9" s="56"/>
      <x:c r="B9" s="56"/>
      <x:c r="C9" s="56"/>
      <x:c r="D9" s="56"/>
      <x:c r="E9" s="60"/>
      <x:c r="F9" s="60"/>
      <x:c r="G9" s="56"/>
      <x:c r="H9" s="56"/>
      <x:c r="I9" s="56"/>
      <x:c r="J9" s="56"/>
      <x:c r="K9" s="61"/>
      <x:c r="L9" s="58"/>
      <x:c r="M9" s="56"/>
      <x:c r="N9" s="56"/>
      <x:c r="O9" s="56"/>
      <x:c r="P9" s="56"/>
    </x:row>
    <x:row r="10">
      <x:c r="A10" s="56"/>
      <x:c r="B10" s="56"/>
      <x:c r="C10" s="56"/>
      <x:c r="D10" s="56"/>
      <x:c r="E10" s="60"/>
      <x:c r="F10" s="60"/>
      <x:c r="G10" s="56"/>
      <x:c r="H10" s="56"/>
      <x:c r="I10" s="56"/>
      <x:c r="J10" s="56"/>
      <x:c r="K10" s="61"/>
      <x:c r="L10" s="58"/>
      <x:c r="M10" s="56"/>
      <x:c r="N10" s="56"/>
      <x:c r="O10" s="56"/>
      <x:c r="P10" s="56"/>
    </x:row>
    <x:row r="11">
      <x:c r="A11" s="56"/>
      <x:c r="B11" s="56"/>
      <x:c r="C11" s="56"/>
      <x:c r="D11" s="56"/>
      <x:c r="E11" s="60"/>
      <x:c r="F11" s="60"/>
      <x:c r="G11" s="56"/>
      <x:c r="H11" s="56"/>
      <x:c r="I11" s="56"/>
      <x:c r="J11" s="56"/>
      <x:c r="K11" s="61"/>
      <x:c r="L11" s="58"/>
      <x:c r="M11" s="56"/>
      <x:c r="N11" s="56"/>
      <x:c r="O11" s="56"/>
      <x:c r="P11" s="56"/>
    </x:row>
    <x:row r="12">
      <x:c r="A12" s="56"/>
      <x:c r="B12" s="56"/>
      <x:c r="C12" s="56"/>
      <x:c r="D12" s="56"/>
      <x:c r="E12" s="60"/>
      <x:c r="F12" s="60"/>
      <x:c r="G12" s="56"/>
      <x:c r="H12" s="56"/>
      <x:c r="I12" s="56"/>
      <x:c r="J12" s="56"/>
      <x:c r="K12" s="61"/>
      <x:c r="L12" s="58"/>
      <x:c r="M12" s="56"/>
      <x:c r="N12" s="56"/>
      <x:c r="O12" s="56"/>
      <x:c r="P12" s="56"/>
    </x:row>
    <x:row r="13">
      <x:c r="A13" s="56"/>
      <x:c r="B13" s="56"/>
      <x:c r="C13" s="56"/>
      <x:c r="D13" s="56"/>
      <x:c r="E13" s="60"/>
      <x:c r="F13" s="60"/>
      <x:c r="G13" s="56"/>
      <x:c r="H13" s="56"/>
      <x:c r="I13" s="56"/>
      <x:c r="J13" s="56"/>
      <x:c r="K13" s="61"/>
      <x:c r="L13" s="58"/>
      <x:c r="M13" s="56"/>
      <x:c r="N13" s="56"/>
      <x:c r="O13" s="56"/>
      <x:c r="P13" s="56"/>
    </x:row>
    <x:row r="14">
      <x:c r="A14" s="56"/>
      <x:c r="B14" s="56"/>
      <x:c r="C14" s="56"/>
      <x:c r="D14" s="56"/>
      <x:c r="E14" s="60"/>
      <x:c r="F14" s="60"/>
      <x:c r="G14" s="56"/>
      <x:c r="H14" s="56"/>
      <x:c r="I14" s="56"/>
      <x:c r="J14" s="56"/>
      <x:c r="K14" s="61"/>
      <x:c r="L14" s="58"/>
      <x:c r="M14" s="56"/>
      <x:c r="N14" s="56"/>
      <x:c r="O14" s="56"/>
      <x:c r="P14" s="56"/>
    </x:row>
    <x:row r="15">
      <x:c r="A15" s="56"/>
      <x:c r="B15" s="56"/>
      <x:c r="C15" s="56"/>
      <x:c r="D15" s="56"/>
      <x:c r="E15" s="60"/>
      <x:c r="F15" s="60"/>
      <x:c r="G15" s="56"/>
      <x:c r="H15" s="56"/>
      <x:c r="I15" s="56"/>
      <x:c r="J15" s="56"/>
      <x:c r="K15" s="61"/>
      <x:c r="L15" s="58"/>
      <x:c r="M15" s="56"/>
      <x:c r="N15" s="56"/>
      <x:c r="O15" s="56"/>
      <x:c r="P15" s="56"/>
    </x:row>
    <x:row r="16">
      <x:c r="A16" s="56"/>
      <x:c r="B16" s="56"/>
      <x:c r="C16" s="56"/>
      <x:c r="D16" s="56"/>
      <x:c r="E16" s="60"/>
      <x:c r="F16" s="60"/>
      <x:c r="G16" s="56"/>
      <x:c r="H16" s="56"/>
      <x:c r="I16" s="56"/>
      <x:c r="J16" s="56"/>
      <x:c r="K16" s="61"/>
      <x:c r="L16" s="58"/>
      <x:c r="M16" s="56"/>
      <x:c r="N16" s="56"/>
      <x:c r="O16" s="56"/>
      <x:c r="P16" s="56"/>
    </x:row>
    <x:row r="17">
      <x:c r="A17" s="56"/>
      <x:c r="B17" s="56"/>
      <x:c r="C17" s="56"/>
      <x:c r="D17" s="56"/>
      <x:c r="E17" s="60"/>
      <x:c r="F17" s="60"/>
      <x:c r="G17" s="56"/>
      <x:c r="H17" s="56"/>
      <x:c r="I17" s="56"/>
      <x:c r="J17" s="56"/>
      <x:c r="K17" s="61"/>
      <x:c r="L17" s="58"/>
      <x:c r="M17" s="56"/>
      <x:c r="N17" s="56"/>
      <x:c r="O17" s="56"/>
      <x:c r="P17" s="56"/>
    </x:row>
    <x:row r="18">
      <x:c r="A18" s="56"/>
      <x:c r="B18" s="56"/>
      <x:c r="C18" s="56"/>
      <x:c r="D18" s="56"/>
      <x:c r="E18" s="60"/>
      <x:c r="F18" s="60"/>
      <x:c r="G18" s="56"/>
      <x:c r="H18" s="56"/>
      <x:c r="I18" s="56"/>
      <x:c r="J18" s="56"/>
      <x:c r="K18" s="61"/>
      <x:c r="L18" s="58"/>
      <x:c r="M18" s="56"/>
      <x:c r="N18" s="56"/>
      <x:c r="O18" s="56"/>
      <x:c r="P18" s="56"/>
    </x:row>
    <x:row r="19">
      <x:c r="A19" s="56"/>
      <x:c r="B19" s="56"/>
      <x:c r="C19" s="56"/>
      <x:c r="D19" s="56"/>
      <x:c r="E19" s="60"/>
      <x:c r="F19" s="60"/>
      <x:c r="G19" s="56"/>
      <x:c r="H19" s="56"/>
      <x:c r="I19" s="56"/>
      <x:c r="J19" s="56"/>
      <x:c r="K19" s="61"/>
      <x:c r="L19" s="58"/>
      <x:c r="M19" s="56"/>
      <x:c r="N19" s="56"/>
      <x:c r="O19" s="56"/>
      <x:c r="P19" s="56"/>
    </x:row>
    <x:row r="20">
      <x:c r="A20" s="56"/>
      <x:c r="B20" s="56"/>
      <x:c r="C20" s="56"/>
      <x:c r="D20" s="56"/>
      <x:c r="E20" s="60"/>
      <x:c r="F20" s="60"/>
      <x:c r="G20" s="56"/>
      <x:c r="H20" s="56"/>
      <x:c r="I20" s="56"/>
      <x:c r="J20" s="56"/>
      <x:c r="K20" s="61"/>
      <x:c r="L20" s="58"/>
      <x:c r="M20" s="56"/>
      <x:c r="N20" s="56"/>
      <x:c r="O20" s="56"/>
      <x:c r="P20" s="56"/>
    </x:row>
    <x:row r="21">
      <x:c r="A21" s="56"/>
      <x:c r="B21" s="56"/>
      <x:c r="C21" s="56"/>
      <x:c r="D21" s="56"/>
      <x:c r="E21" s="60"/>
      <x:c r="F21" s="60"/>
      <x:c r="G21" s="56"/>
      <x:c r="H21" s="56"/>
      <x:c r="I21" s="56"/>
      <x:c r="J21" s="56"/>
      <x:c r="K21" s="61"/>
      <x:c r="L21" s="58"/>
      <x:c r="M21" s="56"/>
      <x:c r="N21" s="56"/>
      <x:c r="O21" s="56"/>
      <x:c r="P21" s="56"/>
    </x:row>
    <x:row r="22">
      <x:c r="A22" s="56"/>
      <x:c r="B22" s="56"/>
      <x:c r="C22" s="56"/>
      <x:c r="D22" s="56"/>
      <x:c r="E22" s="60"/>
      <x:c r="F22" s="60"/>
      <x:c r="G22" s="56"/>
      <x:c r="H22" s="56"/>
      <x:c r="I22" s="56"/>
      <x:c r="J22" s="56"/>
      <x:c r="K22" s="61"/>
      <x:c r="L22" s="58"/>
      <x:c r="M22" s="56"/>
      <x:c r="N22" s="56"/>
      <x:c r="O22" s="56"/>
      <x:c r="P22" s="56"/>
    </x:row>
    <x:row r="23">
      <x:c r="A23" s="56"/>
      <x:c r="B23" s="56"/>
      <x:c r="C23" s="56"/>
      <x:c r="D23" s="56"/>
      <x:c r="E23" s="60"/>
      <x:c r="F23" s="60"/>
      <x:c r="G23" s="56"/>
      <x:c r="H23" s="56"/>
      <x:c r="I23" s="56"/>
      <x:c r="J23" s="56"/>
      <x:c r="K23" s="61"/>
      <x:c r="L23" s="58"/>
      <x:c r="M23" s="56"/>
      <x:c r="N23" s="56"/>
      <x:c r="O23" s="56"/>
      <x:c r="P23" s="56"/>
    </x:row>
    <x:row r="24">
      <x:c r="A24" s="56"/>
      <x:c r="B24" s="56"/>
      <x:c r="C24" s="56"/>
      <x:c r="D24" s="56"/>
      <x:c r="E24" s="60"/>
      <x:c r="F24" s="60"/>
      <x:c r="G24" s="56"/>
      <x:c r="H24" s="56"/>
      <x:c r="I24" s="56"/>
      <x:c r="J24" s="56"/>
      <x:c r="K24" s="61"/>
      <x:c r="L24" s="58"/>
      <x:c r="M24" s="56"/>
      <x:c r="N24" s="56"/>
      <x:c r="O24" s="56"/>
      <x:c r="P24" s="56"/>
    </x:row>
    <x:row r="25">
      <x:c r="A25" s="56"/>
      <x:c r="B25" s="56"/>
      <x:c r="C25" s="56"/>
      <x:c r="D25" s="56"/>
      <x:c r="E25" s="60"/>
      <x:c r="F25" s="60"/>
      <x:c r="G25" s="56"/>
      <x:c r="H25" s="56"/>
      <x:c r="I25" s="56"/>
      <x:c r="J25" s="56"/>
      <x:c r="K25" s="61"/>
      <x:c r="L25" s="58"/>
      <x:c r="M25" s="56"/>
      <x:c r="N25" s="56"/>
      <x:c r="O25" s="56"/>
      <x:c r="P25" s="56"/>
    </x:row>
    <x:row r="26">
      <x:c r="A26" s="56"/>
      <x:c r="B26" s="56"/>
      <x:c r="C26" s="56"/>
      <x:c r="D26" s="56"/>
      <x:c r="E26" s="60"/>
      <x:c r="F26" s="60"/>
      <x:c r="G26" s="56"/>
      <x:c r="H26" s="56"/>
      <x:c r="I26" s="56"/>
      <x:c r="J26" s="56"/>
      <x:c r="K26" s="61"/>
      <x:c r="L26" s="58"/>
      <x:c r="M26" s="56"/>
      <x:c r="N26" s="56"/>
      <x:c r="O26" s="56"/>
      <x:c r="P26" s="56"/>
    </x:row>
    <x:row r="27">
      <x:c r="A27" s="56"/>
      <x:c r="B27" s="56"/>
      <x:c r="C27" s="56"/>
      <x:c r="D27" s="56"/>
      <x:c r="E27" s="60"/>
      <x:c r="F27" s="60"/>
      <x:c r="G27" s="56"/>
      <x:c r="H27" s="56"/>
      <x:c r="I27" s="56"/>
      <x:c r="J27" s="56"/>
      <x:c r="K27" s="61"/>
      <x:c r="L27" s="58"/>
      <x:c r="M27" s="56"/>
      <x:c r="N27" s="56"/>
      <x:c r="O27" s="56"/>
      <x:c r="P27" s="56"/>
    </x:row>
    <x:row r="28">
      <x:c r="A28" s="56"/>
      <x:c r="B28" s="56"/>
      <x:c r="C28" s="56"/>
      <x:c r="D28" s="56"/>
      <x:c r="E28" s="60"/>
      <x:c r="F28" s="60"/>
      <x:c r="G28" s="56"/>
      <x:c r="H28" s="56"/>
      <x:c r="I28" s="56"/>
      <x:c r="J28" s="56"/>
      <x:c r="K28" s="61"/>
      <x:c r="L28" s="58"/>
      <x:c r="M28" s="56"/>
      <x:c r="N28" s="56"/>
      <x:c r="O28" s="56"/>
      <x:c r="P28" s="56"/>
    </x:row>
    <x:row r="29">
      <x:c r="A29" s="56"/>
      <x:c r="B29" s="56"/>
      <x:c r="C29" s="56"/>
      <x:c r="D29" s="56"/>
      <x:c r="E29" s="60"/>
      <x:c r="F29" s="60"/>
      <x:c r="G29" s="56"/>
      <x:c r="H29" s="56"/>
      <x:c r="I29" s="56"/>
      <x:c r="J29" s="56"/>
      <x:c r="K29" s="61"/>
      <x:c r="L29" s="58"/>
      <x:c r="M29" s="56"/>
      <x:c r="N29" s="56"/>
      <x:c r="O29" s="56"/>
      <x:c r="P29" s="56"/>
    </x:row>
    <x:row r="30">
      <x:c r="A30" s="56"/>
      <x:c r="B30" s="56"/>
      <x:c r="C30" s="56"/>
      <x:c r="D30" s="56"/>
      <x:c r="E30" s="60"/>
      <x:c r="F30" s="60"/>
      <x:c r="G30" s="56"/>
      <x:c r="H30" s="56"/>
      <x:c r="I30" s="56"/>
      <x:c r="J30" s="56"/>
      <x:c r="K30" s="61"/>
      <x:c r="L30" s="58"/>
      <x:c r="M30" s="56"/>
      <x:c r="N30" s="56"/>
      <x:c r="O30" s="56"/>
      <x:c r="P30" s="56"/>
    </x:row>
    <x:row r="31">
      <x:c r="A31" s="56"/>
      <x:c r="B31" s="56"/>
      <x:c r="C31" s="56"/>
      <x:c r="D31" s="56"/>
      <x:c r="E31" s="60"/>
      <x:c r="F31" s="60"/>
      <x:c r="G31" s="56"/>
      <x:c r="H31" s="56"/>
      <x:c r="I31" s="56"/>
      <x:c r="J31" s="56"/>
      <x:c r="K31" s="61"/>
      <x:c r="L31" s="58"/>
      <x:c r="M31" s="56"/>
      <x:c r="N31" s="56"/>
      <x:c r="O31" s="56"/>
      <x:c r="P31" s="56"/>
    </x:row>
    <x:row r="32">
      <x:c r="A32" s="56"/>
      <x:c r="B32" s="56"/>
      <x:c r="C32" s="56"/>
      <x:c r="D32" s="56"/>
      <x:c r="E32" s="60"/>
      <x:c r="F32" s="60"/>
      <x:c r="G32" s="56"/>
      <x:c r="H32" s="56"/>
      <x:c r="I32" s="56"/>
      <x:c r="J32" s="56"/>
      <x:c r="K32" s="61"/>
      <x:c r="L32" s="58"/>
      <x:c r="M32" s="56"/>
      <x:c r="N32" s="56"/>
      <x:c r="O32" s="56"/>
      <x:c r="P32" s="56"/>
    </x:row>
    <x:row r="33">
      <x:c r="A33" s="56"/>
      <x:c r="B33" s="56"/>
      <x:c r="C33" s="56"/>
      <x:c r="D33" s="56"/>
      <x:c r="E33" s="60"/>
      <x:c r="F33" s="60"/>
      <x:c r="G33" s="56"/>
      <x:c r="H33" s="56"/>
      <x:c r="I33" s="56"/>
      <x:c r="J33" s="56"/>
      <x:c r="K33" s="61"/>
      <x:c r="L33" s="58"/>
      <x:c r="M33" s="56"/>
      <x:c r="N33" s="56"/>
      <x:c r="O33" s="56"/>
      <x:c r="P33" s="56"/>
    </x:row>
    <x:row r="34">
      <x:c r="A34" s="56"/>
      <x:c r="B34" s="56"/>
      <x:c r="C34" s="56"/>
      <x:c r="D34" s="56"/>
      <x:c r="E34" s="60"/>
      <x:c r="F34" s="60"/>
      <x:c r="G34" s="56"/>
      <x:c r="H34" s="56"/>
      <x:c r="I34" s="56"/>
      <x:c r="J34" s="56"/>
      <x:c r="K34" s="61"/>
      <x:c r="L34" s="58"/>
      <x:c r="M34" s="56"/>
      <x:c r="N34" s="56"/>
      <x:c r="O34" s="56"/>
      <x:c r="P34" s="56"/>
    </x:row>
    <x:row r="35">
      <x:c r="A35" s="56"/>
      <x:c r="B35" s="56"/>
      <x:c r="C35" s="56"/>
      <x:c r="D35" s="56"/>
      <x:c r="E35" s="60"/>
      <x:c r="F35" s="60"/>
      <x:c r="G35" s="56"/>
      <x:c r="H35" s="56"/>
      <x:c r="I35" s="56"/>
      <x:c r="J35" s="56"/>
      <x:c r="K35" s="61"/>
      <x:c r="L35" s="58"/>
      <x:c r="M35" s="56"/>
      <x:c r="N35" s="56"/>
      <x:c r="O35" s="56"/>
      <x:c r="P35" s="56"/>
    </x:row>
    <x:row r="36">
      <x:c r="A36" s="56"/>
      <x:c r="B36" s="56"/>
      <x:c r="C36" s="56"/>
      <x:c r="D36" s="56"/>
      <x:c r="E36" s="60"/>
      <x:c r="F36" s="60"/>
      <x:c r="G36" s="56"/>
      <x:c r="H36" s="56"/>
      <x:c r="I36" s="56"/>
      <x:c r="J36" s="56"/>
      <x:c r="K36" s="61"/>
      <x:c r="L36" s="58"/>
      <x:c r="M36" s="56"/>
      <x:c r="N36" s="56"/>
      <x:c r="O36" s="56"/>
      <x:c r="P36" s="56"/>
    </x:row>
    <x:row r="37">
      <x:c r="A37" s="56"/>
      <x:c r="B37" s="56"/>
      <x:c r="C37" s="56"/>
      <x:c r="D37" s="56"/>
      <x:c r="E37" s="60"/>
      <x:c r="F37" s="60"/>
      <x:c r="G37" s="56"/>
      <x:c r="H37" s="56"/>
      <x:c r="I37" s="56"/>
      <x:c r="J37" s="56"/>
      <x:c r="K37" s="61"/>
      <x:c r="L37" s="58"/>
      <x:c r="M37" s="56"/>
      <x:c r="N37" s="56"/>
      <x:c r="O37" s="56"/>
      <x:c r="P37" s="56"/>
    </x:row>
    <x:row r="38">
      <x:c r="A38" s="56"/>
      <x:c r="B38" s="56"/>
      <x:c r="C38" s="56"/>
      <x:c r="D38" s="56"/>
      <x:c r="E38" s="60"/>
      <x:c r="F38" s="60"/>
      <x:c r="G38" s="56"/>
      <x:c r="H38" s="56"/>
      <x:c r="I38" s="56"/>
      <x:c r="J38" s="56"/>
      <x:c r="K38" s="61"/>
      <x:c r="L38" s="58"/>
      <x:c r="M38" s="56"/>
      <x:c r="N38" s="56"/>
      <x:c r="O38" s="56"/>
      <x:c r="P38" s="56"/>
    </x:row>
    <x:row r="39">
      <x:c r="A39" s="56"/>
      <x:c r="B39" s="56"/>
      <x:c r="C39" s="56"/>
      <x:c r="D39" s="56"/>
      <x:c r="E39" s="60"/>
      <x:c r="F39" s="60"/>
      <x:c r="G39" s="56"/>
      <x:c r="H39" s="56"/>
      <x:c r="I39" s="56"/>
      <x:c r="J39" s="56"/>
      <x:c r="K39" s="61"/>
      <x:c r="L39" s="58"/>
      <x:c r="M39" s="56"/>
      <x:c r="N39" s="56"/>
      <x:c r="O39" s="56"/>
      <x:c r="P39" s="56"/>
    </x:row>
    <x:row r="40">
      <x:c r="A40" s="56"/>
      <x:c r="B40" s="56"/>
      <x:c r="C40" s="56"/>
      <x:c r="D40" s="56"/>
      <x:c r="E40" s="60"/>
      <x:c r="F40" s="60"/>
      <x:c r="G40" s="56"/>
      <x:c r="H40" s="56"/>
      <x:c r="I40" s="56"/>
      <x:c r="J40" s="56"/>
      <x:c r="K40" s="61"/>
      <x:c r="L40" s="58"/>
      <x:c r="M40" s="56"/>
      <x:c r="N40" s="56"/>
      <x:c r="O40" s="56"/>
      <x:c r="P40" s="56"/>
    </x:row>
    <x:row r="41">
      <x:c r="A41" s="56"/>
      <x:c r="B41" s="56"/>
      <x:c r="C41" s="56"/>
      <x:c r="D41" s="56"/>
      <x:c r="E41" s="60"/>
      <x:c r="F41" s="60"/>
      <x:c r="G41" s="56"/>
      <x:c r="H41" s="56"/>
      <x:c r="I41" s="56"/>
      <x:c r="J41" s="56"/>
      <x:c r="K41" s="61"/>
      <x:c r="L41" s="58"/>
      <x:c r="M41" s="56"/>
      <x:c r="N41" s="56"/>
      <x:c r="O41" s="56"/>
      <x:c r="P41" s="56"/>
    </x:row>
    <x:row r="42">
      <x:c r="A42" s="56"/>
      <x:c r="B42" s="56"/>
      <x:c r="C42" s="56"/>
      <x:c r="D42" s="56"/>
      <x:c r="E42" s="60"/>
      <x:c r="F42" s="60"/>
      <x:c r="G42" s="56"/>
      <x:c r="H42" s="56"/>
      <x:c r="I42" s="56"/>
      <x:c r="J42" s="56"/>
      <x:c r="K42" s="61"/>
      <x:c r="L42" s="58"/>
      <x:c r="M42" s="56"/>
      <x:c r="N42" s="56"/>
      <x:c r="O42" s="56"/>
      <x:c r="P42" s="56"/>
    </x:row>
    <x:row r="43">
      <x:c r="A43" s="56"/>
      <x:c r="B43" s="56"/>
      <x:c r="C43" s="56"/>
      <x:c r="D43" s="56"/>
      <x:c r="E43" s="60"/>
      <x:c r="F43" s="60"/>
      <x:c r="G43" s="56"/>
      <x:c r="H43" s="56"/>
      <x:c r="I43" s="56"/>
      <x:c r="J43" s="56"/>
      <x:c r="K43" s="61"/>
      <x:c r="L43" s="58"/>
      <x:c r="M43" s="56"/>
      <x:c r="N43" s="56"/>
      <x:c r="O43" s="56"/>
      <x:c r="P43" s="56"/>
    </x:row>
    <x:row r="44">
      <x:c r="A44" s="56"/>
      <x:c r="B44" s="56"/>
      <x:c r="C44" s="56"/>
      <x:c r="D44" s="56"/>
      <x:c r="E44" s="60"/>
      <x:c r="F44" s="60"/>
      <x:c r="G44" s="56"/>
      <x:c r="H44" s="56"/>
      <x:c r="I44" s="56"/>
      <x:c r="J44" s="56"/>
      <x:c r="K44" s="61"/>
      <x:c r="L44" s="58"/>
      <x:c r="M44" s="56"/>
      <x:c r="N44" s="56"/>
      <x:c r="O44" s="56"/>
      <x:c r="P44" s="56"/>
    </x:row>
    <x:row r="45">
      <x:c r="A45" s="56"/>
      <x:c r="B45" s="56"/>
      <x:c r="C45" s="56"/>
      <x:c r="D45" s="56"/>
      <x:c r="E45" s="60"/>
      <x:c r="F45" s="60"/>
      <x:c r="G45" s="56"/>
      <x:c r="H45" s="56"/>
      <x:c r="I45" s="56"/>
      <x:c r="J45" s="56"/>
      <x:c r="K45" s="61"/>
      <x:c r="L45" s="58"/>
      <x:c r="M45" s="56"/>
      <x:c r="N45" s="56"/>
      <x:c r="O45" s="56"/>
      <x:c r="P45" s="56"/>
    </x:row>
    <x:row r="46">
      <x:c r="A46" s="56"/>
      <x:c r="B46" s="56"/>
      <x:c r="C46" s="56"/>
      <x:c r="D46" s="56"/>
      <x:c r="E46" s="60"/>
      <x:c r="F46" s="60"/>
      <x:c r="G46" s="56"/>
      <x:c r="H46" s="56"/>
      <x:c r="I46" s="56"/>
      <x:c r="J46" s="56"/>
      <x:c r="K46" s="61"/>
      <x:c r="L46" s="58"/>
      <x:c r="M46" s="56"/>
      <x:c r="N46" s="56"/>
      <x:c r="O46" s="56"/>
      <x:c r="P46" s="56"/>
    </x:row>
    <x:row r="47">
      <x:c r="A47" s="56"/>
      <x:c r="B47" s="56"/>
      <x:c r="C47" s="56"/>
      <x:c r="D47" s="56"/>
      <x:c r="E47" s="60"/>
      <x:c r="F47" s="60"/>
      <x:c r="G47" s="56"/>
      <x:c r="H47" s="56"/>
      <x:c r="I47" s="56"/>
      <x:c r="J47" s="56"/>
      <x:c r="K47" s="61"/>
      <x:c r="L47" s="58"/>
      <x:c r="M47" s="56"/>
      <x:c r="N47" s="56"/>
      <x:c r="O47" s="56"/>
      <x:c r="P47" s="56"/>
    </x:row>
    <x:row r="48">
      <x:c r="A48" s="56"/>
      <x:c r="B48" s="56"/>
      <x:c r="C48" s="56"/>
      <x:c r="D48" s="56"/>
      <x:c r="E48" s="60"/>
      <x:c r="F48" s="60"/>
      <x:c r="G48" s="56"/>
      <x:c r="H48" s="56"/>
      <x:c r="I48" s="56"/>
      <x:c r="J48" s="56"/>
      <x:c r="K48" s="61"/>
      <x:c r="L48" s="58"/>
      <x:c r="M48" s="56"/>
      <x:c r="N48" s="56"/>
      <x:c r="O48" s="56"/>
      <x:c r="P48" s="56"/>
    </x:row>
    <x:row r="49">
      <x:c r="A49" s="56"/>
      <x:c r="B49" s="56"/>
      <x:c r="C49" s="56"/>
      <x:c r="D49" s="56"/>
      <x:c r="E49" s="60"/>
      <x:c r="F49" s="60"/>
      <x:c r="G49" s="56"/>
      <x:c r="H49" s="56"/>
      <x:c r="I49" s="56"/>
      <x:c r="J49" s="56"/>
      <x:c r="K49" s="61"/>
      <x:c r="L49" s="58"/>
      <x:c r="M49" s="56"/>
      <x:c r="N49" s="56"/>
      <x:c r="O49" s="56"/>
      <x:c r="P49" s="56"/>
    </x:row>
  </x:sheetData>
  <x:mergeCells>
    <x:mergeCell ref="A1:K1"/>
    <x:mergeCell ref="A2:K2"/>
  </x:mergeCells>
  <x:dataValidations count="3">
    <x:dataValidation type="list" errorStyle="warning" showInputMessage="1" showErrorMessage="1" errorTitle="Valeur inattendue" error="Verifier la liste de valeurs." promptTitle="Liste controlee" prompt="Choisir une valeur autorisee." sqref="I5:I49">
      <x:formula1>"Chaleur extreme,Inondation pluviale,Submersion marine,Erosion cotiere,Secheresse,Qualite de l'air,Maladie vectorielle,Rupture infrastructure"</x:formula1>
    </x:dataValidation>
    <x:dataValidation type="list" errorStyle="warning" showInputMessage="1" showErrorMessage="1" errorTitle="Valeur inattendue" error="Verifier la liste de valeurs." promptTitle="Liste controlee" prompt="Choisir une valeur autorisee." sqref="O5:O49">
      <x:formula1>"Critique,Haute,Moyenne,Basse"</x:formula1>
    </x:dataValidation>
    <x:dataValidation type="list" errorStyle="warning" showInputMessage="1" showErrorMessage="1" errorTitle="Valeur inattendue" error="Verifier la liste de valeurs." promptTitle="Liste controlee" prompt="Choisir une valeur autorisee." sqref="P5:P49">
      <x:formula1>"Oui,Non,Partiel,Non applicable"</x:formula1>
    </x:dataValidation>
  </x:dataValidations>
  <x:pageMargins left="0.7" right="0.7" top="0.75" bottom="0.75" header="0.3" footer="0.3"/>
  <x:tableParts count="1">
    <x:tablePart xmlns:r="http://schemas.openxmlformats.org/officeDocument/2006/relationships" r:id="R4a8f4da2b5f341e0"/>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21.25" hidden="0" customWidth="1"/>
    <x:col min="4" max="4" width="18.75" hidden="0" customWidth="1"/>
    <x:col min="5" max="5" width="18.75" hidden="0" customWidth="1"/>
    <x:col min="6" max="6" width="18.1299991607666" hidden="0" customWidth="1"/>
    <x:col min="7" max="7" width="31.25" hidden="0" customWidth="1"/>
    <x:col min="8" max="8" width="28.75" hidden="0" customWidth="1"/>
    <x:col min="9" max="9" width="31.25" hidden="0" customWidth="1"/>
    <x:col min="10" max="10" width="14.380000114440918" hidden="0" customWidth="1"/>
    <x:col min="11" max="11" width="18.1299991607666" hidden="0" customWidth="1"/>
    <x:col min="12" max="12" width="20.6299991607666" hidden="0" customWidth="1"/>
    <x:col min="13" max="13" width="16.8799991607666" hidden="0" customWidth="1"/>
    <x:col min="14" max="14" width="17.5" hidden="0" customWidth="1"/>
    <x:col min="15" max="15" width="31.25" hidden="0" customWidth="1"/>
  </x:cols>
  <x:sheetData>
    <x:row r="1" ht="25.5" customHeight="1">
      <x:c r="A1" s="48" t="str">
        <x:v>Pipeline de projets bancables</x:v>
      </x:c>
      <x:c r="B1" s="48"/>
      <x:c r="C1" s="48"/>
      <x:c r="D1" s="48"/>
      <x:c r="E1" s="48"/>
      <x:c r="F1" s="48"/>
      <x:c r="G1" s="48"/>
      <x:c r="H1" s="48"/>
      <x:c r="I1" s="48"/>
      <x:c r="J1" s="48"/>
      <x:c r="K1" s="48"/>
    </x:row>
    <x:row r="2" ht="31.5" customHeight="1">
      <x:c r="A2" s="51" t="str">
        <x:v>Pre-filtrage finance climat pour transformer les projets en concept notes et dossiers de financement.</x:v>
      </x:c>
      <x:c r="B2" s="51"/>
      <x:c r="C2" s="51"/>
      <x:c r="D2" s="51"/>
      <x:c r="E2" s="51"/>
      <x:c r="F2" s="51"/>
      <x:c r="G2" s="51"/>
      <x:c r="H2" s="51"/>
      <x:c r="I2" s="51"/>
      <x:c r="J2" s="51"/>
      <x:c r="K2" s="51"/>
    </x:row>
    <x:row r="4">
      <x:c r="A4" s="54" t="str">
        <x:v>Project_ID</x:v>
      </x:c>
      <x:c r="B4" s="54" t="str">
        <x:v>Nom_projet</x:v>
      </x:c>
      <x:c r="C4" s="54" t="str">
        <x:v>Fenetre_financement</x:v>
      </x:c>
      <x:c r="D4" s="54" t="str">
        <x:v>Instrument_prefere</x:v>
      </x:c>
      <x:c r="E4" s="54" t="str">
        <x:v>Montant_recherche_XOF</x:v>
      </x:c>
      <x:c r="F4" s="54" t="str">
        <x:v>Cofinancement_XOF</x:v>
      </x:c>
      <x:c r="G4" s="54" t="str">
        <x:v>Climate_rationale</x:v>
      </x:c>
      <x:c r="H4" s="54" t="str">
        <x:v>Additionalite</x:v>
      </x:c>
      <x:c r="I4" s="54" t="str">
        <x:v>Resultats_attendus</x:v>
      </x:c>
      <x:c r="J4" s="54" t="str">
        <x:v>TRI_economique_pct</x:v>
      </x:c>
      <x:c r="K4" s="54" t="str">
        <x:v>OPEX_annuel_XOF</x:v>
      </x:c>
      <x:c r="L4" s="54" t="str">
        <x:v>Revenus_ou_economies_XOF</x:v>
      </x:c>
      <x:c r="M4" s="54" t="str">
        <x:v>Readiness_score_0_100</x:v>
      </x:c>
      <x:c r="N4" s="54" t="str">
        <x:v>Niveau_bancabilite</x:v>
      </x:c>
      <x:c r="O4" s="54" t="str">
        <x:v>Prochaine_etape_finance</x:v>
      </x:c>
    </x:row>
    <x:row r="5">
      <x:c r="A5" s="56" t="str">
        <x:v>PRJ-001</x:v>
      </x:c>
      <x:c r="B5" s="56" t="str">
        <x:v>Programme solaire sur batiments municipaux</x:v>
      </x:c>
      <x:c r="C5" s="56" t="str">
        <x:v>GCF / BAD / PPP</x:v>
      </x:c>
      <x:c r="D5" s="56" t="str">
        <x:v>Subvention + PPP</x:v>
      </x:c>
      <x:c r="E5" s="61" t="n">
        <x:v>1500000000</x:v>
      </x:c>
      <x:c r="F5" s="61" t="n">
        <x:v>900000000</x:v>
      </x:c>
      <x:c r="G5" s="56" t="str">
        <x:v>Reduction emissions Scope 2 et couts energie</x:v>
      </x:c>
      <x:c r="H5" s="56" t="str">
        <x:v>Acces capital et risque performance</x:v>
      </x:c>
      <x:c r="I5" s="56" t="str">
        <x:v>5 MWc solaire, 6 200 tCO2e/an evitees</x:v>
      </x:c>
      <x:c r="J5" s="59" t="n">
        <x:v>12</x:v>
      </x:c>
      <x:c r="K5" s="61" t="n">
        <x:v>45000000</x:v>
      </x:c>
      <x:c r="L5" s="61" t="n">
        <x:v>180000000</x:v>
      </x:c>
      <x:c r="M5" s="62" t="n">
        <x:f>IF(A5="","",MIN(100,ROUND(IF(E5&gt;0,10,0)+IFERROR(IF(F5/E5&gt;=0.3,15,IF(F5&gt;0,8,0)),0)+IF(G5&lt;&gt;"",10,0)+IF(H5&lt;&gt;"",8,0)+IF(I5&lt;&gt;"",8,0)+IF(J5&gt;=0.1,12,IF(J5&gt;0,6,0))+IF(K5&gt;0,5,0)+IF(L5&gt;0,5,0)+IF(ISNUMBER(SEARCH("E&amp;S",O5)),5,0)+IF(ISNUMBER(SEARCH("concept",O5)),7,0),0)))</x:f>
        <x:v>73</x:v>
      </x:c>
      <x:c r="N5" s="56" t="str">
        <x:f>IF(A5="","",IF(M5&gt;=75,"Pret concept note",IF(M5&gt;=50,"A structurer","Critique")))</x:f>
        <x:v>A structurer</x:v>
      </x:c>
      <x:c r="O5" s="56" t="str">
        <x:v>Structurer modele ESCO et garanties</x:v>
      </x:c>
    </x:row>
    <x:row r="6">
      <x:c r="A6" s="56" t="str">
        <x:v>PRJ-002</x:v>
      </x:c>
      <x:c r="B6" s="56" t="str">
        <x:v>Modernisation collecte et valorisation des dechets</x:v>
      </x:c>
      <x:c r="C6" s="56" t="str">
        <x:v>GCF / Banque mondiale / BAD</x:v>
      </x:c>
      <x:c r="D6" s="56" t="str">
        <x:v>Subvention + pret</x:v>
      </x:c>
      <x:c r="E6" s="61" t="n">
        <x:v>700000000</x:v>
      </x:c>
      <x:c r="F6" s="61" t="n">
        <x:v>350000000</x:v>
      </x:c>
      <x:c r="G6" s="56" t="str">
        <x:v>Reduction methane et salubrite urbaine</x:v>
      </x:c>
      <x:c r="H6" s="56" t="str">
        <x:v>Besoin CAPEX et structuration filiere</x:v>
      </x:c>
      <x:c r="I6" s="56" t="str">
        <x:v>Compostage, tri, emplois verts</x:v>
      </x:c>
      <x:c r="J6" s="59" t="n">
        <x:v>8</x:v>
      </x:c>
      <x:c r="K6" s="61" t="n">
        <x:v>120000000</x:v>
      </x:c>
      <x:c r="L6" s="61" t="n">
        <x:v>95000000</x:v>
      </x:c>
      <x:c r="M6" s="62" t="n">
        <x:f>IF(A6="","",MIN(100,ROUND(IF(E6&gt;0,10,0)+IFERROR(IF(F6/E6&gt;=0.3,15,IF(F6&gt;0,8,0)),0)+IF(G6&lt;&gt;"",10,0)+IF(H6&lt;&gt;"",8,0)+IF(I6&lt;&gt;"",8,0)+IF(J6&gt;=0.1,12,IF(J6&gt;0,6,0))+IF(K6&gt;0,5,0)+IF(L6&gt;0,5,0)+IF(ISNUMBER(SEARCH("E&amp;S",O6)),5,0)+IF(ISNUMBER(SEARCH("concept",O6)),7,0),0)))</x:f>
        <x:v>78</x:v>
      </x:c>
      <x:c r="N6" s="56" t="str">
        <x:f>IF(A6="","",IF(M6&gt;=75,"Pret concept note",IF(M6&gt;=50,"A structurer","Critique")))</x:f>
        <x:v>Pret concept note</x:v>
      </x:c>
      <x:c r="O6" s="56" t="str">
        <x:v>Preparer etude faisabilite + E&amp;S</x:v>
      </x:c>
    </x:row>
    <x:row r="7">
      <x:c r="A7" s="56" t="str">
        <x:v>PRJ-004</x:v>
      </x:c>
      <x:c r="B7" s="56" t="str">
        <x:v>Resilience littorale et drainage urbain</x:v>
      </x:c>
      <x:c r="C7" s="56" t="str">
        <x:v>Banque mondiale / BAD / GCF adaptation</x:v>
      </x:c>
      <x:c r="D7" s="56" t="str">
        <x:v>Pret + subvention</x:v>
      </x:c>
      <x:c r="E7" s="61" t="n">
        <x:v>3200000000</x:v>
      </x:c>
      <x:c r="F7" s="61" t="n">
        <x:v>500000000</x:v>
      </x:c>
      <x:c r="G7" s="56" t="str">
        <x:v>Reduction pertes inondations et submersion</x:v>
      </x:c>
      <x:c r="H7" s="56" t="str">
        <x:v>Investissement public long terme</x:v>
      </x:c>
      <x:c r="I7" s="56" t="str">
        <x:v>Population protegee et actifs resilients</x:v>
      </x:c>
      <x:c r="J7" s="59" t="n">
        <x:v>6</x:v>
      </x:c>
      <x:c r="K7" s="61" t="n">
        <x:v>180000000</x:v>
      </x:c>
      <x:c r="L7" s="61" t="n">
        <x:v>40000000</x:v>
      </x:c>
      <x:c r="M7" s="62" t="n">
        <x:f>IF(A7="","",MIN(100,ROUND(IF(E7&gt;0,10,0)+IFERROR(IF(F7/E7&gt;=0.3,15,IF(F7&gt;0,8,0)),0)+IF(G7&lt;&gt;"",10,0)+IF(H7&lt;&gt;"",8,0)+IF(I7&lt;&gt;"",8,0)+IF(J7&gt;=0.1,12,IF(J7&gt;0,6,0))+IF(K7&gt;0,5,0)+IF(L7&gt;0,5,0)+IF(ISNUMBER(SEARCH("E&amp;S",O7)),5,0)+IF(ISNUMBER(SEARCH("concept",O7)),7,0),0)))</x:f>
        <x:v>73</x:v>
      </x:c>
      <x:c r="N7" s="56" t="str">
        <x:f>IF(A7="","",IF(M7&gt;=75,"Pret concept note",IF(M7&gt;=50,"A structurer","Critique")))</x:f>
        <x:v>A structurer</x:v>
      </x:c>
      <x:c r="O7" s="56" t="str">
        <x:v>Preparer note concept adaptation</x:v>
      </x:c>
    </x:row>
    <x:row r="8">
      <x:c r="A8" s="56"/>
      <x:c r="B8" s="56"/>
      <x:c r="C8" s="56"/>
      <x:c r="D8" s="56"/>
      <x:c r="E8" s="61"/>
      <x:c r="F8" s="61"/>
      <x:c r="G8" s="56"/>
      <x:c r="H8" s="56"/>
      <x:c r="I8" s="56"/>
      <x:c r="J8" s="59"/>
      <x:c r="K8" s="61"/>
      <x:c r="L8" s="61"/>
      <x:c r="M8" s="62" t="str">
        <x:f>IF(A8="","",MIN(100,ROUND(IF(E8&gt;0,10,0)+IFERROR(IF(F8/E8&gt;=0.3,15,IF(F8&gt;0,8,0)),0)+IF(G8&lt;&gt;"",10,0)+IF(H8&lt;&gt;"",8,0)+IF(I8&lt;&gt;"",8,0)+IF(J8&gt;=0.1,12,IF(J8&gt;0,6,0))+IF(K8&gt;0,5,0)+IF(L8&gt;0,5,0)+IF(ISNUMBER(SEARCH("E&amp;S",O8)),5,0)+IF(ISNUMBER(SEARCH("concept",O8)),7,0),0)))</x:f>
      </x:c>
      <x:c r="N8" s="56" t="str">
        <x:f>IF(A8="","",IF(M8&gt;=75,"Pret concept note",IF(M8&gt;=50,"A structurer","Critique")))</x:f>
      </x:c>
      <x:c r="O8" s="56"/>
    </x:row>
    <x:row r="9">
      <x:c r="A9" s="56"/>
      <x:c r="B9" s="56"/>
      <x:c r="C9" s="56"/>
      <x:c r="D9" s="56"/>
      <x:c r="E9" s="61"/>
      <x:c r="F9" s="61"/>
      <x:c r="G9" s="56"/>
      <x:c r="H9" s="56"/>
      <x:c r="I9" s="56"/>
      <x:c r="J9" s="59"/>
      <x:c r="K9" s="61"/>
      <x:c r="L9" s="61"/>
      <x:c r="M9" s="62" t="str">
        <x:f>IF(A9="","",MIN(100,ROUND(IF(E9&gt;0,10,0)+IFERROR(IF(F9/E9&gt;=0.3,15,IF(F9&gt;0,8,0)),0)+IF(G9&lt;&gt;"",10,0)+IF(H9&lt;&gt;"",8,0)+IF(I9&lt;&gt;"",8,0)+IF(J9&gt;=0.1,12,IF(J9&gt;0,6,0))+IF(K9&gt;0,5,0)+IF(L9&gt;0,5,0)+IF(ISNUMBER(SEARCH("E&amp;S",O9)),5,0)+IF(ISNUMBER(SEARCH("concept",O9)),7,0),0)))</x:f>
      </x:c>
      <x:c r="N9" s="56" t="str">
        <x:f>IF(A9="","",IF(M9&gt;=75,"Pret concept note",IF(M9&gt;=50,"A structurer","Critique")))</x:f>
      </x:c>
      <x:c r="O9" s="56"/>
    </x:row>
    <x:row r="10">
      <x:c r="A10" s="56"/>
      <x:c r="B10" s="56"/>
      <x:c r="C10" s="56"/>
      <x:c r="D10" s="56"/>
      <x:c r="E10" s="61"/>
      <x:c r="F10" s="61"/>
      <x:c r="G10" s="56"/>
      <x:c r="H10" s="56"/>
      <x:c r="I10" s="56"/>
      <x:c r="J10" s="59"/>
      <x:c r="K10" s="61"/>
      <x:c r="L10" s="61"/>
      <x:c r="M10" s="62" t="str">
        <x:f>IF(A10="","",MIN(100,ROUND(IF(E10&gt;0,10,0)+IFERROR(IF(F10/E10&gt;=0.3,15,IF(F10&gt;0,8,0)),0)+IF(G10&lt;&gt;"",10,0)+IF(H10&lt;&gt;"",8,0)+IF(I10&lt;&gt;"",8,0)+IF(J10&gt;=0.1,12,IF(J10&gt;0,6,0))+IF(K10&gt;0,5,0)+IF(L10&gt;0,5,0)+IF(ISNUMBER(SEARCH("E&amp;S",O10)),5,0)+IF(ISNUMBER(SEARCH("concept",O10)),7,0),0)))</x:f>
      </x:c>
      <x:c r="N10" s="56" t="str">
        <x:f>IF(A10="","",IF(M10&gt;=75,"Pret concept note",IF(M10&gt;=50,"A structurer","Critique")))</x:f>
      </x:c>
      <x:c r="O10" s="56"/>
    </x:row>
    <x:row r="11">
      <x:c r="A11" s="56"/>
      <x:c r="B11" s="56"/>
      <x:c r="C11" s="56"/>
      <x:c r="D11" s="56"/>
      <x:c r="E11" s="61"/>
      <x:c r="F11" s="61"/>
      <x:c r="G11" s="56"/>
      <x:c r="H11" s="56"/>
      <x:c r="I11" s="56"/>
      <x:c r="J11" s="59"/>
      <x:c r="K11" s="61"/>
      <x:c r="L11" s="61"/>
      <x:c r="M11" s="62" t="str">
        <x:f>IF(A11="","",MIN(100,ROUND(IF(E11&gt;0,10,0)+IFERROR(IF(F11/E11&gt;=0.3,15,IF(F11&gt;0,8,0)),0)+IF(G11&lt;&gt;"",10,0)+IF(H11&lt;&gt;"",8,0)+IF(I11&lt;&gt;"",8,0)+IF(J11&gt;=0.1,12,IF(J11&gt;0,6,0))+IF(K11&gt;0,5,0)+IF(L11&gt;0,5,0)+IF(ISNUMBER(SEARCH("E&amp;S",O11)),5,0)+IF(ISNUMBER(SEARCH("concept",O11)),7,0),0)))</x:f>
      </x:c>
      <x:c r="N11" s="56" t="str">
        <x:f>IF(A11="","",IF(M11&gt;=75,"Pret concept note",IF(M11&gt;=50,"A structurer","Critique")))</x:f>
      </x:c>
      <x:c r="O11" s="56"/>
    </x:row>
    <x:row r="12">
      <x:c r="A12" s="56"/>
      <x:c r="B12" s="56"/>
      <x:c r="C12" s="56"/>
      <x:c r="D12" s="56"/>
      <x:c r="E12" s="61"/>
      <x:c r="F12" s="61"/>
      <x:c r="G12" s="56"/>
      <x:c r="H12" s="56"/>
      <x:c r="I12" s="56"/>
      <x:c r="J12" s="59"/>
      <x:c r="K12" s="61"/>
      <x:c r="L12" s="61"/>
      <x:c r="M12" s="62" t="str">
        <x:f>IF(A12="","",MIN(100,ROUND(IF(E12&gt;0,10,0)+IFERROR(IF(F12/E12&gt;=0.3,15,IF(F12&gt;0,8,0)),0)+IF(G12&lt;&gt;"",10,0)+IF(H12&lt;&gt;"",8,0)+IF(I12&lt;&gt;"",8,0)+IF(J12&gt;=0.1,12,IF(J12&gt;0,6,0))+IF(K12&gt;0,5,0)+IF(L12&gt;0,5,0)+IF(ISNUMBER(SEARCH("E&amp;S",O12)),5,0)+IF(ISNUMBER(SEARCH("concept",O12)),7,0),0)))</x:f>
      </x:c>
      <x:c r="N12" s="56" t="str">
        <x:f>IF(A12="","",IF(M12&gt;=75,"Pret concept note",IF(M12&gt;=50,"A structurer","Critique")))</x:f>
      </x:c>
      <x:c r="O12" s="56"/>
    </x:row>
    <x:row r="13">
      <x:c r="A13" s="56"/>
      <x:c r="B13" s="56"/>
      <x:c r="C13" s="56"/>
      <x:c r="D13" s="56"/>
      <x:c r="E13" s="61"/>
      <x:c r="F13" s="61"/>
      <x:c r="G13" s="56"/>
      <x:c r="H13" s="56"/>
      <x:c r="I13" s="56"/>
      <x:c r="J13" s="59"/>
      <x:c r="K13" s="61"/>
      <x:c r="L13" s="61"/>
      <x:c r="M13" s="62" t="str">
        <x:f>IF(A13="","",MIN(100,ROUND(IF(E13&gt;0,10,0)+IFERROR(IF(F13/E13&gt;=0.3,15,IF(F13&gt;0,8,0)),0)+IF(G13&lt;&gt;"",10,0)+IF(H13&lt;&gt;"",8,0)+IF(I13&lt;&gt;"",8,0)+IF(J13&gt;=0.1,12,IF(J13&gt;0,6,0))+IF(K13&gt;0,5,0)+IF(L13&gt;0,5,0)+IF(ISNUMBER(SEARCH("E&amp;S",O13)),5,0)+IF(ISNUMBER(SEARCH("concept",O13)),7,0),0)))</x:f>
      </x:c>
      <x:c r="N13" s="56" t="str">
        <x:f>IF(A13="","",IF(M13&gt;=75,"Pret concept note",IF(M13&gt;=50,"A structurer","Critique")))</x:f>
      </x:c>
      <x:c r="O13" s="56"/>
    </x:row>
    <x:row r="14">
      <x:c r="A14" s="56"/>
      <x:c r="B14" s="56"/>
      <x:c r="C14" s="56"/>
      <x:c r="D14" s="56"/>
      <x:c r="E14" s="61"/>
      <x:c r="F14" s="61"/>
      <x:c r="G14" s="56"/>
      <x:c r="H14" s="56"/>
      <x:c r="I14" s="56"/>
      <x:c r="J14" s="59"/>
      <x:c r="K14" s="61"/>
      <x:c r="L14" s="61"/>
      <x:c r="M14" s="62" t="str">
        <x:f>IF(A14="","",MIN(100,ROUND(IF(E14&gt;0,10,0)+IFERROR(IF(F14/E14&gt;=0.3,15,IF(F14&gt;0,8,0)),0)+IF(G14&lt;&gt;"",10,0)+IF(H14&lt;&gt;"",8,0)+IF(I14&lt;&gt;"",8,0)+IF(J14&gt;=0.1,12,IF(J14&gt;0,6,0))+IF(K14&gt;0,5,0)+IF(L14&gt;0,5,0)+IF(ISNUMBER(SEARCH("E&amp;S",O14)),5,0)+IF(ISNUMBER(SEARCH("concept",O14)),7,0),0)))</x:f>
      </x:c>
      <x:c r="N14" s="56" t="str">
        <x:f>IF(A14="","",IF(M14&gt;=75,"Pret concept note",IF(M14&gt;=50,"A structurer","Critique")))</x:f>
      </x:c>
      <x:c r="O14" s="56"/>
    </x:row>
    <x:row r="15">
      <x:c r="A15" s="56"/>
      <x:c r="B15" s="56"/>
      <x:c r="C15" s="56"/>
      <x:c r="D15" s="56"/>
      <x:c r="E15" s="61"/>
      <x:c r="F15" s="61"/>
      <x:c r="G15" s="56"/>
      <x:c r="H15" s="56"/>
      <x:c r="I15" s="56"/>
      <x:c r="J15" s="59"/>
      <x:c r="K15" s="61"/>
      <x:c r="L15" s="61"/>
      <x:c r="M15" s="62" t="str">
        <x:f>IF(A15="","",MIN(100,ROUND(IF(E15&gt;0,10,0)+IFERROR(IF(F15/E15&gt;=0.3,15,IF(F15&gt;0,8,0)),0)+IF(G15&lt;&gt;"",10,0)+IF(H15&lt;&gt;"",8,0)+IF(I15&lt;&gt;"",8,0)+IF(J15&gt;=0.1,12,IF(J15&gt;0,6,0))+IF(K15&gt;0,5,0)+IF(L15&gt;0,5,0)+IF(ISNUMBER(SEARCH("E&amp;S",O15)),5,0)+IF(ISNUMBER(SEARCH("concept",O15)),7,0),0)))</x:f>
      </x:c>
      <x:c r="N15" s="56" t="str">
        <x:f>IF(A15="","",IF(M15&gt;=75,"Pret concept note",IF(M15&gt;=50,"A structurer","Critique")))</x:f>
      </x:c>
      <x:c r="O15" s="56"/>
    </x:row>
    <x:row r="16">
      <x:c r="A16" s="56"/>
      <x:c r="B16" s="56"/>
      <x:c r="C16" s="56"/>
      <x:c r="D16" s="56"/>
      <x:c r="E16" s="61"/>
      <x:c r="F16" s="61"/>
      <x:c r="G16" s="56"/>
      <x:c r="H16" s="56"/>
      <x:c r="I16" s="56"/>
      <x:c r="J16" s="59"/>
      <x:c r="K16" s="61"/>
      <x:c r="L16" s="61"/>
      <x:c r="M16" s="62" t="str">
        <x:f>IF(A16="","",MIN(100,ROUND(IF(E16&gt;0,10,0)+IFERROR(IF(F16/E16&gt;=0.3,15,IF(F16&gt;0,8,0)),0)+IF(G16&lt;&gt;"",10,0)+IF(H16&lt;&gt;"",8,0)+IF(I16&lt;&gt;"",8,0)+IF(J16&gt;=0.1,12,IF(J16&gt;0,6,0))+IF(K16&gt;0,5,0)+IF(L16&gt;0,5,0)+IF(ISNUMBER(SEARCH("E&amp;S",O16)),5,0)+IF(ISNUMBER(SEARCH("concept",O16)),7,0),0)))</x:f>
      </x:c>
      <x:c r="N16" s="56" t="str">
        <x:f>IF(A16="","",IF(M16&gt;=75,"Pret concept note",IF(M16&gt;=50,"A structurer","Critique")))</x:f>
      </x:c>
      <x:c r="O16" s="56"/>
    </x:row>
    <x:row r="17">
      <x:c r="A17" s="56"/>
      <x:c r="B17" s="56"/>
      <x:c r="C17" s="56"/>
      <x:c r="D17" s="56"/>
      <x:c r="E17" s="61"/>
      <x:c r="F17" s="61"/>
      <x:c r="G17" s="56"/>
      <x:c r="H17" s="56"/>
      <x:c r="I17" s="56"/>
      <x:c r="J17" s="59"/>
      <x:c r="K17" s="61"/>
      <x:c r="L17" s="61"/>
      <x:c r="M17" s="62" t="str">
        <x:f>IF(A17="","",MIN(100,ROUND(IF(E17&gt;0,10,0)+IFERROR(IF(F17/E17&gt;=0.3,15,IF(F17&gt;0,8,0)),0)+IF(G17&lt;&gt;"",10,0)+IF(H17&lt;&gt;"",8,0)+IF(I17&lt;&gt;"",8,0)+IF(J17&gt;=0.1,12,IF(J17&gt;0,6,0))+IF(K17&gt;0,5,0)+IF(L17&gt;0,5,0)+IF(ISNUMBER(SEARCH("E&amp;S",O17)),5,0)+IF(ISNUMBER(SEARCH("concept",O17)),7,0),0)))</x:f>
      </x:c>
      <x:c r="N17" s="56" t="str">
        <x:f>IF(A17="","",IF(M17&gt;=75,"Pret concept note",IF(M17&gt;=50,"A structurer","Critique")))</x:f>
      </x:c>
      <x:c r="O17" s="56"/>
    </x:row>
    <x:row r="18">
      <x:c r="A18" s="56"/>
      <x:c r="B18" s="56"/>
      <x:c r="C18" s="56"/>
      <x:c r="D18" s="56"/>
      <x:c r="E18" s="61"/>
      <x:c r="F18" s="61"/>
      <x:c r="G18" s="56"/>
      <x:c r="H18" s="56"/>
      <x:c r="I18" s="56"/>
      <x:c r="J18" s="59"/>
      <x:c r="K18" s="61"/>
      <x:c r="L18" s="61"/>
      <x:c r="M18" s="62" t="str">
        <x:f>IF(A18="","",MIN(100,ROUND(IF(E18&gt;0,10,0)+IFERROR(IF(F18/E18&gt;=0.3,15,IF(F18&gt;0,8,0)),0)+IF(G18&lt;&gt;"",10,0)+IF(H18&lt;&gt;"",8,0)+IF(I18&lt;&gt;"",8,0)+IF(J18&gt;=0.1,12,IF(J18&gt;0,6,0))+IF(K18&gt;0,5,0)+IF(L18&gt;0,5,0)+IF(ISNUMBER(SEARCH("E&amp;S",O18)),5,0)+IF(ISNUMBER(SEARCH("concept",O18)),7,0),0)))</x:f>
      </x:c>
      <x:c r="N18" s="56" t="str">
        <x:f>IF(A18="","",IF(M18&gt;=75,"Pret concept note",IF(M18&gt;=50,"A structurer","Critique")))</x:f>
      </x:c>
      <x:c r="O18" s="56"/>
    </x:row>
    <x:row r="19">
      <x:c r="A19" s="56"/>
      <x:c r="B19" s="56"/>
      <x:c r="C19" s="56"/>
      <x:c r="D19" s="56"/>
      <x:c r="E19" s="61"/>
      <x:c r="F19" s="61"/>
      <x:c r="G19" s="56"/>
      <x:c r="H19" s="56"/>
      <x:c r="I19" s="56"/>
      <x:c r="J19" s="59"/>
      <x:c r="K19" s="61"/>
      <x:c r="L19" s="61"/>
      <x:c r="M19" s="62" t="str">
        <x:f>IF(A19="","",MIN(100,ROUND(IF(E19&gt;0,10,0)+IFERROR(IF(F19/E19&gt;=0.3,15,IF(F19&gt;0,8,0)),0)+IF(G19&lt;&gt;"",10,0)+IF(H19&lt;&gt;"",8,0)+IF(I19&lt;&gt;"",8,0)+IF(J19&gt;=0.1,12,IF(J19&gt;0,6,0))+IF(K19&gt;0,5,0)+IF(L19&gt;0,5,0)+IF(ISNUMBER(SEARCH("E&amp;S",O19)),5,0)+IF(ISNUMBER(SEARCH("concept",O19)),7,0),0)))</x:f>
      </x:c>
      <x:c r="N19" s="56" t="str">
        <x:f>IF(A19="","",IF(M19&gt;=75,"Pret concept note",IF(M19&gt;=50,"A structurer","Critique")))</x:f>
      </x:c>
      <x:c r="O19" s="56"/>
    </x:row>
    <x:row r="20">
      <x:c r="A20" s="56"/>
      <x:c r="B20" s="56"/>
      <x:c r="C20" s="56"/>
      <x:c r="D20" s="56"/>
      <x:c r="E20" s="61"/>
      <x:c r="F20" s="61"/>
      <x:c r="G20" s="56"/>
      <x:c r="H20" s="56"/>
      <x:c r="I20" s="56"/>
      <x:c r="J20" s="59"/>
      <x:c r="K20" s="61"/>
      <x:c r="L20" s="61"/>
      <x:c r="M20" s="62" t="str">
        <x:f>IF(A20="","",MIN(100,ROUND(IF(E20&gt;0,10,0)+IFERROR(IF(F20/E20&gt;=0.3,15,IF(F20&gt;0,8,0)),0)+IF(G20&lt;&gt;"",10,0)+IF(H20&lt;&gt;"",8,0)+IF(I20&lt;&gt;"",8,0)+IF(J20&gt;=0.1,12,IF(J20&gt;0,6,0))+IF(K20&gt;0,5,0)+IF(L20&gt;0,5,0)+IF(ISNUMBER(SEARCH("E&amp;S",O20)),5,0)+IF(ISNUMBER(SEARCH("concept",O20)),7,0),0)))</x:f>
      </x:c>
      <x:c r="N20" s="56" t="str">
        <x:f>IF(A20="","",IF(M20&gt;=75,"Pret concept note",IF(M20&gt;=50,"A structurer","Critique")))</x:f>
      </x:c>
      <x:c r="O20" s="56"/>
    </x:row>
    <x:row r="21">
      <x:c r="A21" s="56"/>
      <x:c r="B21" s="56"/>
      <x:c r="C21" s="56"/>
      <x:c r="D21" s="56"/>
      <x:c r="E21" s="61"/>
      <x:c r="F21" s="61"/>
      <x:c r="G21" s="56"/>
      <x:c r="H21" s="56"/>
      <x:c r="I21" s="56"/>
      <x:c r="J21" s="59"/>
      <x:c r="K21" s="61"/>
      <x:c r="L21" s="61"/>
      <x:c r="M21" s="62" t="str">
        <x:f>IF(A21="","",MIN(100,ROUND(IF(E21&gt;0,10,0)+IFERROR(IF(F21/E21&gt;=0.3,15,IF(F21&gt;0,8,0)),0)+IF(G21&lt;&gt;"",10,0)+IF(H21&lt;&gt;"",8,0)+IF(I21&lt;&gt;"",8,0)+IF(J21&gt;=0.1,12,IF(J21&gt;0,6,0))+IF(K21&gt;0,5,0)+IF(L21&gt;0,5,0)+IF(ISNUMBER(SEARCH("E&amp;S",O21)),5,0)+IF(ISNUMBER(SEARCH("concept",O21)),7,0),0)))</x:f>
      </x:c>
      <x:c r="N21" s="56" t="str">
        <x:f>IF(A21="","",IF(M21&gt;=75,"Pret concept note",IF(M21&gt;=50,"A structurer","Critique")))</x:f>
      </x:c>
      <x:c r="O21" s="56"/>
    </x:row>
    <x:row r="22">
      <x:c r="A22" s="56"/>
      <x:c r="B22" s="56"/>
      <x:c r="C22" s="56"/>
      <x:c r="D22" s="56"/>
      <x:c r="E22" s="61"/>
      <x:c r="F22" s="61"/>
      <x:c r="G22" s="56"/>
      <x:c r="H22" s="56"/>
      <x:c r="I22" s="56"/>
      <x:c r="J22" s="59"/>
      <x:c r="K22" s="61"/>
      <x:c r="L22" s="61"/>
      <x:c r="M22" s="62" t="str">
        <x:f>IF(A22="","",MIN(100,ROUND(IF(E22&gt;0,10,0)+IFERROR(IF(F22/E22&gt;=0.3,15,IF(F22&gt;0,8,0)),0)+IF(G22&lt;&gt;"",10,0)+IF(H22&lt;&gt;"",8,0)+IF(I22&lt;&gt;"",8,0)+IF(J22&gt;=0.1,12,IF(J22&gt;0,6,0))+IF(K22&gt;0,5,0)+IF(L22&gt;0,5,0)+IF(ISNUMBER(SEARCH("E&amp;S",O22)),5,0)+IF(ISNUMBER(SEARCH("concept",O22)),7,0),0)))</x:f>
      </x:c>
      <x:c r="N22" s="56" t="str">
        <x:f>IF(A22="","",IF(M22&gt;=75,"Pret concept note",IF(M22&gt;=50,"A structurer","Critique")))</x:f>
      </x:c>
      <x:c r="O22" s="56"/>
    </x:row>
    <x:row r="23">
      <x:c r="A23" s="56"/>
      <x:c r="B23" s="56"/>
      <x:c r="C23" s="56"/>
      <x:c r="D23" s="56"/>
      <x:c r="E23" s="61"/>
      <x:c r="F23" s="61"/>
      <x:c r="G23" s="56"/>
      <x:c r="H23" s="56"/>
      <x:c r="I23" s="56"/>
      <x:c r="J23" s="59"/>
      <x:c r="K23" s="61"/>
      <x:c r="L23" s="61"/>
      <x:c r="M23" s="62" t="str">
        <x:f>IF(A23="","",MIN(100,ROUND(IF(E23&gt;0,10,0)+IFERROR(IF(F23/E23&gt;=0.3,15,IF(F23&gt;0,8,0)),0)+IF(G23&lt;&gt;"",10,0)+IF(H23&lt;&gt;"",8,0)+IF(I23&lt;&gt;"",8,0)+IF(J23&gt;=0.1,12,IF(J23&gt;0,6,0))+IF(K23&gt;0,5,0)+IF(L23&gt;0,5,0)+IF(ISNUMBER(SEARCH("E&amp;S",O23)),5,0)+IF(ISNUMBER(SEARCH("concept",O23)),7,0),0)))</x:f>
      </x:c>
      <x:c r="N23" s="56" t="str">
        <x:f>IF(A23="","",IF(M23&gt;=75,"Pret concept note",IF(M23&gt;=50,"A structurer","Critique")))</x:f>
      </x:c>
      <x:c r="O23" s="56"/>
    </x:row>
    <x:row r="24">
      <x:c r="A24" s="56"/>
      <x:c r="B24" s="56"/>
      <x:c r="C24" s="56"/>
      <x:c r="D24" s="56"/>
      <x:c r="E24" s="61"/>
      <x:c r="F24" s="61"/>
      <x:c r="G24" s="56"/>
      <x:c r="H24" s="56"/>
      <x:c r="I24" s="56"/>
      <x:c r="J24" s="59"/>
      <x:c r="K24" s="61"/>
      <x:c r="L24" s="61"/>
      <x:c r="M24" s="62" t="str">
        <x:f>IF(A24="","",MIN(100,ROUND(IF(E24&gt;0,10,0)+IFERROR(IF(F24/E24&gt;=0.3,15,IF(F24&gt;0,8,0)),0)+IF(G24&lt;&gt;"",10,0)+IF(H24&lt;&gt;"",8,0)+IF(I24&lt;&gt;"",8,0)+IF(J24&gt;=0.1,12,IF(J24&gt;0,6,0))+IF(K24&gt;0,5,0)+IF(L24&gt;0,5,0)+IF(ISNUMBER(SEARCH("E&amp;S",O24)),5,0)+IF(ISNUMBER(SEARCH("concept",O24)),7,0),0)))</x:f>
      </x:c>
      <x:c r="N24" s="56" t="str">
        <x:f>IF(A24="","",IF(M24&gt;=75,"Pret concept note",IF(M24&gt;=50,"A structurer","Critique")))</x:f>
      </x:c>
      <x:c r="O24" s="56"/>
    </x:row>
    <x:row r="25">
      <x:c r="A25" s="56"/>
      <x:c r="B25" s="56"/>
      <x:c r="C25" s="56"/>
      <x:c r="D25" s="56"/>
      <x:c r="E25" s="61"/>
      <x:c r="F25" s="61"/>
      <x:c r="G25" s="56"/>
      <x:c r="H25" s="56"/>
      <x:c r="I25" s="56"/>
      <x:c r="J25" s="59"/>
      <x:c r="K25" s="61"/>
      <x:c r="L25" s="61"/>
      <x:c r="M25" s="62" t="str">
        <x:f>IF(A25="","",MIN(100,ROUND(IF(E25&gt;0,10,0)+IFERROR(IF(F25/E25&gt;=0.3,15,IF(F25&gt;0,8,0)),0)+IF(G25&lt;&gt;"",10,0)+IF(H25&lt;&gt;"",8,0)+IF(I25&lt;&gt;"",8,0)+IF(J25&gt;=0.1,12,IF(J25&gt;0,6,0))+IF(K25&gt;0,5,0)+IF(L25&gt;0,5,0)+IF(ISNUMBER(SEARCH("E&amp;S",O25)),5,0)+IF(ISNUMBER(SEARCH("concept",O25)),7,0),0)))</x:f>
      </x:c>
      <x:c r="N25" s="56" t="str">
        <x:f>IF(A25="","",IF(M25&gt;=75,"Pret concept note",IF(M25&gt;=50,"A structurer","Critique")))</x:f>
      </x:c>
      <x:c r="O25" s="56"/>
    </x:row>
    <x:row r="26">
      <x:c r="A26" s="56"/>
      <x:c r="B26" s="56"/>
      <x:c r="C26" s="56"/>
      <x:c r="D26" s="56"/>
      <x:c r="E26" s="61"/>
      <x:c r="F26" s="61"/>
      <x:c r="G26" s="56"/>
      <x:c r="H26" s="56"/>
      <x:c r="I26" s="56"/>
      <x:c r="J26" s="59"/>
      <x:c r="K26" s="61"/>
      <x:c r="L26" s="61"/>
      <x:c r="M26" s="62" t="str">
        <x:f>IF(A26="","",MIN(100,ROUND(IF(E26&gt;0,10,0)+IFERROR(IF(F26/E26&gt;=0.3,15,IF(F26&gt;0,8,0)),0)+IF(G26&lt;&gt;"",10,0)+IF(H26&lt;&gt;"",8,0)+IF(I26&lt;&gt;"",8,0)+IF(J26&gt;=0.1,12,IF(J26&gt;0,6,0))+IF(K26&gt;0,5,0)+IF(L26&gt;0,5,0)+IF(ISNUMBER(SEARCH("E&amp;S",O26)),5,0)+IF(ISNUMBER(SEARCH("concept",O26)),7,0),0)))</x:f>
      </x:c>
      <x:c r="N26" s="56" t="str">
        <x:f>IF(A26="","",IF(M26&gt;=75,"Pret concept note",IF(M26&gt;=50,"A structurer","Critique")))</x:f>
      </x:c>
      <x:c r="O26" s="56"/>
    </x:row>
    <x:row r="27">
      <x:c r="A27" s="56"/>
      <x:c r="B27" s="56"/>
      <x:c r="C27" s="56"/>
      <x:c r="D27" s="56"/>
      <x:c r="E27" s="61"/>
      <x:c r="F27" s="61"/>
      <x:c r="G27" s="56"/>
      <x:c r="H27" s="56"/>
      <x:c r="I27" s="56"/>
      <x:c r="J27" s="59"/>
      <x:c r="K27" s="61"/>
      <x:c r="L27" s="61"/>
      <x:c r="M27" s="62" t="str">
        <x:f>IF(A27="","",MIN(100,ROUND(IF(E27&gt;0,10,0)+IFERROR(IF(F27/E27&gt;=0.3,15,IF(F27&gt;0,8,0)),0)+IF(G27&lt;&gt;"",10,0)+IF(H27&lt;&gt;"",8,0)+IF(I27&lt;&gt;"",8,0)+IF(J27&gt;=0.1,12,IF(J27&gt;0,6,0))+IF(K27&gt;0,5,0)+IF(L27&gt;0,5,0)+IF(ISNUMBER(SEARCH("E&amp;S",O27)),5,0)+IF(ISNUMBER(SEARCH("concept",O27)),7,0),0)))</x:f>
      </x:c>
      <x:c r="N27" s="56" t="str">
        <x:f>IF(A27="","",IF(M27&gt;=75,"Pret concept note",IF(M27&gt;=50,"A structurer","Critique")))</x:f>
      </x:c>
      <x:c r="O27" s="56"/>
    </x:row>
    <x:row r="28">
      <x:c r="A28" s="56"/>
      <x:c r="B28" s="56"/>
      <x:c r="C28" s="56"/>
      <x:c r="D28" s="56"/>
      <x:c r="E28" s="61"/>
      <x:c r="F28" s="61"/>
      <x:c r="G28" s="56"/>
      <x:c r="H28" s="56"/>
      <x:c r="I28" s="56"/>
      <x:c r="J28" s="59"/>
      <x:c r="K28" s="61"/>
      <x:c r="L28" s="61"/>
      <x:c r="M28" s="62" t="str">
        <x:f>IF(A28="","",MIN(100,ROUND(IF(E28&gt;0,10,0)+IFERROR(IF(F28/E28&gt;=0.3,15,IF(F28&gt;0,8,0)),0)+IF(G28&lt;&gt;"",10,0)+IF(H28&lt;&gt;"",8,0)+IF(I28&lt;&gt;"",8,0)+IF(J28&gt;=0.1,12,IF(J28&gt;0,6,0))+IF(K28&gt;0,5,0)+IF(L28&gt;0,5,0)+IF(ISNUMBER(SEARCH("E&amp;S",O28)),5,0)+IF(ISNUMBER(SEARCH("concept",O28)),7,0),0)))</x:f>
      </x:c>
      <x:c r="N28" s="56" t="str">
        <x:f>IF(A28="","",IF(M28&gt;=75,"Pret concept note",IF(M28&gt;=50,"A structurer","Critique")))</x:f>
      </x:c>
      <x:c r="O28" s="56"/>
    </x:row>
    <x:row r="29">
      <x:c r="A29" s="56"/>
      <x:c r="B29" s="56"/>
      <x:c r="C29" s="56"/>
      <x:c r="D29" s="56"/>
      <x:c r="E29" s="61"/>
      <x:c r="F29" s="61"/>
      <x:c r="G29" s="56"/>
      <x:c r="H29" s="56"/>
      <x:c r="I29" s="56"/>
      <x:c r="J29" s="59"/>
      <x:c r="K29" s="61"/>
      <x:c r="L29" s="61"/>
      <x:c r="M29" s="62" t="str">
        <x:f>IF(A29="","",MIN(100,ROUND(IF(E29&gt;0,10,0)+IFERROR(IF(F29/E29&gt;=0.3,15,IF(F29&gt;0,8,0)),0)+IF(G29&lt;&gt;"",10,0)+IF(H29&lt;&gt;"",8,0)+IF(I29&lt;&gt;"",8,0)+IF(J29&gt;=0.1,12,IF(J29&gt;0,6,0))+IF(K29&gt;0,5,0)+IF(L29&gt;0,5,0)+IF(ISNUMBER(SEARCH("E&amp;S",O29)),5,0)+IF(ISNUMBER(SEARCH("concept",O29)),7,0),0)))</x:f>
      </x:c>
      <x:c r="N29" s="56" t="str">
        <x:f>IF(A29="","",IF(M29&gt;=75,"Pret concept note",IF(M29&gt;=50,"A structurer","Critique")))</x:f>
      </x:c>
      <x:c r="O29" s="56"/>
    </x:row>
    <x:row r="30">
      <x:c r="A30" s="56"/>
      <x:c r="B30" s="56"/>
      <x:c r="C30" s="56"/>
      <x:c r="D30" s="56"/>
      <x:c r="E30" s="61"/>
      <x:c r="F30" s="61"/>
      <x:c r="G30" s="56"/>
      <x:c r="H30" s="56"/>
      <x:c r="I30" s="56"/>
      <x:c r="J30" s="59"/>
      <x:c r="K30" s="61"/>
      <x:c r="L30" s="61"/>
      <x:c r="M30" s="62" t="str">
        <x:f>IF(A30="","",MIN(100,ROUND(IF(E30&gt;0,10,0)+IFERROR(IF(F30/E30&gt;=0.3,15,IF(F30&gt;0,8,0)),0)+IF(G30&lt;&gt;"",10,0)+IF(H30&lt;&gt;"",8,0)+IF(I30&lt;&gt;"",8,0)+IF(J30&gt;=0.1,12,IF(J30&gt;0,6,0))+IF(K30&gt;0,5,0)+IF(L30&gt;0,5,0)+IF(ISNUMBER(SEARCH("E&amp;S",O30)),5,0)+IF(ISNUMBER(SEARCH("concept",O30)),7,0),0)))</x:f>
      </x:c>
      <x:c r="N30" s="56" t="str">
        <x:f>IF(A30="","",IF(M30&gt;=75,"Pret concept note",IF(M30&gt;=50,"A structurer","Critique")))</x:f>
      </x:c>
      <x:c r="O30" s="56"/>
    </x:row>
    <x:row r="31">
      <x:c r="A31" s="56"/>
      <x:c r="B31" s="56"/>
      <x:c r="C31" s="56"/>
      <x:c r="D31" s="56"/>
      <x:c r="E31" s="61"/>
      <x:c r="F31" s="61"/>
      <x:c r="G31" s="56"/>
      <x:c r="H31" s="56"/>
      <x:c r="I31" s="56"/>
      <x:c r="J31" s="59"/>
      <x:c r="K31" s="61"/>
      <x:c r="L31" s="61"/>
      <x:c r="M31" s="62" t="str">
        <x:f>IF(A31="","",MIN(100,ROUND(IF(E31&gt;0,10,0)+IFERROR(IF(F31/E31&gt;=0.3,15,IF(F31&gt;0,8,0)),0)+IF(G31&lt;&gt;"",10,0)+IF(H31&lt;&gt;"",8,0)+IF(I31&lt;&gt;"",8,0)+IF(J31&gt;=0.1,12,IF(J31&gt;0,6,0))+IF(K31&gt;0,5,0)+IF(L31&gt;0,5,0)+IF(ISNUMBER(SEARCH("E&amp;S",O31)),5,0)+IF(ISNUMBER(SEARCH("concept",O31)),7,0),0)))</x:f>
      </x:c>
      <x:c r="N31" s="56" t="str">
        <x:f>IF(A31="","",IF(M31&gt;=75,"Pret concept note",IF(M31&gt;=50,"A structurer","Critique")))</x:f>
      </x:c>
      <x:c r="O31" s="56"/>
    </x:row>
    <x:row r="32">
      <x:c r="A32" s="56"/>
      <x:c r="B32" s="56"/>
      <x:c r="C32" s="56"/>
      <x:c r="D32" s="56"/>
      <x:c r="E32" s="61"/>
      <x:c r="F32" s="61"/>
      <x:c r="G32" s="56"/>
      <x:c r="H32" s="56"/>
      <x:c r="I32" s="56"/>
      <x:c r="J32" s="59"/>
      <x:c r="K32" s="61"/>
      <x:c r="L32" s="61"/>
      <x:c r="M32" s="62" t="str">
        <x:f>IF(A32="","",MIN(100,ROUND(IF(E32&gt;0,10,0)+IFERROR(IF(F32/E32&gt;=0.3,15,IF(F32&gt;0,8,0)),0)+IF(G32&lt;&gt;"",10,0)+IF(H32&lt;&gt;"",8,0)+IF(I32&lt;&gt;"",8,0)+IF(J32&gt;=0.1,12,IF(J32&gt;0,6,0))+IF(K32&gt;0,5,0)+IF(L32&gt;0,5,0)+IF(ISNUMBER(SEARCH("E&amp;S",O32)),5,0)+IF(ISNUMBER(SEARCH("concept",O32)),7,0),0)))</x:f>
      </x:c>
      <x:c r="N32" s="56" t="str">
        <x:f>IF(A32="","",IF(M32&gt;=75,"Pret concept note",IF(M32&gt;=50,"A structurer","Critique")))</x:f>
      </x:c>
      <x:c r="O32" s="56"/>
    </x:row>
    <x:row r="33">
      <x:c r="A33" s="56"/>
      <x:c r="B33" s="56"/>
      <x:c r="C33" s="56"/>
      <x:c r="D33" s="56"/>
      <x:c r="E33" s="61"/>
      <x:c r="F33" s="61"/>
      <x:c r="G33" s="56"/>
      <x:c r="H33" s="56"/>
      <x:c r="I33" s="56"/>
      <x:c r="J33" s="59"/>
      <x:c r="K33" s="61"/>
      <x:c r="L33" s="61"/>
      <x:c r="M33" s="62" t="str">
        <x:f>IF(A33="","",MIN(100,ROUND(IF(E33&gt;0,10,0)+IFERROR(IF(F33/E33&gt;=0.3,15,IF(F33&gt;0,8,0)),0)+IF(G33&lt;&gt;"",10,0)+IF(H33&lt;&gt;"",8,0)+IF(I33&lt;&gt;"",8,0)+IF(J33&gt;=0.1,12,IF(J33&gt;0,6,0))+IF(K33&gt;0,5,0)+IF(L33&gt;0,5,0)+IF(ISNUMBER(SEARCH("E&amp;S",O33)),5,0)+IF(ISNUMBER(SEARCH("concept",O33)),7,0),0)))</x:f>
      </x:c>
      <x:c r="N33" s="56" t="str">
        <x:f>IF(A33="","",IF(M33&gt;=75,"Pret concept note",IF(M33&gt;=50,"A structurer","Critique")))</x:f>
      </x:c>
      <x:c r="O33" s="56"/>
    </x:row>
    <x:row r="34">
      <x:c r="A34" s="56"/>
      <x:c r="B34" s="56"/>
      <x:c r="C34" s="56"/>
      <x:c r="D34" s="56"/>
      <x:c r="E34" s="61"/>
      <x:c r="F34" s="61"/>
      <x:c r="G34" s="56"/>
      <x:c r="H34" s="56"/>
      <x:c r="I34" s="56"/>
      <x:c r="J34" s="59"/>
      <x:c r="K34" s="61"/>
      <x:c r="L34" s="61"/>
      <x:c r="M34" s="62" t="str">
        <x:f>IF(A34="","",MIN(100,ROUND(IF(E34&gt;0,10,0)+IFERROR(IF(F34/E34&gt;=0.3,15,IF(F34&gt;0,8,0)),0)+IF(G34&lt;&gt;"",10,0)+IF(H34&lt;&gt;"",8,0)+IF(I34&lt;&gt;"",8,0)+IF(J34&gt;=0.1,12,IF(J34&gt;0,6,0))+IF(K34&gt;0,5,0)+IF(L34&gt;0,5,0)+IF(ISNUMBER(SEARCH("E&amp;S",O34)),5,0)+IF(ISNUMBER(SEARCH("concept",O34)),7,0),0)))</x:f>
      </x:c>
      <x:c r="N34" s="56" t="str">
        <x:f>IF(A34="","",IF(M34&gt;=75,"Pret concept note",IF(M34&gt;=50,"A structurer","Critique")))</x:f>
      </x:c>
      <x:c r="O34" s="56"/>
    </x:row>
    <x:row r="35">
      <x:c r="A35" s="56"/>
      <x:c r="B35" s="56"/>
      <x:c r="C35" s="56"/>
      <x:c r="D35" s="56"/>
      <x:c r="E35" s="61"/>
      <x:c r="F35" s="61"/>
      <x:c r="G35" s="56"/>
      <x:c r="H35" s="56"/>
      <x:c r="I35" s="56"/>
      <x:c r="J35" s="59"/>
      <x:c r="K35" s="61"/>
      <x:c r="L35" s="61"/>
      <x:c r="M35" s="62" t="str">
        <x:f>IF(A35="","",MIN(100,ROUND(IF(E35&gt;0,10,0)+IFERROR(IF(F35/E35&gt;=0.3,15,IF(F35&gt;0,8,0)),0)+IF(G35&lt;&gt;"",10,0)+IF(H35&lt;&gt;"",8,0)+IF(I35&lt;&gt;"",8,0)+IF(J35&gt;=0.1,12,IF(J35&gt;0,6,0))+IF(K35&gt;0,5,0)+IF(L35&gt;0,5,0)+IF(ISNUMBER(SEARCH("E&amp;S",O35)),5,0)+IF(ISNUMBER(SEARCH("concept",O35)),7,0),0)))</x:f>
      </x:c>
      <x:c r="N35" s="56" t="str">
        <x:f>IF(A35="","",IF(M35&gt;=75,"Pret concept note",IF(M35&gt;=50,"A structurer","Critique")))</x:f>
      </x:c>
      <x:c r="O35" s="56"/>
    </x:row>
    <x:row r="36">
      <x:c r="A36" s="56"/>
      <x:c r="B36" s="56"/>
      <x:c r="C36" s="56"/>
      <x:c r="D36" s="56"/>
      <x:c r="E36" s="61"/>
      <x:c r="F36" s="61"/>
      <x:c r="G36" s="56"/>
      <x:c r="H36" s="56"/>
      <x:c r="I36" s="56"/>
      <x:c r="J36" s="59"/>
      <x:c r="K36" s="61"/>
      <x:c r="L36" s="61"/>
      <x:c r="M36" s="62" t="str">
        <x:f>IF(A36="","",MIN(100,ROUND(IF(E36&gt;0,10,0)+IFERROR(IF(F36/E36&gt;=0.3,15,IF(F36&gt;0,8,0)),0)+IF(G36&lt;&gt;"",10,0)+IF(H36&lt;&gt;"",8,0)+IF(I36&lt;&gt;"",8,0)+IF(J36&gt;=0.1,12,IF(J36&gt;0,6,0))+IF(K36&gt;0,5,0)+IF(L36&gt;0,5,0)+IF(ISNUMBER(SEARCH("E&amp;S",O36)),5,0)+IF(ISNUMBER(SEARCH("concept",O36)),7,0),0)))</x:f>
      </x:c>
      <x:c r="N36" s="56" t="str">
        <x:f>IF(A36="","",IF(M36&gt;=75,"Pret concept note",IF(M36&gt;=50,"A structurer","Critique")))</x:f>
      </x:c>
      <x:c r="O36" s="56"/>
    </x:row>
    <x:row r="37">
      <x:c r="A37" s="56"/>
      <x:c r="B37" s="56"/>
      <x:c r="C37" s="56"/>
      <x:c r="D37" s="56"/>
      <x:c r="E37" s="61"/>
      <x:c r="F37" s="61"/>
      <x:c r="G37" s="56"/>
      <x:c r="H37" s="56"/>
      <x:c r="I37" s="56"/>
      <x:c r="J37" s="59"/>
      <x:c r="K37" s="61"/>
      <x:c r="L37" s="61"/>
      <x:c r="M37" s="62" t="str">
        <x:f>IF(A37="","",MIN(100,ROUND(IF(E37&gt;0,10,0)+IFERROR(IF(F37/E37&gt;=0.3,15,IF(F37&gt;0,8,0)),0)+IF(G37&lt;&gt;"",10,0)+IF(H37&lt;&gt;"",8,0)+IF(I37&lt;&gt;"",8,0)+IF(J37&gt;=0.1,12,IF(J37&gt;0,6,0))+IF(K37&gt;0,5,0)+IF(L37&gt;0,5,0)+IF(ISNUMBER(SEARCH("E&amp;S",O37)),5,0)+IF(ISNUMBER(SEARCH("concept",O37)),7,0),0)))</x:f>
      </x:c>
      <x:c r="N37" s="56" t="str">
        <x:f>IF(A37="","",IF(M37&gt;=75,"Pret concept note",IF(M37&gt;=50,"A structurer","Critique")))</x:f>
      </x:c>
      <x:c r="O37" s="56"/>
    </x:row>
    <x:row r="38">
      <x:c r="A38" s="56"/>
      <x:c r="B38" s="56"/>
      <x:c r="C38" s="56"/>
      <x:c r="D38" s="56"/>
      <x:c r="E38" s="61"/>
      <x:c r="F38" s="61"/>
      <x:c r="G38" s="56"/>
      <x:c r="H38" s="56"/>
      <x:c r="I38" s="56"/>
      <x:c r="J38" s="59"/>
      <x:c r="K38" s="61"/>
      <x:c r="L38" s="61"/>
      <x:c r="M38" s="62" t="str">
        <x:f>IF(A38="","",MIN(100,ROUND(IF(E38&gt;0,10,0)+IFERROR(IF(F38/E38&gt;=0.3,15,IF(F38&gt;0,8,0)),0)+IF(G38&lt;&gt;"",10,0)+IF(H38&lt;&gt;"",8,0)+IF(I38&lt;&gt;"",8,0)+IF(J38&gt;=0.1,12,IF(J38&gt;0,6,0))+IF(K38&gt;0,5,0)+IF(L38&gt;0,5,0)+IF(ISNUMBER(SEARCH("E&amp;S",O38)),5,0)+IF(ISNUMBER(SEARCH("concept",O38)),7,0),0)))</x:f>
      </x:c>
      <x:c r="N38" s="56" t="str">
        <x:f>IF(A38="","",IF(M38&gt;=75,"Pret concept note",IF(M38&gt;=50,"A structurer","Critique")))</x:f>
      </x:c>
      <x:c r="O38" s="56"/>
    </x:row>
    <x:row r="39">
      <x:c r="A39" s="56"/>
      <x:c r="B39" s="56"/>
      <x:c r="C39" s="56"/>
      <x:c r="D39" s="56"/>
      <x:c r="E39" s="61"/>
      <x:c r="F39" s="61"/>
      <x:c r="G39" s="56"/>
      <x:c r="H39" s="56"/>
      <x:c r="I39" s="56"/>
      <x:c r="J39" s="59"/>
      <x:c r="K39" s="61"/>
      <x:c r="L39" s="61"/>
      <x:c r="M39" s="62" t="str">
        <x:f>IF(A39="","",MIN(100,ROUND(IF(E39&gt;0,10,0)+IFERROR(IF(F39/E39&gt;=0.3,15,IF(F39&gt;0,8,0)),0)+IF(G39&lt;&gt;"",10,0)+IF(H39&lt;&gt;"",8,0)+IF(I39&lt;&gt;"",8,0)+IF(J39&gt;=0.1,12,IF(J39&gt;0,6,0))+IF(K39&gt;0,5,0)+IF(L39&gt;0,5,0)+IF(ISNUMBER(SEARCH("E&amp;S",O39)),5,0)+IF(ISNUMBER(SEARCH("concept",O39)),7,0),0)))</x:f>
      </x:c>
      <x:c r="N39" s="56" t="str">
        <x:f>IF(A39="","",IF(M39&gt;=75,"Pret concept note",IF(M39&gt;=50,"A structurer","Critique")))</x:f>
      </x:c>
      <x:c r="O39" s="56"/>
    </x:row>
    <x:row r="40">
      <x:c r="A40" s="56"/>
      <x:c r="B40" s="56"/>
      <x:c r="C40" s="56"/>
      <x:c r="D40" s="56"/>
      <x:c r="E40" s="61"/>
      <x:c r="F40" s="61"/>
      <x:c r="G40" s="56"/>
      <x:c r="H40" s="56"/>
      <x:c r="I40" s="56"/>
      <x:c r="J40" s="59"/>
      <x:c r="K40" s="61"/>
      <x:c r="L40" s="61"/>
      <x:c r="M40" s="62" t="str">
        <x:f>IF(A40="","",MIN(100,ROUND(IF(E40&gt;0,10,0)+IFERROR(IF(F40/E40&gt;=0.3,15,IF(F40&gt;0,8,0)),0)+IF(G40&lt;&gt;"",10,0)+IF(H40&lt;&gt;"",8,0)+IF(I40&lt;&gt;"",8,0)+IF(J40&gt;=0.1,12,IF(J40&gt;0,6,0))+IF(K40&gt;0,5,0)+IF(L40&gt;0,5,0)+IF(ISNUMBER(SEARCH("E&amp;S",O40)),5,0)+IF(ISNUMBER(SEARCH("concept",O40)),7,0),0)))</x:f>
      </x:c>
      <x:c r="N40" s="56" t="str">
        <x:f>IF(A40="","",IF(M40&gt;=75,"Pret concept note",IF(M40&gt;=50,"A structurer","Critique")))</x:f>
      </x:c>
      <x:c r="O40" s="56"/>
    </x:row>
    <x:row r="41">
      <x:c r="A41" s="56"/>
      <x:c r="B41" s="56"/>
      <x:c r="C41" s="56"/>
      <x:c r="D41" s="56"/>
      <x:c r="E41" s="61"/>
      <x:c r="F41" s="61"/>
      <x:c r="G41" s="56"/>
      <x:c r="H41" s="56"/>
      <x:c r="I41" s="56"/>
      <x:c r="J41" s="59"/>
      <x:c r="K41" s="61"/>
      <x:c r="L41" s="61"/>
      <x:c r="M41" s="62" t="str">
        <x:f>IF(A41="","",MIN(100,ROUND(IF(E41&gt;0,10,0)+IFERROR(IF(F41/E41&gt;=0.3,15,IF(F41&gt;0,8,0)),0)+IF(G41&lt;&gt;"",10,0)+IF(H41&lt;&gt;"",8,0)+IF(I41&lt;&gt;"",8,0)+IF(J41&gt;=0.1,12,IF(J41&gt;0,6,0))+IF(K41&gt;0,5,0)+IF(L41&gt;0,5,0)+IF(ISNUMBER(SEARCH("E&amp;S",O41)),5,0)+IF(ISNUMBER(SEARCH("concept",O41)),7,0),0)))</x:f>
      </x:c>
      <x:c r="N41" s="56" t="str">
        <x:f>IF(A41="","",IF(M41&gt;=75,"Pret concept note",IF(M41&gt;=50,"A structurer","Critique")))</x:f>
      </x:c>
      <x:c r="O41" s="56"/>
    </x:row>
    <x:row r="42">
      <x:c r="A42" s="56"/>
      <x:c r="B42" s="56"/>
      <x:c r="C42" s="56"/>
      <x:c r="D42" s="56"/>
      <x:c r="E42" s="61"/>
      <x:c r="F42" s="61"/>
      <x:c r="G42" s="56"/>
      <x:c r="H42" s="56"/>
      <x:c r="I42" s="56"/>
      <x:c r="J42" s="59"/>
      <x:c r="K42" s="61"/>
      <x:c r="L42" s="61"/>
      <x:c r="M42" s="62" t="str">
        <x:f>IF(A42="","",MIN(100,ROUND(IF(E42&gt;0,10,0)+IFERROR(IF(F42/E42&gt;=0.3,15,IF(F42&gt;0,8,0)),0)+IF(G42&lt;&gt;"",10,0)+IF(H42&lt;&gt;"",8,0)+IF(I42&lt;&gt;"",8,0)+IF(J42&gt;=0.1,12,IF(J42&gt;0,6,0))+IF(K42&gt;0,5,0)+IF(L42&gt;0,5,0)+IF(ISNUMBER(SEARCH("E&amp;S",O42)),5,0)+IF(ISNUMBER(SEARCH("concept",O42)),7,0),0)))</x:f>
      </x:c>
      <x:c r="N42" s="56" t="str">
        <x:f>IF(A42="","",IF(M42&gt;=75,"Pret concept note",IF(M42&gt;=50,"A structurer","Critique")))</x:f>
      </x:c>
      <x:c r="O42" s="56"/>
    </x:row>
    <x:row r="43">
      <x:c r="A43" s="56"/>
      <x:c r="B43" s="56"/>
      <x:c r="C43" s="56"/>
      <x:c r="D43" s="56"/>
      <x:c r="E43" s="61"/>
      <x:c r="F43" s="61"/>
      <x:c r="G43" s="56"/>
      <x:c r="H43" s="56"/>
      <x:c r="I43" s="56"/>
      <x:c r="J43" s="59"/>
      <x:c r="K43" s="61"/>
      <x:c r="L43" s="61"/>
      <x:c r="M43" s="62" t="str">
        <x:f>IF(A43="","",MIN(100,ROUND(IF(E43&gt;0,10,0)+IFERROR(IF(F43/E43&gt;=0.3,15,IF(F43&gt;0,8,0)),0)+IF(G43&lt;&gt;"",10,0)+IF(H43&lt;&gt;"",8,0)+IF(I43&lt;&gt;"",8,0)+IF(J43&gt;=0.1,12,IF(J43&gt;0,6,0))+IF(K43&gt;0,5,0)+IF(L43&gt;0,5,0)+IF(ISNUMBER(SEARCH("E&amp;S",O43)),5,0)+IF(ISNUMBER(SEARCH("concept",O43)),7,0),0)))</x:f>
      </x:c>
      <x:c r="N43" s="56" t="str">
        <x:f>IF(A43="","",IF(M43&gt;=75,"Pret concept note",IF(M43&gt;=50,"A structurer","Critique")))</x:f>
      </x:c>
      <x:c r="O43" s="56"/>
    </x:row>
    <x:row r="44">
      <x:c r="A44" s="56"/>
      <x:c r="B44" s="56"/>
      <x:c r="C44" s="56"/>
      <x:c r="D44" s="56"/>
      <x:c r="E44" s="61"/>
      <x:c r="F44" s="61"/>
      <x:c r="G44" s="56"/>
      <x:c r="H44" s="56"/>
      <x:c r="I44" s="56"/>
      <x:c r="J44" s="59"/>
      <x:c r="K44" s="61"/>
      <x:c r="L44" s="61"/>
      <x:c r="M44" s="62" t="str">
        <x:f>IF(A44="","",MIN(100,ROUND(IF(E44&gt;0,10,0)+IFERROR(IF(F44/E44&gt;=0.3,15,IF(F44&gt;0,8,0)),0)+IF(G44&lt;&gt;"",10,0)+IF(H44&lt;&gt;"",8,0)+IF(I44&lt;&gt;"",8,0)+IF(J44&gt;=0.1,12,IF(J44&gt;0,6,0))+IF(K44&gt;0,5,0)+IF(L44&gt;0,5,0)+IF(ISNUMBER(SEARCH("E&amp;S",O44)),5,0)+IF(ISNUMBER(SEARCH("concept",O44)),7,0),0)))</x:f>
      </x:c>
      <x:c r="N44" s="56" t="str">
        <x:f>IF(A44="","",IF(M44&gt;=75,"Pret concept note",IF(M44&gt;=50,"A structurer","Critique")))</x:f>
      </x:c>
      <x:c r="O44" s="56"/>
    </x:row>
  </x:sheetData>
  <x:mergeCells>
    <x:mergeCell ref="A1:K1"/>
    <x:mergeCell ref="A2:K2"/>
  </x:mergeCells>
  <x:conditionalFormatting sqref="N5:N44">
    <x:cfRule type="containsText" dxfId="112" priority="1" operator="containsText" text="Critique"/>
    <x:cfRule type="containsText" dxfId="113" priority="2" operator="containsText" text="A completer"/>
    <x:cfRule type="containsText" dxfId="114" priority="3" operator="containsText" text="Pret"/>
    <x:cfRule type="containsText" dxfId="115" priority="4" operator="containsText" text="OK"/>
  </x:conditionalFormatting>
  <x:pageMargins left="0.7" right="0.7" top="0.75" bottom="0.75" header="0.3" footer="0.3"/>
  <x:tableParts count="1">
    <x:tablePart xmlns:r="http://schemas.openxmlformats.org/officeDocument/2006/relationships" r:id="R3a51dd5e6c224a39"/>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7.5" hidden="0" customWidth="1"/>
    <x:col min="4" max="4" width="21.25" hidden="0" customWidth="1"/>
    <x:col min="5" max="5" width="38.75" hidden="0" customWidth="1"/>
    <x:col min="6" max="6" width="23.75" hidden="0" customWidth="1"/>
    <x:col min="7" max="7" width="15" hidden="0" customWidth="1"/>
    <x:col min="8" max="8" width="11.25" hidden="0" customWidth="1"/>
    <x:col min="9" max="9" width="28.75" hidden="0" customWidth="1"/>
    <x:col min="10" max="10" width="31.25" hidden="0" customWidth="1"/>
    <x:col min="11" max="11" width="20" hidden="0" customWidth="1"/>
    <x:col min="12" max="12" width="14.380000114440918" hidden="0" customWidth="1"/>
  </x:cols>
  <x:sheetData>
    <x:row r="1" ht="25.5" customHeight="1">
      <x:c r="A1" s="48" t="str">
        <x:v>Readiness GCF, Banque mondiale et BAD</x:v>
      </x:c>
      <x:c r="B1" s="48"/>
      <x:c r="C1" s="48"/>
      <x:c r="D1" s="48"/>
      <x:c r="E1" s="48"/>
      <x:c r="F1" s="48"/>
      <x:c r="G1" s="48"/>
      <x:c r="H1" s="48"/>
      <x:c r="I1" s="48"/>
      <x:c r="J1" s="48"/>
      <x:c r="K1" s="48"/>
    </x:row>
    <x:row r="2" ht="31.5" customHeight="1">
      <x:c r="A2" s="51" t="str">
        <x:v>Checklist des criteres d'investissement, sauvegardes, genre, procurement et exploitation-maintenance.</x:v>
      </x:c>
      <x:c r="B2" s="51"/>
      <x:c r="C2" s="51"/>
      <x:c r="D2" s="51"/>
      <x:c r="E2" s="51"/>
      <x:c r="F2" s="51"/>
      <x:c r="G2" s="51"/>
      <x:c r="H2" s="51"/>
      <x:c r="I2" s="51"/>
      <x:c r="J2" s="51"/>
      <x:c r="K2" s="51"/>
    </x:row>
    <x:row r="4">
      <x:c r="A4" s="54" t="str">
        <x:v>Readiness_ID</x:v>
      </x:c>
      <x:c r="B4" s="54" t="str">
        <x:v>Project_ID</x:v>
      </x:c>
      <x:c r="C4" s="54" t="str">
        <x:v>Institution</x:v>
      </x:c>
      <x:c r="D4" s="54" t="str">
        <x:v>Critere</x:v>
      </x:c>
      <x:c r="E4" s="54" t="str">
        <x:v>Exigence_detaillee</x:v>
      </x:c>
      <x:c r="F4" s="54" t="str">
        <x:v>Document_preuve</x:v>
      </x:c>
      <x:c r="G4" s="54" t="str">
        <x:v>Statut</x:v>
      </x:c>
      <x:c r="H4" s="54" t="str">
        <x:v>Score_0_5</x:v>
      </x:c>
      <x:c r="I4" s="54" t="str">
        <x:v>Gap</x:v>
      </x:c>
      <x:c r="J4" s="54" t="str">
        <x:v>Action</x:v>
      </x:c>
      <x:c r="K4" s="54" t="str">
        <x:v>Responsable</x:v>
      </x:c>
      <x:c r="L4" s="54" t="str">
        <x:v>Echeance</x:v>
      </x:c>
    </x:row>
    <x:row r="5">
      <x:c r="A5" s="56" t="str">
        <x:v>RDY-001</x:v>
      </x:c>
      <x:c r="B5" s="56" t="str">
        <x:v>PRJ-001</x:v>
      </x:c>
      <x:c r="C5" s="56" t="str">
        <x:v>GCF</x:v>
      </x:c>
      <x:c r="D5" s="56" t="str">
        <x:v>Impact potentiel</x:v>
      </x:c>
      <x:c r="E5" s="56" t="str">
        <x:v>Quantifier tCO2e evitees, beneficiaires et resultats mesurables</x:v>
      </x:c>
      <x:c r="F5" s="56" t="str">
        <x:v>Calculs MRV + fiche projet</x:v>
      </x:c>
      <x:c r="G5" s="56" t="str">
        <x:v>A verifier</x:v>
      </x:c>
      <x:c r="H5" s="56" t="n">
        <x:v>3</x:v>
      </x:c>
      <x:c r="I5" s="56" t="str">
        <x:v>Scenario baseline non valide</x:v>
      </x:c>
      <x:c r="J5" s="56" t="str">
        <x:v>Finaliser baseline energie</x:v>
      </x:c>
      <x:c r="K5" s="56" t="str">
        <x:v>Direction Energie</x:v>
      </x:c>
      <x:c r="L5" s="57" t="n">
        <x:v>46295</x:v>
      </x:c>
    </x:row>
    <x:row r="6">
      <x:c r="A6" s="56" t="str">
        <x:v>RDY-002</x:v>
      </x:c>
      <x:c r="B6" s="56" t="str">
        <x:v>PRJ-001</x:v>
      </x:c>
      <x:c r="C6" s="56" t="str">
        <x:v>GCF</x:v>
      </x:c>
      <x:c r="D6" s="56" t="str">
        <x:v>Changement de paradigme</x:v>
      </x:c>
      <x:c r="E6" s="56" t="str">
        <x:v>Scalabilite, replicabilite, transformation de marche</x:v>
      </x:c>
      <x:c r="F6" s="56" t="str">
        <x:v>Theory of change</x:v>
      </x:c>
      <x:c r="G6" s="56" t="str">
        <x:v>A completer</x:v>
      </x:c>
      <x:c r="H6" s="56" t="n">
        <x:v>2</x:v>
      </x:c>
      <x:c r="I6" s="56" t="str">
        <x:v>Theory of change absente</x:v>
      </x:c>
      <x:c r="J6" s="56" t="str">
        <x:v>Rediger ToC et modele replication</x:v>
      </x:c>
      <x:c r="K6" s="56" t="str">
        <x:v>Cellule climat</x:v>
      </x:c>
      <x:c r="L6" s="57" t="n">
        <x:v>46326</x:v>
      </x:c>
    </x:row>
    <x:row r="7">
      <x:c r="A7" s="56" t="str">
        <x:v>RDY-003</x:v>
      </x:c>
      <x:c r="B7" s="56" t="str">
        <x:v>PRJ-002</x:v>
      </x:c>
      <x:c r="C7" s="56" t="str">
        <x:v>Banque mondiale</x:v>
      </x:c>
      <x:c r="D7" s="56" t="str">
        <x:v>Sauvegardes E&amp;S</x:v>
      </x:c>
      <x:c r="E7" s="56" t="str">
        <x:v>Identifier risques environnementaux et sociaux, mitigation et consultation</x:v>
      </x:c>
      <x:c r="F7" s="56" t="str">
        <x:v>Screening E&amp;S</x:v>
      </x:c>
      <x:c r="G7" s="56" t="str">
        <x:v>A completer</x:v>
      </x:c>
      <x:c r="H7" s="56" t="n">
        <x:v>2</x:v>
      </x:c>
      <x:c r="I7" s="56" t="str">
        <x:v>Screening absent</x:v>
      </x:c>
      <x:c r="J7" s="56" t="str">
        <x:v>Lancer screening E&amp;S</x:v>
      </x:c>
      <x:c r="K7" s="56" t="str">
        <x:v>Direction Dechets</x:v>
      </x:c>
      <x:c r="L7" s="57" t="n">
        <x:v>46280</x:v>
      </x:c>
    </x:row>
    <x:row r="8">
      <x:c r="A8" s="56" t="str">
        <x:v>RDY-004</x:v>
      </x:c>
      <x:c r="B8" s="56" t="str">
        <x:v>PRJ-004</x:v>
      </x:c>
      <x:c r="C8" s="56" t="str">
        <x:v>BAD</x:v>
      </x:c>
      <x:c r="D8" s="56" t="str">
        <x:v>Genre</x:v>
      </x:c>
      <x:c r="E8" s="56" t="str">
        <x:v>Analyse genre, benefices differencies et indicateurs</x:v>
      </x:c>
      <x:c r="F8" s="56" t="str">
        <x:v>Plan genre</x:v>
      </x:c>
      <x:c r="G8" s="56" t="str">
        <x:v>A completer</x:v>
      </x:c>
      <x:c r="H8" s="56" t="n">
        <x:v>1</x:v>
      </x:c>
      <x:c r="I8" s="56" t="str">
        <x:v>Analyse absente</x:v>
      </x:c>
      <x:c r="J8" s="56" t="str">
        <x:v>Inclure diagnostic genre/inclusion</x:v>
      </x:c>
      <x:c r="K8" s="56" t="str">
        <x:v>Cellule climat</x:v>
      </x:c>
      <x:c r="L8" s="57" t="n">
        <x:v>46310</x:v>
      </x:c>
    </x:row>
    <x:row r="9">
      <x:c r="A9" s="56" t="str">
        <x:v>RDY-005</x:v>
      </x:c>
      <x:c r="B9" s="56" t="str">
        <x:v>PRJ-004</x:v>
      </x:c>
      <x:c r="C9" s="56" t="str">
        <x:v>Banque mondiale</x:v>
      </x:c>
      <x:c r="D9" s="56" t="str">
        <x:v>Passation marches</x:v>
      </x:c>
      <x:c r="E9" s="56" t="str">
        <x:v>Plan procurement, lots, calendrier, risques et capacites</x:v>
      </x:c>
      <x:c r="F9" s="56" t="str">
        <x:v>Plan passation</x:v>
      </x:c>
      <x:c r="G9" s="56" t="str">
        <x:v>A verifier</x:v>
      </x:c>
      <x:c r="H9" s="56" t="n">
        <x:v>3</x:v>
      </x:c>
      <x:c r="I9" s="56" t="str">
        <x:v>Plan preliminaire</x:v>
      </x:c>
      <x:c r="J9" s="56" t="str">
        <x:v>Consolider calendrier procurement</x:v>
      </x:c>
      <x:c r="K9" s="56" t="str">
        <x:v>Direction Finance</x:v>
      </x:c>
      <x:c r="L9" s="57" t="n">
        <x:v>46356</x:v>
      </x:c>
    </x:row>
    <x:row r="10">
      <x:c r="A10" s="56"/>
      <x:c r="B10" s="56"/>
      <x:c r="C10" s="56"/>
      <x:c r="D10" s="56"/>
      <x:c r="E10" s="56"/>
      <x:c r="F10" s="56"/>
      <x:c r="G10" s="56"/>
      <x:c r="H10" s="56"/>
      <x:c r="I10" s="56"/>
      <x:c r="J10" s="56"/>
      <x:c r="K10" s="56"/>
      <x:c r="L10" s="57"/>
    </x:row>
    <x:row r="11">
      <x:c r="A11" s="56"/>
      <x:c r="B11" s="56"/>
      <x:c r="C11" s="56"/>
      <x:c r="D11" s="56"/>
      <x:c r="E11" s="56"/>
      <x:c r="F11" s="56"/>
      <x:c r="G11" s="56"/>
      <x:c r="H11" s="56"/>
      <x:c r="I11" s="56"/>
      <x:c r="J11" s="56"/>
      <x:c r="K11" s="56"/>
      <x:c r="L11" s="57"/>
    </x:row>
    <x:row r="12">
      <x:c r="A12" s="56"/>
      <x:c r="B12" s="56"/>
      <x:c r="C12" s="56"/>
      <x:c r="D12" s="56"/>
      <x:c r="E12" s="56"/>
      <x:c r="F12" s="56"/>
      <x:c r="G12" s="56"/>
      <x:c r="H12" s="56"/>
      <x:c r="I12" s="56"/>
      <x:c r="J12" s="56"/>
      <x:c r="K12" s="56"/>
      <x:c r="L12" s="57"/>
    </x:row>
    <x:row r="13">
      <x:c r="A13" s="56"/>
      <x:c r="B13" s="56"/>
      <x:c r="C13" s="56"/>
      <x:c r="D13" s="56"/>
      <x:c r="E13" s="56"/>
      <x:c r="F13" s="56"/>
      <x:c r="G13" s="56"/>
      <x:c r="H13" s="56"/>
      <x:c r="I13" s="56"/>
      <x:c r="J13" s="56"/>
      <x:c r="K13" s="56"/>
      <x:c r="L13" s="57"/>
    </x:row>
    <x:row r="14">
      <x:c r="A14" s="56"/>
      <x:c r="B14" s="56"/>
      <x:c r="C14" s="56"/>
      <x:c r="D14" s="56"/>
      <x:c r="E14" s="56"/>
      <x:c r="F14" s="56"/>
      <x:c r="G14" s="56"/>
      <x:c r="H14" s="56"/>
      <x:c r="I14" s="56"/>
      <x:c r="J14" s="56"/>
      <x:c r="K14" s="56"/>
      <x:c r="L14" s="57"/>
    </x:row>
    <x:row r="15">
      <x:c r="A15" s="56"/>
      <x:c r="B15" s="56"/>
      <x:c r="C15" s="56"/>
      <x:c r="D15" s="56"/>
      <x:c r="E15" s="56"/>
      <x:c r="F15" s="56"/>
      <x:c r="G15" s="56"/>
      <x:c r="H15" s="56"/>
      <x:c r="I15" s="56"/>
      <x:c r="J15" s="56"/>
      <x:c r="K15" s="56"/>
      <x:c r="L15" s="57"/>
    </x:row>
    <x:row r="16">
      <x:c r="A16" s="56"/>
      <x:c r="B16" s="56"/>
      <x:c r="C16" s="56"/>
      <x:c r="D16" s="56"/>
      <x:c r="E16" s="56"/>
      <x:c r="F16" s="56"/>
      <x:c r="G16" s="56"/>
      <x:c r="H16" s="56"/>
      <x:c r="I16" s="56"/>
      <x:c r="J16" s="56"/>
      <x:c r="K16" s="56"/>
      <x:c r="L16" s="57"/>
    </x:row>
    <x:row r="17">
      <x:c r="A17" s="56"/>
      <x:c r="B17" s="56"/>
      <x:c r="C17" s="56"/>
      <x:c r="D17" s="56"/>
      <x:c r="E17" s="56"/>
      <x:c r="F17" s="56"/>
      <x:c r="G17" s="56"/>
      <x:c r="H17" s="56"/>
      <x:c r="I17" s="56"/>
      <x:c r="J17" s="56"/>
      <x:c r="K17" s="56"/>
      <x:c r="L17" s="57"/>
    </x:row>
    <x:row r="18">
      <x:c r="A18" s="56"/>
      <x:c r="B18" s="56"/>
      <x:c r="C18" s="56"/>
      <x:c r="D18" s="56"/>
      <x:c r="E18" s="56"/>
      <x:c r="F18" s="56"/>
      <x:c r="G18" s="56"/>
      <x:c r="H18" s="56"/>
      <x:c r="I18" s="56"/>
      <x:c r="J18" s="56"/>
      <x:c r="K18" s="56"/>
      <x:c r="L18" s="57"/>
    </x:row>
    <x:row r="19">
      <x:c r="A19" s="56"/>
      <x:c r="B19" s="56"/>
      <x:c r="C19" s="56"/>
      <x:c r="D19" s="56"/>
      <x:c r="E19" s="56"/>
      <x:c r="F19" s="56"/>
      <x:c r="G19" s="56"/>
      <x:c r="H19" s="56"/>
      <x:c r="I19" s="56"/>
      <x:c r="J19" s="56"/>
      <x:c r="K19" s="56"/>
      <x:c r="L19" s="57"/>
    </x:row>
    <x:row r="20">
      <x:c r="A20" s="56"/>
      <x:c r="B20" s="56"/>
      <x:c r="C20" s="56"/>
      <x:c r="D20" s="56"/>
      <x:c r="E20" s="56"/>
      <x:c r="F20" s="56"/>
      <x:c r="G20" s="56"/>
      <x:c r="H20" s="56"/>
      <x:c r="I20" s="56"/>
      <x:c r="J20" s="56"/>
      <x:c r="K20" s="56"/>
      <x:c r="L20" s="57"/>
    </x:row>
    <x:row r="21">
      <x:c r="A21" s="56"/>
      <x:c r="B21" s="56"/>
      <x:c r="C21" s="56"/>
      <x:c r="D21" s="56"/>
      <x:c r="E21" s="56"/>
      <x:c r="F21" s="56"/>
      <x:c r="G21" s="56"/>
      <x:c r="H21" s="56"/>
      <x:c r="I21" s="56"/>
      <x:c r="J21" s="56"/>
      <x:c r="K21" s="56"/>
      <x:c r="L21" s="57"/>
    </x:row>
    <x:row r="22">
      <x:c r="A22" s="56"/>
      <x:c r="B22" s="56"/>
      <x:c r="C22" s="56"/>
      <x:c r="D22" s="56"/>
      <x:c r="E22" s="56"/>
      <x:c r="F22" s="56"/>
      <x:c r="G22" s="56"/>
      <x:c r="H22" s="56"/>
      <x:c r="I22" s="56"/>
      <x:c r="J22" s="56"/>
      <x:c r="K22" s="56"/>
      <x:c r="L22" s="57"/>
    </x:row>
    <x:row r="23">
      <x:c r="A23" s="56"/>
      <x:c r="B23" s="56"/>
      <x:c r="C23" s="56"/>
      <x:c r="D23" s="56"/>
      <x:c r="E23" s="56"/>
      <x:c r="F23" s="56"/>
      <x:c r="G23" s="56"/>
      <x:c r="H23" s="56"/>
      <x:c r="I23" s="56"/>
      <x:c r="J23" s="56"/>
      <x:c r="K23" s="56"/>
      <x:c r="L23" s="57"/>
    </x:row>
    <x:row r="24">
      <x:c r="A24" s="56"/>
      <x:c r="B24" s="56"/>
      <x:c r="C24" s="56"/>
      <x:c r="D24" s="56"/>
      <x:c r="E24" s="56"/>
      <x:c r="F24" s="56"/>
      <x:c r="G24" s="56"/>
      <x:c r="H24" s="56"/>
      <x:c r="I24" s="56"/>
      <x:c r="J24" s="56"/>
      <x:c r="K24" s="56"/>
      <x:c r="L24" s="57"/>
    </x:row>
    <x:row r="25">
      <x:c r="A25" s="56"/>
      <x:c r="B25" s="56"/>
      <x:c r="C25" s="56"/>
      <x:c r="D25" s="56"/>
      <x:c r="E25" s="56"/>
      <x:c r="F25" s="56"/>
      <x:c r="G25" s="56"/>
      <x:c r="H25" s="56"/>
      <x:c r="I25" s="56"/>
      <x:c r="J25" s="56"/>
      <x:c r="K25" s="56"/>
      <x:c r="L25" s="57"/>
    </x:row>
    <x:row r="26">
      <x:c r="A26" s="56"/>
      <x:c r="B26" s="56"/>
      <x:c r="C26" s="56"/>
      <x:c r="D26" s="56"/>
      <x:c r="E26" s="56"/>
      <x:c r="F26" s="56"/>
      <x:c r="G26" s="56"/>
      <x:c r="H26" s="56"/>
      <x:c r="I26" s="56"/>
      <x:c r="J26" s="56"/>
      <x:c r="K26" s="56"/>
      <x:c r="L26" s="57"/>
    </x:row>
    <x:row r="27">
      <x:c r="A27" s="56"/>
      <x:c r="B27" s="56"/>
      <x:c r="C27" s="56"/>
      <x:c r="D27" s="56"/>
      <x:c r="E27" s="56"/>
      <x:c r="F27" s="56"/>
      <x:c r="G27" s="56"/>
      <x:c r="H27" s="56"/>
      <x:c r="I27" s="56"/>
      <x:c r="J27" s="56"/>
      <x:c r="K27" s="56"/>
      <x:c r="L27" s="57"/>
    </x:row>
    <x:row r="28">
      <x:c r="A28" s="56"/>
      <x:c r="B28" s="56"/>
      <x:c r="C28" s="56"/>
      <x:c r="D28" s="56"/>
      <x:c r="E28" s="56"/>
      <x:c r="F28" s="56"/>
      <x:c r="G28" s="56"/>
      <x:c r="H28" s="56"/>
      <x:c r="I28" s="56"/>
      <x:c r="J28" s="56"/>
      <x:c r="K28" s="56"/>
      <x:c r="L28" s="57"/>
    </x:row>
    <x:row r="29">
      <x:c r="A29" s="56"/>
      <x:c r="B29" s="56"/>
      <x:c r="C29" s="56"/>
      <x:c r="D29" s="56"/>
      <x:c r="E29" s="56"/>
      <x:c r="F29" s="56"/>
      <x:c r="G29" s="56"/>
      <x:c r="H29" s="56"/>
      <x:c r="I29" s="56"/>
      <x:c r="J29" s="56"/>
      <x:c r="K29" s="56"/>
      <x:c r="L29" s="57"/>
    </x:row>
    <x:row r="30">
      <x:c r="A30" s="56"/>
      <x:c r="B30" s="56"/>
      <x:c r="C30" s="56"/>
      <x:c r="D30" s="56"/>
      <x:c r="E30" s="56"/>
      <x:c r="F30" s="56"/>
      <x:c r="G30" s="56"/>
      <x:c r="H30" s="56"/>
      <x:c r="I30" s="56"/>
      <x:c r="J30" s="56"/>
      <x:c r="K30" s="56"/>
      <x:c r="L30" s="57"/>
    </x:row>
    <x:row r="31">
      <x:c r="A31" s="56"/>
      <x:c r="B31" s="56"/>
      <x:c r="C31" s="56"/>
      <x:c r="D31" s="56"/>
      <x:c r="E31" s="56"/>
      <x:c r="F31" s="56"/>
      <x:c r="G31" s="56"/>
      <x:c r="H31" s="56"/>
      <x:c r="I31" s="56"/>
      <x:c r="J31" s="56"/>
      <x:c r="K31" s="56"/>
      <x:c r="L31" s="57"/>
    </x:row>
    <x:row r="32">
      <x:c r="A32" s="56"/>
      <x:c r="B32" s="56"/>
      <x:c r="C32" s="56"/>
      <x:c r="D32" s="56"/>
      <x:c r="E32" s="56"/>
      <x:c r="F32" s="56"/>
      <x:c r="G32" s="56"/>
      <x:c r="H32" s="56"/>
      <x:c r="I32" s="56"/>
      <x:c r="J32" s="56"/>
      <x:c r="K32" s="56"/>
      <x:c r="L32" s="57"/>
    </x:row>
    <x:row r="33">
      <x:c r="A33" s="56"/>
      <x:c r="B33" s="56"/>
      <x:c r="C33" s="56"/>
      <x:c r="D33" s="56"/>
      <x:c r="E33" s="56"/>
      <x:c r="F33" s="56"/>
      <x:c r="G33" s="56"/>
      <x:c r="H33" s="56"/>
      <x:c r="I33" s="56"/>
      <x:c r="J33" s="56"/>
      <x:c r="K33" s="56"/>
      <x:c r="L33" s="57"/>
    </x:row>
    <x:row r="34">
      <x:c r="A34" s="56"/>
      <x:c r="B34" s="56"/>
      <x:c r="C34" s="56"/>
      <x:c r="D34" s="56"/>
      <x:c r="E34" s="56"/>
      <x:c r="F34" s="56"/>
      <x:c r="G34" s="56"/>
      <x:c r="H34" s="56"/>
      <x:c r="I34" s="56"/>
      <x:c r="J34" s="56"/>
      <x:c r="K34" s="56"/>
      <x:c r="L34" s="57"/>
    </x:row>
    <x:row r="35">
      <x:c r="A35" s="56"/>
      <x:c r="B35" s="56"/>
      <x:c r="C35" s="56"/>
      <x:c r="D35" s="56"/>
      <x:c r="E35" s="56"/>
      <x:c r="F35" s="56"/>
      <x:c r="G35" s="56"/>
      <x:c r="H35" s="56"/>
      <x:c r="I35" s="56"/>
      <x:c r="J35" s="56"/>
      <x:c r="K35" s="56"/>
      <x:c r="L35" s="57"/>
    </x:row>
    <x:row r="36">
      <x:c r="A36" s="56"/>
      <x:c r="B36" s="56"/>
      <x:c r="C36" s="56"/>
      <x:c r="D36" s="56"/>
      <x:c r="E36" s="56"/>
      <x:c r="F36" s="56"/>
      <x:c r="G36" s="56"/>
      <x:c r="H36" s="56"/>
      <x:c r="I36" s="56"/>
      <x:c r="J36" s="56"/>
      <x:c r="K36" s="56"/>
      <x:c r="L36" s="57"/>
    </x:row>
    <x:row r="37">
      <x:c r="A37" s="56"/>
      <x:c r="B37" s="56"/>
      <x:c r="C37" s="56"/>
      <x:c r="D37" s="56"/>
      <x:c r="E37" s="56"/>
      <x:c r="F37" s="56"/>
      <x:c r="G37" s="56"/>
      <x:c r="H37" s="56"/>
      <x:c r="I37" s="56"/>
      <x:c r="J37" s="56"/>
      <x:c r="K37" s="56"/>
      <x:c r="L37" s="57"/>
    </x:row>
    <x:row r="38">
      <x:c r="A38" s="56"/>
      <x:c r="B38" s="56"/>
      <x:c r="C38" s="56"/>
      <x:c r="D38" s="56"/>
      <x:c r="E38" s="56"/>
      <x:c r="F38" s="56"/>
      <x:c r="G38" s="56"/>
      <x:c r="H38" s="56"/>
      <x:c r="I38" s="56"/>
      <x:c r="J38" s="56"/>
      <x:c r="K38" s="56"/>
      <x:c r="L38" s="57"/>
    </x:row>
    <x:row r="39">
      <x:c r="A39" s="56"/>
      <x:c r="B39" s="56"/>
      <x:c r="C39" s="56"/>
      <x:c r="D39" s="56"/>
      <x:c r="E39" s="56"/>
      <x:c r="F39" s="56"/>
      <x:c r="G39" s="56"/>
      <x:c r="H39" s="56"/>
      <x:c r="I39" s="56"/>
      <x:c r="J39" s="56"/>
      <x:c r="K39" s="56"/>
      <x:c r="L39" s="57"/>
    </x:row>
    <x:row r="40">
      <x:c r="A40" s="56"/>
      <x:c r="B40" s="56"/>
      <x:c r="C40" s="56"/>
      <x:c r="D40" s="56"/>
      <x:c r="E40" s="56"/>
      <x:c r="F40" s="56"/>
      <x:c r="G40" s="56"/>
      <x:c r="H40" s="56"/>
      <x:c r="I40" s="56"/>
      <x:c r="J40" s="56"/>
      <x:c r="K40" s="56"/>
      <x:c r="L40" s="57"/>
    </x:row>
    <x:row r="41">
      <x:c r="A41" s="56"/>
      <x:c r="B41" s="56"/>
      <x:c r="C41" s="56"/>
      <x:c r="D41" s="56"/>
      <x:c r="E41" s="56"/>
      <x:c r="F41" s="56"/>
      <x:c r="G41" s="56"/>
      <x:c r="H41" s="56"/>
      <x:c r="I41" s="56"/>
      <x:c r="J41" s="56"/>
      <x:c r="K41" s="56"/>
      <x:c r="L41" s="57"/>
    </x:row>
    <x:row r="42">
      <x:c r="A42" s="56"/>
      <x:c r="B42" s="56"/>
      <x:c r="C42" s="56"/>
      <x:c r="D42" s="56"/>
      <x:c r="E42" s="56"/>
      <x:c r="F42" s="56"/>
      <x:c r="G42" s="56"/>
      <x:c r="H42" s="56"/>
      <x:c r="I42" s="56"/>
      <x:c r="J42" s="56"/>
      <x:c r="K42" s="56"/>
      <x:c r="L42" s="57"/>
    </x:row>
    <x:row r="43">
      <x:c r="A43" s="56"/>
      <x:c r="B43" s="56"/>
      <x:c r="C43" s="56"/>
      <x:c r="D43" s="56"/>
      <x:c r="E43" s="56"/>
      <x:c r="F43" s="56"/>
      <x:c r="G43" s="56"/>
      <x:c r="H43" s="56"/>
      <x:c r="I43" s="56"/>
      <x:c r="J43" s="56"/>
      <x:c r="K43" s="56"/>
      <x:c r="L43" s="57"/>
    </x:row>
    <x:row r="44">
      <x:c r="A44" s="56"/>
      <x:c r="B44" s="56"/>
      <x:c r="C44" s="56"/>
      <x:c r="D44" s="56"/>
      <x:c r="E44" s="56"/>
      <x:c r="F44" s="56"/>
      <x:c r="G44" s="56"/>
      <x:c r="H44" s="56"/>
      <x:c r="I44" s="56"/>
      <x:c r="J44" s="56"/>
      <x:c r="K44" s="56"/>
      <x:c r="L44" s="57"/>
    </x:row>
    <x:row r="45">
      <x:c r="A45" s="56"/>
      <x:c r="B45" s="56"/>
      <x:c r="C45" s="56"/>
      <x:c r="D45" s="56"/>
      <x:c r="E45" s="56"/>
      <x:c r="F45" s="56"/>
      <x:c r="G45" s="56"/>
      <x:c r="H45" s="56"/>
      <x:c r="I45" s="56"/>
      <x:c r="J45" s="56"/>
      <x:c r="K45" s="56"/>
      <x:c r="L45" s="57"/>
    </x:row>
    <x:row r="46">
      <x:c r="A46" s="56"/>
      <x:c r="B46" s="56"/>
      <x:c r="C46" s="56"/>
      <x:c r="D46" s="56"/>
      <x:c r="E46" s="56"/>
      <x:c r="F46" s="56"/>
      <x:c r="G46" s="56"/>
      <x:c r="H46" s="56"/>
      <x:c r="I46" s="56"/>
      <x:c r="J46" s="56"/>
      <x:c r="K46" s="56"/>
      <x:c r="L46" s="57"/>
    </x:row>
    <x:row r="47">
      <x:c r="A47" s="56"/>
      <x:c r="B47" s="56"/>
      <x:c r="C47" s="56"/>
      <x:c r="D47" s="56"/>
      <x:c r="E47" s="56"/>
      <x:c r="F47" s="56"/>
      <x:c r="G47" s="56"/>
      <x:c r="H47" s="56"/>
      <x:c r="I47" s="56"/>
      <x:c r="J47" s="56"/>
      <x:c r="K47" s="56"/>
      <x:c r="L47" s="57"/>
    </x:row>
    <x:row r="48">
      <x:c r="A48" s="56"/>
      <x:c r="B48" s="56"/>
      <x:c r="C48" s="56"/>
      <x:c r="D48" s="56"/>
      <x:c r="E48" s="56"/>
      <x:c r="F48" s="56"/>
      <x:c r="G48" s="56"/>
      <x:c r="H48" s="56"/>
      <x:c r="I48" s="56"/>
      <x:c r="J48" s="56"/>
      <x:c r="K48" s="56"/>
      <x:c r="L48" s="57"/>
    </x:row>
    <x:row r="49">
      <x:c r="A49" s="56"/>
      <x:c r="B49" s="56"/>
      <x:c r="C49" s="56"/>
      <x:c r="D49" s="56"/>
      <x:c r="E49" s="56"/>
      <x:c r="F49" s="56"/>
      <x:c r="G49" s="56"/>
      <x:c r="H49" s="56"/>
      <x:c r="I49" s="56"/>
      <x:c r="J49" s="56"/>
      <x:c r="K49" s="56"/>
      <x:c r="L49" s="57"/>
    </x:row>
    <x:row r="50">
      <x:c r="A50" s="56"/>
      <x:c r="B50" s="56"/>
      <x:c r="C50" s="56"/>
      <x:c r="D50" s="56"/>
      <x:c r="E50" s="56"/>
      <x:c r="F50" s="56"/>
      <x:c r="G50" s="56"/>
      <x:c r="H50" s="56"/>
      <x:c r="I50" s="56"/>
      <x:c r="J50" s="56"/>
      <x:c r="K50" s="56"/>
      <x:c r="L50" s="57"/>
    </x:row>
    <x:row r="51">
      <x:c r="A51" s="56"/>
      <x:c r="B51" s="56"/>
      <x:c r="C51" s="56"/>
      <x:c r="D51" s="56"/>
      <x:c r="E51" s="56"/>
      <x:c r="F51" s="56"/>
      <x:c r="G51" s="56"/>
      <x:c r="H51" s="56"/>
      <x:c r="I51" s="56"/>
      <x:c r="J51" s="56"/>
      <x:c r="K51" s="56"/>
      <x:c r="L51" s="57"/>
    </x:row>
    <x:row r="52">
      <x:c r="A52" s="56"/>
      <x:c r="B52" s="56"/>
      <x:c r="C52" s="56"/>
      <x:c r="D52" s="56"/>
      <x:c r="E52" s="56"/>
      <x:c r="F52" s="56"/>
      <x:c r="G52" s="56"/>
      <x:c r="H52" s="56"/>
      <x:c r="I52" s="56"/>
      <x:c r="J52" s="56"/>
      <x:c r="K52" s="56"/>
      <x:c r="L52" s="57"/>
    </x:row>
    <x:row r="53">
      <x:c r="A53" s="56"/>
      <x:c r="B53" s="56"/>
      <x:c r="C53" s="56"/>
      <x:c r="D53" s="56"/>
      <x:c r="E53" s="56"/>
      <x:c r="F53" s="56"/>
      <x:c r="G53" s="56"/>
      <x:c r="H53" s="56"/>
      <x:c r="I53" s="56"/>
      <x:c r="J53" s="56"/>
      <x:c r="K53" s="56"/>
      <x:c r="L53" s="57"/>
    </x:row>
    <x:row r="54">
      <x:c r="A54" s="56"/>
      <x:c r="B54" s="56"/>
      <x:c r="C54" s="56"/>
      <x:c r="D54" s="56"/>
      <x:c r="E54" s="56"/>
      <x:c r="F54" s="56"/>
      <x:c r="G54" s="56"/>
      <x:c r="H54" s="56"/>
      <x:c r="I54" s="56"/>
      <x:c r="J54" s="56"/>
      <x:c r="K54" s="56"/>
      <x:c r="L54" s="57"/>
    </x:row>
    <x:row r="55">
      <x:c r="A55" s="56"/>
      <x:c r="B55" s="56"/>
      <x:c r="C55" s="56"/>
      <x:c r="D55" s="56"/>
      <x:c r="E55" s="56"/>
      <x:c r="F55" s="56"/>
      <x:c r="G55" s="56"/>
      <x:c r="H55" s="56"/>
      <x:c r="I55" s="56"/>
      <x:c r="J55" s="56"/>
      <x:c r="K55" s="56"/>
      <x:c r="L55" s="57"/>
    </x:row>
    <x:row r="56">
      <x:c r="A56" s="56"/>
      <x:c r="B56" s="56"/>
      <x:c r="C56" s="56"/>
      <x:c r="D56" s="56"/>
      <x:c r="E56" s="56"/>
      <x:c r="F56" s="56"/>
      <x:c r="G56" s="56"/>
      <x:c r="H56" s="56"/>
      <x:c r="I56" s="56"/>
      <x:c r="J56" s="56"/>
      <x:c r="K56" s="56"/>
      <x:c r="L56" s="57"/>
    </x:row>
    <x:row r="57">
      <x:c r="A57" s="56"/>
      <x:c r="B57" s="56"/>
      <x:c r="C57" s="56"/>
      <x:c r="D57" s="56"/>
      <x:c r="E57" s="56"/>
      <x:c r="F57" s="56"/>
      <x:c r="G57" s="56"/>
      <x:c r="H57" s="56"/>
      <x:c r="I57" s="56"/>
      <x:c r="J57" s="56"/>
      <x:c r="K57" s="56"/>
      <x:c r="L57" s="57"/>
    </x:row>
    <x:row r="58">
      <x:c r="A58" s="56"/>
      <x:c r="B58" s="56"/>
      <x:c r="C58" s="56"/>
      <x:c r="D58" s="56"/>
      <x:c r="E58" s="56"/>
      <x:c r="F58" s="56"/>
      <x:c r="G58" s="56"/>
      <x:c r="H58" s="56"/>
      <x:c r="I58" s="56"/>
      <x:c r="J58" s="56"/>
      <x:c r="K58" s="56"/>
      <x:c r="L58" s="57"/>
    </x:row>
    <x:row r="59">
      <x:c r="A59" s="56"/>
      <x:c r="B59" s="56"/>
      <x:c r="C59" s="56"/>
      <x:c r="D59" s="56"/>
      <x:c r="E59" s="56"/>
      <x:c r="F59" s="56"/>
      <x:c r="G59" s="56"/>
      <x:c r="H59" s="56"/>
      <x:c r="I59" s="56"/>
      <x:c r="J59" s="56"/>
      <x:c r="K59" s="56"/>
      <x:c r="L59" s="57"/>
    </x:row>
    <x:row r="60">
      <x:c r="A60" s="56"/>
      <x:c r="B60" s="56"/>
      <x:c r="C60" s="56"/>
      <x:c r="D60" s="56"/>
      <x:c r="E60" s="56"/>
      <x:c r="F60" s="56"/>
      <x:c r="G60" s="56"/>
      <x:c r="H60" s="56"/>
      <x:c r="I60" s="56"/>
      <x:c r="J60" s="56"/>
      <x:c r="K60" s="56"/>
      <x:c r="L60" s="57"/>
    </x:row>
    <x:row r="61">
      <x:c r="A61" s="56"/>
      <x:c r="B61" s="56"/>
      <x:c r="C61" s="56"/>
      <x:c r="D61" s="56"/>
      <x:c r="E61" s="56"/>
      <x:c r="F61" s="56"/>
      <x:c r="G61" s="56"/>
      <x:c r="H61" s="56"/>
      <x:c r="I61" s="56"/>
      <x:c r="J61" s="56"/>
      <x:c r="K61" s="56"/>
      <x:c r="L61" s="57"/>
    </x:row>
    <x:row r="62">
      <x:c r="A62" s="56"/>
      <x:c r="B62" s="56"/>
      <x:c r="C62" s="56"/>
      <x:c r="D62" s="56"/>
      <x:c r="E62" s="56"/>
      <x:c r="F62" s="56"/>
      <x:c r="G62" s="56"/>
      <x:c r="H62" s="56"/>
      <x:c r="I62" s="56"/>
      <x:c r="J62" s="56"/>
      <x:c r="K62" s="56"/>
      <x:c r="L62" s="57"/>
    </x:row>
    <x:row r="63">
      <x:c r="A63" s="56"/>
      <x:c r="B63" s="56"/>
      <x:c r="C63" s="56"/>
      <x:c r="D63" s="56"/>
      <x:c r="E63" s="56"/>
      <x:c r="F63" s="56"/>
      <x:c r="G63" s="56"/>
      <x:c r="H63" s="56"/>
      <x:c r="I63" s="56"/>
      <x:c r="J63" s="56"/>
      <x:c r="K63" s="56"/>
      <x:c r="L63" s="57"/>
    </x:row>
    <x:row r="64">
      <x:c r="A64" s="56"/>
      <x:c r="B64" s="56"/>
      <x:c r="C64" s="56"/>
      <x:c r="D64" s="56"/>
      <x:c r="E64" s="56"/>
      <x:c r="F64" s="56"/>
      <x:c r="G64" s="56"/>
      <x:c r="H64" s="56"/>
      <x:c r="I64" s="56"/>
      <x:c r="J64" s="56"/>
      <x:c r="K64" s="56"/>
      <x:c r="L64" s="57"/>
    </x:row>
  </x:sheetData>
  <x:mergeCells>
    <x:mergeCell ref="A1:K1"/>
    <x:mergeCell ref="A2:K2"/>
  </x:mergeCells>
  <x:conditionalFormatting sqref="G5:G64">
    <x:cfRule type="containsText" dxfId="116" priority="1" operator="containsText" text="Critique"/>
    <x:cfRule type="containsText" dxfId="117" priority="2" operator="containsText" text="A completer"/>
    <x:cfRule type="containsText" dxfId="118" priority="3" operator="containsText" text="Pret"/>
    <x:cfRule type="containsText" dxfId="119" priority="4" operator="containsText" text="OK"/>
  </x:conditionalFormatting>
  <x:dataValidations count="3">
    <x:dataValidation type="list" errorStyle="warning" showInputMessage="1" showErrorMessage="1" errorTitle="Valeur inattendue" error="Verifier la liste de valeurs." promptTitle="Liste controlee" prompt="Choisir une valeur autorisee." sqref="C5:C64">
      <x:formula1>"GCF,Banque mondiale,BAD"</x:formula1>
    </x:dataValidation>
    <x:dataValidation type="list" errorStyle="warning" showInputMessage="1" showErrorMessage="1" errorTitle="Valeur inattendue" error="Verifier la liste de valeurs." promptTitle="Liste controlee" prompt="Choisir une valeur autorisee." sqref="D5:D64">
      <x:formula1>"Impact potentiel,Changement de paradigme,Developpement durable,Besoins du beneficiaire,Appropriation pays,Efficience et efficacite,Sauvegardes E&amp;S,Genre,Passation marches,Exploitation maintenance"</x:formula1>
    </x:dataValidation>
    <x:dataValidation type="list" errorStyle="warning" showInputMessage="1" showErrorMessage="1" errorTitle="Valeur inattendue" error="Verifier la liste de valeurs." promptTitle="Liste controlee" prompt="Choisir une valeur autorisee." sqref="G5:G64">
      <x:formula1>"Non demarre,A completer,En cours,A verifier,Pret,Soumis,Valide"</x:formula1>
    </x:dataValidation>
  </x:dataValidations>
  <x:pageMargins left="0.7" right="0.7" top="0.75" bottom="0.75" header="0.3" footer="0.3"/>
  <x:tableParts count="1">
    <x:tablePart xmlns:r="http://schemas.openxmlformats.org/officeDocument/2006/relationships" r:id="R4cbb11e534bb47a0"/>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18.75" hidden="0" customWidth="1"/>
    <x:col min="4" max="4" width="30" hidden="0" customWidth="1"/>
    <x:col min="5" max="5" width="11.25" hidden="0" customWidth="1"/>
    <x:col min="6" max="6" width="12.5" hidden="0" customWidth="1"/>
    <x:col min="7" max="7" width="12.5" hidden="0" customWidth="1"/>
    <x:col min="8" max="8" width="15" hidden="0" customWidth="1"/>
    <x:col min="9" max="9" width="26.25" hidden="0" customWidth="1"/>
    <x:col min="10" max="10" width="14.380000114440918" hidden="0" customWidth="1"/>
    <x:col min="11" max="11" width="20" hidden="0" customWidth="1"/>
    <x:col min="12" max="12" width="26.25" hidden="0" customWidth="1"/>
    <x:col min="13" max="13" width="21.25" hidden="0" customWidth="1"/>
    <x:col min="14" max="14" width="15.630000114440918" hidden="0" customWidth="1"/>
  </x:cols>
  <x:sheetData>
    <x:row r="1" ht="25.5" customHeight="1">
      <x:c r="A1" s="48" t="str">
        <x:v>Co-benefices, inclusion et justice climatique</x:v>
      </x:c>
      <x:c r="B1" s="48"/>
      <x:c r="C1" s="48"/>
      <x:c r="D1" s="48"/>
      <x:c r="E1" s="48"/>
      <x:c r="F1" s="48"/>
      <x:c r="G1" s="48"/>
      <x:c r="H1" s="48"/>
      <x:c r="I1" s="48"/>
      <x:c r="J1" s="48"/>
      <x:c r="K1" s="48"/>
    </x:row>
    <x:row r="2" ht="31.5" customHeight="1">
      <x:c r="A2" s="51" t="str">
        <x:v>Suivi des impacts sociaux, sanitaires, genre, emploi et SDG pour renforcer C40, CDP et finance climat.</x:v>
      </x:c>
      <x:c r="B2" s="51"/>
      <x:c r="C2" s="51"/>
      <x:c r="D2" s="51"/>
      <x:c r="E2" s="51"/>
      <x:c r="F2" s="51"/>
      <x:c r="G2" s="51"/>
      <x:c r="H2" s="51"/>
      <x:c r="I2" s="51"/>
      <x:c r="J2" s="51"/>
      <x:c r="K2" s="51"/>
    </x:row>
    <x:row r="4">
      <x:c r="A4" s="54" t="str">
        <x:v>Cob_ID</x:v>
      </x:c>
      <x:c r="B4" s="54" t="str">
        <x:v>Project_ID</x:v>
      </x:c>
      <x:c r="C4" s="54" t="str">
        <x:v>Benefice</x:v>
      </x:c>
      <x:c r="D4" s="54" t="str">
        <x:v>Indicateur</x:v>
      </x:c>
      <x:c r="E4" s="54" t="str">
        <x:v>Unite</x:v>
      </x:c>
      <x:c r="F4" s="54" t="str">
        <x:v>Baseline</x:v>
      </x:c>
      <x:c r="G4" s="54" t="str">
        <x:v>Cible</x:v>
      </x:c>
      <x:c r="H4" s="54" t="str">
        <x:v>Valeur_actuelle</x:v>
      </x:c>
      <x:c r="I4" s="54" t="str">
        <x:v>Groupe_beneficiaire</x:v>
      </x:c>
      <x:c r="J4" s="54" t="str">
        <x:v>Genre_sensible</x:v>
      </x:c>
      <x:c r="K4" s="54" t="str">
        <x:v>SDG</x:v>
      </x:c>
      <x:c r="L4" s="54" t="str">
        <x:v>Methode_mesure</x:v>
      </x:c>
      <x:c r="M4" s="54" t="str">
        <x:v>Source_preuve</x:v>
      </x:c>
      <x:c r="N4" s="54" t="str">
        <x:v>Alerte</x:v>
      </x:c>
    </x:row>
    <x:row r="5">
      <x:c r="A5" s="56" t="str">
        <x:v>COB-001</x:v>
      </x:c>
      <x:c r="B5" s="56" t="str">
        <x:v>PRJ-002</x:v>
      </x:c>
      <x:c r="C5" s="56" t="str">
        <x:v>Emplois verts</x:v>
      </x:c>
      <x:c r="D5" s="56" t="str">
        <x:v>Nombre emplois directs crees</x:v>
      </x:c>
      <x:c r="E5" s="56" t="str">
        <x:v>emplois</x:v>
      </x:c>
      <x:c r="F5" s="58" t="n">
        <x:v>0</x:v>
      </x:c>
      <x:c r="G5" s="58" t="n">
        <x:v>250</x:v>
      </x:c>
      <x:c r="H5" s="58" t="n">
        <x:v>40</x:v>
      </x:c>
      <x:c r="I5" s="56" t="str">
        <x:v>Jeunes; Femmes</x:v>
      </x:c>
      <x:c r="J5" s="56" t="str">
        <x:v>Oui</x:v>
      </x:c>
      <x:c r="K5" s="56" t="str">
        <x:v>SDG 8; SDG 11; SDG 13</x:v>
      </x:c>
      <x:c r="L5" s="56" t="str">
        <x:v>Contrats et enquete</x:v>
      </x:c>
      <x:c r="M5" s="56" t="str">
        <x:v>Registre projet</x:v>
      </x:c>
      <x:c r="N5" s="56" t="str">
        <x:f>IF(A5="","",IF(OR(M5="",H5=""),"A completer","OK"))</x:f>
        <x:v>OK</x:v>
      </x:c>
    </x:row>
    <x:row r="6">
      <x:c r="A6" s="56" t="str">
        <x:v>COB-002</x:v>
      </x:c>
      <x:c r="B6" s="56" t="str">
        <x:v>PRJ-005</x:v>
      </x:c>
      <x:c r="C6" s="56" t="str">
        <x:v>Sante publique</x:v>
      </x:c>
      <x:c r="D6" s="56" t="str">
        <x:v>Population couverte par monitoring air</x:v>
      </x:c>
      <x:c r="E6" s="56" t="str">
        <x:v>personnes</x:v>
      </x:c>
      <x:c r="F6" s="58" t="n">
        <x:v>0</x:v>
      </x:c>
      <x:c r="G6" s="58" t="n">
        <x:v>1100000</x:v>
      </x:c>
      <x:c r="H6" s="58" t="n">
        <x:v>1100000</x:v>
      </x:c>
      <x:c r="I6" s="56" t="str">
        <x:v>Tous; personnes vulnerables</x:v>
      </x:c>
      <x:c r="J6" s="56" t="str">
        <x:v>Partiel</x:v>
      </x:c>
      <x:c r="K6" s="56" t="str">
        <x:v>SDG 3; SDG 11</x:v>
      </x:c>
      <x:c r="L6" s="56" t="str">
        <x:v>Cartographie capteurs</x:v>
      </x:c>
      <x:c r="M6" s="56" t="str">
        <x:v>11_QUALITE_AIR</x:v>
      </x:c>
      <x:c r="N6" s="56" t="str">
        <x:f>IF(A6="","",IF(OR(M6="",H6=""),"A completer","OK"))</x:f>
        <x:v>OK</x:v>
      </x:c>
    </x:row>
    <x:row r="7">
      <x:c r="A7" s="56" t="str">
        <x:v>COB-003</x:v>
      </x:c>
      <x:c r="B7" s="56" t="str">
        <x:v>PRJ-004</x:v>
      </x:c>
      <x:c r="C7" s="56" t="str">
        <x:v>Resilience</x:v>
      </x:c>
      <x:c r="D7" s="56" t="str">
        <x:v>Personnes protegees contre inondations</x:v>
      </x:c>
      <x:c r="E7" s="56" t="str">
        <x:v>personnes</x:v>
      </x:c>
      <x:c r="F7" s="58" t="n">
        <x:v>0</x:v>
      </x:c>
      <x:c r="G7" s="58" t="n">
        <x:v>120000</x:v>
      </x:c>
      <x:c r="H7" s="58" t="n">
        <x:v>15000</x:v>
      </x:c>
      <x:c r="I7" s="56" t="str">
        <x:v>Menages faibles revenus</x:v>
      </x:c>
      <x:c r="J7" s="56" t="str">
        <x:v>Oui</x:v>
      </x:c>
      <x:c r="K7" s="56" t="str">
        <x:v>SDG 11; SDG 13</x:v>
      </x:c>
      <x:c r="L7" s="56" t="str">
        <x:v>Modelisation exposition</x:v>
      </x:c>
      <x:c r="M7" s="56" t="str">
        <x:v>30_ACTIFS_EXPOSITION</x:v>
      </x:c>
      <x:c r="N7" s="56" t="str">
        <x:f>IF(A7="","",IF(OR(M7="",H7=""),"A completer","OK"))</x:f>
        <x:v>OK</x:v>
      </x:c>
    </x:row>
    <x:row r="8">
      <x:c r="A8" s="56"/>
      <x:c r="B8" s="56"/>
      <x:c r="C8" s="56"/>
      <x:c r="D8" s="56"/>
      <x:c r="E8" s="56"/>
      <x:c r="F8" s="58"/>
      <x:c r="G8" s="58"/>
      <x:c r="H8" s="58"/>
      <x:c r="I8" s="56"/>
      <x:c r="J8" s="56"/>
      <x:c r="K8" s="56"/>
      <x:c r="L8" s="56"/>
      <x:c r="M8" s="56"/>
      <x:c r="N8" s="56" t="str">
        <x:f>IF(A8="","",IF(OR(M8="",H8=""),"A completer","OK"))</x:f>
      </x:c>
    </x:row>
    <x:row r="9">
      <x:c r="A9" s="56"/>
      <x:c r="B9" s="56"/>
      <x:c r="C9" s="56"/>
      <x:c r="D9" s="56"/>
      <x:c r="E9" s="56"/>
      <x:c r="F9" s="58"/>
      <x:c r="G9" s="58"/>
      <x:c r="H9" s="58"/>
      <x:c r="I9" s="56"/>
      <x:c r="J9" s="56"/>
      <x:c r="K9" s="56"/>
      <x:c r="L9" s="56"/>
      <x:c r="M9" s="56"/>
      <x:c r="N9" s="56" t="str">
        <x:f>IF(A9="","",IF(OR(M9="",H9=""),"A completer","OK"))</x:f>
      </x:c>
    </x:row>
    <x:row r="10">
      <x:c r="A10" s="56"/>
      <x:c r="B10" s="56"/>
      <x:c r="C10" s="56"/>
      <x:c r="D10" s="56"/>
      <x:c r="E10" s="56"/>
      <x:c r="F10" s="58"/>
      <x:c r="G10" s="58"/>
      <x:c r="H10" s="58"/>
      <x:c r="I10" s="56"/>
      <x:c r="J10" s="56"/>
      <x:c r="K10" s="56"/>
      <x:c r="L10" s="56"/>
      <x:c r="M10" s="56"/>
      <x:c r="N10" s="56" t="str">
        <x:f>IF(A10="","",IF(OR(M10="",H10=""),"A completer","OK"))</x:f>
      </x:c>
    </x:row>
    <x:row r="11">
      <x:c r="A11" s="56"/>
      <x:c r="B11" s="56"/>
      <x:c r="C11" s="56"/>
      <x:c r="D11" s="56"/>
      <x:c r="E11" s="56"/>
      <x:c r="F11" s="58"/>
      <x:c r="G11" s="58"/>
      <x:c r="H11" s="58"/>
      <x:c r="I11" s="56"/>
      <x:c r="J11" s="56"/>
      <x:c r="K11" s="56"/>
      <x:c r="L11" s="56"/>
      <x:c r="M11" s="56"/>
      <x:c r="N11" s="56" t="str">
        <x:f>IF(A11="","",IF(OR(M11="",H11=""),"A completer","OK"))</x:f>
      </x:c>
    </x:row>
    <x:row r="12">
      <x:c r="A12" s="56"/>
      <x:c r="B12" s="56"/>
      <x:c r="C12" s="56"/>
      <x:c r="D12" s="56"/>
      <x:c r="E12" s="56"/>
      <x:c r="F12" s="58"/>
      <x:c r="G12" s="58"/>
      <x:c r="H12" s="58"/>
      <x:c r="I12" s="56"/>
      <x:c r="J12" s="56"/>
      <x:c r="K12" s="56"/>
      <x:c r="L12" s="56"/>
      <x:c r="M12" s="56"/>
      <x:c r="N12" s="56" t="str">
        <x:f>IF(A12="","",IF(OR(M12="",H12=""),"A completer","OK"))</x:f>
      </x:c>
    </x:row>
    <x:row r="13">
      <x:c r="A13" s="56"/>
      <x:c r="B13" s="56"/>
      <x:c r="C13" s="56"/>
      <x:c r="D13" s="56"/>
      <x:c r="E13" s="56"/>
      <x:c r="F13" s="58"/>
      <x:c r="G13" s="58"/>
      <x:c r="H13" s="58"/>
      <x:c r="I13" s="56"/>
      <x:c r="J13" s="56"/>
      <x:c r="K13" s="56"/>
      <x:c r="L13" s="56"/>
      <x:c r="M13" s="56"/>
      <x:c r="N13" s="56" t="str">
        <x:f>IF(A13="","",IF(OR(M13="",H13=""),"A completer","OK"))</x:f>
      </x:c>
    </x:row>
    <x:row r="14">
      <x:c r="A14" s="56"/>
      <x:c r="B14" s="56"/>
      <x:c r="C14" s="56"/>
      <x:c r="D14" s="56"/>
      <x:c r="E14" s="56"/>
      <x:c r="F14" s="58"/>
      <x:c r="G14" s="58"/>
      <x:c r="H14" s="58"/>
      <x:c r="I14" s="56"/>
      <x:c r="J14" s="56"/>
      <x:c r="K14" s="56"/>
      <x:c r="L14" s="56"/>
      <x:c r="M14" s="56"/>
      <x:c r="N14" s="56" t="str">
        <x:f>IF(A14="","",IF(OR(M14="",H14=""),"A completer","OK"))</x:f>
      </x:c>
    </x:row>
    <x:row r="15">
      <x:c r="A15" s="56"/>
      <x:c r="B15" s="56"/>
      <x:c r="C15" s="56"/>
      <x:c r="D15" s="56"/>
      <x:c r="E15" s="56"/>
      <x:c r="F15" s="58"/>
      <x:c r="G15" s="58"/>
      <x:c r="H15" s="58"/>
      <x:c r="I15" s="56"/>
      <x:c r="J15" s="56"/>
      <x:c r="K15" s="56"/>
      <x:c r="L15" s="56"/>
      <x:c r="M15" s="56"/>
      <x:c r="N15" s="56" t="str">
        <x:f>IF(A15="","",IF(OR(M15="",H15=""),"A completer","OK"))</x:f>
      </x:c>
    </x:row>
    <x:row r="16">
      <x:c r="A16" s="56"/>
      <x:c r="B16" s="56"/>
      <x:c r="C16" s="56"/>
      <x:c r="D16" s="56"/>
      <x:c r="E16" s="56"/>
      <x:c r="F16" s="58"/>
      <x:c r="G16" s="58"/>
      <x:c r="H16" s="58"/>
      <x:c r="I16" s="56"/>
      <x:c r="J16" s="56"/>
      <x:c r="K16" s="56"/>
      <x:c r="L16" s="56"/>
      <x:c r="M16" s="56"/>
      <x:c r="N16" s="56" t="str">
        <x:f>IF(A16="","",IF(OR(M16="",H16=""),"A completer","OK"))</x:f>
      </x:c>
    </x:row>
    <x:row r="17">
      <x:c r="A17" s="56"/>
      <x:c r="B17" s="56"/>
      <x:c r="C17" s="56"/>
      <x:c r="D17" s="56"/>
      <x:c r="E17" s="56"/>
      <x:c r="F17" s="58"/>
      <x:c r="G17" s="58"/>
      <x:c r="H17" s="58"/>
      <x:c r="I17" s="56"/>
      <x:c r="J17" s="56"/>
      <x:c r="K17" s="56"/>
      <x:c r="L17" s="56"/>
      <x:c r="M17" s="56"/>
      <x:c r="N17" s="56" t="str">
        <x:f>IF(A17="","",IF(OR(M17="",H17=""),"A completer","OK"))</x:f>
      </x:c>
    </x:row>
    <x:row r="18">
      <x:c r="A18" s="56"/>
      <x:c r="B18" s="56"/>
      <x:c r="C18" s="56"/>
      <x:c r="D18" s="56"/>
      <x:c r="E18" s="56"/>
      <x:c r="F18" s="58"/>
      <x:c r="G18" s="58"/>
      <x:c r="H18" s="58"/>
      <x:c r="I18" s="56"/>
      <x:c r="J18" s="56"/>
      <x:c r="K18" s="56"/>
      <x:c r="L18" s="56"/>
      <x:c r="M18" s="56"/>
      <x:c r="N18" s="56" t="str">
        <x:f>IF(A18="","",IF(OR(M18="",H18=""),"A completer","OK"))</x:f>
      </x:c>
    </x:row>
    <x:row r="19">
      <x:c r="A19" s="56"/>
      <x:c r="B19" s="56"/>
      <x:c r="C19" s="56"/>
      <x:c r="D19" s="56"/>
      <x:c r="E19" s="56"/>
      <x:c r="F19" s="58"/>
      <x:c r="G19" s="58"/>
      <x:c r="H19" s="58"/>
      <x:c r="I19" s="56"/>
      <x:c r="J19" s="56"/>
      <x:c r="K19" s="56"/>
      <x:c r="L19" s="56"/>
      <x:c r="M19" s="56"/>
      <x:c r="N19" s="56" t="str">
        <x:f>IF(A19="","",IF(OR(M19="",H19=""),"A completer","OK"))</x:f>
      </x:c>
    </x:row>
    <x:row r="20">
      <x:c r="A20" s="56"/>
      <x:c r="B20" s="56"/>
      <x:c r="C20" s="56"/>
      <x:c r="D20" s="56"/>
      <x:c r="E20" s="56"/>
      <x:c r="F20" s="58"/>
      <x:c r="G20" s="58"/>
      <x:c r="H20" s="58"/>
      <x:c r="I20" s="56"/>
      <x:c r="J20" s="56"/>
      <x:c r="K20" s="56"/>
      <x:c r="L20" s="56"/>
      <x:c r="M20" s="56"/>
      <x:c r="N20" s="56" t="str">
        <x:f>IF(A20="","",IF(OR(M20="",H20=""),"A completer","OK"))</x:f>
      </x:c>
    </x:row>
    <x:row r="21">
      <x:c r="A21" s="56"/>
      <x:c r="B21" s="56"/>
      <x:c r="C21" s="56"/>
      <x:c r="D21" s="56"/>
      <x:c r="E21" s="56"/>
      <x:c r="F21" s="58"/>
      <x:c r="G21" s="58"/>
      <x:c r="H21" s="58"/>
      <x:c r="I21" s="56"/>
      <x:c r="J21" s="56"/>
      <x:c r="K21" s="56"/>
      <x:c r="L21" s="56"/>
      <x:c r="M21" s="56"/>
      <x:c r="N21" s="56" t="str">
        <x:f>IF(A21="","",IF(OR(M21="",H21=""),"A completer","OK"))</x:f>
      </x:c>
    </x:row>
    <x:row r="22">
      <x:c r="A22" s="56"/>
      <x:c r="B22" s="56"/>
      <x:c r="C22" s="56"/>
      <x:c r="D22" s="56"/>
      <x:c r="E22" s="56"/>
      <x:c r="F22" s="58"/>
      <x:c r="G22" s="58"/>
      <x:c r="H22" s="58"/>
      <x:c r="I22" s="56"/>
      <x:c r="J22" s="56"/>
      <x:c r="K22" s="56"/>
      <x:c r="L22" s="56"/>
      <x:c r="M22" s="56"/>
      <x:c r="N22" s="56" t="str">
        <x:f>IF(A22="","",IF(OR(M22="",H22=""),"A completer","OK"))</x:f>
      </x:c>
    </x:row>
    <x:row r="23">
      <x:c r="A23" s="56"/>
      <x:c r="B23" s="56"/>
      <x:c r="C23" s="56"/>
      <x:c r="D23" s="56"/>
      <x:c r="E23" s="56"/>
      <x:c r="F23" s="58"/>
      <x:c r="G23" s="58"/>
      <x:c r="H23" s="58"/>
      <x:c r="I23" s="56"/>
      <x:c r="J23" s="56"/>
      <x:c r="K23" s="56"/>
      <x:c r="L23" s="56"/>
      <x:c r="M23" s="56"/>
      <x:c r="N23" s="56" t="str">
        <x:f>IF(A23="","",IF(OR(M23="",H23=""),"A completer","OK"))</x:f>
      </x:c>
    </x:row>
    <x:row r="24">
      <x:c r="A24" s="56"/>
      <x:c r="B24" s="56"/>
      <x:c r="C24" s="56"/>
      <x:c r="D24" s="56"/>
      <x:c r="E24" s="56"/>
      <x:c r="F24" s="58"/>
      <x:c r="G24" s="58"/>
      <x:c r="H24" s="58"/>
      <x:c r="I24" s="56"/>
      <x:c r="J24" s="56"/>
      <x:c r="K24" s="56"/>
      <x:c r="L24" s="56"/>
      <x:c r="M24" s="56"/>
      <x:c r="N24" s="56" t="str">
        <x:f>IF(A24="","",IF(OR(M24="",H24=""),"A completer","OK"))</x:f>
      </x:c>
    </x:row>
    <x:row r="25">
      <x:c r="A25" s="56"/>
      <x:c r="B25" s="56"/>
      <x:c r="C25" s="56"/>
      <x:c r="D25" s="56"/>
      <x:c r="E25" s="56"/>
      <x:c r="F25" s="58"/>
      <x:c r="G25" s="58"/>
      <x:c r="H25" s="58"/>
      <x:c r="I25" s="56"/>
      <x:c r="J25" s="56"/>
      <x:c r="K25" s="56"/>
      <x:c r="L25" s="56"/>
      <x:c r="M25" s="56"/>
      <x:c r="N25" s="56" t="str">
        <x:f>IF(A25="","",IF(OR(M25="",H25=""),"A completer","OK"))</x:f>
      </x:c>
    </x:row>
    <x:row r="26">
      <x:c r="A26" s="56"/>
      <x:c r="B26" s="56"/>
      <x:c r="C26" s="56"/>
      <x:c r="D26" s="56"/>
      <x:c r="E26" s="56"/>
      <x:c r="F26" s="58"/>
      <x:c r="G26" s="58"/>
      <x:c r="H26" s="58"/>
      <x:c r="I26" s="56"/>
      <x:c r="J26" s="56"/>
      <x:c r="K26" s="56"/>
      <x:c r="L26" s="56"/>
      <x:c r="M26" s="56"/>
      <x:c r="N26" s="56" t="str">
        <x:f>IF(A26="","",IF(OR(M26="",H26=""),"A completer","OK"))</x:f>
      </x:c>
    </x:row>
    <x:row r="27">
      <x:c r="A27" s="56"/>
      <x:c r="B27" s="56"/>
      <x:c r="C27" s="56"/>
      <x:c r="D27" s="56"/>
      <x:c r="E27" s="56"/>
      <x:c r="F27" s="58"/>
      <x:c r="G27" s="58"/>
      <x:c r="H27" s="58"/>
      <x:c r="I27" s="56"/>
      <x:c r="J27" s="56"/>
      <x:c r="K27" s="56"/>
      <x:c r="L27" s="56"/>
      <x:c r="M27" s="56"/>
      <x:c r="N27" s="56" t="str">
        <x:f>IF(A27="","",IF(OR(M27="",H27=""),"A completer","OK"))</x:f>
      </x:c>
    </x:row>
    <x:row r="28">
      <x:c r="A28" s="56"/>
      <x:c r="B28" s="56"/>
      <x:c r="C28" s="56"/>
      <x:c r="D28" s="56"/>
      <x:c r="E28" s="56"/>
      <x:c r="F28" s="58"/>
      <x:c r="G28" s="58"/>
      <x:c r="H28" s="58"/>
      <x:c r="I28" s="56"/>
      <x:c r="J28" s="56"/>
      <x:c r="K28" s="56"/>
      <x:c r="L28" s="56"/>
      <x:c r="M28" s="56"/>
      <x:c r="N28" s="56" t="str">
        <x:f>IF(A28="","",IF(OR(M28="",H28=""),"A completer","OK"))</x:f>
      </x:c>
    </x:row>
    <x:row r="29">
      <x:c r="A29" s="56"/>
      <x:c r="B29" s="56"/>
      <x:c r="C29" s="56"/>
      <x:c r="D29" s="56"/>
      <x:c r="E29" s="56"/>
      <x:c r="F29" s="58"/>
      <x:c r="G29" s="58"/>
      <x:c r="H29" s="58"/>
      <x:c r="I29" s="56"/>
      <x:c r="J29" s="56"/>
      <x:c r="K29" s="56"/>
      <x:c r="L29" s="56"/>
      <x:c r="M29" s="56"/>
      <x:c r="N29" s="56" t="str">
        <x:f>IF(A29="","",IF(OR(M29="",H29=""),"A completer","OK"))</x:f>
      </x:c>
    </x:row>
    <x:row r="30">
      <x:c r="A30" s="56"/>
      <x:c r="B30" s="56"/>
      <x:c r="C30" s="56"/>
      <x:c r="D30" s="56"/>
      <x:c r="E30" s="56"/>
      <x:c r="F30" s="58"/>
      <x:c r="G30" s="58"/>
      <x:c r="H30" s="58"/>
      <x:c r="I30" s="56"/>
      <x:c r="J30" s="56"/>
      <x:c r="K30" s="56"/>
      <x:c r="L30" s="56"/>
      <x:c r="M30" s="56"/>
      <x:c r="N30" s="56" t="str">
        <x:f>IF(A30="","",IF(OR(M30="",H30=""),"A completer","OK"))</x:f>
      </x:c>
    </x:row>
    <x:row r="31">
      <x:c r="A31" s="56"/>
      <x:c r="B31" s="56"/>
      <x:c r="C31" s="56"/>
      <x:c r="D31" s="56"/>
      <x:c r="E31" s="56"/>
      <x:c r="F31" s="58"/>
      <x:c r="G31" s="58"/>
      <x:c r="H31" s="58"/>
      <x:c r="I31" s="56"/>
      <x:c r="J31" s="56"/>
      <x:c r="K31" s="56"/>
      <x:c r="L31" s="56"/>
      <x:c r="M31" s="56"/>
      <x:c r="N31" s="56" t="str">
        <x:f>IF(A31="","",IF(OR(M31="",H31=""),"A completer","OK"))</x:f>
      </x:c>
    </x:row>
    <x:row r="32">
      <x:c r="A32" s="56"/>
      <x:c r="B32" s="56"/>
      <x:c r="C32" s="56"/>
      <x:c r="D32" s="56"/>
      <x:c r="E32" s="56"/>
      <x:c r="F32" s="58"/>
      <x:c r="G32" s="58"/>
      <x:c r="H32" s="58"/>
      <x:c r="I32" s="56"/>
      <x:c r="J32" s="56"/>
      <x:c r="K32" s="56"/>
      <x:c r="L32" s="56"/>
      <x:c r="M32" s="56"/>
      <x:c r="N32" s="56" t="str">
        <x:f>IF(A32="","",IF(OR(M32="",H32=""),"A completer","OK"))</x:f>
      </x:c>
    </x:row>
    <x:row r="33">
      <x:c r="A33" s="56"/>
      <x:c r="B33" s="56"/>
      <x:c r="C33" s="56"/>
      <x:c r="D33" s="56"/>
      <x:c r="E33" s="56"/>
      <x:c r="F33" s="58"/>
      <x:c r="G33" s="58"/>
      <x:c r="H33" s="58"/>
      <x:c r="I33" s="56"/>
      <x:c r="J33" s="56"/>
      <x:c r="K33" s="56"/>
      <x:c r="L33" s="56"/>
      <x:c r="M33" s="56"/>
      <x:c r="N33" s="56" t="str">
        <x:f>IF(A33="","",IF(OR(M33="",H33=""),"A completer","OK"))</x:f>
      </x:c>
    </x:row>
    <x:row r="34">
      <x:c r="A34" s="56"/>
      <x:c r="B34" s="56"/>
      <x:c r="C34" s="56"/>
      <x:c r="D34" s="56"/>
      <x:c r="E34" s="56"/>
      <x:c r="F34" s="58"/>
      <x:c r="G34" s="58"/>
      <x:c r="H34" s="58"/>
      <x:c r="I34" s="56"/>
      <x:c r="J34" s="56"/>
      <x:c r="K34" s="56"/>
      <x:c r="L34" s="56"/>
      <x:c r="M34" s="56"/>
      <x:c r="N34" s="56" t="str">
        <x:f>IF(A34="","",IF(OR(M34="",H34=""),"A completer","OK"))</x:f>
      </x:c>
    </x:row>
    <x:row r="35">
      <x:c r="A35" s="56"/>
      <x:c r="B35" s="56"/>
      <x:c r="C35" s="56"/>
      <x:c r="D35" s="56"/>
      <x:c r="E35" s="56"/>
      <x:c r="F35" s="58"/>
      <x:c r="G35" s="58"/>
      <x:c r="H35" s="58"/>
      <x:c r="I35" s="56"/>
      <x:c r="J35" s="56"/>
      <x:c r="K35" s="56"/>
      <x:c r="L35" s="56"/>
      <x:c r="M35" s="56"/>
      <x:c r="N35" s="56" t="str">
        <x:f>IF(A35="","",IF(OR(M35="",H35=""),"A completer","OK"))</x:f>
      </x:c>
    </x:row>
    <x:row r="36">
      <x:c r="A36" s="56"/>
      <x:c r="B36" s="56"/>
      <x:c r="C36" s="56"/>
      <x:c r="D36" s="56"/>
      <x:c r="E36" s="56"/>
      <x:c r="F36" s="58"/>
      <x:c r="G36" s="58"/>
      <x:c r="H36" s="58"/>
      <x:c r="I36" s="56"/>
      <x:c r="J36" s="56"/>
      <x:c r="K36" s="56"/>
      <x:c r="L36" s="56"/>
      <x:c r="M36" s="56"/>
      <x:c r="N36" s="56" t="str">
        <x:f>IF(A36="","",IF(OR(M36="",H36=""),"A completer","OK"))</x:f>
      </x:c>
    </x:row>
    <x:row r="37">
      <x:c r="A37" s="56"/>
      <x:c r="B37" s="56"/>
      <x:c r="C37" s="56"/>
      <x:c r="D37" s="56"/>
      <x:c r="E37" s="56"/>
      <x:c r="F37" s="58"/>
      <x:c r="G37" s="58"/>
      <x:c r="H37" s="58"/>
      <x:c r="I37" s="56"/>
      <x:c r="J37" s="56"/>
      <x:c r="K37" s="56"/>
      <x:c r="L37" s="56"/>
      <x:c r="M37" s="56"/>
      <x:c r="N37" s="56" t="str">
        <x:f>IF(A37="","",IF(OR(M37="",H37=""),"A completer","OK"))</x:f>
      </x:c>
    </x:row>
    <x:row r="38">
      <x:c r="A38" s="56"/>
      <x:c r="B38" s="56"/>
      <x:c r="C38" s="56"/>
      <x:c r="D38" s="56"/>
      <x:c r="E38" s="56"/>
      <x:c r="F38" s="58"/>
      <x:c r="G38" s="58"/>
      <x:c r="H38" s="58"/>
      <x:c r="I38" s="56"/>
      <x:c r="J38" s="56"/>
      <x:c r="K38" s="56"/>
      <x:c r="L38" s="56"/>
      <x:c r="M38" s="56"/>
      <x:c r="N38" s="56" t="str">
        <x:f>IF(A38="","",IF(OR(M38="",H38=""),"A completer","OK"))</x:f>
      </x:c>
    </x:row>
    <x:row r="39">
      <x:c r="A39" s="56"/>
      <x:c r="B39" s="56"/>
      <x:c r="C39" s="56"/>
      <x:c r="D39" s="56"/>
      <x:c r="E39" s="56"/>
      <x:c r="F39" s="58"/>
      <x:c r="G39" s="58"/>
      <x:c r="H39" s="58"/>
      <x:c r="I39" s="56"/>
      <x:c r="J39" s="56"/>
      <x:c r="K39" s="56"/>
      <x:c r="L39" s="56"/>
      <x:c r="M39" s="56"/>
      <x:c r="N39" s="56" t="str">
        <x:f>IF(A39="","",IF(OR(M39="",H39=""),"A completer","OK"))</x:f>
      </x:c>
    </x:row>
    <x:row r="40">
      <x:c r="A40" s="56"/>
      <x:c r="B40" s="56"/>
      <x:c r="C40" s="56"/>
      <x:c r="D40" s="56"/>
      <x:c r="E40" s="56"/>
      <x:c r="F40" s="58"/>
      <x:c r="G40" s="58"/>
      <x:c r="H40" s="58"/>
      <x:c r="I40" s="56"/>
      <x:c r="J40" s="56"/>
      <x:c r="K40" s="56"/>
      <x:c r="L40" s="56"/>
      <x:c r="M40" s="56"/>
      <x:c r="N40" s="56" t="str">
        <x:f>IF(A40="","",IF(OR(M40="",H40=""),"A completer","OK"))</x:f>
      </x:c>
    </x:row>
    <x:row r="41">
      <x:c r="A41" s="56"/>
      <x:c r="B41" s="56"/>
      <x:c r="C41" s="56"/>
      <x:c r="D41" s="56"/>
      <x:c r="E41" s="56"/>
      <x:c r="F41" s="58"/>
      <x:c r="G41" s="58"/>
      <x:c r="H41" s="58"/>
      <x:c r="I41" s="56"/>
      <x:c r="J41" s="56"/>
      <x:c r="K41" s="56"/>
      <x:c r="L41" s="56"/>
      <x:c r="M41" s="56"/>
      <x:c r="N41" s="56" t="str">
        <x:f>IF(A41="","",IF(OR(M41="",H41=""),"A completer","OK"))</x:f>
      </x:c>
    </x:row>
    <x:row r="42">
      <x:c r="A42" s="56"/>
      <x:c r="B42" s="56"/>
      <x:c r="C42" s="56"/>
      <x:c r="D42" s="56"/>
      <x:c r="E42" s="56"/>
      <x:c r="F42" s="58"/>
      <x:c r="G42" s="58"/>
      <x:c r="H42" s="58"/>
      <x:c r="I42" s="56"/>
      <x:c r="J42" s="56"/>
      <x:c r="K42" s="56"/>
      <x:c r="L42" s="56"/>
      <x:c r="M42" s="56"/>
      <x:c r="N42" s="56" t="str">
        <x:f>IF(A42="","",IF(OR(M42="",H42=""),"A completer","OK"))</x:f>
      </x:c>
    </x:row>
    <x:row r="43">
      <x:c r="A43" s="56"/>
      <x:c r="B43" s="56"/>
      <x:c r="C43" s="56"/>
      <x:c r="D43" s="56"/>
      <x:c r="E43" s="56"/>
      <x:c r="F43" s="58"/>
      <x:c r="G43" s="58"/>
      <x:c r="H43" s="58"/>
      <x:c r="I43" s="56"/>
      <x:c r="J43" s="56"/>
      <x:c r="K43" s="56"/>
      <x:c r="L43" s="56"/>
      <x:c r="M43" s="56"/>
      <x:c r="N43" s="56" t="str">
        <x:f>IF(A43="","",IF(OR(M43="",H43=""),"A completer","OK"))</x:f>
      </x:c>
    </x:row>
    <x:row r="44">
      <x:c r="A44" s="56"/>
      <x:c r="B44" s="56"/>
      <x:c r="C44" s="56"/>
      <x:c r="D44" s="56"/>
      <x:c r="E44" s="56"/>
      <x:c r="F44" s="58"/>
      <x:c r="G44" s="58"/>
      <x:c r="H44" s="58"/>
      <x:c r="I44" s="56"/>
      <x:c r="J44" s="56"/>
      <x:c r="K44" s="56"/>
      <x:c r="L44" s="56"/>
      <x:c r="M44" s="56"/>
      <x:c r="N44" s="56" t="str">
        <x:f>IF(A44="","",IF(OR(M44="",H44=""),"A completer","OK"))</x:f>
      </x:c>
    </x:row>
    <x:row r="45">
      <x:c r="A45" s="56"/>
      <x:c r="B45" s="56"/>
      <x:c r="C45" s="56"/>
      <x:c r="D45" s="56"/>
      <x:c r="E45" s="56"/>
      <x:c r="F45" s="58"/>
      <x:c r="G45" s="58"/>
      <x:c r="H45" s="58"/>
      <x:c r="I45" s="56"/>
      <x:c r="J45" s="56"/>
      <x:c r="K45" s="56"/>
      <x:c r="L45" s="56"/>
      <x:c r="M45" s="56"/>
      <x:c r="N45" s="56" t="str">
        <x:f>IF(A45="","",IF(OR(M45="",H45=""),"A completer","OK"))</x:f>
      </x:c>
    </x:row>
    <x:row r="46">
      <x:c r="A46" s="56"/>
      <x:c r="B46" s="56"/>
      <x:c r="C46" s="56"/>
      <x:c r="D46" s="56"/>
      <x:c r="E46" s="56"/>
      <x:c r="F46" s="58"/>
      <x:c r="G46" s="58"/>
      <x:c r="H46" s="58"/>
      <x:c r="I46" s="56"/>
      <x:c r="J46" s="56"/>
      <x:c r="K46" s="56"/>
      <x:c r="L46" s="56"/>
      <x:c r="M46" s="56"/>
      <x:c r="N46" s="56" t="str">
        <x:f>IF(A46="","",IF(OR(M46="",H46=""),"A completer","OK"))</x:f>
      </x:c>
    </x:row>
    <x:row r="47">
      <x:c r="A47" s="56"/>
      <x:c r="B47" s="56"/>
      <x:c r="C47" s="56"/>
      <x:c r="D47" s="56"/>
      <x:c r="E47" s="56"/>
      <x:c r="F47" s="58"/>
      <x:c r="G47" s="58"/>
      <x:c r="H47" s="58"/>
      <x:c r="I47" s="56"/>
      <x:c r="J47" s="56"/>
      <x:c r="K47" s="56"/>
      <x:c r="L47" s="56"/>
      <x:c r="M47" s="56"/>
      <x:c r="N47" s="56" t="str">
        <x:f>IF(A47="","",IF(OR(M47="",H47=""),"A completer","OK"))</x:f>
      </x:c>
    </x:row>
    <x:row r="48">
      <x:c r="A48" s="56"/>
      <x:c r="B48" s="56"/>
      <x:c r="C48" s="56"/>
      <x:c r="D48" s="56"/>
      <x:c r="E48" s="56"/>
      <x:c r="F48" s="58"/>
      <x:c r="G48" s="58"/>
      <x:c r="H48" s="58"/>
      <x:c r="I48" s="56"/>
      <x:c r="J48" s="56"/>
      <x:c r="K48" s="56"/>
      <x:c r="L48" s="56"/>
      <x:c r="M48" s="56"/>
      <x:c r="N48" s="56" t="str">
        <x:f>IF(A48="","",IF(OR(M48="",H48=""),"A completer","OK"))</x:f>
      </x:c>
    </x:row>
    <x:row r="49">
      <x:c r="A49" s="56"/>
      <x:c r="B49" s="56"/>
      <x:c r="C49" s="56"/>
      <x:c r="D49" s="56"/>
      <x:c r="E49" s="56"/>
      <x:c r="F49" s="58"/>
      <x:c r="G49" s="58"/>
      <x:c r="H49" s="58"/>
      <x:c r="I49" s="56"/>
      <x:c r="J49" s="56"/>
      <x:c r="K49" s="56"/>
      <x:c r="L49" s="56"/>
      <x:c r="M49" s="56"/>
      <x:c r="N49" s="56" t="str">
        <x:f>IF(A49="","",IF(OR(M49="",H49=""),"A completer","OK"))</x:f>
      </x:c>
    </x:row>
  </x:sheetData>
  <x:mergeCells>
    <x:mergeCell ref="A1:K1"/>
    <x:mergeCell ref="A2:K2"/>
  </x:mergeCells>
  <x:conditionalFormatting sqref="N5:N49">
    <x:cfRule type="containsText" dxfId="120" priority="1" operator="containsText" text="Critique"/>
    <x:cfRule type="containsText" dxfId="121" priority="2" operator="containsText" text="A completer"/>
    <x:cfRule type="containsText" dxfId="122" priority="3" operator="containsText" text="Pret"/>
    <x:cfRule type="containsText" dxfId="123"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J5:J49">
      <x:formula1>"Oui,Non,Partiel,Non applicable"</x:formula1>
    </x:dataValidation>
  </x:dataValidations>
  <x:pageMargins left="0.7" right="0.7" top="0.75" bottom="0.75" header="0.3" footer="0.3"/>
  <x:tableParts count="1">
    <x:tablePart xmlns:r="http://schemas.openxmlformats.org/officeDocument/2006/relationships" r:id="Rf4a5c52c9d114eee"/>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8.75" hidden="0" customWidth="1"/>
    <x:col min="3" max="3" width="18.75" hidden="0" customWidth="1"/>
    <x:col min="4" max="4" width="17.5" hidden="0" customWidth="1"/>
    <x:col min="5" max="5" width="17.5" hidden="0" customWidth="1"/>
    <x:col min="6" max="6" width="27.5" hidden="0" customWidth="1"/>
    <x:col min="7" max="7" width="20" hidden="0" customWidth="1"/>
    <x:col min="8" max="8" width="14.380000114440918" hidden="0" customWidth="1"/>
    <x:col min="9" max="9" width="14.380000114440918" hidden="0" customWidth="1"/>
    <x:col min="10" max="10" width="18.75" hidden="0" customWidth="1"/>
    <x:col min="11" max="11" width="15.630000114440918" hidden="0" customWidth="1"/>
    <x:col min="12" max="12" width="21.25" hidden="0" customWidth="1"/>
    <x:col min="13" max="13" width="16.25" hidden="0" customWidth="1"/>
  </x:cols>
  <x:sheetData>
    <x:row r="1" ht="25.5" customHeight="1">
      <x:c r="A1" s="48" t="str">
        <x:v>Registre de preuves MRV et audit trail</x:v>
      </x:c>
      <x:c r="B1" s="48"/>
      <x:c r="C1" s="48"/>
      <x:c r="D1" s="48"/>
      <x:c r="E1" s="48"/>
      <x:c r="F1" s="48"/>
      <x:c r="G1" s="48"/>
      <x:c r="H1" s="48"/>
      <x:c r="I1" s="48"/>
      <x:c r="J1" s="48"/>
      <x:c r="K1" s="48"/>
    </x:row>
    <x:row r="2" ht="31.5" customHeight="1">
      <x:c r="A2" s="51" t="str">
        <x:v>Pieces justificatives, proprietaires, validation et versionnage des donnees utilisees dans les rapports.</x:v>
      </x:c>
      <x:c r="B2" s="51"/>
      <x:c r="C2" s="51"/>
      <x:c r="D2" s="51"/>
      <x:c r="E2" s="51"/>
      <x:c r="F2" s="51"/>
      <x:c r="G2" s="51"/>
      <x:c r="H2" s="51"/>
      <x:c r="I2" s="51"/>
      <x:c r="J2" s="51"/>
      <x:c r="K2" s="51"/>
    </x:row>
    <x:row r="4">
      <x:c r="A4" s="54" t="str">
        <x:v>Evidence_ID</x:v>
      </x:c>
      <x:c r="B4" s="54" t="str">
        <x:v>Donnee_ou_indicateur</x:v>
      </x:c>
      <x:c r="C4" s="54" t="str">
        <x:v>Onglet_source</x:v>
      </x:c>
      <x:c r="D4" s="54" t="str">
        <x:v>Cellule_ou_table</x:v>
      </x:c>
      <x:c r="E4" s="54" t="str">
        <x:v>Type_preuve</x:v>
      </x:c>
      <x:c r="F4" s="54" t="str">
        <x:v>Lien_fichier_URL</x:v>
      </x:c>
      <x:c r="G4" s="54" t="str">
        <x:v>Proprietaire</x:v>
      </x:c>
      <x:c r="H4" s="54" t="str">
        <x:v>Date_reception</x:v>
      </x:c>
      <x:c r="I4" s="54" t="str">
        <x:v>Date_validation</x:v>
      </x:c>
      <x:c r="J4" s="54" t="str">
        <x:v>Validateur</x:v>
      </x:c>
      <x:c r="K4" s="54" t="str">
        <x:v>Niveau_fiabilite</x:v>
      </x:c>
      <x:c r="L4" s="54" t="str">
        <x:v>Utilise_pour_reporting</x:v>
      </x:c>
      <x:c r="M4" s="54" t="str">
        <x:v>Alerte_preuve</x:v>
      </x:c>
    </x:row>
    <x:row r="5">
      <x:c r="A5" s="56" t="str">
        <x:v>EVD-001</x:v>
      </x:c>
      <x:c r="B5" s="56" t="str">
        <x:v>Emissions inventaire 2025</x:v>
      </x:c>
      <x:c r="C5" s="56" t="str">
        <x:v>08_INVENTAIRE_GES</x:v>
      </x:c>
      <x:c r="D5" s="56" t="str">
        <x:v>tblInventaireGES</x:v>
      </x:c>
      <x:c r="E5" s="56" t="str">
        <x:v>Tableur source</x:v>
      </x:c>
      <x:c r="F5" s="56" t="str">
        <x:v>A renseigner</x:v>
      </x:c>
      <x:c r="G5" s="56" t="str">
        <x:v>Referent GES</x:v>
      </x:c>
      <x:c r="H5" s="57" t="n">
        <x:v>46142</x:v>
      </x:c>
      <x:c r="I5" s="57"/>
      <x:c r="J5" s="56" t="str"/>
      <x:c r="K5" s="56" t="str">
        <x:v>Moyen</x:v>
      </x:c>
      <x:c r="L5" s="56" t="str">
        <x:v>CDP; GCoM; ICLEI</x:v>
      </x:c>
      <x:c r="M5" s="56" t="str">
        <x:f>IF(A5="","",IF(OR(F5="A renseigner",I5=""),"A completer","OK"))</x:f>
        <x:v>A completer</x:v>
      </x:c>
    </x:row>
    <x:row r="6">
      <x:c r="A6" s="56" t="str">
        <x:v>EVD-002</x:v>
      </x:c>
      <x:c r="B6" s="56" t="str">
        <x:v>Budget projets climat</x:v>
      </x:c>
      <x:c r="C6" s="56" t="str">
        <x:v>16_BUDGETS</x:v>
      </x:c>
      <x:c r="D6" s="56" t="str">
        <x:v>tblBudgets</x:v>
      </x:c>
      <x:c r="E6" s="56" t="str">
        <x:v>Extraction budgetaire</x:v>
      </x:c>
      <x:c r="F6" s="56" t="str">
        <x:v>A renseigner</x:v>
      </x:c>
      <x:c r="G6" s="56" t="str">
        <x:v>Direction Finance</x:v>
      </x:c>
      <x:c r="H6" s="57" t="n">
        <x:v>46162</x:v>
      </x:c>
      <x:c r="I6" s="57"/>
      <x:c r="J6" s="56" t="str"/>
      <x:c r="K6" s="56" t="str">
        <x:v>Eleve</x:v>
      </x:c>
      <x:c r="L6" s="56" t="str">
        <x:v>CDP; Finance climat</x:v>
      </x:c>
      <x:c r="M6" s="56" t="str">
        <x:f>IF(A6="","",IF(OR(F6="A renseigner",I6=""),"A completer","OK"))</x:f>
        <x:v>A completer</x:v>
      </x:c>
    </x:row>
    <x:row r="7">
      <x:c r="A7" s="56" t="str">
        <x:v>EVD-003</x:v>
      </x:c>
      <x:c r="B7" s="56" t="str">
        <x:v>Mesures qualite air</x:v>
      </x:c>
      <x:c r="C7" s="56" t="str">
        <x:v>11_QUALITE_AIR</x:v>
      </x:c>
      <x:c r="D7" s="56" t="str">
        <x:v>tblQualiteAir</x:v>
      </x:c>
      <x:c r="E7" s="56" t="str">
        <x:v>Export capteurs</x:v>
      </x:c>
      <x:c r="F7" s="56" t="str">
        <x:v>A renseigner</x:v>
      </x:c>
      <x:c r="G7" s="56" t="str">
        <x:v>Direction Environnement</x:v>
      </x:c>
      <x:c r="H7" s="57" t="n">
        <x:v>46143</x:v>
      </x:c>
      <x:c r="I7" s="57"/>
      <x:c r="J7" s="56" t="str"/>
      <x:c r="K7" s="56" t="str">
        <x:v>Moyen</x:v>
      </x:c>
      <x:c r="L7" s="56" t="str">
        <x:v>CDP; C40</x:v>
      </x:c>
      <x:c r="M7" s="56" t="str">
        <x:f>IF(A7="","",IF(OR(F7="A renseigner",I7=""),"A completer","OK"))</x:f>
        <x:v>A completer</x:v>
      </x:c>
    </x:row>
    <x:row r="8">
      <x:c r="A8" s="56"/>
      <x:c r="B8" s="56"/>
      <x:c r="C8" s="56"/>
      <x:c r="D8" s="56"/>
      <x:c r="E8" s="56"/>
      <x:c r="F8" s="56"/>
      <x:c r="G8" s="56"/>
      <x:c r="H8" s="57"/>
      <x:c r="I8" s="57"/>
      <x:c r="J8" s="56"/>
      <x:c r="K8" s="56"/>
      <x:c r="L8" s="56"/>
      <x:c r="M8" s="56" t="str">
        <x:f>IF(A8="","",IF(OR(F8="A renseigner",I8=""),"A completer","OK"))</x:f>
      </x:c>
    </x:row>
    <x:row r="9">
      <x:c r="A9" s="56"/>
      <x:c r="B9" s="56"/>
      <x:c r="C9" s="56"/>
      <x:c r="D9" s="56"/>
      <x:c r="E9" s="56"/>
      <x:c r="F9" s="56"/>
      <x:c r="G9" s="56"/>
      <x:c r="H9" s="57"/>
      <x:c r="I9" s="57"/>
      <x:c r="J9" s="56"/>
      <x:c r="K9" s="56"/>
      <x:c r="L9" s="56"/>
      <x:c r="M9" s="56" t="str">
        <x:f>IF(A9="","",IF(OR(F9="A renseigner",I9=""),"A completer","OK"))</x:f>
      </x:c>
    </x:row>
    <x:row r="10">
      <x:c r="A10" s="56"/>
      <x:c r="B10" s="56"/>
      <x:c r="C10" s="56"/>
      <x:c r="D10" s="56"/>
      <x:c r="E10" s="56"/>
      <x:c r="F10" s="56"/>
      <x:c r="G10" s="56"/>
      <x:c r="H10" s="57"/>
      <x:c r="I10" s="57"/>
      <x:c r="J10" s="56"/>
      <x:c r="K10" s="56"/>
      <x:c r="L10" s="56"/>
      <x:c r="M10" s="56" t="str">
        <x:f>IF(A10="","",IF(OR(F10="A renseigner",I10=""),"A completer","OK"))</x:f>
      </x:c>
    </x:row>
    <x:row r="11">
      <x:c r="A11" s="56"/>
      <x:c r="B11" s="56"/>
      <x:c r="C11" s="56"/>
      <x:c r="D11" s="56"/>
      <x:c r="E11" s="56"/>
      <x:c r="F11" s="56"/>
      <x:c r="G11" s="56"/>
      <x:c r="H11" s="57"/>
      <x:c r="I11" s="57"/>
      <x:c r="J11" s="56"/>
      <x:c r="K11" s="56"/>
      <x:c r="L11" s="56"/>
      <x:c r="M11" s="56" t="str">
        <x:f>IF(A11="","",IF(OR(F11="A renseigner",I11=""),"A completer","OK"))</x:f>
      </x:c>
    </x:row>
    <x:row r="12">
      <x:c r="A12" s="56"/>
      <x:c r="B12" s="56"/>
      <x:c r="C12" s="56"/>
      <x:c r="D12" s="56"/>
      <x:c r="E12" s="56"/>
      <x:c r="F12" s="56"/>
      <x:c r="G12" s="56"/>
      <x:c r="H12" s="57"/>
      <x:c r="I12" s="57"/>
      <x:c r="J12" s="56"/>
      <x:c r="K12" s="56"/>
      <x:c r="L12" s="56"/>
      <x:c r="M12" s="56" t="str">
        <x:f>IF(A12="","",IF(OR(F12="A renseigner",I12=""),"A completer","OK"))</x:f>
      </x:c>
    </x:row>
    <x:row r="13">
      <x:c r="A13" s="56"/>
      <x:c r="B13" s="56"/>
      <x:c r="C13" s="56"/>
      <x:c r="D13" s="56"/>
      <x:c r="E13" s="56"/>
      <x:c r="F13" s="56"/>
      <x:c r="G13" s="56"/>
      <x:c r="H13" s="57"/>
      <x:c r="I13" s="57"/>
      <x:c r="J13" s="56"/>
      <x:c r="K13" s="56"/>
      <x:c r="L13" s="56"/>
      <x:c r="M13" s="56" t="str">
        <x:f>IF(A13="","",IF(OR(F13="A renseigner",I13=""),"A completer","OK"))</x:f>
      </x:c>
    </x:row>
    <x:row r="14">
      <x:c r="A14" s="56"/>
      <x:c r="B14" s="56"/>
      <x:c r="C14" s="56"/>
      <x:c r="D14" s="56"/>
      <x:c r="E14" s="56"/>
      <x:c r="F14" s="56"/>
      <x:c r="G14" s="56"/>
      <x:c r="H14" s="57"/>
      <x:c r="I14" s="57"/>
      <x:c r="J14" s="56"/>
      <x:c r="K14" s="56"/>
      <x:c r="L14" s="56"/>
      <x:c r="M14" s="56" t="str">
        <x:f>IF(A14="","",IF(OR(F14="A renseigner",I14=""),"A completer","OK"))</x:f>
      </x:c>
    </x:row>
    <x:row r="15">
      <x:c r="A15" s="56"/>
      <x:c r="B15" s="56"/>
      <x:c r="C15" s="56"/>
      <x:c r="D15" s="56"/>
      <x:c r="E15" s="56"/>
      <x:c r="F15" s="56"/>
      <x:c r="G15" s="56"/>
      <x:c r="H15" s="57"/>
      <x:c r="I15" s="57"/>
      <x:c r="J15" s="56"/>
      <x:c r="K15" s="56"/>
      <x:c r="L15" s="56"/>
      <x:c r="M15" s="56" t="str">
        <x:f>IF(A15="","",IF(OR(F15="A renseigner",I15=""),"A completer","OK"))</x:f>
      </x:c>
    </x:row>
    <x:row r="16">
      <x:c r="A16" s="56"/>
      <x:c r="B16" s="56"/>
      <x:c r="C16" s="56"/>
      <x:c r="D16" s="56"/>
      <x:c r="E16" s="56"/>
      <x:c r="F16" s="56"/>
      <x:c r="G16" s="56"/>
      <x:c r="H16" s="57"/>
      <x:c r="I16" s="57"/>
      <x:c r="J16" s="56"/>
      <x:c r="K16" s="56"/>
      <x:c r="L16" s="56"/>
      <x:c r="M16" s="56" t="str">
        <x:f>IF(A16="","",IF(OR(F16="A renseigner",I16=""),"A completer","OK"))</x:f>
      </x:c>
    </x:row>
    <x:row r="17">
      <x:c r="A17" s="56"/>
      <x:c r="B17" s="56"/>
      <x:c r="C17" s="56"/>
      <x:c r="D17" s="56"/>
      <x:c r="E17" s="56"/>
      <x:c r="F17" s="56"/>
      <x:c r="G17" s="56"/>
      <x:c r="H17" s="57"/>
      <x:c r="I17" s="57"/>
      <x:c r="J17" s="56"/>
      <x:c r="K17" s="56"/>
      <x:c r="L17" s="56"/>
      <x:c r="M17" s="56" t="str">
        <x:f>IF(A17="","",IF(OR(F17="A renseigner",I17=""),"A completer","OK"))</x:f>
      </x:c>
    </x:row>
    <x:row r="18">
      <x:c r="A18" s="56"/>
      <x:c r="B18" s="56"/>
      <x:c r="C18" s="56"/>
      <x:c r="D18" s="56"/>
      <x:c r="E18" s="56"/>
      <x:c r="F18" s="56"/>
      <x:c r="G18" s="56"/>
      <x:c r="H18" s="57"/>
      <x:c r="I18" s="57"/>
      <x:c r="J18" s="56"/>
      <x:c r="K18" s="56"/>
      <x:c r="L18" s="56"/>
      <x:c r="M18" s="56" t="str">
        <x:f>IF(A18="","",IF(OR(F18="A renseigner",I18=""),"A completer","OK"))</x:f>
      </x:c>
    </x:row>
    <x:row r="19">
      <x:c r="A19" s="56"/>
      <x:c r="B19" s="56"/>
      <x:c r="C19" s="56"/>
      <x:c r="D19" s="56"/>
      <x:c r="E19" s="56"/>
      <x:c r="F19" s="56"/>
      <x:c r="G19" s="56"/>
      <x:c r="H19" s="57"/>
      <x:c r="I19" s="57"/>
      <x:c r="J19" s="56"/>
      <x:c r="K19" s="56"/>
      <x:c r="L19" s="56"/>
      <x:c r="M19" s="56" t="str">
        <x:f>IF(A19="","",IF(OR(F19="A renseigner",I19=""),"A completer","OK"))</x:f>
      </x:c>
    </x:row>
    <x:row r="20">
      <x:c r="A20" s="56"/>
      <x:c r="B20" s="56"/>
      <x:c r="C20" s="56"/>
      <x:c r="D20" s="56"/>
      <x:c r="E20" s="56"/>
      <x:c r="F20" s="56"/>
      <x:c r="G20" s="56"/>
      <x:c r="H20" s="57"/>
      <x:c r="I20" s="57"/>
      <x:c r="J20" s="56"/>
      <x:c r="K20" s="56"/>
      <x:c r="L20" s="56"/>
      <x:c r="M20" s="56" t="str">
        <x:f>IF(A20="","",IF(OR(F20="A renseigner",I20=""),"A completer","OK"))</x:f>
      </x:c>
    </x:row>
    <x:row r="21">
      <x:c r="A21" s="56"/>
      <x:c r="B21" s="56"/>
      <x:c r="C21" s="56"/>
      <x:c r="D21" s="56"/>
      <x:c r="E21" s="56"/>
      <x:c r="F21" s="56"/>
      <x:c r="G21" s="56"/>
      <x:c r="H21" s="57"/>
      <x:c r="I21" s="57"/>
      <x:c r="J21" s="56"/>
      <x:c r="K21" s="56"/>
      <x:c r="L21" s="56"/>
      <x:c r="M21" s="56" t="str">
        <x:f>IF(A21="","",IF(OR(F21="A renseigner",I21=""),"A completer","OK"))</x:f>
      </x:c>
    </x:row>
    <x:row r="22">
      <x:c r="A22" s="56"/>
      <x:c r="B22" s="56"/>
      <x:c r="C22" s="56"/>
      <x:c r="D22" s="56"/>
      <x:c r="E22" s="56"/>
      <x:c r="F22" s="56"/>
      <x:c r="G22" s="56"/>
      <x:c r="H22" s="57"/>
      <x:c r="I22" s="57"/>
      <x:c r="J22" s="56"/>
      <x:c r="K22" s="56"/>
      <x:c r="L22" s="56"/>
      <x:c r="M22" s="56" t="str">
        <x:f>IF(A22="","",IF(OR(F22="A renseigner",I22=""),"A completer","OK"))</x:f>
      </x:c>
    </x:row>
    <x:row r="23">
      <x:c r="A23" s="56"/>
      <x:c r="B23" s="56"/>
      <x:c r="C23" s="56"/>
      <x:c r="D23" s="56"/>
      <x:c r="E23" s="56"/>
      <x:c r="F23" s="56"/>
      <x:c r="G23" s="56"/>
      <x:c r="H23" s="57"/>
      <x:c r="I23" s="57"/>
      <x:c r="J23" s="56"/>
      <x:c r="K23" s="56"/>
      <x:c r="L23" s="56"/>
      <x:c r="M23" s="56" t="str">
        <x:f>IF(A23="","",IF(OR(F23="A renseigner",I23=""),"A completer","OK"))</x:f>
      </x:c>
    </x:row>
    <x:row r="24">
      <x:c r="A24" s="56"/>
      <x:c r="B24" s="56"/>
      <x:c r="C24" s="56"/>
      <x:c r="D24" s="56"/>
      <x:c r="E24" s="56"/>
      <x:c r="F24" s="56"/>
      <x:c r="G24" s="56"/>
      <x:c r="H24" s="57"/>
      <x:c r="I24" s="57"/>
      <x:c r="J24" s="56"/>
      <x:c r="K24" s="56"/>
      <x:c r="L24" s="56"/>
      <x:c r="M24" s="56" t="str">
        <x:f>IF(A24="","",IF(OR(F24="A renseigner",I24=""),"A completer","OK"))</x:f>
      </x:c>
    </x:row>
    <x:row r="25">
      <x:c r="A25" s="56"/>
      <x:c r="B25" s="56"/>
      <x:c r="C25" s="56"/>
      <x:c r="D25" s="56"/>
      <x:c r="E25" s="56"/>
      <x:c r="F25" s="56"/>
      <x:c r="G25" s="56"/>
      <x:c r="H25" s="57"/>
      <x:c r="I25" s="57"/>
      <x:c r="J25" s="56"/>
      <x:c r="K25" s="56"/>
      <x:c r="L25" s="56"/>
      <x:c r="M25" s="56" t="str">
        <x:f>IF(A25="","",IF(OR(F25="A renseigner",I25=""),"A completer","OK"))</x:f>
      </x:c>
    </x:row>
    <x:row r="26">
      <x:c r="A26" s="56"/>
      <x:c r="B26" s="56"/>
      <x:c r="C26" s="56"/>
      <x:c r="D26" s="56"/>
      <x:c r="E26" s="56"/>
      <x:c r="F26" s="56"/>
      <x:c r="G26" s="56"/>
      <x:c r="H26" s="57"/>
      <x:c r="I26" s="57"/>
      <x:c r="J26" s="56"/>
      <x:c r="K26" s="56"/>
      <x:c r="L26" s="56"/>
      <x:c r="M26" s="56" t="str">
        <x:f>IF(A26="","",IF(OR(F26="A renseigner",I26=""),"A completer","OK"))</x:f>
      </x:c>
    </x:row>
    <x:row r="27">
      <x:c r="A27" s="56"/>
      <x:c r="B27" s="56"/>
      <x:c r="C27" s="56"/>
      <x:c r="D27" s="56"/>
      <x:c r="E27" s="56"/>
      <x:c r="F27" s="56"/>
      <x:c r="G27" s="56"/>
      <x:c r="H27" s="57"/>
      <x:c r="I27" s="57"/>
      <x:c r="J27" s="56"/>
      <x:c r="K27" s="56"/>
      <x:c r="L27" s="56"/>
      <x:c r="M27" s="56" t="str">
        <x:f>IF(A27="","",IF(OR(F27="A renseigner",I27=""),"A completer","OK"))</x:f>
      </x:c>
    </x:row>
    <x:row r="28">
      <x:c r="A28" s="56"/>
      <x:c r="B28" s="56"/>
      <x:c r="C28" s="56"/>
      <x:c r="D28" s="56"/>
      <x:c r="E28" s="56"/>
      <x:c r="F28" s="56"/>
      <x:c r="G28" s="56"/>
      <x:c r="H28" s="57"/>
      <x:c r="I28" s="57"/>
      <x:c r="J28" s="56"/>
      <x:c r="K28" s="56"/>
      <x:c r="L28" s="56"/>
      <x:c r="M28" s="56" t="str">
        <x:f>IF(A28="","",IF(OR(F28="A renseigner",I28=""),"A completer","OK"))</x:f>
      </x:c>
    </x:row>
    <x:row r="29">
      <x:c r="A29" s="56"/>
      <x:c r="B29" s="56"/>
      <x:c r="C29" s="56"/>
      <x:c r="D29" s="56"/>
      <x:c r="E29" s="56"/>
      <x:c r="F29" s="56"/>
      <x:c r="G29" s="56"/>
      <x:c r="H29" s="57"/>
      <x:c r="I29" s="57"/>
      <x:c r="J29" s="56"/>
      <x:c r="K29" s="56"/>
      <x:c r="L29" s="56"/>
      <x:c r="M29" s="56" t="str">
        <x:f>IF(A29="","",IF(OR(F29="A renseigner",I29=""),"A completer","OK"))</x:f>
      </x:c>
    </x:row>
    <x:row r="30">
      <x:c r="A30" s="56"/>
      <x:c r="B30" s="56"/>
      <x:c r="C30" s="56"/>
      <x:c r="D30" s="56"/>
      <x:c r="E30" s="56"/>
      <x:c r="F30" s="56"/>
      <x:c r="G30" s="56"/>
      <x:c r="H30" s="57"/>
      <x:c r="I30" s="57"/>
      <x:c r="J30" s="56"/>
      <x:c r="K30" s="56"/>
      <x:c r="L30" s="56"/>
      <x:c r="M30" s="56" t="str">
        <x:f>IF(A30="","",IF(OR(F30="A renseigner",I30=""),"A completer","OK"))</x:f>
      </x:c>
    </x:row>
    <x:row r="31">
      <x:c r="A31" s="56"/>
      <x:c r="B31" s="56"/>
      <x:c r="C31" s="56"/>
      <x:c r="D31" s="56"/>
      <x:c r="E31" s="56"/>
      <x:c r="F31" s="56"/>
      <x:c r="G31" s="56"/>
      <x:c r="H31" s="57"/>
      <x:c r="I31" s="57"/>
      <x:c r="J31" s="56"/>
      <x:c r="K31" s="56"/>
      <x:c r="L31" s="56"/>
      <x:c r="M31" s="56" t="str">
        <x:f>IF(A31="","",IF(OR(F31="A renseigner",I31=""),"A completer","OK"))</x:f>
      </x:c>
    </x:row>
    <x:row r="32">
      <x:c r="A32" s="56"/>
      <x:c r="B32" s="56"/>
      <x:c r="C32" s="56"/>
      <x:c r="D32" s="56"/>
      <x:c r="E32" s="56"/>
      <x:c r="F32" s="56"/>
      <x:c r="G32" s="56"/>
      <x:c r="H32" s="57"/>
      <x:c r="I32" s="57"/>
      <x:c r="J32" s="56"/>
      <x:c r="K32" s="56"/>
      <x:c r="L32" s="56"/>
      <x:c r="M32" s="56" t="str">
        <x:f>IF(A32="","",IF(OR(F32="A renseigner",I32=""),"A completer","OK"))</x:f>
      </x:c>
    </x:row>
    <x:row r="33">
      <x:c r="A33" s="56"/>
      <x:c r="B33" s="56"/>
      <x:c r="C33" s="56"/>
      <x:c r="D33" s="56"/>
      <x:c r="E33" s="56"/>
      <x:c r="F33" s="56"/>
      <x:c r="G33" s="56"/>
      <x:c r="H33" s="57"/>
      <x:c r="I33" s="57"/>
      <x:c r="J33" s="56"/>
      <x:c r="K33" s="56"/>
      <x:c r="L33" s="56"/>
      <x:c r="M33" s="56" t="str">
        <x:f>IF(A33="","",IF(OR(F33="A renseigner",I33=""),"A completer","OK"))</x:f>
      </x:c>
    </x:row>
    <x:row r="34">
      <x:c r="A34" s="56"/>
      <x:c r="B34" s="56"/>
      <x:c r="C34" s="56"/>
      <x:c r="D34" s="56"/>
      <x:c r="E34" s="56"/>
      <x:c r="F34" s="56"/>
      <x:c r="G34" s="56"/>
      <x:c r="H34" s="57"/>
      <x:c r="I34" s="57"/>
      <x:c r="J34" s="56"/>
      <x:c r="K34" s="56"/>
      <x:c r="L34" s="56"/>
      <x:c r="M34" s="56" t="str">
        <x:f>IF(A34="","",IF(OR(F34="A renseigner",I34=""),"A completer","OK"))</x:f>
      </x:c>
    </x:row>
    <x:row r="35">
      <x:c r="A35" s="56"/>
      <x:c r="B35" s="56"/>
      <x:c r="C35" s="56"/>
      <x:c r="D35" s="56"/>
      <x:c r="E35" s="56"/>
      <x:c r="F35" s="56"/>
      <x:c r="G35" s="56"/>
      <x:c r="H35" s="57"/>
      <x:c r="I35" s="57"/>
      <x:c r="J35" s="56"/>
      <x:c r="K35" s="56"/>
      <x:c r="L35" s="56"/>
      <x:c r="M35" s="56" t="str">
        <x:f>IF(A35="","",IF(OR(F35="A renseigner",I35=""),"A completer","OK"))</x:f>
      </x:c>
    </x:row>
    <x:row r="36">
      <x:c r="A36" s="56"/>
      <x:c r="B36" s="56"/>
      <x:c r="C36" s="56"/>
      <x:c r="D36" s="56"/>
      <x:c r="E36" s="56"/>
      <x:c r="F36" s="56"/>
      <x:c r="G36" s="56"/>
      <x:c r="H36" s="57"/>
      <x:c r="I36" s="57"/>
      <x:c r="J36" s="56"/>
      <x:c r="K36" s="56"/>
      <x:c r="L36" s="56"/>
      <x:c r="M36" s="56" t="str">
        <x:f>IF(A36="","",IF(OR(F36="A renseigner",I36=""),"A completer","OK"))</x:f>
      </x:c>
    </x:row>
    <x:row r="37">
      <x:c r="A37" s="56"/>
      <x:c r="B37" s="56"/>
      <x:c r="C37" s="56"/>
      <x:c r="D37" s="56"/>
      <x:c r="E37" s="56"/>
      <x:c r="F37" s="56"/>
      <x:c r="G37" s="56"/>
      <x:c r="H37" s="57"/>
      <x:c r="I37" s="57"/>
      <x:c r="J37" s="56"/>
      <x:c r="K37" s="56"/>
      <x:c r="L37" s="56"/>
      <x:c r="M37" s="56" t="str">
        <x:f>IF(A37="","",IF(OR(F37="A renseigner",I37=""),"A completer","OK"))</x:f>
      </x:c>
    </x:row>
    <x:row r="38">
      <x:c r="A38" s="56"/>
      <x:c r="B38" s="56"/>
      <x:c r="C38" s="56"/>
      <x:c r="D38" s="56"/>
      <x:c r="E38" s="56"/>
      <x:c r="F38" s="56"/>
      <x:c r="G38" s="56"/>
      <x:c r="H38" s="57"/>
      <x:c r="I38" s="57"/>
      <x:c r="J38" s="56"/>
      <x:c r="K38" s="56"/>
      <x:c r="L38" s="56"/>
      <x:c r="M38" s="56" t="str">
        <x:f>IF(A38="","",IF(OR(F38="A renseigner",I38=""),"A completer","OK"))</x:f>
      </x:c>
    </x:row>
    <x:row r="39">
      <x:c r="A39" s="56"/>
      <x:c r="B39" s="56"/>
      <x:c r="C39" s="56"/>
      <x:c r="D39" s="56"/>
      <x:c r="E39" s="56"/>
      <x:c r="F39" s="56"/>
      <x:c r="G39" s="56"/>
      <x:c r="H39" s="57"/>
      <x:c r="I39" s="57"/>
      <x:c r="J39" s="56"/>
      <x:c r="K39" s="56"/>
      <x:c r="L39" s="56"/>
      <x:c r="M39" s="56" t="str">
        <x:f>IF(A39="","",IF(OR(F39="A renseigner",I39=""),"A completer","OK"))</x:f>
      </x:c>
    </x:row>
    <x:row r="40">
      <x:c r="A40" s="56"/>
      <x:c r="B40" s="56"/>
      <x:c r="C40" s="56"/>
      <x:c r="D40" s="56"/>
      <x:c r="E40" s="56"/>
      <x:c r="F40" s="56"/>
      <x:c r="G40" s="56"/>
      <x:c r="H40" s="57"/>
      <x:c r="I40" s="57"/>
      <x:c r="J40" s="56"/>
      <x:c r="K40" s="56"/>
      <x:c r="L40" s="56"/>
      <x:c r="M40" s="56" t="str">
        <x:f>IF(A40="","",IF(OR(F40="A renseigner",I40=""),"A completer","OK"))</x:f>
      </x:c>
    </x:row>
    <x:row r="41">
      <x:c r="A41" s="56"/>
      <x:c r="B41" s="56"/>
      <x:c r="C41" s="56"/>
      <x:c r="D41" s="56"/>
      <x:c r="E41" s="56"/>
      <x:c r="F41" s="56"/>
      <x:c r="G41" s="56"/>
      <x:c r="H41" s="57"/>
      <x:c r="I41" s="57"/>
      <x:c r="J41" s="56"/>
      <x:c r="K41" s="56"/>
      <x:c r="L41" s="56"/>
      <x:c r="M41" s="56" t="str">
        <x:f>IF(A41="","",IF(OR(F41="A renseigner",I41=""),"A completer","OK"))</x:f>
      </x:c>
    </x:row>
    <x:row r="42">
      <x:c r="A42" s="56"/>
      <x:c r="B42" s="56"/>
      <x:c r="C42" s="56"/>
      <x:c r="D42" s="56"/>
      <x:c r="E42" s="56"/>
      <x:c r="F42" s="56"/>
      <x:c r="G42" s="56"/>
      <x:c r="H42" s="57"/>
      <x:c r="I42" s="57"/>
      <x:c r="J42" s="56"/>
      <x:c r="K42" s="56"/>
      <x:c r="L42" s="56"/>
      <x:c r="M42" s="56" t="str">
        <x:f>IF(A42="","",IF(OR(F42="A renseigner",I42=""),"A completer","OK"))</x:f>
      </x:c>
    </x:row>
    <x:row r="43">
      <x:c r="A43" s="56"/>
      <x:c r="B43" s="56"/>
      <x:c r="C43" s="56"/>
      <x:c r="D43" s="56"/>
      <x:c r="E43" s="56"/>
      <x:c r="F43" s="56"/>
      <x:c r="G43" s="56"/>
      <x:c r="H43" s="57"/>
      <x:c r="I43" s="57"/>
      <x:c r="J43" s="56"/>
      <x:c r="K43" s="56"/>
      <x:c r="L43" s="56"/>
      <x:c r="M43" s="56" t="str">
        <x:f>IF(A43="","",IF(OR(F43="A renseigner",I43=""),"A completer","OK"))</x:f>
      </x:c>
    </x:row>
    <x:row r="44">
      <x:c r="A44" s="56"/>
      <x:c r="B44" s="56"/>
      <x:c r="C44" s="56"/>
      <x:c r="D44" s="56"/>
      <x:c r="E44" s="56"/>
      <x:c r="F44" s="56"/>
      <x:c r="G44" s="56"/>
      <x:c r="H44" s="57"/>
      <x:c r="I44" s="57"/>
      <x:c r="J44" s="56"/>
      <x:c r="K44" s="56"/>
      <x:c r="L44" s="56"/>
      <x:c r="M44" s="56" t="str">
        <x:f>IF(A44="","",IF(OR(F44="A renseigner",I44=""),"A completer","OK"))</x:f>
      </x:c>
    </x:row>
    <x:row r="45">
      <x:c r="A45" s="56"/>
      <x:c r="B45" s="56"/>
      <x:c r="C45" s="56"/>
      <x:c r="D45" s="56"/>
      <x:c r="E45" s="56"/>
      <x:c r="F45" s="56"/>
      <x:c r="G45" s="56"/>
      <x:c r="H45" s="57"/>
      <x:c r="I45" s="57"/>
      <x:c r="J45" s="56"/>
      <x:c r="K45" s="56"/>
      <x:c r="L45" s="56"/>
      <x:c r="M45" s="56" t="str">
        <x:f>IF(A45="","",IF(OR(F45="A renseigner",I45=""),"A completer","OK"))</x:f>
      </x:c>
    </x:row>
    <x:row r="46">
      <x:c r="A46" s="56"/>
      <x:c r="B46" s="56"/>
      <x:c r="C46" s="56"/>
      <x:c r="D46" s="56"/>
      <x:c r="E46" s="56"/>
      <x:c r="F46" s="56"/>
      <x:c r="G46" s="56"/>
      <x:c r="H46" s="57"/>
      <x:c r="I46" s="57"/>
      <x:c r="J46" s="56"/>
      <x:c r="K46" s="56"/>
      <x:c r="L46" s="56"/>
      <x:c r="M46" s="56" t="str">
        <x:f>IF(A46="","",IF(OR(F46="A renseigner",I46=""),"A completer","OK"))</x:f>
      </x:c>
    </x:row>
    <x:row r="47">
      <x:c r="A47" s="56"/>
      <x:c r="B47" s="56"/>
      <x:c r="C47" s="56"/>
      <x:c r="D47" s="56"/>
      <x:c r="E47" s="56"/>
      <x:c r="F47" s="56"/>
      <x:c r="G47" s="56"/>
      <x:c r="H47" s="57"/>
      <x:c r="I47" s="57"/>
      <x:c r="J47" s="56"/>
      <x:c r="K47" s="56"/>
      <x:c r="L47" s="56"/>
      <x:c r="M47" s="56" t="str">
        <x:f>IF(A47="","",IF(OR(F47="A renseigner",I47=""),"A completer","OK"))</x:f>
      </x:c>
    </x:row>
    <x:row r="48">
      <x:c r="A48" s="56"/>
      <x:c r="B48" s="56"/>
      <x:c r="C48" s="56"/>
      <x:c r="D48" s="56"/>
      <x:c r="E48" s="56"/>
      <x:c r="F48" s="56"/>
      <x:c r="G48" s="56"/>
      <x:c r="H48" s="57"/>
      <x:c r="I48" s="57"/>
      <x:c r="J48" s="56"/>
      <x:c r="K48" s="56"/>
      <x:c r="L48" s="56"/>
      <x:c r="M48" s="56" t="str">
        <x:f>IF(A48="","",IF(OR(F48="A renseigner",I48=""),"A completer","OK"))</x:f>
      </x:c>
    </x:row>
    <x:row r="49">
      <x:c r="A49" s="56"/>
      <x:c r="B49" s="56"/>
      <x:c r="C49" s="56"/>
      <x:c r="D49" s="56"/>
      <x:c r="E49" s="56"/>
      <x:c r="F49" s="56"/>
      <x:c r="G49" s="56"/>
      <x:c r="H49" s="57"/>
      <x:c r="I49" s="57"/>
      <x:c r="J49" s="56"/>
      <x:c r="K49" s="56"/>
      <x:c r="L49" s="56"/>
      <x:c r="M49" s="56" t="str">
        <x:f>IF(A49="","",IF(OR(F49="A renseigner",I49=""),"A completer","OK"))</x:f>
      </x:c>
    </x:row>
    <x:row r="50">
      <x:c r="A50" s="56"/>
      <x:c r="B50" s="56"/>
      <x:c r="C50" s="56"/>
      <x:c r="D50" s="56"/>
      <x:c r="E50" s="56"/>
      <x:c r="F50" s="56"/>
      <x:c r="G50" s="56"/>
      <x:c r="H50" s="57"/>
      <x:c r="I50" s="57"/>
      <x:c r="J50" s="56"/>
      <x:c r="K50" s="56"/>
      <x:c r="L50" s="56"/>
      <x:c r="M50" s="56" t="str">
        <x:f>IF(A50="","",IF(OR(F50="A renseigner",I50=""),"A completer","OK"))</x:f>
      </x:c>
    </x:row>
    <x:row r="51">
      <x:c r="A51" s="56"/>
      <x:c r="B51" s="56"/>
      <x:c r="C51" s="56"/>
      <x:c r="D51" s="56"/>
      <x:c r="E51" s="56"/>
      <x:c r="F51" s="56"/>
      <x:c r="G51" s="56"/>
      <x:c r="H51" s="57"/>
      <x:c r="I51" s="57"/>
      <x:c r="J51" s="56"/>
      <x:c r="K51" s="56"/>
      <x:c r="L51" s="56"/>
      <x:c r="M51" s="56" t="str">
        <x:f>IF(A51="","",IF(OR(F51="A renseigner",I51=""),"A completer","OK"))</x:f>
      </x:c>
    </x:row>
    <x:row r="52">
      <x:c r="A52" s="56"/>
      <x:c r="B52" s="56"/>
      <x:c r="C52" s="56"/>
      <x:c r="D52" s="56"/>
      <x:c r="E52" s="56"/>
      <x:c r="F52" s="56"/>
      <x:c r="G52" s="56"/>
      <x:c r="H52" s="57"/>
      <x:c r="I52" s="57"/>
      <x:c r="J52" s="56"/>
      <x:c r="K52" s="56"/>
      <x:c r="L52" s="56"/>
      <x:c r="M52" s="56" t="str">
        <x:f>IF(A52="","",IF(OR(F52="A renseigner",I52=""),"A completer","OK"))</x:f>
      </x:c>
    </x:row>
    <x:row r="53">
      <x:c r="A53" s="56"/>
      <x:c r="B53" s="56"/>
      <x:c r="C53" s="56"/>
      <x:c r="D53" s="56"/>
      <x:c r="E53" s="56"/>
      <x:c r="F53" s="56"/>
      <x:c r="G53" s="56"/>
      <x:c r="H53" s="57"/>
      <x:c r="I53" s="57"/>
      <x:c r="J53" s="56"/>
      <x:c r="K53" s="56"/>
      <x:c r="L53" s="56"/>
      <x:c r="M53" s="56" t="str">
        <x:f>IF(A53="","",IF(OR(F53="A renseigner",I53=""),"A completer","OK"))</x:f>
      </x:c>
    </x:row>
    <x:row r="54">
      <x:c r="A54" s="56"/>
      <x:c r="B54" s="56"/>
      <x:c r="C54" s="56"/>
      <x:c r="D54" s="56"/>
      <x:c r="E54" s="56"/>
      <x:c r="F54" s="56"/>
      <x:c r="G54" s="56"/>
      <x:c r="H54" s="57"/>
      <x:c r="I54" s="57"/>
      <x:c r="J54" s="56"/>
      <x:c r="K54" s="56"/>
      <x:c r="L54" s="56"/>
      <x:c r="M54" s="56" t="str">
        <x:f>IF(A54="","",IF(OR(F54="A renseigner",I54=""),"A completer","OK"))</x:f>
      </x:c>
    </x:row>
    <x:row r="55">
      <x:c r="A55" s="56"/>
      <x:c r="B55" s="56"/>
      <x:c r="C55" s="56"/>
      <x:c r="D55" s="56"/>
      <x:c r="E55" s="56"/>
      <x:c r="F55" s="56"/>
      <x:c r="G55" s="56"/>
      <x:c r="H55" s="57"/>
      <x:c r="I55" s="57"/>
      <x:c r="J55" s="56"/>
      <x:c r="K55" s="56"/>
      <x:c r="L55" s="56"/>
      <x:c r="M55" s="56" t="str">
        <x:f>IF(A55="","",IF(OR(F55="A renseigner",I55=""),"A completer","OK"))</x:f>
      </x:c>
    </x:row>
    <x:row r="56">
      <x:c r="A56" s="56"/>
      <x:c r="B56" s="56"/>
      <x:c r="C56" s="56"/>
      <x:c r="D56" s="56"/>
      <x:c r="E56" s="56"/>
      <x:c r="F56" s="56"/>
      <x:c r="G56" s="56"/>
      <x:c r="H56" s="57"/>
      <x:c r="I56" s="57"/>
      <x:c r="J56" s="56"/>
      <x:c r="K56" s="56"/>
      <x:c r="L56" s="56"/>
      <x:c r="M56" s="56" t="str">
        <x:f>IF(A56="","",IF(OR(F56="A renseigner",I56=""),"A completer","OK"))</x:f>
      </x:c>
    </x:row>
    <x:row r="57">
      <x:c r="A57" s="56"/>
      <x:c r="B57" s="56"/>
      <x:c r="C57" s="56"/>
      <x:c r="D57" s="56"/>
      <x:c r="E57" s="56"/>
      <x:c r="F57" s="56"/>
      <x:c r="G57" s="56"/>
      <x:c r="H57" s="57"/>
      <x:c r="I57" s="57"/>
      <x:c r="J57" s="56"/>
      <x:c r="K57" s="56"/>
      <x:c r="L57" s="56"/>
      <x:c r="M57" s="56" t="str">
        <x:f>IF(A57="","",IF(OR(F57="A renseigner",I57=""),"A completer","OK"))</x:f>
      </x:c>
    </x:row>
    <x:row r="58">
      <x:c r="A58" s="56"/>
      <x:c r="B58" s="56"/>
      <x:c r="C58" s="56"/>
      <x:c r="D58" s="56"/>
      <x:c r="E58" s="56"/>
      <x:c r="F58" s="56"/>
      <x:c r="G58" s="56"/>
      <x:c r="H58" s="57"/>
      <x:c r="I58" s="57"/>
      <x:c r="J58" s="56"/>
      <x:c r="K58" s="56"/>
      <x:c r="L58" s="56"/>
      <x:c r="M58" s="56" t="str">
        <x:f>IF(A58="","",IF(OR(F58="A renseigner",I58=""),"A completer","OK"))</x:f>
      </x:c>
    </x:row>
    <x:row r="59">
      <x:c r="A59" s="56"/>
      <x:c r="B59" s="56"/>
      <x:c r="C59" s="56"/>
      <x:c r="D59" s="56"/>
      <x:c r="E59" s="56"/>
      <x:c r="F59" s="56"/>
      <x:c r="G59" s="56"/>
      <x:c r="H59" s="57"/>
      <x:c r="I59" s="57"/>
      <x:c r="J59" s="56"/>
      <x:c r="K59" s="56"/>
      <x:c r="L59" s="56"/>
      <x:c r="M59" s="56" t="str">
        <x:f>IF(A59="","",IF(OR(F59="A renseigner",I59=""),"A completer","OK"))</x:f>
      </x:c>
    </x:row>
    <x:row r="60">
      <x:c r="A60" s="56"/>
      <x:c r="B60" s="56"/>
      <x:c r="C60" s="56"/>
      <x:c r="D60" s="56"/>
      <x:c r="E60" s="56"/>
      <x:c r="F60" s="56"/>
      <x:c r="G60" s="56"/>
      <x:c r="H60" s="57"/>
      <x:c r="I60" s="57"/>
      <x:c r="J60" s="56"/>
      <x:c r="K60" s="56"/>
      <x:c r="L60" s="56"/>
      <x:c r="M60" s="56" t="str">
        <x:f>IF(A60="","",IF(OR(F60="A renseigner",I60=""),"A completer","OK"))</x:f>
      </x:c>
    </x:row>
    <x:row r="61">
      <x:c r="A61" s="56"/>
      <x:c r="B61" s="56"/>
      <x:c r="C61" s="56"/>
      <x:c r="D61" s="56"/>
      <x:c r="E61" s="56"/>
      <x:c r="F61" s="56"/>
      <x:c r="G61" s="56"/>
      <x:c r="H61" s="57"/>
      <x:c r="I61" s="57"/>
      <x:c r="J61" s="56"/>
      <x:c r="K61" s="56"/>
      <x:c r="L61" s="56"/>
      <x:c r="M61" s="56" t="str">
        <x:f>IF(A61="","",IF(OR(F61="A renseigner",I61=""),"A completer","OK"))</x:f>
      </x:c>
    </x:row>
    <x:row r="62">
      <x:c r="A62" s="56"/>
      <x:c r="B62" s="56"/>
      <x:c r="C62" s="56"/>
      <x:c r="D62" s="56"/>
      <x:c r="E62" s="56"/>
      <x:c r="F62" s="56"/>
      <x:c r="G62" s="56"/>
      <x:c r="H62" s="57"/>
      <x:c r="I62" s="57"/>
      <x:c r="J62" s="56"/>
      <x:c r="K62" s="56"/>
      <x:c r="L62" s="56"/>
      <x:c r="M62" s="56" t="str">
        <x:f>IF(A62="","",IF(OR(F62="A renseigner",I62=""),"A completer","OK"))</x:f>
      </x:c>
    </x:row>
    <x:row r="63">
      <x:c r="A63" s="56"/>
      <x:c r="B63" s="56"/>
      <x:c r="C63" s="56"/>
      <x:c r="D63" s="56"/>
      <x:c r="E63" s="56"/>
      <x:c r="F63" s="56"/>
      <x:c r="G63" s="56"/>
      <x:c r="H63" s="57"/>
      <x:c r="I63" s="57"/>
      <x:c r="J63" s="56"/>
      <x:c r="K63" s="56"/>
      <x:c r="L63" s="56"/>
      <x:c r="M63" s="56" t="str">
        <x:f>IF(A63="","",IF(OR(F63="A renseigner",I63=""),"A completer","OK"))</x:f>
      </x:c>
    </x:row>
    <x:row r="64">
      <x:c r="A64" s="56"/>
      <x:c r="B64" s="56"/>
      <x:c r="C64" s="56"/>
      <x:c r="D64" s="56"/>
      <x:c r="E64" s="56"/>
      <x:c r="F64" s="56"/>
      <x:c r="G64" s="56"/>
      <x:c r="H64" s="57"/>
      <x:c r="I64" s="57"/>
      <x:c r="J64" s="56"/>
      <x:c r="K64" s="56"/>
      <x:c r="L64" s="56"/>
      <x:c r="M64" s="56" t="str">
        <x:f>IF(A64="","",IF(OR(F64="A renseigner",I64=""),"A completer","OK"))</x:f>
      </x:c>
    </x:row>
  </x:sheetData>
  <x:mergeCells>
    <x:mergeCell ref="A1:K1"/>
    <x:mergeCell ref="A2:K2"/>
  </x:mergeCells>
  <x:conditionalFormatting sqref="M5:M64">
    <x:cfRule type="containsText" dxfId="124" priority="1" operator="containsText" text="Critique"/>
    <x:cfRule type="containsText" dxfId="125" priority="2" operator="containsText" text="A completer"/>
    <x:cfRule type="containsText" dxfId="126" priority="3" operator="containsText" text="Pret"/>
    <x:cfRule type="containsText" dxfId="127"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64">
      <x:formula1>"Eleve,Moyen,Faible,A confirmer"</x:formula1>
    </x:dataValidation>
  </x:dataValidations>
  <x:pageMargins left="0.7" right="0.7" top="0.75" bottom="0.75" header="0.3" footer="0.3"/>
  <x:tableParts count="1">
    <x:tablePart xmlns:r="http://schemas.openxmlformats.org/officeDocument/2006/relationships" r:id="Rf0674469ef9d4b65"/>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 hidden="0" customWidth="1"/>
    <x:col min="3" max="3" width="32.5" hidden="0" customWidth="1"/>
    <x:col min="4" max="4" width="32.5" hidden="0" customWidth="1"/>
    <x:col min="5" max="5" width="27.5" hidden="0" customWidth="1"/>
    <x:col min="6" max="6" width="16.25" hidden="0" customWidth="1"/>
    <x:col min="7" max="7" width="21.25" hidden="0" customWidth="1"/>
    <x:col min="8" max="8" width="28.75" hidden="0" customWidth="1"/>
    <x:col min="9" max="9" width="13.75" hidden="0" customWidth="1"/>
    <x:col min="10" max="10" width="12.5" hidden="0" customWidth="1"/>
    <x:col min="11" max="11" width="14.380000114440918" hidden="0" customWidth="1"/>
    <x:col min="12" max="12" width="15" hidden="0" customWidth="1"/>
    <x:col min="13" max="13" width="16.25" hidden="0" customWidth="1"/>
  </x:cols>
  <x:sheetData>
    <x:row r="1" ht="25.5" customHeight="1">
      <x:c r="A1" s="48" t="str">
        <x:v>Plan de donnees climat et lacunes</x:v>
      </x:c>
      <x:c r="B1" s="48"/>
      <x:c r="C1" s="48"/>
      <x:c r="D1" s="48"/>
      <x:c r="E1" s="48"/>
      <x:c r="F1" s="48"/>
      <x:c r="G1" s="48"/>
      <x:c r="H1" s="48"/>
      <x:c r="I1" s="48"/>
      <x:c r="J1" s="48"/>
      <x:c r="K1" s="48"/>
    </x:row>
    <x:row r="2" ht="31.5" customHeight="1">
      <x:c r="A2" s="51" t="str">
        <x:v>Catalogue des donnees manquantes et priorisation des actions de collecte pour un MRV robuste.</x:v>
      </x:c>
      <x:c r="B2" s="51"/>
      <x:c r="C2" s="51"/>
      <x:c r="D2" s="51"/>
      <x:c r="E2" s="51"/>
      <x:c r="F2" s="51"/>
      <x:c r="G2" s="51"/>
      <x:c r="H2" s="51"/>
      <x:c r="I2" s="51"/>
      <x:c r="J2" s="51"/>
      <x:c r="K2" s="51"/>
    </x:row>
    <x:row r="4">
      <x:c r="A4" s="54" t="str">
        <x:v>DataGap_ID</x:v>
      </x:c>
      <x:c r="B4" s="54" t="str">
        <x:v>Domaine</x:v>
      </x:c>
      <x:c r="C4" s="54" t="str">
        <x:v>Donnee_manquante</x:v>
      </x:c>
      <x:c r="D4" s="54" t="str">
        <x:v>Pourquoi_critique</x:v>
      </x:c>
      <x:c r="E4" s="54" t="str">
        <x:v>Cadres_impactes</x:v>
      </x:c>
      <x:c r="F4" s="54" t="str">
        <x:v>Frequence_cible</x:v>
      </x:c>
      <x:c r="G4" s="54" t="str">
        <x:v>Responsable</x:v>
      </x:c>
      <x:c r="H4" s="54" t="str">
        <x:v>Source_potentielle</x:v>
      </x:c>
      <x:c r="I4" s="54" t="str">
        <x:v>Niveau_effort</x:v>
      </x:c>
      <x:c r="J4" s="54" t="str">
        <x:v>Priorite</x:v>
      </x:c>
      <x:c r="K4" s="54" t="str">
        <x:v>Date_cible</x:v>
      </x:c>
      <x:c r="L4" s="54" t="str">
        <x:v>Statut</x:v>
      </x:c>
      <x:c r="M4" s="54" t="str">
        <x:v>Alerte</x:v>
      </x:c>
    </x:row>
    <x:row r="5">
      <x:c r="A5" s="56" t="str">
        <x:v>GAP-001</x:v>
      </x:c>
      <x:c r="B5" s="56" t="str">
        <x:v>GES</x:v>
      </x:c>
      <x:c r="C5" s="56" t="str">
        <x:v>Facteurs emission nationaux valides</x:v>
      </x:c>
      <x:c r="D5" s="56" t="str">
        <x:v>Condition de credibilite inventaire</x:v>
      </x:c>
      <x:c r="E5" s="56" t="str">
        <x:v>GPC; CDP; GCoM</x:v>
      </x:c>
      <x:c r="F5" s="56" t="str">
        <x:v>Annuelle</x:v>
      </x:c>
      <x:c r="G5" s="56" t="str">
        <x:v>Referent GES</x:v>
      </x:c>
      <x:c r="H5" s="56" t="str">
        <x:v>Ministere / SENELEC / IPCC</x:v>
      </x:c>
      <x:c r="I5" s="56" t="str">
        <x:v>Moyen</x:v>
      </x:c>
      <x:c r="J5" s="56" t="str">
        <x:v>Critique</x:v>
      </x:c>
      <x:c r="K5" s="57" t="n">
        <x:v>46295</x:v>
      </x:c>
      <x:c r="L5" s="56" t="str">
        <x:v>A completer</x:v>
      </x:c>
      <x:c r="M5" s="56" t="str">
        <x:f>IF(A5="","",IF(AND(K5&lt;TODAY(),L5&lt;&gt;"Pret"),"Critique",IF(L5&lt;&gt;"Pret","A completer","OK")))</x:f>
        <x:v>A completer</x:v>
      </x:c>
    </x:row>
    <x:row r="6">
      <x:c r="A6" s="56" t="str">
        <x:v>GAP-002</x:v>
      </x:c>
      <x:c r="B6" s="56" t="str">
        <x:v>Adaptation</x:v>
      </x:c>
      <x:c r="C6" s="56" t="str">
        <x:v>Cartographie zones inondables et actifs exposes</x:v>
      </x:c>
      <x:c r="D6" s="56" t="str">
        <x:v>Priorisation resilience et dossiers finance</x:v>
      </x:c>
      <x:c r="E6" s="56" t="str">
        <x:v>GCoM; CoM SSA; GCF; Banque mondiale</x:v>
      </x:c>
      <x:c r="F6" s="56" t="str">
        <x:v>Annuelle</x:v>
      </x:c>
      <x:c r="G6" s="56" t="str">
        <x:v>Direction Planification</x:v>
      </x:c>
      <x:c r="H6" s="56" t="str">
        <x:v>SIG national / etudes</x:v>
      </x:c>
      <x:c r="I6" s="56" t="str">
        <x:v>Eleve</x:v>
      </x:c>
      <x:c r="J6" s="56" t="str">
        <x:v>Critique</x:v>
      </x:c>
      <x:c r="K6" s="57" t="n">
        <x:v>46371</x:v>
      </x:c>
      <x:c r="L6" s="56" t="str">
        <x:v>A completer</x:v>
      </x:c>
      <x:c r="M6" s="56" t="str">
        <x:f>IF(A6="","",IF(AND(K6&lt;TODAY(),L6&lt;&gt;"Pret"),"Critique",IF(L6&lt;&gt;"Pret","A completer","OK")))</x:f>
        <x:v>A completer</x:v>
      </x:c>
    </x:row>
    <x:row r="7">
      <x:c r="A7" s="56" t="str">
        <x:v>GAP-003</x:v>
      </x:c>
      <x:c r="B7" s="56" t="str">
        <x:v>Finance</x:v>
      </x:c>
      <x:c r="C7" s="56" t="str">
        <x:v>Couts OPEX et revenus/economies par projet</x:v>
      </x:c>
      <x:c r="D7" s="56" t="str">
        <x:v>Bancabilite et soutenabilite</x:v>
      </x:c>
      <x:c r="E7" s="56" t="str">
        <x:v>GCF; Banque mondiale; BAD</x:v>
      </x:c>
      <x:c r="F7" s="56" t="str">
        <x:v>Trimestrielle</x:v>
      </x:c>
      <x:c r="G7" s="56" t="str">
        <x:v>Direction Finance</x:v>
      </x:c>
      <x:c r="H7" s="56" t="str">
        <x:v>Business plans projets</x:v>
      </x:c>
      <x:c r="I7" s="56" t="str">
        <x:v>Moyen</x:v>
      </x:c>
      <x:c r="J7" s="56" t="str">
        <x:v>Haute</x:v>
      </x:c>
      <x:c r="K7" s="57" t="n">
        <x:v>46326</x:v>
      </x:c>
      <x:c r="L7" s="56" t="str">
        <x:v>En cours</x:v>
      </x:c>
      <x:c r="M7" s="56" t="str">
        <x:f>IF(A7="","",IF(AND(K7&lt;TODAY(),L7&lt;&gt;"Pret"),"Critique",IF(L7&lt;&gt;"Pret","A completer","OK")))</x:f>
        <x:v>A completer</x:v>
      </x:c>
    </x:row>
    <x:row r="8">
      <x:c r="A8" s="56" t="str">
        <x:v>GAP-004</x:v>
      </x:c>
      <x:c r="B8" s="56" t="str">
        <x:v>Inclusion</x:v>
      </x:c>
      <x:c r="C8" s="56" t="str">
        <x:v>Benefices differencies par genre et vulnerabilite</x:v>
      </x:c>
      <x:c r="D8" s="56" t="str">
        <x:v>Critere developpement durable et justice</x:v>
      </x:c>
      <x:c r="E8" s="56" t="str">
        <x:v>C40; CDP; GCF; BAD</x:v>
      </x:c>
      <x:c r="F8" s="56" t="str">
        <x:v>Semestrielle</x:v>
      </x:c>
      <x:c r="G8" s="56" t="str">
        <x:v>Cellule climat</x:v>
      </x:c>
      <x:c r="H8" s="56" t="str">
        <x:v>Enquetes menages / ONG</x:v>
      </x:c>
      <x:c r="I8" s="56" t="str">
        <x:v>Moyen</x:v>
      </x:c>
      <x:c r="J8" s="56" t="str">
        <x:v>Haute</x:v>
      </x:c>
      <x:c r="K8" s="57" t="n">
        <x:v>46356</x:v>
      </x:c>
      <x:c r="L8" s="56" t="str">
        <x:v>A completer</x:v>
      </x:c>
      <x:c r="M8" s="56" t="str">
        <x:f>IF(A8="","",IF(AND(K8&lt;TODAY(),L8&lt;&gt;"Pret"),"Critique",IF(L8&lt;&gt;"Pret","A completer","OK")))</x:f>
        <x:v>A completer</x:v>
      </x:c>
    </x:row>
    <x:row r="9">
      <x:c r="A9" s="56"/>
      <x:c r="B9" s="56"/>
      <x:c r="C9" s="56"/>
      <x:c r="D9" s="56"/>
      <x:c r="E9" s="56"/>
      <x:c r="F9" s="56"/>
      <x:c r="G9" s="56"/>
      <x:c r="H9" s="56"/>
      <x:c r="I9" s="56"/>
      <x:c r="J9" s="56"/>
      <x:c r="K9" s="57"/>
      <x:c r="L9" s="56"/>
      <x:c r="M9" s="56" t="str">
        <x:f>IF(A9="","",IF(AND(K9&lt;TODAY(),L9&lt;&gt;"Pret"),"Critique",IF(L9&lt;&gt;"Pret","A completer","OK")))</x:f>
      </x:c>
    </x:row>
    <x:row r="10">
      <x:c r="A10" s="56"/>
      <x:c r="B10" s="56"/>
      <x:c r="C10" s="56"/>
      <x:c r="D10" s="56"/>
      <x:c r="E10" s="56"/>
      <x:c r="F10" s="56"/>
      <x:c r="G10" s="56"/>
      <x:c r="H10" s="56"/>
      <x:c r="I10" s="56"/>
      <x:c r="J10" s="56"/>
      <x:c r="K10" s="57"/>
      <x:c r="L10" s="56"/>
      <x:c r="M10" s="56" t="str">
        <x:f>IF(A10="","",IF(AND(K10&lt;TODAY(),L10&lt;&gt;"Pret"),"Critique",IF(L10&lt;&gt;"Pret","A completer","OK")))</x:f>
      </x:c>
    </x:row>
    <x:row r="11">
      <x:c r="A11" s="56"/>
      <x:c r="B11" s="56"/>
      <x:c r="C11" s="56"/>
      <x:c r="D11" s="56"/>
      <x:c r="E11" s="56"/>
      <x:c r="F11" s="56"/>
      <x:c r="G11" s="56"/>
      <x:c r="H11" s="56"/>
      <x:c r="I11" s="56"/>
      <x:c r="J11" s="56"/>
      <x:c r="K11" s="57"/>
      <x:c r="L11" s="56"/>
      <x:c r="M11" s="56" t="str">
        <x:f>IF(A11="","",IF(AND(K11&lt;TODAY(),L11&lt;&gt;"Pret"),"Critique",IF(L11&lt;&gt;"Pret","A completer","OK")))</x:f>
      </x:c>
    </x:row>
    <x:row r="12">
      <x:c r="A12" s="56"/>
      <x:c r="B12" s="56"/>
      <x:c r="C12" s="56"/>
      <x:c r="D12" s="56"/>
      <x:c r="E12" s="56"/>
      <x:c r="F12" s="56"/>
      <x:c r="G12" s="56"/>
      <x:c r="H12" s="56"/>
      <x:c r="I12" s="56"/>
      <x:c r="J12" s="56"/>
      <x:c r="K12" s="57"/>
      <x:c r="L12" s="56"/>
      <x:c r="M12" s="56" t="str">
        <x:f>IF(A12="","",IF(AND(K12&lt;TODAY(),L12&lt;&gt;"Pret"),"Critique",IF(L12&lt;&gt;"Pret","A completer","OK")))</x:f>
      </x:c>
    </x:row>
    <x:row r="13">
      <x:c r="A13" s="56"/>
      <x:c r="B13" s="56"/>
      <x:c r="C13" s="56"/>
      <x:c r="D13" s="56"/>
      <x:c r="E13" s="56"/>
      <x:c r="F13" s="56"/>
      <x:c r="G13" s="56"/>
      <x:c r="H13" s="56"/>
      <x:c r="I13" s="56"/>
      <x:c r="J13" s="56"/>
      <x:c r="K13" s="57"/>
      <x:c r="L13" s="56"/>
      <x:c r="M13" s="56" t="str">
        <x:f>IF(A13="","",IF(AND(K13&lt;TODAY(),L13&lt;&gt;"Pret"),"Critique",IF(L13&lt;&gt;"Pret","A completer","OK")))</x:f>
      </x:c>
    </x:row>
    <x:row r="14">
      <x:c r="A14" s="56"/>
      <x:c r="B14" s="56"/>
      <x:c r="C14" s="56"/>
      <x:c r="D14" s="56"/>
      <x:c r="E14" s="56"/>
      <x:c r="F14" s="56"/>
      <x:c r="G14" s="56"/>
      <x:c r="H14" s="56"/>
      <x:c r="I14" s="56"/>
      <x:c r="J14" s="56"/>
      <x:c r="K14" s="57"/>
      <x:c r="L14" s="56"/>
      <x:c r="M14" s="56" t="str">
        <x:f>IF(A14="","",IF(AND(K14&lt;TODAY(),L14&lt;&gt;"Pret"),"Critique",IF(L14&lt;&gt;"Pret","A completer","OK")))</x:f>
      </x:c>
    </x:row>
    <x:row r="15">
      <x:c r="A15" s="56"/>
      <x:c r="B15" s="56"/>
      <x:c r="C15" s="56"/>
      <x:c r="D15" s="56"/>
      <x:c r="E15" s="56"/>
      <x:c r="F15" s="56"/>
      <x:c r="G15" s="56"/>
      <x:c r="H15" s="56"/>
      <x:c r="I15" s="56"/>
      <x:c r="J15" s="56"/>
      <x:c r="K15" s="57"/>
      <x:c r="L15" s="56"/>
      <x:c r="M15" s="56" t="str">
        <x:f>IF(A15="","",IF(AND(K15&lt;TODAY(),L15&lt;&gt;"Pret"),"Critique",IF(L15&lt;&gt;"Pret","A completer","OK")))</x:f>
      </x:c>
    </x:row>
    <x:row r="16">
      <x:c r="A16" s="56"/>
      <x:c r="B16" s="56"/>
      <x:c r="C16" s="56"/>
      <x:c r="D16" s="56"/>
      <x:c r="E16" s="56"/>
      <x:c r="F16" s="56"/>
      <x:c r="G16" s="56"/>
      <x:c r="H16" s="56"/>
      <x:c r="I16" s="56"/>
      <x:c r="J16" s="56"/>
      <x:c r="K16" s="57"/>
      <x:c r="L16" s="56"/>
      <x:c r="M16" s="56" t="str">
        <x:f>IF(A16="","",IF(AND(K16&lt;TODAY(),L16&lt;&gt;"Pret"),"Critique",IF(L16&lt;&gt;"Pret","A completer","OK")))</x:f>
      </x:c>
    </x:row>
    <x:row r="17">
      <x:c r="A17" s="56"/>
      <x:c r="B17" s="56"/>
      <x:c r="C17" s="56"/>
      <x:c r="D17" s="56"/>
      <x:c r="E17" s="56"/>
      <x:c r="F17" s="56"/>
      <x:c r="G17" s="56"/>
      <x:c r="H17" s="56"/>
      <x:c r="I17" s="56"/>
      <x:c r="J17" s="56"/>
      <x:c r="K17" s="57"/>
      <x:c r="L17" s="56"/>
      <x:c r="M17" s="56" t="str">
        <x:f>IF(A17="","",IF(AND(K17&lt;TODAY(),L17&lt;&gt;"Pret"),"Critique",IF(L17&lt;&gt;"Pret","A completer","OK")))</x:f>
      </x:c>
    </x:row>
    <x:row r="18">
      <x:c r="A18" s="56"/>
      <x:c r="B18" s="56"/>
      <x:c r="C18" s="56"/>
      <x:c r="D18" s="56"/>
      <x:c r="E18" s="56"/>
      <x:c r="F18" s="56"/>
      <x:c r="G18" s="56"/>
      <x:c r="H18" s="56"/>
      <x:c r="I18" s="56"/>
      <x:c r="J18" s="56"/>
      <x:c r="K18" s="57"/>
      <x:c r="L18" s="56"/>
      <x:c r="M18" s="56" t="str">
        <x:f>IF(A18="","",IF(AND(K18&lt;TODAY(),L18&lt;&gt;"Pret"),"Critique",IF(L18&lt;&gt;"Pret","A completer","OK")))</x:f>
      </x:c>
    </x:row>
    <x:row r="19">
      <x:c r="A19" s="56"/>
      <x:c r="B19" s="56"/>
      <x:c r="C19" s="56"/>
      <x:c r="D19" s="56"/>
      <x:c r="E19" s="56"/>
      <x:c r="F19" s="56"/>
      <x:c r="G19" s="56"/>
      <x:c r="H19" s="56"/>
      <x:c r="I19" s="56"/>
      <x:c r="J19" s="56"/>
      <x:c r="K19" s="57"/>
      <x:c r="L19" s="56"/>
      <x:c r="M19" s="56" t="str">
        <x:f>IF(A19="","",IF(AND(K19&lt;TODAY(),L19&lt;&gt;"Pret"),"Critique",IF(L19&lt;&gt;"Pret","A completer","OK")))</x:f>
      </x:c>
    </x:row>
    <x:row r="20">
      <x:c r="A20" s="56"/>
      <x:c r="B20" s="56"/>
      <x:c r="C20" s="56"/>
      <x:c r="D20" s="56"/>
      <x:c r="E20" s="56"/>
      <x:c r="F20" s="56"/>
      <x:c r="G20" s="56"/>
      <x:c r="H20" s="56"/>
      <x:c r="I20" s="56"/>
      <x:c r="J20" s="56"/>
      <x:c r="K20" s="57"/>
      <x:c r="L20" s="56"/>
      <x:c r="M20" s="56" t="str">
        <x:f>IF(A20="","",IF(AND(K20&lt;TODAY(),L20&lt;&gt;"Pret"),"Critique",IF(L20&lt;&gt;"Pret","A completer","OK")))</x:f>
      </x:c>
    </x:row>
    <x:row r="21">
      <x:c r="A21" s="56"/>
      <x:c r="B21" s="56"/>
      <x:c r="C21" s="56"/>
      <x:c r="D21" s="56"/>
      <x:c r="E21" s="56"/>
      <x:c r="F21" s="56"/>
      <x:c r="G21" s="56"/>
      <x:c r="H21" s="56"/>
      <x:c r="I21" s="56"/>
      <x:c r="J21" s="56"/>
      <x:c r="K21" s="57"/>
      <x:c r="L21" s="56"/>
      <x:c r="M21" s="56" t="str">
        <x:f>IF(A21="","",IF(AND(K21&lt;TODAY(),L21&lt;&gt;"Pret"),"Critique",IF(L21&lt;&gt;"Pret","A completer","OK")))</x:f>
      </x:c>
    </x:row>
    <x:row r="22">
      <x:c r="A22" s="56"/>
      <x:c r="B22" s="56"/>
      <x:c r="C22" s="56"/>
      <x:c r="D22" s="56"/>
      <x:c r="E22" s="56"/>
      <x:c r="F22" s="56"/>
      <x:c r="G22" s="56"/>
      <x:c r="H22" s="56"/>
      <x:c r="I22" s="56"/>
      <x:c r="J22" s="56"/>
      <x:c r="K22" s="57"/>
      <x:c r="L22" s="56"/>
      <x:c r="M22" s="56" t="str">
        <x:f>IF(A22="","",IF(AND(K22&lt;TODAY(),L22&lt;&gt;"Pret"),"Critique",IF(L22&lt;&gt;"Pret","A completer","OK")))</x:f>
      </x:c>
    </x:row>
    <x:row r="23">
      <x:c r="A23" s="56"/>
      <x:c r="B23" s="56"/>
      <x:c r="C23" s="56"/>
      <x:c r="D23" s="56"/>
      <x:c r="E23" s="56"/>
      <x:c r="F23" s="56"/>
      <x:c r="G23" s="56"/>
      <x:c r="H23" s="56"/>
      <x:c r="I23" s="56"/>
      <x:c r="J23" s="56"/>
      <x:c r="K23" s="57"/>
      <x:c r="L23" s="56"/>
      <x:c r="M23" s="56" t="str">
        <x:f>IF(A23="","",IF(AND(K23&lt;TODAY(),L23&lt;&gt;"Pret"),"Critique",IF(L23&lt;&gt;"Pret","A completer","OK")))</x:f>
      </x:c>
    </x:row>
    <x:row r="24">
      <x:c r="A24" s="56"/>
      <x:c r="B24" s="56"/>
      <x:c r="C24" s="56"/>
      <x:c r="D24" s="56"/>
      <x:c r="E24" s="56"/>
      <x:c r="F24" s="56"/>
      <x:c r="G24" s="56"/>
      <x:c r="H24" s="56"/>
      <x:c r="I24" s="56"/>
      <x:c r="J24" s="56"/>
      <x:c r="K24" s="57"/>
      <x:c r="L24" s="56"/>
      <x:c r="M24" s="56" t="str">
        <x:f>IF(A24="","",IF(AND(K24&lt;TODAY(),L24&lt;&gt;"Pret"),"Critique",IF(L24&lt;&gt;"Pret","A completer","OK")))</x:f>
      </x:c>
    </x:row>
    <x:row r="25">
      <x:c r="A25" s="56"/>
      <x:c r="B25" s="56"/>
      <x:c r="C25" s="56"/>
      <x:c r="D25" s="56"/>
      <x:c r="E25" s="56"/>
      <x:c r="F25" s="56"/>
      <x:c r="G25" s="56"/>
      <x:c r="H25" s="56"/>
      <x:c r="I25" s="56"/>
      <x:c r="J25" s="56"/>
      <x:c r="K25" s="57"/>
      <x:c r="L25" s="56"/>
      <x:c r="M25" s="56" t="str">
        <x:f>IF(A25="","",IF(AND(K25&lt;TODAY(),L25&lt;&gt;"Pret"),"Critique",IF(L25&lt;&gt;"Pret","A completer","OK")))</x:f>
      </x:c>
    </x:row>
    <x:row r="26">
      <x:c r="A26" s="56"/>
      <x:c r="B26" s="56"/>
      <x:c r="C26" s="56"/>
      <x:c r="D26" s="56"/>
      <x:c r="E26" s="56"/>
      <x:c r="F26" s="56"/>
      <x:c r="G26" s="56"/>
      <x:c r="H26" s="56"/>
      <x:c r="I26" s="56"/>
      <x:c r="J26" s="56"/>
      <x:c r="K26" s="57"/>
      <x:c r="L26" s="56"/>
      <x:c r="M26" s="56" t="str">
        <x:f>IF(A26="","",IF(AND(K26&lt;TODAY(),L26&lt;&gt;"Pret"),"Critique",IF(L26&lt;&gt;"Pret","A completer","OK")))</x:f>
      </x:c>
    </x:row>
    <x:row r="27">
      <x:c r="A27" s="56"/>
      <x:c r="B27" s="56"/>
      <x:c r="C27" s="56"/>
      <x:c r="D27" s="56"/>
      <x:c r="E27" s="56"/>
      <x:c r="F27" s="56"/>
      <x:c r="G27" s="56"/>
      <x:c r="H27" s="56"/>
      <x:c r="I27" s="56"/>
      <x:c r="J27" s="56"/>
      <x:c r="K27" s="57"/>
      <x:c r="L27" s="56"/>
      <x:c r="M27" s="56" t="str">
        <x:f>IF(A27="","",IF(AND(K27&lt;TODAY(),L27&lt;&gt;"Pret"),"Critique",IF(L27&lt;&gt;"Pret","A completer","OK")))</x:f>
      </x:c>
    </x:row>
    <x:row r="28">
      <x:c r="A28" s="56"/>
      <x:c r="B28" s="56"/>
      <x:c r="C28" s="56"/>
      <x:c r="D28" s="56"/>
      <x:c r="E28" s="56"/>
      <x:c r="F28" s="56"/>
      <x:c r="G28" s="56"/>
      <x:c r="H28" s="56"/>
      <x:c r="I28" s="56"/>
      <x:c r="J28" s="56"/>
      <x:c r="K28" s="57"/>
      <x:c r="L28" s="56"/>
      <x:c r="M28" s="56" t="str">
        <x:f>IF(A28="","",IF(AND(K28&lt;TODAY(),L28&lt;&gt;"Pret"),"Critique",IF(L28&lt;&gt;"Pret","A completer","OK")))</x:f>
      </x:c>
    </x:row>
    <x:row r="29">
      <x:c r="A29" s="56"/>
      <x:c r="B29" s="56"/>
      <x:c r="C29" s="56"/>
      <x:c r="D29" s="56"/>
      <x:c r="E29" s="56"/>
      <x:c r="F29" s="56"/>
      <x:c r="G29" s="56"/>
      <x:c r="H29" s="56"/>
      <x:c r="I29" s="56"/>
      <x:c r="J29" s="56"/>
      <x:c r="K29" s="57"/>
      <x:c r="L29" s="56"/>
      <x:c r="M29" s="56" t="str">
        <x:f>IF(A29="","",IF(AND(K29&lt;TODAY(),L29&lt;&gt;"Pret"),"Critique",IF(L29&lt;&gt;"Pret","A completer","OK")))</x:f>
      </x:c>
    </x:row>
    <x:row r="30">
      <x:c r="A30" s="56"/>
      <x:c r="B30" s="56"/>
      <x:c r="C30" s="56"/>
      <x:c r="D30" s="56"/>
      <x:c r="E30" s="56"/>
      <x:c r="F30" s="56"/>
      <x:c r="G30" s="56"/>
      <x:c r="H30" s="56"/>
      <x:c r="I30" s="56"/>
      <x:c r="J30" s="56"/>
      <x:c r="K30" s="57"/>
      <x:c r="L30" s="56"/>
      <x:c r="M30" s="56" t="str">
        <x:f>IF(A30="","",IF(AND(K30&lt;TODAY(),L30&lt;&gt;"Pret"),"Critique",IF(L30&lt;&gt;"Pret","A completer","OK")))</x:f>
      </x:c>
    </x:row>
    <x:row r="31">
      <x:c r="A31" s="56"/>
      <x:c r="B31" s="56"/>
      <x:c r="C31" s="56"/>
      <x:c r="D31" s="56"/>
      <x:c r="E31" s="56"/>
      <x:c r="F31" s="56"/>
      <x:c r="G31" s="56"/>
      <x:c r="H31" s="56"/>
      <x:c r="I31" s="56"/>
      <x:c r="J31" s="56"/>
      <x:c r="K31" s="57"/>
      <x:c r="L31" s="56"/>
      <x:c r="M31" s="56" t="str">
        <x:f>IF(A31="","",IF(AND(K31&lt;TODAY(),L31&lt;&gt;"Pret"),"Critique",IF(L31&lt;&gt;"Pret","A completer","OK")))</x:f>
      </x:c>
    </x:row>
    <x:row r="32">
      <x:c r="A32" s="56"/>
      <x:c r="B32" s="56"/>
      <x:c r="C32" s="56"/>
      <x:c r="D32" s="56"/>
      <x:c r="E32" s="56"/>
      <x:c r="F32" s="56"/>
      <x:c r="G32" s="56"/>
      <x:c r="H32" s="56"/>
      <x:c r="I32" s="56"/>
      <x:c r="J32" s="56"/>
      <x:c r="K32" s="57"/>
      <x:c r="L32" s="56"/>
      <x:c r="M32" s="56" t="str">
        <x:f>IF(A32="","",IF(AND(K32&lt;TODAY(),L32&lt;&gt;"Pret"),"Critique",IF(L32&lt;&gt;"Pret","A completer","OK")))</x:f>
      </x:c>
    </x:row>
    <x:row r="33">
      <x:c r="A33" s="56"/>
      <x:c r="B33" s="56"/>
      <x:c r="C33" s="56"/>
      <x:c r="D33" s="56"/>
      <x:c r="E33" s="56"/>
      <x:c r="F33" s="56"/>
      <x:c r="G33" s="56"/>
      <x:c r="H33" s="56"/>
      <x:c r="I33" s="56"/>
      <x:c r="J33" s="56"/>
      <x:c r="K33" s="57"/>
      <x:c r="L33" s="56"/>
      <x:c r="M33" s="56" t="str">
        <x:f>IF(A33="","",IF(AND(K33&lt;TODAY(),L33&lt;&gt;"Pret"),"Critique",IF(L33&lt;&gt;"Pret","A completer","OK")))</x:f>
      </x:c>
    </x:row>
    <x:row r="34">
      <x:c r="A34" s="56"/>
      <x:c r="B34" s="56"/>
      <x:c r="C34" s="56"/>
      <x:c r="D34" s="56"/>
      <x:c r="E34" s="56"/>
      <x:c r="F34" s="56"/>
      <x:c r="G34" s="56"/>
      <x:c r="H34" s="56"/>
      <x:c r="I34" s="56"/>
      <x:c r="J34" s="56"/>
      <x:c r="K34" s="57"/>
      <x:c r="L34" s="56"/>
      <x:c r="M34" s="56" t="str">
        <x:f>IF(A34="","",IF(AND(K34&lt;TODAY(),L34&lt;&gt;"Pret"),"Critique",IF(L34&lt;&gt;"Pret","A completer","OK")))</x:f>
      </x:c>
    </x:row>
    <x:row r="35">
      <x:c r="A35" s="56"/>
      <x:c r="B35" s="56"/>
      <x:c r="C35" s="56"/>
      <x:c r="D35" s="56"/>
      <x:c r="E35" s="56"/>
      <x:c r="F35" s="56"/>
      <x:c r="G35" s="56"/>
      <x:c r="H35" s="56"/>
      <x:c r="I35" s="56"/>
      <x:c r="J35" s="56"/>
      <x:c r="K35" s="57"/>
      <x:c r="L35" s="56"/>
      <x:c r="M35" s="56" t="str">
        <x:f>IF(A35="","",IF(AND(K35&lt;TODAY(),L35&lt;&gt;"Pret"),"Critique",IF(L35&lt;&gt;"Pret","A completer","OK")))</x:f>
      </x:c>
    </x:row>
    <x:row r="36">
      <x:c r="A36" s="56"/>
      <x:c r="B36" s="56"/>
      <x:c r="C36" s="56"/>
      <x:c r="D36" s="56"/>
      <x:c r="E36" s="56"/>
      <x:c r="F36" s="56"/>
      <x:c r="G36" s="56"/>
      <x:c r="H36" s="56"/>
      <x:c r="I36" s="56"/>
      <x:c r="J36" s="56"/>
      <x:c r="K36" s="57"/>
      <x:c r="L36" s="56"/>
      <x:c r="M36" s="56" t="str">
        <x:f>IF(A36="","",IF(AND(K36&lt;TODAY(),L36&lt;&gt;"Pret"),"Critique",IF(L36&lt;&gt;"Pret","A completer","OK")))</x:f>
      </x:c>
    </x:row>
    <x:row r="37">
      <x:c r="A37" s="56"/>
      <x:c r="B37" s="56"/>
      <x:c r="C37" s="56"/>
      <x:c r="D37" s="56"/>
      <x:c r="E37" s="56"/>
      <x:c r="F37" s="56"/>
      <x:c r="G37" s="56"/>
      <x:c r="H37" s="56"/>
      <x:c r="I37" s="56"/>
      <x:c r="J37" s="56"/>
      <x:c r="K37" s="57"/>
      <x:c r="L37" s="56"/>
      <x:c r="M37" s="56" t="str">
        <x:f>IF(A37="","",IF(AND(K37&lt;TODAY(),L37&lt;&gt;"Pret"),"Critique",IF(L37&lt;&gt;"Pret","A completer","OK")))</x:f>
      </x:c>
    </x:row>
    <x:row r="38">
      <x:c r="A38" s="56"/>
      <x:c r="B38" s="56"/>
      <x:c r="C38" s="56"/>
      <x:c r="D38" s="56"/>
      <x:c r="E38" s="56"/>
      <x:c r="F38" s="56"/>
      <x:c r="G38" s="56"/>
      <x:c r="H38" s="56"/>
      <x:c r="I38" s="56"/>
      <x:c r="J38" s="56"/>
      <x:c r="K38" s="57"/>
      <x:c r="L38" s="56"/>
      <x:c r="M38" s="56" t="str">
        <x:f>IF(A38="","",IF(AND(K38&lt;TODAY(),L38&lt;&gt;"Pret"),"Critique",IF(L38&lt;&gt;"Pret","A completer","OK")))</x:f>
      </x:c>
    </x:row>
    <x:row r="39">
      <x:c r="A39" s="56"/>
      <x:c r="B39" s="56"/>
      <x:c r="C39" s="56"/>
      <x:c r="D39" s="56"/>
      <x:c r="E39" s="56"/>
      <x:c r="F39" s="56"/>
      <x:c r="G39" s="56"/>
      <x:c r="H39" s="56"/>
      <x:c r="I39" s="56"/>
      <x:c r="J39" s="56"/>
      <x:c r="K39" s="57"/>
      <x:c r="L39" s="56"/>
      <x:c r="M39" s="56" t="str">
        <x:f>IF(A39="","",IF(AND(K39&lt;TODAY(),L39&lt;&gt;"Pret"),"Critique",IF(L39&lt;&gt;"Pret","A completer","OK")))</x:f>
      </x:c>
    </x:row>
    <x:row r="40">
      <x:c r="A40" s="56"/>
      <x:c r="B40" s="56"/>
      <x:c r="C40" s="56"/>
      <x:c r="D40" s="56"/>
      <x:c r="E40" s="56"/>
      <x:c r="F40" s="56"/>
      <x:c r="G40" s="56"/>
      <x:c r="H40" s="56"/>
      <x:c r="I40" s="56"/>
      <x:c r="J40" s="56"/>
      <x:c r="K40" s="57"/>
      <x:c r="L40" s="56"/>
      <x:c r="M40" s="56" t="str">
        <x:f>IF(A40="","",IF(AND(K40&lt;TODAY(),L40&lt;&gt;"Pret"),"Critique",IF(L40&lt;&gt;"Pret","A completer","OK")))</x:f>
      </x:c>
    </x:row>
    <x:row r="41">
      <x:c r="A41" s="56"/>
      <x:c r="B41" s="56"/>
      <x:c r="C41" s="56"/>
      <x:c r="D41" s="56"/>
      <x:c r="E41" s="56"/>
      <x:c r="F41" s="56"/>
      <x:c r="G41" s="56"/>
      <x:c r="H41" s="56"/>
      <x:c r="I41" s="56"/>
      <x:c r="J41" s="56"/>
      <x:c r="K41" s="57"/>
      <x:c r="L41" s="56"/>
      <x:c r="M41" s="56" t="str">
        <x:f>IF(A41="","",IF(AND(K41&lt;TODAY(),L41&lt;&gt;"Pret"),"Critique",IF(L41&lt;&gt;"Pret","A completer","OK")))</x:f>
      </x:c>
    </x:row>
    <x:row r="42">
      <x:c r="A42" s="56"/>
      <x:c r="B42" s="56"/>
      <x:c r="C42" s="56"/>
      <x:c r="D42" s="56"/>
      <x:c r="E42" s="56"/>
      <x:c r="F42" s="56"/>
      <x:c r="G42" s="56"/>
      <x:c r="H42" s="56"/>
      <x:c r="I42" s="56"/>
      <x:c r="J42" s="56"/>
      <x:c r="K42" s="57"/>
      <x:c r="L42" s="56"/>
      <x:c r="M42" s="56" t="str">
        <x:f>IF(A42="","",IF(AND(K42&lt;TODAY(),L42&lt;&gt;"Pret"),"Critique",IF(L42&lt;&gt;"Pret","A completer","OK")))</x:f>
      </x:c>
    </x:row>
    <x:row r="43">
      <x:c r="A43" s="56"/>
      <x:c r="B43" s="56"/>
      <x:c r="C43" s="56"/>
      <x:c r="D43" s="56"/>
      <x:c r="E43" s="56"/>
      <x:c r="F43" s="56"/>
      <x:c r="G43" s="56"/>
      <x:c r="H43" s="56"/>
      <x:c r="I43" s="56"/>
      <x:c r="J43" s="56"/>
      <x:c r="K43" s="57"/>
      <x:c r="L43" s="56"/>
      <x:c r="M43" s="56" t="str">
        <x:f>IF(A43="","",IF(AND(K43&lt;TODAY(),L43&lt;&gt;"Pret"),"Critique",IF(L43&lt;&gt;"Pret","A completer","OK")))</x:f>
      </x:c>
    </x:row>
    <x:row r="44">
      <x:c r="A44" s="56"/>
      <x:c r="B44" s="56"/>
      <x:c r="C44" s="56"/>
      <x:c r="D44" s="56"/>
      <x:c r="E44" s="56"/>
      <x:c r="F44" s="56"/>
      <x:c r="G44" s="56"/>
      <x:c r="H44" s="56"/>
      <x:c r="I44" s="56"/>
      <x:c r="J44" s="56"/>
      <x:c r="K44" s="57"/>
      <x:c r="L44" s="56"/>
      <x:c r="M44" s="56" t="str">
        <x:f>IF(A44="","",IF(AND(K44&lt;TODAY(),L44&lt;&gt;"Pret"),"Critique",IF(L44&lt;&gt;"Pret","A completer","OK")))</x:f>
      </x:c>
    </x:row>
    <x:row r="45">
      <x:c r="A45" s="56"/>
      <x:c r="B45" s="56"/>
      <x:c r="C45" s="56"/>
      <x:c r="D45" s="56"/>
      <x:c r="E45" s="56"/>
      <x:c r="F45" s="56"/>
      <x:c r="G45" s="56"/>
      <x:c r="H45" s="56"/>
      <x:c r="I45" s="56"/>
      <x:c r="J45" s="56"/>
      <x:c r="K45" s="57"/>
      <x:c r="L45" s="56"/>
      <x:c r="M45" s="56" t="str">
        <x:f>IF(A45="","",IF(AND(K45&lt;TODAY(),L45&lt;&gt;"Pret"),"Critique",IF(L45&lt;&gt;"Pret","A completer","OK")))</x:f>
      </x:c>
    </x:row>
    <x:row r="46">
      <x:c r="A46" s="56"/>
      <x:c r="B46" s="56"/>
      <x:c r="C46" s="56"/>
      <x:c r="D46" s="56"/>
      <x:c r="E46" s="56"/>
      <x:c r="F46" s="56"/>
      <x:c r="G46" s="56"/>
      <x:c r="H46" s="56"/>
      <x:c r="I46" s="56"/>
      <x:c r="J46" s="56"/>
      <x:c r="K46" s="57"/>
      <x:c r="L46" s="56"/>
      <x:c r="M46" s="56" t="str">
        <x:f>IF(A46="","",IF(AND(K46&lt;TODAY(),L46&lt;&gt;"Pret"),"Critique",IF(L46&lt;&gt;"Pret","A completer","OK")))</x:f>
      </x:c>
    </x:row>
    <x:row r="47">
      <x:c r="A47" s="56"/>
      <x:c r="B47" s="56"/>
      <x:c r="C47" s="56"/>
      <x:c r="D47" s="56"/>
      <x:c r="E47" s="56"/>
      <x:c r="F47" s="56"/>
      <x:c r="G47" s="56"/>
      <x:c r="H47" s="56"/>
      <x:c r="I47" s="56"/>
      <x:c r="J47" s="56"/>
      <x:c r="K47" s="57"/>
      <x:c r="L47" s="56"/>
      <x:c r="M47" s="56" t="str">
        <x:f>IF(A47="","",IF(AND(K47&lt;TODAY(),L47&lt;&gt;"Pret"),"Critique",IF(L47&lt;&gt;"Pret","A completer","OK")))</x:f>
      </x:c>
    </x:row>
    <x:row r="48">
      <x:c r="A48" s="56"/>
      <x:c r="B48" s="56"/>
      <x:c r="C48" s="56"/>
      <x:c r="D48" s="56"/>
      <x:c r="E48" s="56"/>
      <x:c r="F48" s="56"/>
      <x:c r="G48" s="56"/>
      <x:c r="H48" s="56"/>
      <x:c r="I48" s="56"/>
      <x:c r="J48" s="56"/>
      <x:c r="K48" s="57"/>
      <x:c r="L48" s="56"/>
      <x:c r="M48" s="56" t="str">
        <x:f>IF(A48="","",IF(AND(K48&lt;TODAY(),L48&lt;&gt;"Pret"),"Critique",IF(L48&lt;&gt;"Pret","A completer","OK")))</x:f>
      </x:c>
    </x:row>
    <x:row r="49">
      <x:c r="A49" s="56"/>
      <x:c r="B49" s="56"/>
      <x:c r="C49" s="56"/>
      <x:c r="D49" s="56"/>
      <x:c r="E49" s="56"/>
      <x:c r="F49" s="56"/>
      <x:c r="G49" s="56"/>
      <x:c r="H49" s="56"/>
      <x:c r="I49" s="56"/>
      <x:c r="J49" s="56"/>
      <x:c r="K49" s="57"/>
      <x:c r="L49" s="56"/>
      <x:c r="M49" s="56" t="str">
        <x:f>IF(A49="","",IF(AND(K49&lt;TODAY(),L49&lt;&gt;"Pret"),"Critique",IF(L49&lt;&gt;"Pret","A completer","OK")))</x:f>
      </x:c>
    </x:row>
    <x:row r="50">
      <x:c r="A50" s="56"/>
      <x:c r="B50" s="56"/>
      <x:c r="C50" s="56"/>
      <x:c r="D50" s="56"/>
      <x:c r="E50" s="56"/>
      <x:c r="F50" s="56"/>
      <x:c r="G50" s="56"/>
      <x:c r="H50" s="56"/>
      <x:c r="I50" s="56"/>
      <x:c r="J50" s="56"/>
      <x:c r="K50" s="57"/>
      <x:c r="L50" s="56"/>
      <x:c r="M50" s="56" t="str">
        <x:f>IF(A50="","",IF(AND(K50&lt;TODAY(),L50&lt;&gt;"Pret"),"Critique",IF(L50&lt;&gt;"Pret","A completer","OK")))</x:f>
      </x:c>
    </x:row>
    <x:row r="51">
      <x:c r="A51" s="56"/>
      <x:c r="B51" s="56"/>
      <x:c r="C51" s="56"/>
      <x:c r="D51" s="56"/>
      <x:c r="E51" s="56"/>
      <x:c r="F51" s="56"/>
      <x:c r="G51" s="56"/>
      <x:c r="H51" s="56"/>
      <x:c r="I51" s="56"/>
      <x:c r="J51" s="56"/>
      <x:c r="K51" s="57"/>
      <x:c r="L51" s="56"/>
      <x:c r="M51" s="56" t="str">
        <x:f>IF(A51="","",IF(AND(K51&lt;TODAY(),L51&lt;&gt;"Pret"),"Critique",IF(L51&lt;&gt;"Pret","A completer","OK")))</x:f>
      </x:c>
    </x:row>
    <x:row r="52">
      <x:c r="A52" s="56"/>
      <x:c r="B52" s="56"/>
      <x:c r="C52" s="56"/>
      <x:c r="D52" s="56"/>
      <x:c r="E52" s="56"/>
      <x:c r="F52" s="56"/>
      <x:c r="G52" s="56"/>
      <x:c r="H52" s="56"/>
      <x:c r="I52" s="56"/>
      <x:c r="J52" s="56"/>
      <x:c r="K52" s="57"/>
      <x:c r="L52" s="56"/>
      <x:c r="M52" s="56" t="str">
        <x:f>IF(A52="","",IF(AND(K52&lt;TODAY(),L52&lt;&gt;"Pret"),"Critique",IF(L52&lt;&gt;"Pret","A completer","OK")))</x:f>
      </x:c>
    </x:row>
    <x:row r="53">
      <x:c r="A53" s="56"/>
      <x:c r="B53" s="56"/>
      <x:c r="C53" s="56"/>
      <x:c r="D53" s="56"/>
      <x:c r="E53" s="56"/>
      <x:c r="F53" s="56"/>
      <x:c r="G53" s="56"/>
      <x:c r="H53" s="56"/>
      <x:c r="I53" s="56"/>
      <x:c r="J53" s="56"/>
      <x:c r="K53" s="57"/>
      <x:c r="L53" s="56"/>
      <x:c r="M53" s="56" t="str">
        <x:f>IF(A53="","",IF(AND(K53&lt;TODAY(),L53&lt;&gt;"Pret"),"Critique",IF(L53&lt;&gt;"Pret","A completer","OK")))</x:f>
      </x:c>
    </x:row>
    <x:row r="54">
      <x:c r="A54" s="56"/>
      <x:c r="B54" s="56"/>
      <x:c r="C54" s="56"/>
      <x:c r="D54" s="56"/>
      <x:c r="E54" s="56"/>
      <x:c r="F54" s="56"/>
      <x:c r="G54" s="56"/>
      <x:c r="H54" s="56"/>
      <x:c r="I54" s="56"/>
      <x:c r="J54" s="56"/>
      <x:c r="K54" s="57"/>
      <x:c r="L54" s="56"/>
      <x:c r="M54" s="56" t="str">
        <x:f>IF(A54="","",IF(AND(K54&lt;TODAY(),L54&lt;&gt;"Pret"),"Critique",IF(L54&lt;&gt;"Pret","A completer","OK")))</x:f>
      </x:c>
    </x:row>
    <x:row r="55">
      <x:c r="A55" s="56"/>
      <x:c r="B55" s="56"/>
      <x:c r="C55" s="56"/>
      <x:c r="D55" s="56"/>
      <x:c r="E55" s="56"/>
      <x:c r="F55" s="56"/>
      <x:c r="G55" s="56"/>
      <x:c r="H55" s="56"/>
      <x:c r="I55" s="56"/>
      <x:c r="J55" s="56"/>
      <x:c r="K55" s="57"/>
      <x:c r="L55" s="56"/>
      <x:c r="M55" s="56" t="str">
        <x:f>IF(A55="","",IF(AND(K55&lt;TODAY(),L55&lt;&gt;"Pret"),"Critique",IF(L55&lt;&gt;"Pret","A completer","OK")))</x:f>
      </x:c>
    </x:row>
    <x:row r="56">
      <x:c r="A56" s="56"/>
      <x:c r="B56" s="56"/>
      <x:c r="C56" s="56"/>
      <x:c r="D56" s="56"/>
      <x:c r="E56" s="56"/>
      <x:c r="F56" s="56"/>
      <x:c r="G56" s="56"/>
      <x:c r="H56" s="56"/>
      <x:c r="I56" s="56"/>
      <x:c r="J56" s="56"/>
      <x:c r="K56" s="57"/>
      <x:c r="L56" s="56"/>
      <x:c r="M56" s="56" t="str">
        <x:f>IF(A56="","",IF(AND(K56&lt;TODAY(),L56&lt;&gt;"Pret"),"Critique",IF(L56&lt;&gt;"Pret","A completer","OK")))</x:f>
      </x:c>
    </x:row>
    <x:row r="57">
      <x:c r="A57" s="56"/>
      <x:c r="B57" s="56"/>
      <x:c r="C57" s="56"/>
      <x:c r="D57" s="56"/>
      <x:c r="E57" s="56"/>
      <x:c r="F57" s="56"/>
      <x:c r="G57" s="56"/>
      <x:c r="H57" s="56"/>
      <x:c r="I57" s="56"/>
      <x:c r="J57" s="56"/>
      <x:c r="K57" s="57"/>
      <x:c r="L57" s="56"/>
      <x:c r="M57" s="56" t="str">
        <x:f>IF(A57="","",IF(AND(K57&lt;TODAY(),L57&lt;&gt;"Pret"),"Critique",IF(L57&lt;&gt;"Pret","A completer","OK")))</x:f>
      </x:c>
    </x:row>
    <x:row r="58">
      <x:c r="A58" s="56"/>
      <x:c r="B58" s="56"/>
      <x:c r="C58" s="56"/>
      <x:c r="D58" s="56"/>
      <x:c r="E58" s="56"/>
      <x:c r="F58" s="56"/>
      <x:c r="G58" s="56"/>
      <x:c r="H58" s="56"/>
      <x:c r="I58" s="56"/>
      <x:c r="J58" s="56"/>
      <x:c r="K58" s="57"/>
      <x:c r="L58" s="56"/>
      <x:c r="M58" s="56" t="str">
        <x:f>IF(A58="","",IF(AND(K58&lt;TODAY(),L58&lt;&gt;"Pret"),"Critique",IF(L58&lt;&gt;"Pret","A completer","OK")))</x:f>
      </x:c>
    </x:row>
    <x:row r="59">
      <x:c r="A59" s="56"/>
      <x:c r="B59" s="56"/>
      <x:c r="C59" s="56"/>
      <x:c r="D59" s="56"/>
      <x:c r="E59" s="56"/>
      <x:c r="F59" s="56"/>
      <x:c r="G59" s="56"/>
      <x:c r="H59" s="56"/>
      <x:c r="I59" s="56"/>
      <x:c r="J59" s="56"/>
      <x:c r="K59" s="57"/>
      <x:c r="L59" s="56"/>
      <x:c r="M59" s="56" t="str">
        <x:f>IF(A59="","",IF(AND(K59&lt;TODAY(),L59&lt;&gt;"Pret"),"Critique",IF(L59&lt;&gt;"Pret","A completer","OK")))</x:f>
      </x:c>
    </x:row>
    <x:row r="60">
      <x:c r="A60" s="56"/>
      <x:c r="B60" s="56"/>
      <x:c r="C60" s="56"/>
      <x:c r="D60" s="56"/>
      <x:c r="E60" s="56"/>
      <x:c r="F60" s="56"/>
      <x:c r="G60" s="56"/>
      <x:c r="H60" s="56"/>
      <x:c r="I60" s="56"/>
      <x:c r="J60" s="56"/>
      <x:c r="K60" s="57"/>
      <x:c r="L60" s="56"/>
      <x:c r="M60" s="56" t="str">
        <x:f>IF(A60="","",IF(AND(K60&lt;TODAY(),L60&lt;&gt;"Pret"),"Critique",IF(L60&lt;&gt;"Pret","A completer","OK")))</x:f>
      </x:c>
    </x:row>
    <x:row r="61">
      <x:c r="A61" s="56"/>
      <x:c r="B61" s="56"/>
      <x:c r="C61" s="56"/>
      <x:c r="D61" s="56"/>
      <x:c r="E61" s="56"/>
      <x:c r="F61" s="56"/>
      <x:c r="G61" s="56"/>
      <x:c r="H61" s="56"/>
      <x:c r="I61" s="56"/>
      <x:c r="J61" s="56"/>
      <x:c r="K61" s="57"/>
      <x:c r="L61" s="56"/>
      <x:c r="M61" s="56" t="str">
        <x:f>IF(A61="","",IF(AND(K61&lt;TODAY(),L61&lt;&gt;"Pret"),"Critique",IF(L61&lt;&gt;"Pret","A completer","OK")))</x:f>
      </x:c>
    </x:row>
    <x:row r="62">
      <x:c r="A62" s="56"/>
      <x:c r="B62" s="56"/>
      <x:c r="C62" s="56"/>
      <x:c r="D62" s="56"/>
      <x:c r="E62" s="56"/>
      <x:c r="F62" s="56"/>
      <x:c r="G62" s="56"/>
      <x:c r="H62" s="56"/>
      <x:c r="I62" s="56"/>
      <x:c r="J62" s="56"/>
      <x:c r="K62" s="57"/>
      <x:c r="L62" s="56"/>
      <x:c r="M62" s="56" t="str">
        <x:f>IF(A62="","",IF(AND(K62&lt;TODAY(),L62&lt;&gt;"Pret"),"Critique",IF(L62&lt;&gt;"Pret","A completer","OK")))</x:f>
      </x:c>
    </x:row>
    <x:row r="63">
      <x:c r="A63" s="56"/>
      <x:c r="B63" s="56"/>
      <x:c r="C63" s="56"/>
      <x:c r="D63" s="56"/>
      <x:c r="E63" s="56"/>
      <x:c r="F63" s="56"/>
      <x:c r="G63" s="56"/>
      <x:c r="H63" s="56"/>
      <x:c r="I63" s="56"/>
      <x:c r="J63" s="56"/>
      <x:c r="K63" s="57"/>
      <x:c r="L63" s="56"/>
      <x:c r="M63" s="56" t="str">
        <x:f>IF(A63="","",IF(AND(K63&lt;TODAY(),L63&lt;&gt;"Pret"),"Critique",IF(L63&lt;&gt;"Pret","A completer","OK")))</x:f>
      </x:c>
    </x:row>
    <x:row r="64">
      <x:c r="A64" s="56"/>
      <x:c r="B64" s="56"/>
      <x:c r="C64" s="56"/>
      <x:c r="D64" s="56"/>
      <x:c r="E64" s="56"/>
      <x:c r="F64" s="56"/>
      <x:c r="G64" s="56"/>
      <x:c r="H64" s="56"/>
      <x:c r="I64" s="56"/>
      <x:c r="J64" s="56"/>
      <x:c r="K64" s="57"/>
      <x:c r="L64" s="56"/>
      <x:c r="M64" s="56" t="str">
        <x:f>IF(A64="","",IF(AND(K64&lt;TODAY(),L64&lt;&gt;"Pret"),"Critique",IF(L64&lt;&gt;"Pret","A completer","OK")))</x:f>
      </x:c>
    </x:row>
  </x:sheetData>
  <x:mergeCells>
    <x:mergeCell ref="A1:K1"/>
    <x:mergeCell ref="A2:K2"/>
  </x:mergeCells>
  <x:conditionalFormatting sqref="M5:M64">
    <x:cfRule type="containsText" dxfId="128" priority="1" operator="containsText" text="Critique"/>
    <x:cfRule type="containsText" dxfId="129" priority="2" operator="containsText" text="A completer"/>
    <x:cfRule type="containsText" dxfId="130" priority="3" operator="containsText" text="Pret"/>
    <x:cfRule type="containsText" dxfId="131"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J5:J64">
      <x:formula1>"Critique,Haute,Moyenne,Basse"</x:formula1>
    </x:dataValidation>
    <x:dataValidation type="list" errorStyle="warning" showInputMessage="1" showErrorMessage="1" errorTitle="Valeur inattendue" error="Verifier la liste de valeurs." promptTitle="Liste controlee" prompt="Choisir une valeur autorisee." sqref="L5:L64">
      <x:formula1>"Non demarre,A completer,En cours,A verifier,Pret,Soumis,Valide"</x:formula1>
    </x:dataValidation>
  </x:dataValidations>
  <x:pageMargins left="0.7" right="0.7" top="0.75" bottom="0.75" header="0.3" footer="0.3"/>
  <x:tableParts count="1">
    <x:tablePart xmlns:r="http://schemas.openxmlformats.org/officeDocument/2006/relationships" r:id="Rddf977382061444a"/>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30" hidden="0" customWidth="1"/>
    <x:col min="4" max="4" width="18.75" hidden="0" customWidth="1"/>
    <x:col min="5" max="5" width="18.1299991607666" hidden="0" customWidth="1"/>
    <x:col min="6" max="6" width="17.5" hidden="0" customWidth="1"/>
    <x:col min="7" max="7" width="14.380000114440918" hidden="0" customWidth="1"/>
    <x:col min="8" max="8" width="16.8799991607666" hidden="0" customWidth="1"/>
    <x:col min="9" max="9" width="23.75" hidden="0" customWidth="1"/>
    <x:col min="10" max="10" width="27.5" hidden="0" customWidth="1"/>
    <x:col min="11" max="11" width="20" hidden="0" customWidth="1"/>
    <x:col min="12" max="12" width="27.5" hidden="0" customWidth="1"/>
    <x:col min="13" max="13" width="15.630000114440918" hidden="0" customWidth="1"/>
  </x:cols>
  <x:sheetData>
    <x:row r="1" ht="25.5" customHeight="1">
      <x:c r="A1" s="48" t="str">
        <x:v>Passation de marches, contrats et execution</x:v>
      </x:c>
      <x:c r="B1" s="48"/>
      <x:c r="C1" s="48"/>
      <x:c r="D1" s="48"/>
      <x:c r="E1" s="48"/>
      <x:c r="F1" s="48"/>
      <x:c r="G1" s="48"/>
      <x:c r="H1" s="48"/>
      <x:c r="I1" s="48"/>
      <x:c r="J1" s="48"/>
      <x:c r="K1" s="48"/>
    </x:row>
    <x:row r="2" ht="31.5" customHeight="1">
      <x:c r="A2" s="51" t="str">
        <x:v>Suivi des jalons d'achat, contrats, conditions de decaissement et risques d'execution.</x:v>
      </x:c>
      <x:c r="B2" s="51"/>
      <x:c r="C2" s="51"/>
      <x:c r="D2" s="51"/>
      <x:c r="E2" s="51"/>
      <x:c r="F2" s="51"/>
      <x:c r="G2" s="51"/>
      <x:c r="H2" s="51"/>
      <x:c r="I2" s="51"/>
      <x:c r="J2" s="51"/>
      <x:c r="K2" s="51"/>
    </x:row>
    <x:row r="4">
      <x:c r="A4" s="54" t="str">
        <x:v>Proc_ID</x:v>
      </x:c>
      <x:c r="B4" s="54" t="str">
        <x:v>Project_ID</x:v>
      </x:c>
      <x:c r="C4" s="54" t="str">
        <x:v>Lot</x:v>
      </x:c>
      <x:c r="D4" s="54" t="str">
        <x:v>Mode_passation</x:v>
      </x:c>
      <x:c r="E4" s="54" t="str">
        <x:v>Montant_estime_XOF</x:v>
      </x:c>
      <x:c r="F4" s="54" t="str">
        <x:v>Statut_procurement</x:v>
      </x:c>
      <x:c r="G4" s="54" t="str">
        <x:v>Date_lancement</x:v>
      </x:c>
      <x:c r="H4" s="54" t="str">
        <x:v>Date_attribution_prevue</x:v>
      </x:c>
      <x:c r="I4" s="54" t="str">
        <x:v>Entreprise_attributaire</x:v>
      </x:c>
      <x:c r="J4" s="54" t="str">
        <x:v>Condition_decaissement</x:v>
      </x:c>
      <x:c r="K4" s="54" t="str">
        <x:v>Risque_execution</x:v>
      </x:c>
      <x:c r="L4" s="54" t="str">
        <x:v>Mesure_mitigation</x:v>
      </x:c>
      <x:c r="M4" s="54" t="str">
        <x:v>Alerte</x:v>
      </x:c>
    </x:row>
    <x:row r="5">
      <x:c r="A5" s="56" t="str">
        <x:v>PRC-001</x:v>
      </x:c>
      <x:c r="B5" s="56" t="str">
        <x:v>PRJ-001</x:v>
      </x:c>
      <x:c r="C5" s="56" t="str">
        <x:v>Equipements solaires phase 2</x:v>
      </x:c>
      <x:c r="D5" s="56" t="str">
        <x:v>Appel offres</x:v>
      </x:c>
      <x:c r="E5" s="61" t="n">
        <x:v>900000000</x:v>
      </x:c>
      <x:c r="F5" s="56" t="str">
        <x:v>Preparation DAO</x:v>
      </x:c>
      <x:c r="G5" s="57" t="n">
        <x:v>46188</x:v>
      </x:c>
      <x:c r="H5" s="57" t="n">
        <x:v>46325</x:v>
      </x:c>
      <x:c r="I5" s="56" t="str"/>
      <x:c r="J5" s="56" t="str">
        <x:v>Validation etude technique</x:v>
      </x:c>
      <x:c r="K5" s="56" t="str">
        <x:v>Retard DAO</x:v>
      </x:c>
      <x:c r="L5" s="56" t="str">
        <x:v>Appui technique externe</x:v>
      </x:c>
      <x:c r="M5" s="56" t="str">
        <x:f>IF(A5="","",IF(AND(H5&lt;TODAY(),F5&lt;&gt;"Attribue"),"Critique","OK"))</x:f>
        <x:v>OK</x:v>
      </x:c>
    </x:row>
    <x:row r="6">
      <x:c r="A6" s="56" t="str">
        <x:v>PRC-002</x:v>
      </x:c>
      <x:c r="B6" s="56" t="str">
        <x:v>PRJ-002</x:v>
      </x:c>
      <x:c r="C6" s="56" t="str">
        <x:v>Plateformes compostage pilotes</x:v>
      </x:c>
      <x:c r="D6" s="56" t="str">
        <x:v>Appel offres local</x:v>
      </x:c>
      <x:c r="E6" s="61" t="n">
        <x:v>350000000</x:v>
      </x:c>
      <x:c r="F6" s="56" t="str">
        <x:v>A lancer</x:v>
      </x:c>
      <x:c r="G6" s="57" t="n">
        <x:v>46204</x:v>
      </x:c>
      <x:c r="H6" s="57" t="n">
        <x:v>46341</x:v>
      </x:c>
      <x:c r="I6" s="56" t="str"/>
      <x:c r="J6" s="56" t="str">
        <x:v>Foncier securise</x:v>
      </x:c>
      <x:c r="K6" s="56" t="str">
        <x:v>Foncier</x:v>
      </x:c>
      <x:c r="L6" s="56" t="str">
        <x:v>Convention quartiers</x:v>
      </x:c>
      <x:c r="M6" s="56" t="str">
        <x:f>IF(A6="","",IF(AND(H6&lt;TODAY(),F6&lt;&gt;"Attribue"),"Critique","OK"))</x:f>
        <x:v>OK</x:v>
      </x:c>
    </x:row>
    <x:row r="7">
      <x:c r="A7" s="56" t="str">
        <x:v>PRC-003</x:v>
      </x:c>
      <x:c r="B7" s="56" t="str">
        <x:v>PRJ-004</x:v>
      </x:c>
      <x:c r="C7" s="56" t="str">
        <x:v>Etudes drainage et littoral</x:v>
      </x:c>
      <x:c r="D7" s="56" t="str">
        <x:v>Consultant</x:v>
      </x:c>
      <x:c r="E7" s="61" t="n">
        <x:v>500000000</x:v>
      </x:c>
      <x:c r="F7" s="56" t="str">
        <x:v>Preparation TDR</x:v>
      </x:c>
      <x:c r="G7" s="57" t="n">
        <x:v>46203</x:v>
      </x:c>
      <x:c r="H7" s="57" t="n">
        <x:v>46295</x:v>
      </x:c>
      <x:c r="I7" s="56" t="str"/>
      <x:c r="J7" s="56" t="str">
        <x:v>TDR valides</x:v>
      </x:c>
      <x:c r="K7" s="56" t="str">
        <x:v>Coordination institutions</x:v>
      </x:c>
      <x:c r="L7" s="56" t="str">
        <x:v>Comite technique</x:v>
      </x:c>
      <x:c r="M7" s="56" t="str">
        <x:f>IF(A7="","",IF(AND(H7&lt;TODAY(),F7&lt;&gt;"Attribue"),"Critique","OK"))</x:f>
        <x:v>OK</x:v>
      </x:c>
    </x:row>
    <x:row r="8">
      <x:c r="A8" s="56"/>
      <x:c r="B8" s="56"/>
      <x:c r="C8" s="56"/>
      <x:c r="D8" s="56"/>
      <x:c r="E8" s="61"/>
      <x:c r="F8" s="56"/>
      <x:c r="G8" s="57"/>
      <x:c r="H8" s="57"/>
      <x:c r="I8" s="56"/>
      <x:c r="J8" s="56"/>
      <x:c r="K8" s="56"/>
      <x:c r="L8" s="56"/>
      <x:c r="M8" s="56" t="str">
        <x:f>IF(A8="","",IF(AND(H8&lt;TODAY(),F8&lt;&gt;"Attribue"),"Critique","OK"))</x:f>
      </x:c>
    </x:row>
    <x:row r="9">
      <x:c r="A9" s="56"/>
      <x:c r="B9" s="56"/>
      <x:c r="C9" s="56"/>
      <x:c r="D9" s="56"/>
      <x:c r="E9" s="61"/>
      <x:c r="F9" s="56"/>
      <x:c r="G9" s="57"/>
      <x:c r="H9" s="57"/>
      <x:c r="I9" s="56"/>
      <x:c r="J9" s="56"/>
      <x:c r="K9" s="56"/>
      <x:c r="L9" s="56"/>
      <x:c r="M9" s="56" t="str">
        <x:f>IF(A9="","",IF(AND(H9&lt;TODAY(),F9&lt;&gt;"Attribue"),"Critique","OK"))</x:f>
      </x:c>
    </x:row>
    <x:row r="10">
      <x:c r="A10" s="56"/>
      <x:c r="B10" s="56"/>
      <x:c r="C10" s="56"/>
      <x:c r="D10" s="56"/>
      <x:c r="E10" s="61"/>
      <x:c r="F10" s="56"/>
      <x:c r="G10" s="57"/>
      <x:c r="H10" s="57"/>
      <x:c r="I10" s="56"/>
      <x:c r="J10" s="56"/>
      <x:c r="K10" s="56"/>
      <x:c r="L10" s="56"/>
      <x:c r="M10" s="56" t="str">
        <x:f>IF(A10="","",IF(AND(H10&lt;TODAY(),F10&lt;&gt;"Attribue"),"Critique","OK"))</x:f>
      </x:c>
    </x:row>
    <x:row r="11">
      <x:c r="A11" s="56"/>
      <x:c r="B11" s="56"/>
      <x:c r="C11" s="56"/>
      <x:c r="D11" s="56"/>
      <x:c r="E11" s="61"/>
      <x:c r="F11" s="56"/>
      <x:c r="G11" s="57"/>
      <x:c r="H11" s="57"/>
      <x:c r="I11" s="56"/>
      <x:c r="J11" s="56"/>
      <x:c r="K11" s="56"/>
      <x:c r="L11" s="56"/>
      <x:c r="M11" s="56" t="str">
        <x:f>IF(A11="","",IF(AND(H11&lt;TODAY(),F11&lt;&gt;"Attribue"),"Critique","OK"))</x:f>
      </x:c>
    </x:row>
    <x:row r="12">
      <x:c r="A12" s="56"/>
      <x:c r="B12" s="56"/>
      <x:c r="C12" s="56"/>
      <x:c r="D12" s="56"/>
      <x:c r="E12" s="61"/>
      <x:c r="F12" s="56"/>
      <x:c r="G12" s="57"/>
      <x:c r="H12" s="57"/>
      <x:c r="I12" s="56"/>
      <x:c r="J12" s="56"/>
      <x:c r="K12" s="56"/>
      <x:c r="L12" s="56"/>
      <x:c r="M12" s="56" t="str">
        <x:f>IF(A12="","",IF(AND(H12&lt;TODAY(),F12&lt;&gt;"Attribue"),"Critique","OK"))</x:f>
      </x:c>
    </x:row>
    <x:row r="13">
      <x:c r="A13" s="56"/>
      <x:c r="B13" s="56"/>
      <x:c r="C13" s="56"/>
      <x:c r="D13" s="56"/>
      <x:c r="E13" s="61"/>
      <x:c r="F13" s="56"/>
      <x:c r="G13" s="57"/>
      <x:c r="H13" s="57"/>
      <x:c r="I13" s="56"/>
      <x:c r="J13" s="56"/>
      <x:c r="K13" s="56"/>
      <x:c r="L13" s="56"/>
      <x:c r="M13" s="56" t="str">
        <x:f>IF(A13="","",IF(AND(H13&lt;TODAY(),F13&lt;&gt;"Attribue"),"Critique","OK"))</x:f>
      </x:c>
    </x:row>
    <x:row r="14">
      <x:c r="A14" s="56"/>
      <x:c r="B14" s="56"/>
      <x:c r="C14" s="56"/>
      <x:c r="D14" s="56"/>
      <x:c r="E14" s="61"/>
      <x:c r="F14" s="56"/>
      <x:c r="G14" s="57"/>
      <x:c r="H14" s="57"/>
      <x:c r="I14" s="56"/>
      <x:c r="J14" s="56"/>
      <x:c r="K14" s="56"/>
      <x:c r="L14" s="56"/>
      <x:c r="M14" s="56" t="str">
        <x:f>IF(A14="","",IF(AND(H14&lt;TODAY(),F14&lt;&gt;"Attribue"),"Critique","OK"))</x:f>
      </x:c>
    </x:row>
    <x:row r="15">
      <x:c r="A15" s="56"/>
      <x:c r="B15" s="56"/>
      <x:c r="C15" s="56"/>
      <x:c r="D15" s="56"/>
      <x:c r="E15" s="61"/>
      <x:c r="F15" s="56"/>
      <x:c r="G15" s="57"/>
      <x:c r="H15" s="57"/>
      <x:c r="I15" s="56"/>
      <x:c r="J15" s="56"/>
      <x:c r="K15" s="56"/>
      <x:c r="L15" s="56"/>
      <x:c r="M15" s="56" t="str">
        <x:f>IF(A15="","",IF(AND(H15&lt;TODAY(),F15&lt;&gt;"Attribue"),"Critique","OK"))</x:f>
      </x:c>
    </x:row>
    <x:row r="16">
      <x:c r="A16" s="56"/>
      <x:c r="B16" s="56"/>
      <x:c r="C16" s="56"/>
      <x:c r="D16" s="56"/>
      <x:c r="E16" s="61"/>
      <x:c r="F16" s="56"/>
      <x:c r="G16" s="57"/>
      <x:c r="H16" s="57"/>
      <x:c r="I16" s="56"/>
      <x:c r="J16" s="56"/>
      <x:c r="K16" s="56"/>
      <x:c r="L16" s="56"/>
      <x:c r="M16" s="56" t="str">
        <x:f>IF(A16="","",IF(AND(H16&lt;TODAY(),F16&lt;&gt;"Attribue"),"Critique","OK"))</x:f>
      </x:c>
    </x:row>
    <x:row r="17">
      <x:c r="A17" s="56"/>
      <x:c r="B17" s="56"/>
      <x:c r="C17" s="56"/>
      <x:c r="D17" s="56"/>
      <x:c r="E17" s="61"/>
      <x:c r="F17" s="56"/>
      <x:c r="G17" s="57"/>
      <x:c r="H17" s="57"/>
      <x:c r="I17" s="56"/>
      <x:c r="J17" s="56"/>
      <x:c r="K17" s="56"/>
      <x:c r="L17" s="56"/>
      <x:c r="M17" s="56" t="str">
        <x:f>IF(A17="","",IF(AND(H17&lt;TODAY(),F17&lt;&gt;"Attribue"),"Critique","OK"))</x:f>
      </x:c>
    </x:row>
    <x:row r="18">
      <x:c r="A18" s="56"/>
      <x:c r="B18" s="56"/>
      <x:c r="C18" s="56"/>
      <x:c r="D18" s="56"/>
      <x:c r="E18" s="61"/>
      <x:c r="F18" s="56"/>
      <x:c r="G18" s="57"/>
      <x:c r="H18" s="57"/>
      <x:c r="I18" s="56"/>
      <x:c r="J18" s="56"/>
      <x:c r="K18" s="56"/>
      <x:c r="L18" s="56"/>
      <x:c r="M18" s="56" t="str">
        <x:f>IF(A18="","",IF(AND(H18&lt;TODAY(),F18&lt;&gt;"Attribue"),"Critique","OK"))</x:f>
      </x:c>
    </x:row>
    <x:row r="19">
      <x:c r="A19" s="56"/>
      <x:c r="B19" s="56"/>
      <x:c r="C19" s="56"/>
      <x:c r="D19" s="56"/>
      <x:c r="E19" s="61"/>
      <x:c r="F19" s="56"/>
      <x:c r="G19" s="57"/>
      <x:c r="H19" s="57"/>
      <x:c r="I19" s="56"/>
      <x:c r="J19" s="56"/>
      <x:c r="K19" s="56"/>
      <x:c r="L19" s="56"/>
      <x:c r="M19" s="56" t="str">
        <x:f>IF(A19="","",IF(AND(H19&lt;TODAY(),F19&lt;&gt;"Attribue"),"Critique","OK"))</x:f>
      </x:c>
    </x:row>
    <x:row r="20">
      <x:c r="A20" s="56"/>
      <x:c r="B20" s="56"/>
      <x:c r="C20" s="56"/>
      <x:c r="D20" s="56"/>
      <x:c r="E20" s="61"/>
      <x:c r="F20" s="56"/>
      <x:c r="G20" s="57"/>
      <x:c r="H20" s="57"/>
      <x:c r="I20" s="56"/>
      <x:c r="J20" s="56"/>
      <x:c r="K20" s="56"/>
      <x:c r="L20" s="56"/>
      <x:c r="M20" s="56" t="str">
        <x:f>IF(A20="","",IF(AND(H20&lt;TODAY(),F20&lt;&gt;"Attribue"),"Critique","OK"))</x:f>
      </x:c>
    </x:row>
    <x:row r="21">
      <x:c r="A21" s="56"/>
      <x:c r="B21" s="56"/>
      <x:c r="C21" s="56"/>
      <x:c r="D21" s="56"/>
      <x:c r="E21" s="61"/>
      <x:c r="F21" s="56"/>
      <x:c r="G21" s="57"/>
      <x:c r="H21" s="57"/>
      <x:c r="I21" s="56"/>
      <x:c r="J21" s="56"/>
      <x:c r="K21" s="56"/>
      <x:c r="L21" s="56"/>
      <x:c r="M21" s="56" t="str">
        <x:f>IF(A21="","",IF(AND(H21&lt;TODAY(),F21&lt;&gt;"Attribue"),"Critique","OK"))</x:f>
      </x:c>
    </x:row>
    <x:row r="22">
      <x:c r="A22" s="56"/>
      <x:c r="B22" s="56"/>
      <x:c r="C22" s="56"/>
      <x:c r="D22" s="56"/>
      <x:c r="E22" s="61"/>
      <x:c r="F22" s="56"/>
      <x:c r="G22" s="57"/>
      <x:c r="H22" s="57"/>
      <x:c r="I22" s="56"/>
      <x:c r="J22" s="56"/>
      <x:c r="K22" s="56"/>
      <x:c r="L22" s="56"/>
      <x:c r="M22" s="56" t="str">
        <x:f>IF(A22="","",IF(AND(H22&lt;TODAY(),F22&lt;&gt;"Attribue"),"Critique","OK"))</x:f>
      </x:c>
    </x:row>
    <x:row r="23">
      <x:c r="A23" s="56"/>
      <x:c r="B23" s="56"/>
      <x:c r="C23" s="56"/>
      <x:c r="D23" s="56"/>
      <x:c r="E23" s="61"/>
      <x:c r="F23" s="56"/>
      <x:c r="G23" s="57"/>
      <x:c r="H23" s="57"/>
      <x:c r="I23" s="56"/>
      <x:c r="J23" s="56"/>
      <x:c r="K23" s="56"/>
      <x:c r="L23" s="56"/>
      <x:c r="M23" s="56" t="str">
        <x:f>IF(A23="","",IF(AND(H23&lt;TODAY(),F23&lt;&gt;"Attribue"),"Critique","OK"))</x:f>
      </x:c>
    </x:row>
    <x:row r="24">
      <x:c r="A24" s="56"/>
      <x:c r="B24" s="56"/>
      <x:c r="C24" s="56"/>
      <x:c r="D24" s="56"/>
      <x:c r="E24" s="61"/>
      <x:c r="F24" s="56"/>
      <x:c r="G24" s="57"/>
      <x:c r="H24" s="57"/>
      <x:c r="I24" s="56"/>
      <x:c r="J24" s="56"/>
      <x:c r="K24" s="56"/>
      <x:c r="L24" s="56"/>
      <x:c r="M24" s="56" t="str">
        <x:f>IF(A24="","",IF(AND(H24&lt;TODAY(),F24&lt;&gt;"Attribue"),"Critique","OK"))</x:f>
      </x:c>
    </x:row>
    <x:row r="25">
      <x:c r="A25" s="56"/>
      <x:c r="B25" s="56"/>
      <x:c r="C25" s="56"/>
      <x:c r="D25" s="56"/>
      <x:c r="E25" s="61"/>
      <x:c r="F25" s="56"/>
      <x:c r="G25" s="57"/>
      <x:c r="H25" s="57"/>
      <x:c r="I25" s="56"/>
      <x:c r="J25" s="56"/>
      <x:c r="K25" s="56"/>
      <x:c r="L25" s="56"/>
      <x:c r="M25" s="56" t="str">
        <x:f>IF(A25="","",IF(AND(H25&lt;TODAY(),F25&lt;&gt;"Attribue"),"Critique","OK"))</x:f>
      </x:c>
    </x:row>
    <x:row r="26">
      <x:c r="A26" s="56"/>
      <x:c r="B26" s="56"/>
      <x:c r="C26" s="56"/>
      <x:c r="D26" s="56"/>
      <x:c r="E26" s="61"/>
      <x:c r="F26" s="56"/>
      <x:c r="G26" s="57"/>
      <x:c r="H26" s="57"/>
      <x:c r="I26" s="56"/>
      <x:c r="J26" s="56"/>
      <x:c r="K26" s="56"/>
      <x:c r="L26" s="56"/>
      <x:c r="M26" s="56" t="str">
        <x:f>IF(A26="","",IF(AND(H26&lt;TODAY(),F26&lt;&gt;"Attribue"),"Critique","OK"))</x:f>
      </x:c>
    </x:row>
    <x:row r="27">
      <x:c r="A27" s="56"/>
      <x:c r="B27" s="56"/>
      <x:c r="C27" s="56"/>
      <x:c r="D27" s="56"/>
      <x:c r="E27" s="61"/>
      <x:c r="F27" s="56"/>
      <x:c r="G27" s="57"/>
      <x:c r="H27" s="57"/>
      <x:c r="I27" s="56"/>
      <x:c r="J27" s="56"/>
      <x:c r="K27" s="56"/>
      <x:c r="L27" s="56"/>
      <x:c r="M27" s="56" t="str">
        <x:f>IF(A27="","",IF(AND(H27&lt;TODAY(),F27&lt;&gt;"Attribue"),"Critique","OK"))</x:f>
      </x:c>
    </x:row>
    <x:row r="28">
      <x:c r="A28" s="56"/>
      <x:c r="B28" s="56"/>
      <x:c r="C28" s="56"/>
      <x:c r="D28" s="56"/>
      <x:c r="E28" s="61"/>
      <x:c r="F28" s="56"/>
      <x:c r="G28" s="57"/>
      <x:c r="H28" s="57"/>
      <x:c r="I28" s="56"/>
      <x:c r="J28" s="56"/>
      <x:c r="K28" s="56"/>
      <x:c r="L28" s="56"/>
      <x:c r="M28" s="56" t="str">
        <x:f>IF(A28="","",IF(AND(H28&lt;TODAY(),F28&lt;&gt;"Attribue"),"Critique","OK"))</x:f>
      </x:c>
    </x:row>
    <x:row r="29">
      <x:c r="A29" s="56"/>
      <x:c r="B29" s="56"/>
      <x:c r="C29" s="56"/>
      <x:c r="D29" s="56"/>
      <x:c r="E29" s="61"/>
      <x:c r="F29" s="56"/>
      <x:c r="G29" s="57"/>
      <x:c r="H29" s="57"/>
      <x:c r="I29" s="56"/>
      <x:c r="J29" s="56"/>
      <x:c r="K29" s="56"/>
      <x:c r="L29" s="56"/>
      <x:c r="M29" s="56" t="str">
        <x:f>IF(A29="","",IF(AND(H29&lt;TODAY(),F29&lt;&gt;"Attribue"),"Critique","OK"))</x:f>
      </x:c>
    </x:row>
    <x:row r="30">
      <x:c r="A30" s="56"/>
      <x:c r="B30" s="56"/>
      <x:c r="C30" s="56"/>
      <x:c r="D30" s="56"/>
      <x:c r="E30" s="61"/>
      <x:c r="F30" s="56"/>
      <x:c r="G30" s="57"/>
      <x:c r="H30" s="57"/>
      <x:c r="I30" s="56"/>
      <x:c r="J30" s="56"/>
      <x:c r="K30" s="56"/>
      <x:c r="L30" s="56"/>
      <x:c r="M30" s="56" t="str">
        <x:f>IF(A30="","",IF(AND(H30&lt;TODAY(),F30&lt;&gt;"Attribue"),"Critique","OK"))</x:f>
      </x:c>
    </x:row>
    <x:row r="31">
      <x:c r="A31" s="56"/>
      <x:c r="B31" s="56"/>
      <x:c r="C31" s="56"/>
      <x:c r="D31" s="56"/>
      <x:c r="E31" s="61"/>
      <x:c r="F31" s="56"/>
      <x:c r="G31" s="57"/>
      <x:c r="H31" s="57"/>
      <x:c r="I31" s="56"/>
      <x:c r="J31" s="56"/>
      <x:c r="K31" s="56"/>
      <x:c r="L31" s="56"/>
      <x:c r="M31" s="56" t="str">
        <x:f>IF(A31="","",IF(AND(H31&lt;TODAY(),F31&lt;&gt;"Attribue"),"Critique","OK"))</x:f>
      </x:c>
    </x:row>
    <x:row r="32">
      <x:c r="A32" s="56"/>
      <x:c r="B32" s="56"/>
      <x:c r="C32" s="56"/>
      <x:c r="D32" s="56"/>
      <x:c r="E32" s="61"/>
      <x:c r="F32" s="56"/>
      <x:c r="G32" s="57"/>
      <x:c r="H32" s="57"/>
      <x:c r="I32" s="56"/>
      <x:c r="J32" s="56"/>
      <x:c r="K32" s="56"/>
      <x:c r="L32" s="56"/>
      <x:c r="M32" s="56" t="str">
        <x:f>IF(A32="","",IF(AND(H32&lt;TODAY(),F32&lt;&gt;"Attribue"),"Critique","OK"))</x:f>
      </x:c>
    </x:row>
    <x:row r="33">
      <x:c r="A33" s="56"/>
      <x:c r="B33" s="56"/>
      <x:c r="C33" s="56"/>
      <x:c r="D33" s="56"/>
      <x:c r="E33" s="61"/>
      <x:c r="F33" s="56"/>
      <x:c r="G33" s="57"/>
      <x:c r="H33" s="57"/>
      <x:c r="I33" s="56"/>
      <x:c r="J33" s="56"/>
      <x:c r="K33" s="56"/>
      <x:c r="L33" s="56"/>
      <x:c r="M33" s="56" t="str">
        <x:f>IF(A33="","",IF(AND(H33&lt;TODAY(),F33&lt;&gt;"Attribue"),"Critique","OK"))</x:f>
      </x:c>
    </x:row>
    <x:row r="34">
      <x:c r="A34" s="56"/>
      <x:c r="B34" s="56"/>
      <x:c r="C34" s="56"/>
      <x:c r="D34" s="56"/>
      <x:c r="E34" s="61"/>
      <x:c r="F34" s="56"/>
      <x:c r="G34" s="57"/>
      <x:c r="H34" s="57"/>
      <x:c r="I34" s="56"/>
      <x:c r="J34" s="56"/>
      <x:c r="K34" s="56"/>
      <x:c r="L34" s="56"/>
      <x:c r="M34" s="56" t="str">
        <x:f>IF(A34="","",IF(AND(H34&lt;TODAY(),F34&lt;&gt;"Attribue"),"Critique","OK"))</x:f>
      </x:c>
    </x:row>
    <x:row r="35">
      <x:c r="A35" s="56"/>
      <x:c r="B35" s="56"/>
      <x:c r="C35" s="56"/>
      <x:c r="D35" s="56"/>
      <x:c r="E35" s="61"/>
      <x:c r="F35" s="56"/>
      <x:c r="G35" s="57"/>
      <x:c r="H35" s="57"/>
      <x:c r="I35" s="56"/>
      <x:c r="J35" s="56"/>
      <x:c r="K35" s="56"/>
      <x:c r="L35" s="56"/>
      <x:c r="M35" s="56" t="str">
        <x:f>IF(A35="","",IF(AND(H35&lt;TODAY(),F35&lt;&gt;"Attribue"),"Critique","OK"))</x:f>
      </x:c>
    </x:row>
    <x:row r="36">
      <x:c r="A36" s="56"/>
      <x:c r="B36" s="56"/>
      <x:c r="C36" s="56"/>
      <x:c r="D36" s="56"/>
      <x:c r="E36" s="61"/>
      <x:c r="F36" s="56"/>
      <x:c r="G36" s="57"/>
      <x:c r="H36" s="57"/>
      <x:c r="I36" s="56"/>
      <x:c r="J36" s="56"/>
      <x:c r="K36" s="56"/>
      <x:c r="L36" s="56"/>
      <x:c r="M36" s="56" t="str">
        <x:f>IF(A36="","",IF(AND(H36&lt;TODAY(),F36&lt;&gt;"Attribue"),"Critique","OK"))</x:f>
      </x:c>
    </x:row>
    <x:row r="37">
      <x:c r="A37" s="56"/>
      <x:c r="B37" s="56"/>
      <x:c r="C37" s="56"/>
      <x:c r="D37" s="56"/>
      <x:c r="E37" s="61"/>
      <x:c r="F37" s="56"/>
      <x:c r="G37" s="57"/>
      <x:c r="H37" s="57"/>
      <x:c r="I37" s="56"/>
      <x:c r="J37" s="56"/>
      <x:c r="K37" s="56"/>
      <x:c r="L37" s="56"/>
      <x:c r="M37" s="56" t="str">
        <x:f>IF(A37="","",IF(AND(H37&lt;TODAY(),F37&lt;&gt;"Attribue"),"Critique","OK"))</x:f>
      </x:c>
    </x:row>
    <x:row r="38">
      <x:c r="A38" s="56"/>
      <x:c r="B38" s="56"/>
      <x:c r="C38" s="56"/>
      <x:c r="D38" s="56"/>
      <x:c r="E38" s="61"/>
      <x:c r="F38" s="56"/>
      <x:c r="G38" s="57"/>
      <x:c r="H38" s="57"/>
      <x:c r="I38" s="56"/>
      <x:c r="J38" s="56"/>
      <x:c r="K38" s="56"/>
      <x:c r="L38" s="56"/>
      <x:c r="M38" s="56" t="str">
        <x:f>IF(A38="","",IF(AND(H38&lt;TODAY(),F38&lt;&gt;"Attribue"),"Critique","OK"))</x:f>
      </x:c>
    </x:row>
    <x:row r="39">
      <x:c r="A39" s="56"/>
      <x:c r="B39" s="56"/>
      <x:c r="C39" s="56"/>
      <x:c r="D39" s="56"/>
      <x:c r="E39" s="61"/>
      <x:c r="F39" s="56"/>
      <x:c r="G39" s="57"/>
      <x:c r="H39" s="57"/>
      <x:c r="I39" s="56"/>
      <x:c r="J39" s="56"/>
      <x:c r="K39" s="56"/>
      <x:c r="L39" s="56"/>
      <x:c r="M39" s="56" t="str">
        <x:f>IF(A39="","",IF(AND(H39&lt;TODAY(),F39&lt;&gt;"Attribue"),"Critique","OK"))</x:f>
      </x:c>
    </x:row>
    <x:row r="40">
      <x:c r="A40" s="56"/>
      <x:c r="B40" s="56"/>
      <x:c r="C40" s="56"/>
      <x:c r="D40" s="56"/>
      <x:c r="E40" s="61"/>
      <x:c r="F40" s="56"/>
      <x:c r="G40" s="57"/>
      <x:c r="H40" s="57"/>
      <x:c r="I40" s="56"/>
      <x:c r="J40" s="56"/>
      <x:c r="K40" s="56"/>
      <x:c r="L40" s="56"/>
      <x:c r="M40" s="56" t="str">
        <x:f>IF(A40="","",IF(AND(H40&lt;TODAY(),F40&lt;&gt;"Attribue"),"Critique","OK"))</x:f>
      </x:c>
    </x:row>
    <x:row r="41">
      <x:c r="A41" s="56"/>
      <x:c r="B41" s="56"/>
      <x:c r="C41" s="56"/>
      <x:c r="D41" s="56"/>
      <x:c r="E41" s="61"/>
      <x:c r="F41" s="56"/>
      <x:c r="G41" s="57"/>
      <x:c r="H41" s="57"/>
      <x:c r="I41" s="56"/>
      <x:c r="J41" s="56"/>
      <x:c r="K41" s="56"/>
      <x:c r="L41" s="56"/>
      <x:c r="M41" s="56" t="str">
        <x:f>IF(A41="","",IF(AND(H41&lt;TODAY(),F41&lt;&gt;"Attribue"),"Critique","OK"))</x:f>
      </x:c>
    </x:row>
    <x:row r="42">
      <x:c r="A42" s="56"/>
      <x:c r="B42" s="56"/>
      <x:c r="C42" s="56"/>
      <x:c r="D42" s="56"/>
      <x:c r="E42" s="61"/>
      <x:c r="F42" s="56"/>
      <x:c r="G42" s="57"/>
      <x:c r="H42" s="57"/>
      <x:c r="I42" s="56"/>
      <x:c r="J42" s="56"/>
      <x:c r="K42" s="56"/>
      <x:c r="L42" s="56"/>
      <x:c r="M42" s="56" t="str">
        <x:f>IF(A42="","",IF(AND(H42&lt;TODAY(),F42&lt;&gt;"Attribue"),"Critique","OK"))</x:f>
      </x:c>
    </x:row>
    <x:row r="43">
      <x:c r="A43" s="56"/>
      <x:c r="B43" s="56"/>
      <x:c r="C43" s="56"/>
      <x:c r="D43" s="56"/>
      <x:c r="E43" s="61"/>
      <x:c r="F43" s="56"/>
      <x:c r="G43" s="57"/>
      <x:c r="H43" s="57"/>
      <x:c r="I43" s="56"/>
      <x:c r="J43" s="56"/>
      <x:c r="K43" s="56"/>
      <x:c r="L43" s="56"/>
      <x:c r="M43" s="56" t="str">
        <x:f>IF(A43="","",IF(AND(H43&lt;TODAY(),F43&lt;&gt;"Attribue"),"Critique","OK"))</x:f>
      </x:c>
    </x:row>
    <x:row r="44">
      <x:c r="A44" s="56"/>
      <x:c r="B44" s="56"/>
      <x:c r="C44" s="56"/>
      <x:c r="D44" s="56"/>
      <x:c r="E44" s="61"/>
      <x:c r="F44" s="56"/>
      <x:c r="G44" s="57"/>
      <x:c r="H44" s="57"/>
      <x:c r="I44" s="56"/>
      <x:c r="J44" s="56"/>
      <x:c r="K44" s="56"/>
      <x:c r="L44" s="56"/>
      <x:c r="M44" s="56" t="str">
        <x:f>IF(A44="","",IF(AND(H44&lt;TODAY(),F44&lt;&gt;"Attribue"),"Critique","OK"))</x:f>
      </x:c>
    </x:row>
    <x:row r="45">
      <x:c r="A45" s="56"/>
      <x:c r="B45" s="56"/>
      <x:c r="C45" s="56"/>
      <x:c r="D45" s="56"/>
      <x:c r="E45" s="61"/>
      <x:c r="F45" s="56"/>
      <x:c r="G45" s="57"/>
      <x:c r="H45" s="57"/>
      <x:c r="I45" s="56"/>
      <x:c r="J45" s="56"/>
      <x:c r="K45" s="56"/>
      <x:c r="L45" s="56"/>
      <x:c r="M45" s="56" t="str">
        <x:f>IF(A45="","",IF(AND(H45&lt;TODAY(),F45&lt;&gt;"Attribue"),"Critique","OK"))</x:f>
      </x:c>
    </x:row>
    <x:row r="46">
      <x:c r="A46" s="56"/>
      <x:c r="B46" s="56"/>
      <x:c r="C46" s="56"/>
      <x:c r="D46" s="56"/>
      <x:c r="E46" s="61"/>
      <x:c r="F46" s="56"/>
      <x:c r="G46" s="57"/>
      <x:c r="H46" s="57"/>
      <x:c r="I46" s="56"/>
      <x:c r="J46" s="56"/>
      <x:c r="K46" s="56"/>
      <x:c r="L46" s="56"/>
      <x:c r="M46" s="56" t="str">
        <x:f>IF(A46="","",IF(AND(H46&lt;TODAY(),F46&lt;&gt;"Attribue"),"Critique","OK"))</x:f>
      </x:c>
    </x:row>
    <x:row r="47">
      <x:c r="A47" s="56"/>
      <x:c r="B47" s="56"/>
      <x:c r="C47" s="56"/>
      <x:c r="D47" s="56"/>
      <x:c r="E47" s="61"/>
      <x:c r="F47" s="56"/>
      <x:c r="G47" s="57"/>
      <x:c r="H47" s="57"/>
      <x:c r="I47" s="56"/>
      <x:c r="J47" s="56"/>
      <x:c r="K47" s="56"/>
      <x:c r="L47" s="56"/>
      <x:c r="M47" s="56" t="str">
        <x:f>IF(A47="","",IF(AND(H47&lt;TODAY(),F47&lt;&gt;"Attribue"),"Critique","OK"))</x:f>
      </x:c>
    </x:row>
    <x:row r="48">
      <x:c r="A48" s="56"/>
      <x:c r="B48" s="56"/>
      <x:c r="C48" s="56"/>
      <x:c r="D48" s="56"/>
      <x:c r="E48" s="61"/>
      <x:c r="F48" s="56"/>
      <x:c r="G48" s="57"/>
      <x:c r="H48" s="57"/>
      <x:c r="I48" s="56"/>
      <x:c r="J48" s="56"/>
      <x:c r="K48" s="56"/>
      <x:c r="L48" s="56"/>
      <x:c r="M48" s="56" t="str">
        <x:f>IF(A48="","",IF(AND(H48&lt;TODAY(),F48&lt;&gt;"Attribue"),"Critique","OK"))</x:f>
      </x:c>
    </x:row>
    <x:row r="49">
      <x:c r="A49" s="56"/>
      <x:c r="B49" s="56"/>
      <x:c r="C49" s="56"/>
      <x:c r="D49" s="56"/>
      <x:c r="E49" s="61"/>
      <x:c r="F49" s="56"/>
      <x:c r="G49" s="57"/>
      <x:c r="H49" s="57"/>
      <x:c r="I49" s="56"/>
      <x:c r="J49" s="56"/>
      <x:c r="K49" s="56"/>
      <x:c r="L49" s="56"/>
      <x:c r="M49" s="56" t="str">
        <x:f>IF(A49="","",IF(AND(H49&lt;TODAY(),F49&lt;&gt;"Attribue"),"Critique","OK"))</x:f>
      </x:c>
    </x:row>
  </x:sheetData>
  <x:mergeCells>
    <x:mergeCell ref="A1:K1"/>
    <x:mergeCell ref="A2:K2"/>
  </x:mergeCells>
  <x:conditionalFormatting sqref="M5:M49">
    <x:cfRule type="containsText" dxfId="132" priority="1" operator="containsText" text="Critique"/>
    <x:cfRule type="containsText" dxfId="133" priority="2" operator="containsText" text="A completer"/>
    <x:cfRule type="containsText" dxfId="134" priority="3" operator="containsText" text="Pret"/>
    <x:cfRule type="containsText" dxfId="135" priority="4" operator="containsText" text="OK"/>
  </x:conditionalFormatting>
  <x:pageMargins left="0.7" right="0.7" top="0.75" bottom="0.75" header="0.3" footer="0.3"/>
  <x:tableParts count="1">
    <x:tablePart xmlns:r="http://schemas.openxmlformats.org/officeDocument/2006/relationships" r:id="Re22b59b7bd5a4f77"/>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18.75" hidden="0" customWidth="1"/>
    <x:col min="3" max="3" width="26.25" hidden="0" customWidth="1"/>
    <x:col min="4" max="4" width="16.25" hidden="0" customWidth="1"/>
    <x:col min="5" max="5" width="16.25" hidden="0" customWidth="1"/>
    <x:col min="6" max="6" width="16.25" hidden="0" customWidth="1"/>
    <x:col min="7" max="7" width="13.130000114440918" hidden="0" customWidth="1"/>
    <x:col min="8" max="8" width="23.75" hidden="0" customWidth="1"/>
    <x:col min="9" max="9" width="13.130000114440918" hidden="0" customWidth="1"/>
    <x:col min="10" max="10" width="19.3799991607666" hidden="0" customWidth="1"/>
    <x:col min="11" max="11" width="15" hidden="0" customWidth="1"/>
    <x:col min="12" max="12" width="15.630000114440918" hidden="0" customWidth="1"/>
  </x:cols>
  <x:sheetData>
    <x:row r="1" ht="25.5" customHeight="1">
      <x:c r="A1" s="48" t="str">
        <x:v>Acces a l'energie et SEACAP CoM SSA</x:v>
      </x:c>
      <x:c r="B1" s="48"/>
      <x:c r="C1" s="48"/>
      <x:c r="D1" s="48"/>
      <x:c r="E1" s="48"/>
      <x:c r="F1" s="48"/>
      <x:c r="G1" s="48"/>
      <x:c r="H1" s="48"/>
      <x:c r="I1" s="48"/>
      <x:c r="J1" s="48"/>
      <x:c r="K1" s="48"/>
    </x:row>
    <x:row r="2" ht="31.5" customHeight="1">
      <x:c r="A2" s="51" t="str">
        <x:v>Pilier specifique CoM SSA pour suivre acces a energie propre, cuisson, services publics et vulnerabilite energetique.</x:v>
      </x:c>
      <x:c r="B2" s="51"/>
      <x:c r="C2" s="51"/>
      <x:c r="D2" s="51"/>
      <x:c r="E2" s="51"/>
      <x:c r="F2" s="51"/>
      <x:c r="G2" s="51"/>
      <x:c r="H2" s="51"/>
      <x:c r="I2" s="51"/>
      <x:c r="J2" s="51"/>
      <x:c r="K2" s="51"/>
    </x:row>
    <x:row r="4">
      <x:c r="A4" s="54" t="str">
        <x:v>EnergyAccess_ID</x:v>
      </x:c>
      <x:c r="B4" s="54" t="str">
        <x:v>Quartier_zone</x:v>
      </x:c>
      <x:c r="C4" s="54" t="str">
        <x:v>Service</x:v>
      </x:c>
      <x:c r="D4" s="54" t="str">
        <x:v>Population_cible</x:v>
      </x:c>
      <x:c r="E4" s="54" t="str">
        <x:v>Taux_acces_baseline</x:v>
      </x:c>
      <x:c r="F4" s="54" t="str">
        <x:v>Taux_acces_actuel</x:v>
      </x:c>
      <x:c r="G4" s="54" t="str">
        <x:v>Cible_2030</x:v>
      </x:c>
      <x:c r="H4" s="54" t="str">
        <x:v>Technologie_solution</x:v>
      </x:c>
      <x:c r="I4" s="54" t="str">
        <x:v>Project_ID</x:v>
      </x:c>
      <x:c r="J4" s="54" t="str">
        <x:v>Menages_vulnerables_cibles</x:v>
      </x:c>
      <x:c r="K4" s="54" t="str">
        <x:v>Statut</x:v>
      </x:c>
      <x:c r="L4" s="54" t="str">
        <x:v>Alerte</x:v>
      </x:c>
    </x:row>
    <x:row r="5">
      <x:c r="A5" s="56" t="str">
        <x:v>EAC-001</x:v>
      </x:c>
      <x:c r="B5" s="56" t="str">
        <x:v>Medina</x:v>
      </x:c>
      <x:c r="C5" s="56" t="str">
        <x:v>Eclairage public securise</x:v>
      </x:c>
      <x:c r="D5" s="58" t="n">
        <x:v>180000</x:v>
      </x:c>
      <x:c r="E5" s="59" t="n">
        <x:v>0.65</x:v>
      </x:c>
      <x:c r="F5" s="59" t="n">
        <x:v>0.7</x:v>
      </x:c>
      <x:c r="G5" s="59" t="n">
        <x:v>0.95</x:v>
      </x:c>
      <x:c r="H5" s="56" t="str">
        <x:v>LED solaire / reseau</x:v>
      </x:c>
      <x:c r="I5" s="56" t="str">
        <x:v>PRJ-006</x:v>
      </x:c>
      <x:c r="J5" s="58" t="n">
        <x:v>25000</x:v>
      </x:c>
      <x:c r="K5" s="56" t="str">
        <x:v>A completer</x:v>
      </x:c>
      <x:c r="L5" s="56" t="str">
        <x:f>IF(A5="","",IF(F5&lt;E5,"Critique",IF(F5&lt;G5,"A completer","OK")))</x:f>
        <x:v>A completer</x:v>
      </x:c>
    </x:row>
    <x:row r="6">
      <x:c r="A6" s="56" t="str">
        <x:v>EAC-002</x:v>
      </x:c>
      <x:c r="B6" s="56" t="str">
        <x:v>Dakar - Ensemble ville</x:v>
      </x:c>
      <x:c r="C6" s="56" t="str">
        <x:v>Electricite services municipaux</x:v>
      </x:c>
      <x:c r="D6" s="58" t="n">
        <x:v>1100000</x:v>
      </x:c>
      <x:c r="E6" s="59" t="n">
        <x:v>0.85</x:v>
      </x:c>
      <x:c r="F6" s="59" t="n">
        <x:v>0.88</x:v>
      </x:c>
      <x:c r="G6" s="59" t="n">
        <x:v>1</x:v>
      </x:c>
      <x:c r="H6" s="56" t="str">
        <x:v>Solaire PV + efficacite</x:v>
      </x:c>
      <x:c r="I6" s="56" t="str">
        <x:v>PRJ-001</x:v>
      </x:c>
      <x:c r="J6" s="58" t="n">
        <x:v>0</x:v>
      </x:c>
      <x:c r="K6" s="56" t="str">
        <x:v>En cours</x:v>
      </x:c>
      <x:c r="L6" s="56" t="str">
        <x:f>IF(A6="","",IF(F6&lt;E6,"Critique",IF(F6&lt;G6,"A completer","OK")))</x:f>
        <x:v>A completer</x:v>
      </x:c>
    </x:row>
    <x:row r="7">
      <x:c r="A7" s="56" t="str">
        <x:v>EAC-003</x:v>
      </x:c>
      <x:c r="B7" s="56" t="str">
        <x:v>Grand Dakar</x:v>
      </x:c>
      <x:c r="C7" s="56" t="str">
        <x:v>Cuisson propre marches</x:v>
      </x:c>
      <x:c r="D7" s="58" t="n">
        <x:v>65000</x:v>
      </x:c>
      <x:c r="E7" s="59" t="n">
        <x:v>0.15</x:v>
      </x:c>
      <x:c r="F7" s="59" t="n">
        <x:v>0.18</x:v>
      </x:c>
      <x:c r="G7" s="59" t="n">
        <x:v>0.6</x:v>
      </x:c>
      <x:c r="H7" s="56" t="str">
        <x:v>GPL / cuisson propre</x:v>
      </x:c>
      <x:c r="I7" s="56" t="str"/>
      <x:c r="J7" s="58" t="n">
        <x:v>15000</x:v>
      </x:c>
      <x:c r="K7" s="56" t="str">
        <x:v>A completer</x:v>
      </x:c>
      <x:c r="L7" s="56" t="str">
        <x:f>IF(A7="","",IF(F7&lt;E7,"Critique",IF(F7&lt;G7,"A completer","OK")))</x:f>
        <x:v>A completer</x:v>
      </x:c>
    </x:row>
    <x:row r="8">
      <x:c r="A8" s="56"/>
      <x:c r="B8" s="56"/>
      <x:c r="C8" s="56"/>
      <x:c r="D8" s="58"/>
      <x:c r="E8" s="59"/>
      <x:c r="F8" s="59"/>
      <x:c r="G8" s="59"/>
      <x:c r="H8" s="56"/>
      <x:c r="I8" s="56"/>
      <x:c r="J8" s="58"/>
      <x:c r="K8" s="56"/>
      <x:c r="L8" s="56" t="str">
        <x:f>IF(A8="","",IF(F8&lt;E8,"Critique",IF(F8&lt;G8,"A completer","OK")))</x:f>
      </x:c>
    </x:row>
    <x:row r="9">
      <x:c r="A9" s="56"/>
      <x:c r="B9" s="56"/>
      <x:c r="C9" s="56"/>
      <x:c r="D9" s="58"/>
      <x:c r="E9" s="59"/>
      <x:c r="F9" s="59"/>
      <x:c r="G9" s="59"/>
      <x:c r="H9" s="56"/>
      <x:c r="I9" s="56"/>
      <x:c r="J9" s="58"/>
      <x:c r="K9" s="56"/>
      <x:c r="L9" s="56" t="str">
        <x:f>IF(A9="","",IF(F9&lt;E9,"Critique",IF(F9&lt;G9,"A completer","OK")))</x:f>
      </x:c>
    </x:row>
    <x:row r="10">
      <x:c r="A10" s="56"/>
      <x:c r="B10" s="56"/>
      <x:c r="C10" s="56"/>
      <x:c r="D10" s="58"/>
      <x:c r="E10" s="59"/>
      <x:c r="F10" s="59"/>
      <x:c r="G10" s="59"/>
      <x:c r="H10" s="56"/>
      <x:c r="I10" s="56"/>
      <x:c r="J10" s="58"/>
      <x:c r="K10" s="56"/>
      <x:c r="L10" s="56" t="str">
        <x:f>IF(A10="","",IF(F10&lt;E10,"Critique",IF(F10&lt;G10,"A completer","OK")))</x:f>
      </x:c>
    </x:row>
    <x:row r="11">
      <x:c r="A11" s="56"/>
      <x:c r="B11" s="56"/>
      <x:c r="C11" s="56"/>
      <x:c r="D11" s="58"/>
      <x:c r="E11" s="59"/>
      <x:c r="F11" s="59"/>
      <x:c r="G11" s="59"/>
      <x:c r="H11" s="56"/>
      <x:c r="I11" s="56"/>
      <x:c r="J11" s="58"/>
      <x:c r="K11" s="56"/>
      <x:c r="L11" s="56" t="str">
        <x:f>IF(A11="","",IF(F11&lt;E11,"Critique",IF(F11&lt;G11,"A completer","OK")))</x:f>
      </x:c>
    </x:row>
    <x:row r="12">
      <x:c r="A12" s="56"/>
      <x:c r="B12" s="56"/>
      <x:c r="C12" s="56"/>
      <x:c r="D12" s="58"/>
      <x:c r="E12" s="59"/>
      <x:c r="F12" s="59"/>
      <x:c r="G12" s="59"/>
      <x:c r="H12" s="56"/>
      <x:c r="I12" s="56"/>
      <x:c r="J12" s="58"/>
      <x:c r="K12" s="56"/>
      <x:c r="L12" s="56" t="str">
        <x:f>IF(A12="","",IF(F12&lt;E12,"Critique",IF(F12&lt;G12,"A completer","OK")))</x:f>
      </x:c>
    </x:row>
    <x:row r="13">
      <x:c r="A13" s="56"/>
      <x:c r="B13" s="56"/>
      <x:c r="C13" s="56"/>
      <x:c r="D13" s="58"/>
      <x:c r="E13" s="59"/>
      <x:c r="F13" s="59"/>
      <x:c r="G13" s="59"/>
      <x:c r="H13" s="56"/>
      <x:c r="I13" s="56"/>
      <x:c r="J13" s="58"/>
      <x:c r="K13" s="56"/>
      <x:c r="L13" s="56" t="str">
        <x:f>IF(A13="","",IF(F13&lt;E13,"Critique",IF(F13&lt;G13,"A completer","OK")))</x:f>
      </x:c>
    </x:row>
    <x:row r="14">
      <x:c r="A14" s="56"/>
      <x:c r="B14" s="56"/>
      <x:c r="C14" s="56"/>
      <x:c r="D14" s="58"/>
      <x:c r="E14" s="59"/>
      <x:c r="F14" s="59"/>
      <x:c r="G14" s="59"/>
      <x:c r="H14" s="56"/>
      <x:c r="I14" s="56"/>
      <x:c r="J14" s="58"/>
      <x:c r="K14" s="56"/>
      <x:c r="L14" s="56" t="str">
        <x:f>IF(A14="","",IF(F14&lt;E14,"Critique",IF(F14&lt;G14,"A completer","OK")))</x:f>
      </x:c>
    </x:row>
    <x:row r="15">
      <x:c r="A15" s="56"/>
      <x:c r="B15" s="56"/>
      <x:c r="C15" s="56"/>
      <x:c r="D15" s="58"/>
      <x:c r="E15" s="59"/>
      <x:c r="F15" s="59"/>
      <x:c r="G15" s="59"/>
      <x:c r="H15" s="56"/>
      <x:c r="I15" s="56"/>
      <x:c r="J15" s="58"/>
      <x:c r="K15" s="56"/>
      <x:c r="L15" s="56" t="str">
        <x:f>IF(A15="","",IF(F15&lt;E15,"Critique",IF(F15&lt;G15,"A completer","OK")))</x:f>
      </x:c>
    </x:row>
    <x:row r="16">
      <x:c r="A16" s="56"/>
      <x:c r="B16" s="56"/>
      <x:c r="C16" s="56"/>
      <x:c r="D16" s="58"/>
      <x:c r="E16" s="59"/>
      <x:c r="F16" s="59"/>
      <x:c r="G16" s="59"/>
      <x:c r="H16" s="56"/>
      <x:c r="I16" s="56"/>
      <x:c r="J16" s="58"/>
      <x:c r="K16" s="56"/>
      <x:c r="L16" s="56" t="str">
        <x:f>IF(A16="","",IF(F16&lt;E16,"Critique",IF(F16&lt;G16,"A completer","OK")))</x:f>
      </x:c>
    </x:row>
    <x:row r="17">
      <x:c r="A17" s="56"/>
      <x:c r="B17" s="56"/>
      <x:c r="C17" s="56"/>
      <x:c r="D17" s="58"/>
      <x:c r="E17" s="59"/>
      <x:c r="F17" s="59"/>
      <x:c r="G17" s="59"/>
      <x:c r="H17" s="56"/>
      <x:c r="I17" s="56"/>
      <x:c r="J17" s="58"/>
      <x:c r="K17" s="56"/>
      <x:c r="L17" s="56" t="str">
        <x:f>IF(A17="","",IF(F17&lt;E17,"Critique",IF(F17&lt;G17,"A completer","OK")))</x:f>
      </x:c>
    </x:row>
    <x:row r="18">
      <x:c r="A18" s="56"/>
      <x:c r="B18" s="56"/>
      <x:c r="C18" s="56"/>
      <x:c r="D18" s="58"/>
      <x:c r="E18" s="59"/>
      <x:c r="F18" s="59"/>
      <x:c r="G18" s="59"/>
      <x:c r="H18" s="56"/>
      <x:c r="I18" s="56"/>
      <x:c r="J18" s="58"/>
      <x:c r="K18" s="56"/>
      <x:c r="L18" s="56" t="str">
        <x:f>IF(A18="","",IF(F18&lt;E18,"Critique",IF(F18&lt;G18,"A completer","OK")))</x:f>
      </x:c>
    </x:row>
    <x:row r="19">
      <x:c r="A19" s="56"/>
      <x:c r="B19" s="56"/>
      <x:c r="C19" s="56"/>
      <x:c r="D19" s="58"/>
      <x:c r="E19" s="59"/>
      <x:c r="F19" s="59"/>
      <x:c r="G19" s="59"/>
      <x:c r="H19" s="56"/>
      <x:c r="I19" s="56"/>
      <x:c r="J19" s="58"/>
      <x:c r="K19" s="56"/>
      <x:c r="L19" s="56" t="str">
        <x:f>IF(A19="","",IF(F19&lt;E19,"Critique",IF(F19&lt;G19,"A completer","OK")))</x:f>
      </x:c>
    </x:row>
    <x:row r="20">
      <x:c r="A20" s="56"/>
      <x:c r="B20" s="56"/>
      <x:c r="C20" s="56"/>
      <x:c r="D20" s="58"/>
      <x:c r="E20" s="59"/>
      <x:c r="F20" s="59"/>
      <x:c r="G20" s="59"/>
      <x:c r="H20" s="56"/>
      <x:c r="I20" s="56"/>
      <x:c r="J20" s="58"/>
      <x:c r="K20" s="56"/>
      <x:c r="L20" s="56" t="str">
        <x:f>IF(A20="","",IF(F20&lt;E20,"Critique",IF(F20&lt;G20,"A completer","OK")))</x:f>
      </x:c>
    </x:row>
    <x:row r="21">
      <x:c r="A21" s="56"/>
      <x:c r="B21" s="56"/>
      <x:c r="C21" s="56"/>
      <x:c r="D21" s="58"/>
      <x:c r="E21" s="59"/>
      <x:c r="F21" s="59"/>
      <x:c r="G21" s="59"/>
      <x:c r="H21" s="56"/>
      <x:c r="I21" s="56"/>
      <x:c r="J21" s="58"/>
      <x:c r="K21" s="56"/>
      <x:c r="L21" s="56" t="str">
        <x:f>IF(A21="","",IF(F21&lt;E21,"Critique",IF(F21&lt;G21,"A completer","OK")))</x:f>
      </x:c>
    </x:row>
    <x:row r="22">
      <x:c r="A22" s="56"/>
      <x:c r="B22" s="56"/>
      <x:c r="C22" s="56"/>
      <x:c r="D22" s="58"/>
      <x:c r="E22" s="59"/>
      <x:c r="F22" s="59"/>
      <x:c r="G22" s="59"/>
      <x:c r="H22" s="56"/>
      <x:c r="I22" s="56"/>
      <x:c r="J22" s="58"/>
      <x:c r="K22" s="56"/>
      <x:c r="L22" s="56" t="str">
        <x:f>IF(A22="","",IF(F22&lt;E22,"Critique",IF(F22&lt;G22,"A completer","OK")))</x:f>
      </x:c>
    </x:row>
    <x:row r="23">
      <x:c r="A23" s="56"/>
      <x:c r="B23" s="56"/>
      <x:c r="C23" s="56"/>
      <x:c r="D23" s="58"/>
      <x:c r="E23" s="59"/>
      <x:c r="F23" s="59"/>
      <x:c r="G23" s="59"/>
      <x:c r="H23" s="56"/>
      <x:c r="I23" s="56"/>
      <x:c r="J23" s="58"/>
      <x:c r="K23" s="56"/>
      <x:c r="L23" s="56" t="str">
        <x:f>IF(A23="","",IF(F23&lt;E23,"Critique",IF(F23&lt;G23,"A completer","OK")))</x:f>
      </x:c>
    </x:row>
    <x:row r="24">
      <x:c r="A24" s="56"/>
      <x:c r="B24" s="56"/>
      <x:c r="C24" s="56"/>
      <x:c r="D24" s="58"/>
      <x:c r="E24" s="59"/>
      <x:c r="F24" s="59"/>
      <x:c r="G24" s="59"/>
      <x:c r="H24" s="56"/>
      <x:c r="I24" s="56"/>
      <x:c r="J24" s="58"/>
      <x:c r="K24" s="56"/>
      <x:c r="L24" s="56" t="str">
        <x:f>IF(A24="","",IF(F24&lt;E24,"Critique",IF(F24&lt;G24,"A completer","OK")))</x:f>
      </x:c>
    </x:row>
    <x:row r="25">
      <x:c r="A25" s="56"/>
      <x:c r="B25" s="56"/>
      <x:c r="C25" s="56"/>
      <x:c r="D25" s="58"/>
      <x:c r="E25" s="59"/>
      <x:c r="F25" s="59"/>
      <x:c r="G25" s="59"/>
      <x:c r="H25" s="56"/>
      <x:c r="I25" s="56"/>
      <x:c r="J25" s="58"/>
      <x:c r="K25" s="56"/>
      <x:c r="L25" s="56" t="str">
        <x:f>IF(A25="","",IF(F25&lt;E25,"Critique",IF(F25&lt;G25,"A completer","OK")))</x:f>
      </x:c>
    </x:row>
    <x:row r="26">
      <x:c r="A26" s="56"/>
      <x:c r="B26" s="56"/>
      <x:c r="C26" s="56"/>
      <x:c r="D26" s="58"/>
      <x:c r="E26" s="59"/>
      <x:c r="F26" s="59"/>
      <x:c r="G26" s="59"/>
      <x:c r="H26" s="56"/>
      <x:c r="I26" s="56"/>
      <x:c r="J26" s="58"/>
      <x:c r="K26" s="56"/>
      <x:c r="L26" s="56" t="str">
        <x:f>IF(A26="","",IF(F26&lt;E26,"Critique",IF(F26&lt;G26,"A completer","OK")))</x:f>
      </x:c>
    </x:row>
    <x:row r="27">
      <x:c r="A27" s="56"/>
      <x:c r="B27" s="56"/>
      <x:c r="C27" s="56"/>
      <x:c r="D27" s="58"/>
      <x:c r="E27" s="59"/>
      <x:c r="F27" s="59"/>
      <x:c r="G27" s="59"/>
      <x:c r="H27" s="56"/>
      <x:c r="I27" s="56"/>
      <x:c r="J27" s="58"/>
      <x:c r="K27" s="56"/>
      <x:c r="L27" s="56" t="str">
        <x:f>IF(A27="","",IF(F27&lt;E27,"Critique",IF(F27&lt;G27,"A completer","OK")))</x:f>
      </x:c>
    </x:row>
    <x:row r="28">
      <x:c r="A28" s="56"/>
      <x:c r="B28" s="56"/>
      <x:c r="C28" s="56"/>
      <x:c r="D28" s="58"/>
      <x:c r="E28" s="59"/>
      <x:c r="F28" s="59"/>
      <x:c r="G28" s="59"/>
      <x:c r="H28" s="56"/>
      <x:c r="I28" s="56"/>
      <x:c r="J28" s="58"/>
      <x:c r="K28" s="56"/>
      <x:c r="L28" s="56" t="str">
        <x:f>IF(A28="","",IF(F28&lt;E28,"Critique",IF(F28&lt;G28,"A completer","OK")))</x:f>
      </x:c>
    </x:row>
    <x:row r="29">
      <x:c r="A29" s="56"/>
      <x:c r="B29" s="56"/>
      <x:c r="C29" s="56"/>
      <x:c r="D29" s="58"/>
      <x:c r="E29" s="59"/>
      <x:c r="F29" s="59"/>
      <x:c r="G29" s="59"/>
      <x:c r="H29" s="56"/>
      <x:c r="I29" s="56"/>
      <x:c r="J29" s="58"/>
      <x:c r="K29" s="56"/>
      <x:c r="L29" s="56" t="str">
        <x:f>IF(A29="","",IF(F29&lt;E29,"Critique",IF(F29&lt;G29,"A completer","OK")))</x:f>
      </x:c>
    </x:row>
    <x:row r="30">
      <x:c r="A30" s="56"/>
      <x:c r="B30" s="56"/>
      <x:c r="C30" s="56"/>
      <x:c r="D30" s="58"/>
      <x:c r="E30" s="59"/>
      <x:c r="F30" s="59"/>
      <x:c r="G30" s="59"/>
      <x:c r="H30" s="56"/>
      <x:c r="I30" s="56"/>
      <x:c r="J30" s="58"/>
      <x:c r="K30" s="56"/>
      <x:c r="L30" s="56" t="str">
        <x:f>IF(A30="","",IF(F30&lt;E30,"Critique",IF(F30&lt;G30,"A completer","OK")))</x:f>
      </x:c>
    </x:row>
    <x:row r="31">
      <x:c r="A31" s="56"/>
      <x:c r="B31" s="56"/>
      <x:c r="C31" s="56"/>
      <x:c r="D31" s="58"/>
      <x:c r="E31" s="59"/>
      <x:c r="F31" s="59"/>
      <x:c r="G31" s="59"/>
      <x:c r="H31" s="56"/>
      <x:c r="I31" s="56"/>
      <x:c r="J31" s="58"/>
      <x:c r="K31" s="56"/>
      <x:c r="L31" s="56" t="str">
        <x:f>IF(A31="","",IF(F31&lt;E31,"Critique",IF(F31&lt;G31,"A completer","OK")))</x:f>
      </x:c>
    </x:row>
    <x:row r="32">
      <x:c r="A32" s="56"/>
      <x:c r="B32" s="56"/>
      <x:c r="C32" s="56"/>
      <x:c r="D32" s="58"/>
      <x:c r="E32" s="59"/>
      <x:c r="F32" s="59"/>
      <x:c r="G32" s="59"/>
      <x:c r="H32" s="56"/>
      <x:c r="I32" s="56"/>
      <x:c r="J32" s="58"/>
      <x:c r="K32" s="56"/>
      <x:c r="L32" s="56" t="str">
        <x:f>IF(A32="","",IF(F32&lt;E32,"Critique",IF(F32&lt;G32,"A completer","OK")))</x:f>
      </x:c>
    </x:row>
    <x:row r="33">
      <x:c r="A33" s="56"/>
      <x:c r="B33" s="56"/>
      <x:c r="C33" s="56"/>
      <x:c r="D33" s="58"/>
      <x:c r="E33" s="59"/>
      <x:c r="F33" s="59"/>
      <x:c r="G33" s="59"/>
      <x:c r="H33" s="56"/>
      <x:c r="I33" s="56"/>
      <x:c r="J33" s="58"/>
      <x:c r="K33" s="56"/>
      <x:c r="L33" s="56" t="str">
        <x:f>IF(A33="","",IF(F33&lt;E33,"Critique",IF(F33&lt;G33,"A completer","OK")))</x:f>
      </x:c>
    </x:row>
    <x:row r="34">
      <x:c r="A34" s="56"/>
      <x:c r="B34" s="56"/>
      <x:c r="C34" s="56"/>
      <x:c r="D34" s="58"/>
      <x:c r="E34" s="59"/>
      <x:c r="F34" s="59"/>
      <x:c r="G34" s="59"/>
      <x:c r="H34" s="56"/>
      <x:c r="I34" s="56"/>
      <x:c r="J34" s="58"/>
      <x:c r="K34" s="56"/>
      <x:c r="L34" s="56" t="str">
        <x:f>IF(A34="","",IF(F34&lt;E34,"Critique",IF(F34&lt;G34,"A completer","OK")))</x:f>
      </x:c>
    </x:row>
    <x:row r="35">
      <x:c r="A35" s="56"/>
      <x:c r="B35" s="56"/>
      <x:c r="C35" s="56"/>
      <x:c r="D35" s="58"/>
      <x:c r="E35" s="59"/>
      <x:c r="F35" s="59"/>
      <x:c r="G35" s="59"/>
      <x:c r="H35" s="56"/>
      <x:c r="I35" s="56"/>
      <x:c r="J35" s="58"/>
      <x:c r="K35" s="56"/>
      <x:c r="L35" s="56" t="str">
        <x:f>IF(A35="","",IF(F35&lt;E35,"Critique",IF(F35&lt;G35,"A completer","OK")))</x:f>
      </x:c>
    </x:row>
    <x:row r="36">
      <x:c r="A36" s="56"/>
      <x:c r="B36" s="56"/>
      <x:c r="C36" s="56"/>
      <x:c r="D36" s="58"/>
      <x:c r="E36" s="59"/>
      <x:c r="F36" s="59"/>
      <x:c r="G36" s="59"/>
      <x:c r="H36" s="56"/>
      <x:c r="I36" s="56"/>
      <x:c r="J36" s="58"/>
      <x:c r="K36" s="56"/>
      <x:c r="L36" s="56" t="str">
        <x:f>IF(A36="","",IF(F36&lt;E36,"Critique",IF(F36&lt;G36,"A completer","OK")))</x:f>
      </x:c>
    </x:row>
    <x:row r="37">
      <x:c r="A37" s="56"/>
      <x:c r="B37" s="56"/>
      <x:c r="C37" s="56"/>
      <x:c r="D37" s="58"/>
      <x:c r="E37" s="59"/>
      <x:c r="F37" s="59"/>
      <x:c r="G37" s="59"/>
      <x:c r="H37" s="56"/>
      <x:c r="I37" s="56"/>
      <x:c r="J37" s="58"/>
      <x:c r="K37" s="56"/>
      <x:c r="L37" s="56" t="str">
        <x:f>IF(A37="","",IF(F37&lt;E37,"Critique",IF(F37&lt;G37,"A completer","OK")))</x:f>
      </x:c>
    </x:row>
    <x:row r="38">
      <x:c r="A38" s="56"/>
      <x:c r="B38" s="56"/>
      <x:c r="C38" s="56"/>
      <x:c r="D38" s="58"/>
      <x:c r="E38" s="59"/>
      <x:c r="F38" s="59"/>
      <x:c r="G38" s="59"/>
      <x:c r="H38" s="56"/>
      <x:c r="I38" s="56"/>
      <x:c r="J38" s="58"/>
      <x:c r="K38" s="56"/>
      <x:c r="L38" s="56" t="str">
        <x:f>IF(A38="","",IF(F38&lt;E38,"Critique",IF(F38&lt;G38,"A completer","OK")))</x:f>
      </x:c>
    </x:row>
    <x:row r="39">
      <x:c r="A39" s="56"/>
      <x:c r="B39" s="56"/>
      <x:c r="C39" s="56"/>
      <x:c r="D39" s="58"/>
      <x:c r="E39" s="59"/>
      <x:c r="F39" s="59"/>
      <x:c r="G39" s="59"/>
      <x:c r="H39" s="56"/>
      <x:c r="I39" s="56"/>
      <x:c r="J39" s="58"/>
      <x:c r="K39" s="56"/>
      <x:c r="L39" s="56" t="str">
        <x:f>IF(A39="","",IF(F39&lt;E39,"Critique",IF(F39&lt;G39,"A completer","OK")))</x:f>
      </x:c>
    </x:row>
    <x:row r="40">
      <x:c r="A40" s="56"/>
      <x:c r="B40" s="56"/>
      <x:c r="C40" s="56"/>
      <x:c r="D40" s="58"/>
      <x:c r="E40" s="59"/>
      <x:c r="F40" s="59"/>
      <x:c r="G40" s="59"/>
      <x:c r="H40" s="56"/>
      <x:c r="I40" s="56"/>
      <x:c r="J40" s="58"/>
      <x:c r="K40" s="56"/>
      <x:c r="L40" s="56" t="str">
        <x:f>IF(A40="","",IF(F40&lt;E40,"Critique",IF(F40&lt;G40,"A completer","OK")))</x:f>
      </x:c>
    </x:row>
    <x:row r="41">
      <x:c r="A41" s="56"/>
      <x:c r="B41" s="56"/>
      <x:c r="C41" s="56"/>
      <x:c r="D41" s="58"/>
      <x:c r="E41" s="59"/>
      <x:c r="F41" s="59"/>
      <x:c r="G41" s="59"/>
      <x:c r="H41" s="56"/>
      <x:c r="I41" s="56"/>
      <x:c r="J41" s="58"/>
      <x:c r="K41" s="56"/>
      <x:c r="L41" s="56" t="str">
        <x:f>IF(A41="","",IF(F41&lt;E41,"Critique",IF(F41&lt;G41,"A completer","OK")))</x:f>
      </x:c>
    </x:row>
    <x:row r="42">
      <x:c r="A42" s="56"/>
      <x:c r="B42" s="56"/>
      <x:c r="C42" s="56"/>
      <x:c r="D42" s="58"/>
      <x:c r="E42" s="59"/>
      <x:c r="F42" s="59"/>
      <x:c r="G42" s="59"/>
      <x:c r="H42" s="56"/>
      <x:c r="I42" s="56"/>
      <x:c r="J42" s="58"/>
      <x:c r="K42" s="56"/>
      <x:c r="L42" s="56" t="str">
        <x:f>IF(A42="","",IF(F42&lt;E42,"Critique",IF(F42&lt;G42,"A completer","OK")))</x:f>
      </x:c>
    </x:row>
    <x:row r="43">
      <x:c r="A43" s="56"/>
      <x:c r="B43" s="56"/>
      <x:c r="C43" s="56"/>
      <x:c r="D43" s="58"/>
      <x:c r="E43" s="59"/>
      <x:c r="F43" s="59"/>
      <x:c r="G43" s="59"/>
      <x:c r="H43" s="56"/>
      <x:c r="I43" s="56"/>
      <x:c r="J43" s="58"/>
      <x:c r="K43" s="56"/>
      <x:c r="L43" s="56" t="str">
        <x:f>IF(A43="","",IF(F43&lt;E43,"Critique",IF(F43&lt;G43,"A completer","OK")))</x:f>
      </x:c>
    </x:row>
    <x:row r="44">
      <x:c r="A44" s="56"/>
      <x:c r="B44" s="56"/>
      <x:c r="C44" s="56"/>
      <x:c r="D44" s="58"/>
      <x:c r="E44" s="59"/>
      <x:c r="F44" s="59"/>
      <x:c r="G44" s="59"/>
      <x:c r="H44" s="56"/>
      <x:c r="I44" s="56"/>
      <x:c r="J44" s="58"/>
      <x:c r="K44" s="56"/>
      <x:c r="L44" s="56" t="str">
        <x:f>IF(A44="","",IF(F44&lt;E44,"Critique",IF(F44&lt;G44,"A completer","OK")))</x:f>
      </x:c>
    </x:row>
  </x:sheetData>
  <x:mergeCells>
    <x:mergeCell ref="A1:K1"/>
    <x:mergeCell ref="A2:K2"/>
  </x:mergeCells>
  <x:conditionalFormatting sqref="L5:L44">
    <x:cfRule type="containsText" dxfId="136" priority="1" operator="containsText" text="Critique"/>
    <x:cfRule type="containsText" dxfId="137" priority="2" operator="containsText" text="A completer"/>
    <x:cfRule type="containsText" dxfId="138" priority="3" operator="containsText" text="Pret"/>
    <x:cfRule type="containsText" dxfId="139"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44">
      <x:formula1>"Non demarre,A completer,En cours,A verifier,Pret,Soumis,Valide"</x:formula1>
    </x:dataValidation>
  </x:dataValidations>
  <x:pageMargins left="0.7" right="0.7" top="0.75" bottom="0.75" header="0.3" footer="0.3"/>
  <x:tableParts count="1">
    <x:tablePart xmlns:r="http://schemas.openxmlformats.org/officeDocument/2006/relationships" r:id="R2679ee8547b54c0e"/>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38.75" hidden="0" customWidth="1"/>
    <x:col min="4" max="4" width="11.25" hidden="0" customWidth="1"/>
    <x:col min="5" max="5" width="18.75" hidden="0" customWidth="1"/>
    <x:col min="6" max="6" width="27.5" hidden="0" customWidth="1"/>
    <x:col min="7" max="7" width="21.25" hidden="0" customWidth="1"/>
    <x:col min="8" max="8" width="35" hidden="0" customWidth="1"/>
    <x:col min="9" max="9" width="16.25" hidden="0" customWidth="1"/>
  </x:cols>
  <x:sheetData>
    <x:row r="1" ht="25.5" customHeight="1">
      <x:c r="A1" s="48" t="str">
        <x:v>Bibliotheque d'indicateurs internationaux</x:v>
      </x:c>
      <x:c r="B1" s="48"/>
      <x:c r="C1" s="48"/>
      <x:c r="D1" s="48"/>
      <x:c r="E1" s="48"/>
      <x:c r="F1" s="48"/>
      <x:c r="G1" s="48"/>
      <x:c r="H1" s="48"/>
      <x:c r="I1" s="48"/>
      <x:c r="J1" s="48"/>
      <x:c r="K1" s="48"/>
    </x:row>
    <x:row r="2" ht="31.5" customHeight="1">
      <x:c r="A2" s="51" t="str">
        <x:v>Indicateurs recommandes pour completer le reporting et le pilotage selon les meilleures pratiques.</x:v>
      </x:c>
      <x:c r="B2" s="51"/>
      <x:c r="C2" s="51"/>
      <x:c r="D2" s="51"/>
      <x:c r="E2" s="51"/>
      <x:c r="F2" s="51"/>
      <x:c r="G2" s="51"/>
      <x:c r="H2" s="51"/>
      <x:c r="I2" s="51"/>
      <x:c r="J2" s="51"/>
      <x:c r="K2" s="51"/>
    </x:row>
    <x:row r="4">
      <x:c r="A4" s="54" t="str">
        <x:v>Indicator_Code</x:v>
      </x:c>
      <x:c r="B4" s="54" t="str">
        <x:v>Pilier</x:v>
      </x:c>
      <x:c r="C4" s="54" t="str">
        <x:v>Indicateur</x:v>
      </x:c>
      <x:c r="D4" s="54" t="str">
        <x:v>Unite</x:v>
      </x:c>
      <x:c r="E4" s="54" t="str">
        <x:v>Obligatoire_recommande</x:v>
      </x:c>
      <x:c r="F4" s="54" t="str">
        <x:v>Cadres</x:v>
      </x:c>
      <x:c r="G4" s="54" t="str">
        <x:v>Onglet_source_V2</x:v>
      </x:c>
      <x:c r="H4" s="54" t="str">
        <x:v>Formule_ou_methode</x:v>
      </x:c>
      <x:c r="I4" s="54" t="str">
        <x:v>Statut_dans_V2</x:v>
      </x:c>
    </x:row>
    <x:row r="5">
      <x:c r="A5" s="56" t="str">
        <x:v>INT-GES-001</x:v>
      </x:c>
      <x:c r="B5" s="56" t="str">
        <x:v>Mitigation</x:v>
      </x:c>
      <x:c r="C5" s="56" t="str">
        <x:v>Emissions totales par secteur GPC</x:v>
      </x:c>
      <x:c r="D5" s="56" t="str">
        <x:v>tCO2e</x:v>
      </x:c>
      <x:c r="E5" s="56" t="str">
        <x:v>Obligatoire</x:v>
      </x:c>
      <x:c r="F5" s="56" t="str">
        <x:v>CDP; GCoM; ICLEI/GPC; C40</x:v>
      </x:c>
      <x:c r="G5" s="56" t="str">
        <x:v>08_INVENTAIRE_GES</x:v>
      </x:c>
      <x:c r="H5" s="56" t="str">
        <x:v>Somme par secteur/scope/gaz</x:v>
      </x:c>
      <x:c r="I5" s="56" t="str">
        <x:v>Partiel</x:v>
      </x:c>
    </x:row>
    <x:row r="6">
      <x:c r="A6" s="56" t="str">
        <x:v>INT-GES-002</x:v>
      </x:c>
      <x:c r="B6" s="56" t="str">
        <x:v>Mitigation</x:v>
      </x:c>
      <x:c r="C6" s="56" t="str">
        <x:v>Reduction vs baseline</x:v>
      </x:c>
      <x:c r="D6" s="56" t="str">
        <x:v>%</x:v>
      </x:c>
      <x:c r="E6" s="56" t="str">
        <x:v>Obligatoire</x:v>
      </x:c>
      <x:c r="F6" s="56" t="str">
        <x:v>GCoM; C40; CDP</x:v>
      </x:c>
      <x:c r="G6" s="56" t="str">
        <x:v>28_TRAJECTOIRES_CIBLES</x:v>
      </x:c>
      <x:c r="H6" s="56" t="str">
        <x:v>1 - cible/baseline</x:v>
      </x:c>
      <x:c r="I6" s="56" t="str">
        <x:v>Ajoute V2</x:v>
      </x:c>
    </x:row>
    <x:row r="7">
      <x:c r="A7" s="56" t="str">
        <x:v>INT-ADP-001</x:v>
      </x:c>
      <x:c r="B7" s="56" t="str">
        <x:v>Adaptation</x:v>
      </x:c>
      <x:c r="C7" s="56" t="str">
        <x:v>Population exposee par alea et quartier</x:v>
      </x:c>
      <x:c r="D7" s="56" t="str">
        <x:v>personnes</x:v>
      </x:c>
      <x:c r="E7" s="56" t="str">
        <x:v>Obligatoire</x:v>
      </x:c>
      <x:c r="F7" s="56" t="str">
        <x:v>GCoM; CoM SSA; CDP</x:v>
      </x:c>
      <x:c r="G7" s="56" t="str">
        <x:v>29_RISQUES_CLIMATIQUES</x:v>
      </x:c>
      <x:c r="H7" s="56" t="str">
        <x:v>Evaluation alea-exposition-vulnerabilite</x:v>
      </x:c>
      <x:c r="I7" s="56" t="str">
        <x:v>Ajoute V2</x:v>
      </x:c>
    </x:row>
    <x:row r="8">
      <x:c r="A8" s="56" t="str">
        <x:v>INT-FIN-001</x:v>
      </x:c>
      <x:c r="B8" s="56" t="str">
        <x:v>Finance</x:v>
      </x:c>
      <x:c r="C8" s="56" t="str">
        <x:v>Besoin de financement restant</x:v>
      </x:c>
      <x:c r="D8" s="56" t="str">
        <x:v>XOF</x:v>
      </x:c>
      <x:c r="E8" s="56" t="str">
        <x:v>Recommande</x:v>
      </x:c>
      <x:c r="F8" s="56" t="str">
        <x:v>CDP; GCF; WB; BAD</x:v>
      </x:c>
      <x:c r="G8" s="56" t="str">
        <x:v>31_PIPELINE_BANCABLE</x:v>
      </x:c>
      <x:c r="H8" s="56" t="str">
        <x:v>Montant recherche - cofinancement</x:v>
      </x:c>
      <x:c r="I8" s="56" t="str">
        <x:v>Ajoute V2</x:v>
      </x:c>
    </x:row>
    <x:row r="9">
      <x:c r="A9" s="56" t="str">
        <x:v>INT-JUS-001</x:v>
      </x:c>
      <x:c r="B9" s="56" t="str">
        <x:v>Inclusion</x:v>
      </x:c>
      <x:c r="C9" s="56" t="str">
        <x:v>Beneficiaires vulnerables par projet</x:v>
      </x:c>
      <x:c r="D9" s="56" t="str">
        <x:v>personnes</x:v>
      </x:c>
      <x:c r="E9" s="56" t="str">
        <x:v>Recommande</x:v>
      </x:c>
      <x:c r="F9" s="56" t="str">
        <x:v>C40; GCF; BAD</x:v>
      </x:c>
      <x:c r="G9" s="56" t="str">
        <x:v>33_COBENEFICES_JUSTICE</x:v>
      </x:c>
      <x:c r="H9" s="56" t="str">
        <x:v>Suivi par groupe beneficiaire</x:v>
      </x:c>
      <x:c r="I9" s="56" t="str">
        <x:v>Ajoute V2</x:v>
      </x:c>
    </x:row>
    <x:row r="10">
      <x:c r="A10" s="56" t="str">
        <x:v>INT-MRV-001</x:v>
      </x:c>
      <x:c r="B10" s="56" t="str">
        <x:v>MRV</x:v>
      </x:c>
      <x:c r="C10" s="56" t="str">
        <x:v>Pourcentage de donnees avec preuve validee</x:v>
      </x:c>
      <x:c r="D10" s="56" t="str">
        <x:v>%</x:v>
      </x:c>
      <x:c r="E10" s="56" t="str">
        <x:v>Recommande</x:v>
      </x:c>
      <x:c r="F10" s="56" t="str">
        <x:v>CDP; GCoM; GCF</x:v>
      </x:c>
      <x:c r="G10" s="56" t="str">
        <x:v>34_REGISTRE_PREUVES_MRV</x:v>
      </x:c>
      <x:c r="H10" s="56" t="str">
        <x:v>Preuves validees / preuves requises</x:v>
      </x:c>
      <x:c r="I10" s="56" t="str">
        <x:v>Ajoute V2</x:v>
      </x:c>
    </x:row>
    <x:row r="11">
      <x:c r="A11" s="56"/>
      <x:c r="B11" s="56"/>
      <x:c r="C11" s="56"/>
      <x:c r="D11" s="56"/>
      <x:c r="E11" s="56"/>
      <x:c r="F11" s="56"/>
      <x:c r="G11" s="56"/>
      <x:c r="H11" s="56"/>
      <x:c r="I11" s="56"/>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row r="35">
      <x:c r="A35" s="56"/>
      <x:c r="B35" s="56"/>
      <x:c r="C35" s="56"/>
      <x:c r="D35" s="56"/>
      <x:c r="E35" s="56"/>
      <x:c r="F35" s="56"/>
      <x:c r="G35" s="56"/>
      <x:c r="H35" s="56"/>
      <x:c r="I35" s="56"/>
    </x:row>
    <x:row r="36">
      <x:c r="A36" s="56"/>
      <x:c r="B36" s="56"/>
      <x:c r="C36" s="56"/>
      <x:c r="D36" s="56"/>
      <x:c r="E36" s="56"/>
      <x:c r="F36" s="56"/>
      <x:c r="G36" s="56"/>
      <x:c r="H36" s="56"/>
      <x:c r="I36" s="56"/>
    </x:row>
    <x:row r="37">
      <x:c r="A37" s="56"/>
      <x:c r="B37" s="56"/>
      <x:c r="C37" s="56"/>
      <x:c r="D37" s="56"/>
      <x:c r="E37" s="56"/>
      <x:c r="F37" s="56"/>
      <x:c r="G37" s="56"/>
      <x:c r="H37" s="56"/>
      <x:c r="I37" s="56"/>
    </x:row>
    <x:row r="38">
      <x:c r="A38" s="56"/>
      <x:c r="B38" s="56"/>
      <x:c r="C38" s="56"/>
      <x:c r="D38" s="56"/>
      <x:c r="E38" s="56"/>
      <x:c r="F38" s="56"/>
      <x:c r="G38" s="56"/>
      <x:c r="H38" s="56"/>
      <x:c r="I38" s="56"/>
    </x:row>
    <x:row r="39">
      <x:c r="A39" s="56"/>
      <x:c r="B39" s="56"/>
      <x:c r="C39" s="56"/>
      <x:c r="D39" s="56"/>
      <x:c r="E39" s="56"/>
      <x:c r="F39" s="56"/>
      <x:c r="G39" s="56"/>
      <x:c r="H39" s="56"/>
      <x:c r="I39" s="56"/>
    </x:row>
    <x:row r="40">
      <x:c r="A40" s="56"/>
      <x:c r="B40" s="56"/>
      <x:c r="C40" s="56"/>
      <x:c r="D40" s="56"/>
      <x:c r="E40" s="56"/>
      <x:c r="F40" s="56"/>
      <x:c r="G40" s="56"/>
      <x:c r="H40" s="56"/>
      <x:c r="I40" s="56"/>
    </x:row>
    <x:row r="41">
      <x:c r="A41" s="56"/>
      <x:c r="B41" s="56"/>
      <x:c r="C41" s="56"/>
      <x:c r="D41" s="56"/>
      <x:c r="E41" s="56"/>
      <x:c r="F41" s="56"/>
      <x:c r="G41" s="56"/>
      <x:c r="H41" s="56"/>
      <x:c r="I41" s="56"/>
    </x:row>
    <x:row r="42">
      <x:c r="A42" s="56"/>
      <x:c r="B42" s="56"/>
      <x:c r="C42" s="56"/>
      <x:c r="D42" s="56"/>
      <x:c r="E42" s="56"/>
      <x:c r="F42" s="56"/>
      <x:c r="G42" s="56"/>
      <x:c r="H42" s="56"/>
      <x:c r="I42" s="56"/>
    </x:row>
    <x:row r="43">
      <x:c r="A43" s="56"/>
      <x:c r="B43" s="56"/>
      <x:c r="C43" s="56"/>
      <x:c r="D43" s="56"/>
      <x:c r="E43" s="56"/>
      <x:c r="F43" s="56"/>
      <x:c r="G43" s="56"/>
      <x:c r="H43" s="56"/>
      <x:c r="I43" s="56"/>
    </x:row>
    <x:row r="44">
      <x:c r="A44" s="56"/>
      <x:c r="B44" s="56"/>
      <x:c r="C44" s="56"/>
      <x:c r="D44" s="56"/>
      <x:c r="E44" s="56"/>
      <x:c r="F44" s="56"/>
      <x:c r="G44" s="56"/>
      <x:c r="H44" s="56"/>
      <x:c r="I44" s="56"/>
    </x:row>
    <x:row r="45">
      <x:c r="A45" s="56"/>
      <x:c r="B45" s="56"/>
      <x:c r="C45" s="56"/>
      <x:c r="D45" s="56"/>
      <x:c r="E45" s="56"/>
      <x:c r="F45" s="56"/>
      <x:c r="G45" s="56"/>
      <x:c r="H45" s="56"/>
      <x:c r="I45" s="56"/>
    </x:row>
    <x:row r="46">
      <x:c r="A46" s="56"/>
      <x:c r="B46" s="56"/>
      <x:c r="C46" s="56"/>
      <x:c r="D46" s="56"/>
      <x:c r="E46" s="56"/>
      <x:c r="F46" s="56"/>
      <x:c r="G46" s="56"/>
      <x:c r="H46" s="56"/>
      <x:c r="I46" s="56"/>
    </x:row>
    <x:row r="47">
      <x:c r="A47" s="56"/>
      <x:c r="B47" s="56"/>
      <x:c r="C47" s="56"/>
      <x:c r="D47" s="56"/>
      <x:c r="E47" s="56"/>
      <x:c r="F47" s="56"/>
      <x:c r="G47" s="56"/>
      <x:c r="H47" s="56"/>
      <x:c r="I47" s="56"/>
    </x:row>
    <x:row r="48">
      <x:c r="A48" s="56"/>
      <x:c r="B48" s="56"/>
      <x:c r="C48" s="56"/>
      <x:c r="D48" s="56"/>
      <x:c r="E48" s="56"/>
      <x:c r="F48" s="56"/>
      <x:c r="G48" s="56"/>
      <x:c r="H48" s="56"/>
      <x:c r="I48" s="56"/>
    </x:row>
    <x:row r="49">
      <x:c r="A49" s="56"/>
      <x:c r="B49" s="56"/>
      <x:c r="C49" s="56"/>
      <x:c r="D49" s="56"/>
      <x:c r="E49" s="56"/>
      <x:c r="F49" s="56"/>
      <x:c r="G49" s="56"/>
      <x:c r="H49" s="56"/>
      <x:c r="I49" s="56"/>
    </x:row>
    <x:row r="50">
      <x:c r="A50" s="56"/>
      <x:c r="B50" s="56"/>
      <x:c r="C50" s="56"/>
      <x:c r="D50" s="56"/>
      <x:c r="E50" s="56"/>
      <x:c r="F50" s="56"/>
      <x:c r="G50" s="56"/>
      <x:c r="H50" s="56"/>
      <x:c r="I50" s="56"/>
    </x:row>
    <x:row r="51">
      <x:c r="A51" s="56"/>
      <x:c r="B51" s="56"/>
      <x:c r="C51" s="56"/>
      <x:c r="D51" s="56"/>
      <x:c r="E51" s="56"/>
      <x:c r="F51" s="56"/>
      <x:c r="G51" s="56"/>
      <x:c r="H51" s="56"/>
      <x:c r="I51" s="56"/>
    </x:row>
    <x:row r="52">
      <x:c r="A52" s="56"/>
      <x:c r="B52" s="56"/>
      <x:c r="C52" s="56"/>
      <x:c r="D52" s="56"/>
      <x:c r="E52" s="56"/>
      <x:c r="F52" s="56"/>
      <x:c r="G52" s="56"/>
      <x:c r="H52" s="56"/>
      <x:c r="I52" s="56"/>
    </x:row>
    <x:row r="53">
      <x:c r="A53" s="56"/>
      <x:c r="B53" s="56"/>
      <x:c r="C53" s="56"/>
      <x:c r="D53" s="56"/>
      <x:c r="E53" s="56"/>
      <x:c r="F53" s="56"/>
      <x:c r="G53" s="56"/>
      <x:c r="H53" s="56"/>
      <x:c r="I53" s="56"/>
    </x:row>
    <x:row r="54">
      <x:c r="A54" s="56"/>
      <x:c r="B54" s="56"/>
      <x:c r="C54" s="56"/>
      <x:c r="D54" s="56"/>
      <x:c r="E54" s="56"/>
      <x:c r="F54" s="56"/>
      <x:c r="G54" s="56"/>
      <x:c r="H54" s="56"/>
      <x:c r="I54" s="56"/>
    </x:row>
    <x:row r="55">
      <x:c r="A55" s="56"/>
      <x:c r="B55" s="56"/>
      <x:c r="C55" s="56"/>
      <x:c r="D55" s="56"/>
      <x:c r="E55" s="56"/>
      <x:c r="F55" s="56"/>
      <x:c r="G55" s="56"/>
      <x:c r="H55" s="56"/>
      <x:c r="I55" s="56"/>
    </x:row>
    <x:row r="56">
      <x:c r="A56" s="56"/>
      <x:c r="B56" s="56"/>
      <x:c r="C56" s="56"/>
      <x:c r="D56" s="56"/>
      <x:c r="E56" s="56"/>
      <x:c r="F56" s="56"/>
      <x:c r="G56" s="56"/>
      <x:c r="H56" s="56"/>
      <x:c r="I56" s="56"/>
    </x:row>
    <x:row r="57">
      <x:c r="A57" s="56"/>
      <x:c r="B57" s="56"/>
      <x:c r="C57" s="56"/>
      <x:c r="D57" s="56"/>
      <x:c r="E57" s="56"/>
      <x:c r="F57" s="56"/>
      <x:c r="G57" s="56"/>
      <x:c r="H57" s="56"/>
      <x:c r="I57" s="56"/>
    </x:row>
    <x:row r="58">
      <x:c r="A58" s="56"/>
      <x:c r="B58" s="56"/>
      <x:c r="C58" s="56"/>
      <x:c r="D58" s="56"/>
      <x:c r="E58" s="56"/>
      <x:c r="F58" s="56"/>
      <x:c r="G58" s="56"/>
      <x:c r="H58" s="56"/>
      <x:c r="I58" s="56"/>
    </x:row>
    <x:row r="59">
      <x:c r="A59" s="56"/>
      <x:c r="B59" s="56"/>
      <x:c r="C59" s="56"/>
      <x:c r="D59" s="56"/>
      <x:c r="E59" s="56"/>
      <x:c r="F59" s="56"/>
      <x:c r="G59" s="56"/>
      <x:c r="H59" s="56"/>
      <x:c r="I59" s="56"/>
    </x:row>
    <x:row r="60">
      <x:c r="A60" s="56"/>
      <x:c r="B60" s="56"/>
      <x:c r="C60" s="56"/>
      <x:c r="D60" s="56"/>
      <x:c r="E60" s="56"/>
      <x:c r="F60" s="56"/>
      <x:c r="G60" s="56"/>
      <x:c r="H60" s="56"/>
      <x:c r="I60" s="56"/>
    </x:row>
    <x:row r="61">
      <x:c r="A61" s="56"/>
      <x:c r="B61" s="56"/>
      <x:c r="C61" s="56"/>
      <x:c r="D61" s="56"/>
      <x:c r="E61" s="56"/>
      <x:c r="F61" s="56"/>
      <x:c r="G61" s="56"/>
      <x:c r="H61" s="56"/>
      <x:c r="I61" s="56"/>
    </x:row>
    <x:row r="62">
      <x:c r="A62" s="56"/>
      <x:c r="B62" s="56"/>
      <x:c r="C62" s="56"/>
      <x:c r="D62" s="56"/>
      <x:c r="E62" s="56"/>
      <x:c r="F62" s="56"/>
      <x:c r="G62" s="56"/>
      <x:c r="H62" s="56"/>
      <x:c r="I62" s="56"/>
    </x:row>
    <x:row r="63">
      <x:c r="A63" s="56"/>
      <x:c r="B63" s="56"/>
      <x:c r="C63" s="56"/>
      <x:c r="D63" s="56"/>
      <x:c r="E63" s="56"/>
      <x:c r="F63" s="56"/>
      <x:c r="G63" s="56"/>
      <x:c r="H63" s="56"/>
      <x:c r="I63" s="56"/>
    </x:row>
    <x:row r="64">
      <x:c r="A64" s="56"/>
      <x:c r="B64" s="56"/>
      <x:c r="C64" s="56"/>
      <x:c r="D64" s="56"/>
      <x:c r="E64" s="56"/>
      <x:c r="F64" s="56"/>
      <x:c r="G64" s="56"/>
      <x:c r="H64" s="56"/>
      <x:c r="I6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B5:B64">
      <x:formula1>"Mitigation,Adaptation,Energie acces,Finance,Gouvernance,Inclusion,MRV"</x:formula1>
    </x:dataValidation>
  </x:dataValidations>
  <x:pageMargins left="0.7" right="0.7" top="0.75" bottom="0.75" header="0.3" footer="0.3"/>
  <x:tableParts count="1">
    <x:tablePart xmlns:r="http://schemas.openxmlformats.org/officeDocument/2006/relationships" r:id="R86fe748101064dc5"/>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26.25" hidden="0" customWidth="1"/>
    <x:col min="2" max="2" width="16.8799991607666" hidden="0" customWidth="1"/>
    <x:col min="3" max="3" width="32.5" hidden="0" customWidth="1"/>
    <x:col min="4" max="4" width="5" hidden="0" customWidth="1"/>
    <x:col min="5" max="5" width="26.25" hidden="0" customWidth="1"/>
    <x:col min="6" max="6" width="16.8799991607666" hidden="0" customWidth="1"/>
    <x:col min="7" max="7" width="32.5" hidden="0" customWidth="1"/>
    <x:col min="8" max="8" width="5" hidden="0" customWidth="1"/>
    <x:col min="9" max="9" width="26.25" hidden="0" customWidth="1"/>
    <x:col min="10" max="10" width="16.8799991607666" hidden="0" customWidth="1"/>
    <x:col min="11" max="11" width="32.5" hidden="0" customWidth="1"/>
    <x:col min="12" max="12" width="22.5" hidden="0" customWidth="1"/>
  </x:cols>
  <x:sheetData>
    <x:row r="1" ht="25.5" customHeight="1">
      <x:c r="A1" s="48" t="str">
        <x:v>Tableau de bord V2 - maturite internationale</x:v>
      </x:c>
      <x:c r="B1" s="48"/>
      <x:c r="C1" s="48"/>
      <x:c r="D1" s="48"/>
      <x:c r="E1" s="48"/>
      <x:c r="F1" s="48"/>
      <x:c r="G1" s="48"/>
      <x:c r="H1" s="48"/>
      <x:c r="I1" s="48"/>
      <x:c r="J1" s="48"/>
      <x:c r="K1" s="48"/>
    </x:row>
    <x:row r="2" ht="31.5" customHeight="1">
      <x:c r="A2" s="51" t="str">
        <x:v>Scorecard synthese pour suivre conformite, bancabilite, donnees manquantes et risques critiques.</x:v>
      </x:c>
      <x:c r="B2" s="51"/>
      <x:c r="C2" s="51"/>
      <x:c r="D2" s="51"/>
      <x:c r="E2" s="51"/>
      <x:c r="F2" s="51"/>
      <x:c r="G2" s="51"/>
      <x:c r="H2" s="51"/>
      <x:c r="I2" s="51"/>
      <x:c r="J2" s="51"/>
      <x:c r="K2" s="51"/>
    </x:row>
    <x:row r="4">
      <x:c r="A4" s="65" t="str">
        <x:v>Score conformite moyen</x:v>
      </x:c>
      <x:c r="B4" s="65"/>
      <x:c r="C4" s="65"/>
      <x:c r="D4" s="65"/>
      <x:c r="E4" s="65" t="str">
        <x:v>Risques climatiques critiques</x:v>
      </x:c>
      <x:c r="F4" s="65"/>
      <x:c r="G4" s="65"/>
      <x:c r="H4" s="65"/>
      <x:c r="I4" s="65" t="str">
        <x:v>Preuves MRV a completer</x:v>
      </x:c>
      <x:c r="J4" s="65"/>
    </x:row>
    <x:row r="5">
      <x:c r="A5" s="66" t="n">
        <x:f>AVERAGE('27_CONFORMITE_CADRES'!$F$5:$F$44)/5</x:f>
        <x:v>0.4222222222222222</x:v>
      </x:c>
      <x:c r="B5" s="65"/>
      <x:c r="C5" s="65"/>
      <x:c r="D5" s="65"/>
      <x:c r="E5" s="65" t="n">
        <x:f>COUNTIF('29_RISQUES_CLIMATIQUES'!$K$5:$K$49,"Critique")</x:f>
        <x:v>2</x:v>
      </x:c>
      <x:c r="F5" s="65"/>
      <x:c r="G5" s="65"/>
      <x:c r="H5" s="65"/>
      <x:c r="I5" s="65" t="n">
        <x:f>COUNTIF('34_REGISTRE_PREUVES_MRV'!$M$5:$M$64,"A completer")</x:f>
        <x:v>3</x:v>
      </x:c>
      <x:c r="J5" s="65"/>
    </x:row>
    <x:row r="6">
      <x:c r="A6" s="65" t="str">
        <x:v>Projets bancables &gt;=75</x:v>
      </x:c>
      <x:c r="B6" s="65"/>
      <x:c r="C6" s="65"/>
      <x:c r="D6" s="65"/>
      <x:c r="E6" s="65" t="str">
        <x:v>Lacunes donnees critiques</x:v>
      </x:c>
      <x:c r="F6" s="65"/>
      <x:c r="G6" s="65"/>
      <x:c r="H6" s="65"/>
      <x:c r="I6" s="65" t="str">
        <x:v>Readiness finance moyen</x:v>
      </x:c>
      <x:c r="J6" s="65"/>
    </x:row>
    <x:row r="7">
      <x:c r="A7" s="65" t="n">
        <x:f>COUNTIF('31_PIPELINE_BANCABLE'!$N$5:$N$44,"Pret concept note")</x:f>
        <x:v>1</x:v>
      </x:c>
      <x:c r="B7" s="65"/>
      <x:c r="C7" s="65"/>
      <x:c r="D7" s="65"/>
      <x:c r="E7" s="65" t="n">
        <x:f>COUNTIF('35_PLAN_DONNEES'!$J$5:$J$64,"Critique")</x:f>
        <x:v>2</x:v>
      </x:c>
      <x:c r="F7" s="65"/>
      <x:c r="G7" s="65"/>
      <x:c r="H7" s="65"/>
      <x:c r="I7" s="66" t="n">
        <x:f>AVERAGE('32_READINESS_FINANCE'!$H$5:$H$64)/5</x:f>
        <x:v>0.44000000000000006</x:v>
      </x:c>
      <x:c r="J7" s="65"/>
    </x:row>
    <x:row r="10">
      <x:c r="A10" s="53" t="str">
        <x:v>Cadre</x:v>
      </x:c>
      <x:c r="B10" s="53" t="str">
        <x:v>Score</x:v>
      </x:c>
      <x:c r="C10" s="53" t="str">
        <x:v>Statut</x:v>
      </x:c>
      <x:c r="D10" s="53"/>
      <x:c r="E10" s="53" t="str">
        <x:v>Projet</x:v>
      </x:c>
      <x:c r="F10" s="53" t="str">
        <x:v>Readiness</x:v>
      </x:c>
      <x:c r="G10" s="53" t="str">
        <x:v>Bancabilite</x:v>
      </x:c>
      <x:c r="H10" s="53"/>
      <x:c r="I10" s="53" t="str">
        <x:v>Alea</x:v>
      </x:c>
      <x:c r="J10" s="53" t="str">
        <x:v>Score risque</x:v>
      </x:c>
      <x:c r="K10" s="53" t="str">
        <x:v>Niveau</x:v>
      </x:c>
      <x:c r="L10" s="53" t="str">
        <x:v>Population exposee</x:v>
      </x:c>
    </x:row>
    <x:row r="11">
      <x:c r="A11" s="56" t="str">
        <x:f>IFERROR('27_CONFORMITE_CADRES'!B5,"")</x:f>
        <x:v>CDP-ICLEI</x:v>
      </x:c>
      <x:c r="B11" s="59" t="n">
        <x:f>IFERROR('27_CONFORMITE_CADRES'!F5/5,"")</x:f>
        <x:v>0.6</x:v>
      </x:c>
      <x:c r="C11" s="56" t="str">
        <x:f>IFERROR('27_CONFORMITE_CADRES'!I5,"")</x:f>
        <x:v>A verifier</x:v>
      </x:c>
      <x:c r="D11" s="56"/>
      <x:c r="E11" s="56" t="str">
        <x:f>'31_PIPELINE_BANCABLE'!B5</x:f>
        <x:v>Programme solaire sur batiments municipaux</x:v>
      </x:c>
      <x:c r="F11" s="59" t="n">
        <x:f>'31_PIPELINE_BANCABLE'!M5/100</x:f>
        <x:v>0.73</x:v>
      </x:c>
      <x:c r="G11" s="56" t="str">
        <x:f>'31_PIPELINE_BANCABLE'!N5</x:f>
        <x:v>A structurer</x:v>
      </x:c>
      <x:c r="H11" s="56"/>
      <x:c r="I11" s="56" t="str">
        <x:f>'29_RISQUES_CLIMATIQUES'!B5</x:f>
        <x:v>Inondation pluviale</x:v>
      </x:c>
      <x:c r="J11" s="56" t="n">
        <x:f>'29_RISQUES_CLIMATIQUES'!J5</x:f>
        <x:v>16</x:v>
      </x:c>
      <x:c r="K11" s="56" t="str">
        <x:f>'29_RISQUES_CLIMATIQUES'!K5</x:f>
        <x:v>Eleve</x:v>
      </x:c>
      <x:c r="L11" s="58" t="n">
        <x:f>'29_RISQUES_CLIMATIQUES'!L5</x:f>
        <x:v>85000</x:v>
      </x:c>
    </x:row>
    <x:row r="12">
      <x:c r="A12" s="56" t="str">
        <x:f>IFERROR('27_CONFORMITE_CADRES'!B6,"")</x:f>
        <x:v>ICLEI/GPC</x:v>
      </x:c>
      <x:c r="B12" s="59" t="n">
        <x:f>IFERROR('27_CONFORMITE_CADRES'!F6/5,"")</x:f>
        <x:v>0.6</x:v>
      </x:c>
      <x:c r="C12" s="56" t="str">
        <x:f>IFERROR('27_CONFORMITE_CADRES'!I6,"")</x:f>
        <x:v>A verifier</x:v>
      </x:c>
      <x:c r="D12" s="56"/>
      <x:c r="E12" s="56" t="str">
        <x:f>'31_PIPELINE_BANCABLE'!B6</x:f>
        <x:v>Modernisation collecte et valorisation des dechets</x:v>
      </x:c>
      <x:c r="F12" s="59" t="n">
        <x:f>'31_PIPELINE_BANCABLE'!M6/100</x:f>
        <x:v>0.78</x:v>
      </x:c>
      <x:c r="G12" s="56" t="str">
        <x:f>'31_PIPELINE_BANCABLE'!N6</x:f>
        <x:v>Pret concept note</x:v>
      </x:c>
      <x:c r="H12" s="56"/>
      <x:c r="I12" s="56" t="str">
        <x:f>'29_RISQUES_CLIMATIQUES'!B6</x:f>
        <x:v>Submersion marine</x:v>
      </x:c>
      <x:c r="J12" s="56" t="n">
        <x:f>'29_RISQUES_CLIMATIQUES'!J6</x:f>
        <x:v>18.8</x:v>
      </x:c>
      <x:c r="K12" s="56" t="str">
        <x:f>'29_RISQUES_CLIMATIQUES'!K6</x:f>
        <x:v>Critique</x:v>
      </x:c>
      <x:c r="L12" s="58" t="n">
        <x:f>'29_RISQUES_CLIMATIQUES'!L6</x:f>
        <x:v>45000</x:v>
      </x:c>
    </x:row>
    <x:row r="13">
      <x:c r="A13" s="56" t="str">
        <x:f>IFERROR('27_CONFORMITE_CADRES'!B7,"")</x:f>
        <x:v>GCoM CRF</x:v>
      </x:c>
      <x:c r="B13" s="59" t="n">
        <x:f>IFERROR('27_CONFORMITE_CADRES'!F7/5,"")</x:f>
        <x:v>0.4</x:v>
      </x:c>
      <x:c r="C13" s="56" t="str">
        <x:f>IFERROR('27_CONFORMITE_CADRES'!I7,"")</x:f>
        <x:v>A completer</x:v>
      </x:c>
      <x:c r="D13" s="56"/>
      <x:c r="E13" s="56" t="str">
        <x:f>'31_PIPELINE_BANCABLE'!B7</x:f>
        <x:v>Resilience littorale et drainage urbain</x:v>
      </x:c>
      <x:c r="F13" s="59" t="n">
        <x:f>'31_PIPELINE_BANCABLE'!M7/100</x:f>
        <x:v>0.73</x:v>
      </x:c>
      <x:c r="G13" s="56" t="str">
        <x:f>'31_PIPELINE_BANCABLE'!N7</x:f>
        <x:v>A structurer</x:v>
      </x:c>
      <x:c r="H13" s="56"/>
      <x:c r="I13" s="56" t="str">
        <x:f>'29_RISQUES_CLIMATIQUES'!B7</x:f>
        <x:v>Chaleur extreme</x:v>
      </x:c>
      <x:c r="J13" s="56" t="n">
        <x:f>'29_RISQUES_CLIMATIQUES'!J7</x:f>
        <x:v>20</x:v>
      </x:c>
      <x:c r="K13" s="56" t="str">
        <x:f>'29_RISQUES_CLIMATIQUES'!K7</x:f>
        <x:v>Critique</x:v>
      </x:c>
      <x:c r="L13" s="58" t="n">
        <x:f>'29_RISQUES_CLIMATIQUES'!L7</x:f>
        <x:v>350000</x:v>
      </x:c>
    </x:row>
    <x:row r="14">
      <x:c r="A14" s="56" t="str">
        <x:f>IFERROR('27_CONFORMITE_CADRES'!B8,"")</x:f>
        <x:v>GCoM CRF</x:v>
      </x:c>
      <x:c r="B14" s="59" t="n">
        <x:f>IFERROR('27_CONFORMITE_CADRES'!F8/5,"")</x:f>
        <x:v>0.4</x:v>
      </x:c>
      <x:c r="C14" s="56" t="str">
        <x:f>IFERROR('27_CONFORMITE_CADRES'!I8,"")</x:f>
        <x:v>A completer</x:v>
      </x:c>
      <x:c r="D14" s="56"/>
      <x:c r="E14" s="56"/>
      <x:c r="F14" s="56"/>
      <x:c r="G14" s="56"/>
      <x:c r="H14" s="56"/>
      <x:c r="I14" s="56"/>
      <x:c r="J14" s="56"/>
      <x:c r="K14" s="56"/>
      <x:c r="L14" s="56"/>
    </x:row>
    <x:row r="15">
      <x:c r="A15" s="56" t="str">
        <x:f>IFERROR('27_CONFORMITE_CADRES'!B9,"")</x:f>
        <x:v>C40</x:v>
      </x:c>
      <x:c r="B15" s="59" t="n">
        <x:f>IFERROR('27_CONFORMITE_CADRES'!F9/5,"")</x:f>
        <x:v>0.4</x:v>
      </x:c>
      <x:c r="C15" s="56" t="str">
        <x:f>IFERROR('27_CONFORMITE_CADRES'!I9,"")</x:f>
        <x:v>A completer</x:v>
      </x:c>
      <x:c r="D15" s="56"/>
      <x:c r="E15" s="56"/>
      <x:c r="F15" s="56"/>
      <x:c r="G15" s="56"/>
      <x:c r="H15" s="56"/>
      <x:c r="I15" s="56"/>
      <x:c r="J15" s="56"/>
      <x:c r="K15" s="56"/>
      <x:c r="L15" s="56"/>
    </x:row>
    <x:row r="16">
      <x:c r="A16" s="56" t="str">
        <x:f>IFERROR('27_CONFORMITE_CADRES'!B10,"")</x:f>
        <x:v>CoM SSA/SEACAP</x:v>
      </x:c>
      <x:c r="B16" s="59" t="n">
        <x:f>IFERROR('27_CONFORMITE_CADRES'!F10/5,"")</x:f>
        <x:v>0.2</x:v>
      </x:c>
      <x:c r="C16" s="56" t="str">
        <x:f>IFERROR('27_CONFORMITE_CADRES'!I10,"")</x:f>
        <x:v>A completer</x:v>
      </x:c>
      <x:c r="D16" s="56"/>
      <x:c r="E16" s="56"/>
      <x:c r="F16" s="56"/>
      <x:c r="G16" s="56"/>
      <x:c r="H16" s="56"/>
      <x:c r="I16" s="56"/>
      <x:c r="J16" s="56"/>
      <x:c r="K16" s="56"/>
      <x:c r="L16" s="56"/>
    </x:row>
    <x:row r="17">
      <x:c r="A17" s="56" t="str">
        <x:f>IFERROR('27_CONFORMITE_CADRES'!B11,"")</x:f>
        <x:v>GCF</x:v>
      </x:c>
      <x:c r="B17" s="59" t="n">
        <x:f>IFERROR('27_CONFORMITE_CADRES'!F11/5,"")</x:f>
        <x:v>0.4</x:v>
      </x:c>
      <x:c r="C17" s="56" t="str">
        <x:f>IFERROR('27_CONFORMITE_CADRES'!I11,"")</x:f>
        <x:v>A completer</x:v>
      </x:c>
      <x:c r="D17" s="56"/>
      <x:c r="E17" s="56"/>
      <x:c r="F17" s="56"/>
      <x:c r="G17" s="56"/>
      <x:c r="H17" s="56"/>
      <x:c r="I17" s="56"/>
      <x:c r="J17" s="56"/>
      <x:c r="K17" s="56"/>
      <x:c r="L17" s="56"/>
    </x:row>
    <x:row r="18">
      <x:c r="A18" s="56" t="str">
        <x:f>IFERROR('27_CONFORMITE_CADRES'!B12,"")</x:f>
        <x:v>Banque mondiale</x:v>
      </x:c>
      <x:c r="B18" s="59" t="n">
        <x:f>IFERROR('27_CONFORMITE_CADRES'!F12/5,"")</x:f>
        <x:v>0.4</x:v>
      </x:c>
      <x:c r="C18" s="56" t="str">
        <x:f>IFERROR('27_CONFORMITE_CADRES'!I12,"")</x:f>
        <x:v>A completer</x:v>
      </x:c>
      <x:c r="D18" s="56"/>
      <x:c r="E18" s="56"/>
      <x:c r="F18" s="56"/>
      <x:c r="G18" s="56"/>
      <x:c r="H18" s="56"/>
      <x:c r="I18" s="56"/>
      <x:c r="J18" s="56"/>
      <x:c r="K18" s="56"/>
      <x:c r="L18" s="56"/>
    </x:row>
    <x:row r="19">
      <x:c r="A19" s="56" t="str">
        <x:f>IFERROR('27_CONFORMITE_CADRES'!B13,"")</x:f>
        <x:v>BAD</x:v>
      </x:c>
      <x:c r="B19" s="59" t="n">
        <x:f>IFERROR('27_CONFORMITE_CADRES'!F13/5,"")</x:f>
        <x:v>0.4</x:v>
      </x:c>
      <x:c r="C19" s="56" t="str">
        <x:f>IFERROR('27_CONFORMITE_CADRES'!I13,"")</x:f>
        <x:v>A completer</x:v>
      </x:c>
      <x:c r="D19" s="56"/>
      <x:c r="E19" s="56"/>
      <x:c r="F19" s="56"/>
      <x:c r="G19" s="56"/>
      <x:c r="H19" s="56"/>
      <x:c r="I19" s="56"/>
      <x:c r="J19" s="56"/>
      <x:c r="K19" s="56"/>
      <x:c r="L19" s="56"/>
    </x:row>
  </x:sheetData>
  <x:mergeCells>
    <x:mergeCell ref="A1:K1"/>
    <x:mergeCell ref="A2:K2"/>
  </x:mergeCells>
  <x:conditionalFormatting sqref="C11:C19">
    <x:cfRule type="containsText" dxfId="140" priority="1" operator="containsText" text="Critique"/>
    <x:cfRule type="containsText" dxfId="141" priority="2" operator="containsText" text="A completer"/>
    <x:cfRule type="containsText" dxfId="142" priority="3" operator="containsText" text="Pret"/>
    <x:cfRule type="containsText" dxfId="143" priority="4" operator="containsText" text="OK"/>
  </x:conditionalFormatting>
  <x:conditionalFormatting sqref="G11:G13">
    <x:cfRule type="containsText" dxfId="144" priority="5" operator="containsText" text="Critique"/>
    <x:cfRule type="containsText" dxfId="145" priority="6" operator="containsText" text="A completer"/>
    <x:cfRule type="containsText" dxfId="146" priority="7" operator="containsText" text="Pret"/>
    <x:cfRule type="containsText" dxfId="147" priority="8" operator="containsText" text="OK"/>
  </x:conditionalFormatting>
  <x:conditionalFormatting sqref="K11:K13">
    <x:cfRule type="containsText" dxfId="148" priority="9" operator="containsText" text="Critique"/>
    <x:cfRule type="containsText" dxfId="149" priority="10" operator="containsText" text="A completer"/>
    <x:cfRule type="containsText" dxfId="150" priority="11" operator="containsText" text="Pret"/>
    <x:cfRule type="containsText" dxfId="151" priority="12" operator="containsText" text="OK"/>
  </x:conditionalFormatting>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15" hidden="0" customWidth="1"/>
    <x:col min="2" max="2" width="18.75" hidden="0" customWidth="1"/>
    <x:col min="3" max="3" width="33.75" hidden="0" customWidth="1"/>
    <x:col min="4" max="4" width="52.5" hidden="0" customWidth="1"/>
    <x:col min="5" max="5" width="32.5" hidden="0" customWidth="1"/>
  </x:cols>
  <x:sheetData>
    <x:row r="1" ht="25.5" customHeight="1">
      <x:c r="A1" s="48" t="str">
        <x:v>Sources internationales utilisees pour la V2</x:v>
      </x:c>
      <x:c r="B1" s="48"/>
      <x:c r="C1" s="48"/>
      <x:c r="D1" s="48"/>
      <x:c r="E1" s="48"/>
      <x:c r="F1" s="48"/>
      <x:c r="G1" s="48"/>
      <x:c r="H1" s="48"/>
      <x:c r="I1" s="48"/>
      <x:c r="J1" s="48"/>
      <x:c r="K1" s="48"/>
    </x:row>
    <x:row r="2" ht="31.5" customHeight="1">
      <x:c r="A2" s="51" t="str">
        <x:v>Liens officiels a conserver pour audit et mise a jour methodologique.</x:v>
      </x:c>
      <x:c r="B2" s="51"/>
      <x:c r="C2" s="51"/>
      <x:c r="D2" s="51"/>
      <x:c r="E2" s="51"/>
      <x:c r="F2" s="51"/>
      <x:c r="G2" s="51"/>
      <x:c r="H2" s="51"/>
      <x:c r="I2" s="51"/>
      <x:c r="J2" s="51"/>
      <x:c r="K2" s="51"/>
    </x:row>
    <x:row r="4">
      <x:c r="A4" s="54" t="str">
        <x:v>Source_ID</x:v>
      </x:c>
      <x:c r="B4" s="54" t="str">
        <x:v>Institution</x:v>
      </x:c>
      <x:c r="C4" s="54" t="str">
        <x:v>Document_ou_cadre</x:v>
      </x:c>
      <x:c r="D4" s="54" t="str">
        <x:v>URL</x:v>
      </x:c>
      <x:c r="E4" s="54" t="str">
        <x:v>Utilisation_dans_V2</x:v>
      </x:c>
    </x:row>
    <x:row r="5">
      <x:c r="A5" s="56" t="str">
        <x:v>SRC-INT-001</x:v>
      </x:c>
      <x:c r="B5" s="56" t="str">
        <x:v>CDP-ICLEI</x:v>
      </x:c>
      <x:c r="C5" s="56" t="str">
        <x:v>CDP-ICLEI Track questionnaire and guidance</x:v>
      </x:c>
      <x:c r="D5" s="56" t="str">
        <x:v>https://www.cdp.net/en/disclose/how-to-disclose</x:v>
      </x:c>
      <x:c r="E5" s="56" t="str">
        <x:v>Reporting villes, alignement CDP/GCoM</x:v>
      </x:c>
    </x:row>
    <x:row r="6">
      <x:c r="A6" s="56" t="str">
        <x:v>SRC-INT-002</x:v>
      </x:c>
      <x:c r="B6" s="56" t="str">
        <x:v>C40</x:v>
      </x:c>
      <x:c r="C6" s="56" t="str">
        <x:v>Climate Action Planning Framework</x:v>
      </x:c>
      <x:c r="D6" s="56" t="str">
        <x:v>https://www.c40.org/what-we-do/raising-climate-ambition/1-5c-climate-action-plans/</x:v>
      </x:c>
      <x:c r="E6" s="56" t="str">
        <x:v>Plan 1.5C, execution, justice climatique</x:v>
      </x:c>
    </x:row>
    <x:row r="7">
      <x:c r="A7" s="56" t="str">
        <x:v>SRC-INT-003</x:v>
      </x:c>
      <x:c r="B7" s="56" t="str">
        <x:v>GCoM</x:v>
      </x:c>
      <x:c r="C7" s="56" t="str">
        <x:v>Common Reporting Framework</x:v>
      </x:c>
      <x:c r="D7" s="56" t="str">
        <x:v>https://www.globalcovenantofmayors.org/our-initiatives/data4cities/common-global-reporting-framework/</x:v>
      </x:c>
      <x:c r="E7" s="56" t="str">
        <x:v>Inventaire, cibles, risques, reporting</x:v>
      </x:c>
    </x:row>
    <x:row r="8">
      <x:c r="A8" s="56" t="str">
        <x:v>SRC-INT-004</x:v>
      </x:c>
      <x:c r="B8" s="56" t="str">
        <x:v>CoM SSA</x:v>
      </x:c>
      <x:c r="C8" s="56" t="str">
        <x:v>SEACAP Guidebook and Toolbox</x:v>
      </x:c>
      <x:c r="D8" s="56" t="str">
        <x:v>https://comssa.org/en/site-resources/seacap-guidebook-extended-version</x:v>
      </x:c>
      <x:c r="E8" s="56" t="str">
        <x:v>Mitigation, adaptation, acces energie</x:v>
      </x:c>
    </x:row>
    <x:row r="9">
      <x:c r="A9" s="56" t="str">
        <x:v>SRC-INT-005</x:v>
      </x:c>
      <x:c r="B9" s="56" t="str">
        <x:v>GCF</x:v>
      </x:c>
      <x:c r="C9" s="56" t="str">
        <x:v>Investment Framework</x:v>
      </x:c>
      <x:c r="D9" s="56" t="str">
        <x:v>https://www.greenclimate.fund/projects/investment-framework</x:v>
      </x:c>
      <x:c r="E9" s="56" t="str">
        <x:v>Criteres GCF et bancabilite</x:v>
      </x:c>
    </x:row>
    <x:row r="10">
      <x:c r="A10" s="56" t="str">
        <x:v>SRC-INT-006</x:v>
      </x:c>
      <x:c r="B10" s="56" t="str">
        <x:v>Banque mondiale</x:v>
      </x:c>
      <x:c r="C10" s="56" t="str">
        <x:v>City Resilience Program</x:v>
      </x:c>
      <x:c r="D10" s="56" t="str">
        <x:v>https://www.worldbank.org/en/topic/urbandevelopment/brief/resilient-cities-program</x:v>
      </x:c>
      <x:c r="E10" s="56" t="str">
        <x:v>Resilience urbaine et investissements</x:v>
      </x:c>
    </x:row>
    <x:row r="11">
      <x:c r="A11" s="56" t="str">
        <x:v>SRC-INT-007</x:v>
      </x:c>
      <x:c r="B11" s="56" t="str">
        <x:v>BAD</x:v>
      </x:c>
      <x:c r="C11" s="56" t="str">
        <x:v>Climate Change and Green Growth Strategy</x:v>
      </x:c>
      <x:c r="D11" s="56" t="str">
        <x:v>https://www.afdb.org/en/topics-and-sectors/sectors/climate-change/climate-change-and-green-growth-strategy</x:v>
      </x:c>
      <x:c r="E11" s="56" t="str">
        <x:v>Croissance verte, climat finance, inclusion</x:v>
      </x:c>
    </x:row>
    <x:row r="12">
      <x:c r="A12" s="56"/>
      <x:c r="B12" s="56"/>
      <x:c r="C12" s="56"/>
      <x:c r="D12" s="56"/>
      <x:c r="E12" s="56"/>
    </x:row>
    <x:row r="13">
      <x:c r="A13" s="56"/>
      <x:c r="B13" s="56"/>
      <x:c r="C13" s="56"/>
      <x:c r="D13" s="56"/>
      <x:c r="E13" s="56"/>
    </x:row>
    <x:row r="14">
      <x:c r="A14" s="56"/>
      <x:c r="B14" s="56"/>
      <x:c r="C14" s="56"/>
      <x:c r="D14" s="56"/>
      <x:c r="E14" s="56"/>
    </x:row>
    <x:row r="15">
      <x:c r="A15" s="56"/>
      <x:c r="B15" s="56"/>
      <x:c r="C15" s="56"/>
      <x:c r="D15" s="56"/>
      <x:c r="E15" s="56"/>
    </x:row>
    <x:row r="16">
      <x:c r="A16" s="56"/>
      <x:c r="B16" s="56"/>
      <x:c r="C16" s="56"/>
      <x:c r="D16" s="56"/>
      <x:c r="E16" s="56"/>
    </x:row>
    <x:row r="17">
      <x:c r="A17" s="56"/>
      <x:c r="B17" s="56"/>
      <x:c r="C17" s="56"/>
      <x:c r="D17" s="56"/>
      <x:c r="E17" s="56"/>
    </x:row>
    <x:row r="18">
      <x:c r="A18" s="56"/>
      <x:c r="B18" s="56"/>
      <x:c r="C18" s="56"/>
      <x:c r="D18" s="56"/>
      <x:c r="E18" s="56"/>
    </x:row>
    <x:row r="19">
      <x:c r="A19" s="56"/>
      <x:c r="B19" s="56"/>
      <x:c r="C19" s="56"/>
      <x:c r="D19" s="56"/>
      <x:c r="E19" s="56"/>
    </x:row>
    <x:row r="20">
      <x:c r="A20" s="56"/>
      <x:c r="B20" s="56"/>
      <x:c r="C20" s="56"/>
      <x:c r="D20" s="56"/>
      <x:c r="E20" s="56"/>
    </x:row>
    <x:row r="21">
      <x:c r="A21" s="56"/>
      <x:c r="B21" s="56"/>
      <x:c r="C21" s="56"/>
      <x:c r="D21" s="56"/>
      <x:c r="E21" s="56"/>
    </x:row>
    <x:row r="22">
      <x:c r="A22" s="56"/>
      <x:c r="B22" s="56"/>
      <x:c r="C22" s="56"/>
      <x:c r="D22" s="56"/>
      <x:c r="E22" s="56"/>
    </x:row>
    <x:row r="23">
      <x:c r="A23" s="56"/>
      <x:c r="B23" s="56"/>
      <x:c r="C23" s="56"/>
      <x:c r="D23" s="56"/>
      <x:c r="E23" s="56"/>
    </x:row>
    <x:row r="24">
      <x:c r="A24" s="56"/>
      <x:c r="B24" s="56"/>
      <x:c r="C24" s="56"/>
      <x:c r="D24" s="56"/>
      <x:c r="E24" s="56"/>
    </x:row>
  </x:sheetData>
  <x:mergeCells>
    <x:mergeCell ref="A1:K1"/>
    <x:mergeCell ref="A2:K2"/>
  </x:mergeCells>
  <x:pageMargins left="0.7" right="0.7" top="0.75" bottom="0.75" header="0.3" footer="0.3"/>
  <x:tableParts count="1">
    <x:tablePart xmlns:r="http://schemas.openxmlformats.org/officeDocument/2006/relationships" r:id="Rd59868b04d714943"/>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3.75" hidden="0" customWidth="1"/>
    <x:col min="2" max="2" width="21.25" hidden="0" customWidth="1"/>
    <x:col min="3" max="3" width="21.25" hidden="0" customWidth="1"/>
    <x:col min="4" max="4" width="26.25" hidden="0" customWidth="1"/>
    <x:col min="5" max="5" width="11.25" hidden="0" customWidth="1"/>
    <x:col min="6" max="6" width="15" hidden="0" customWidth="1"/>
    <x:col min="7" max="7" width="22.5" hidden="0" customWidth="1"/>
    <x:col min="8" max="8" width="13.75" hidden="0" customWidth="1"/>
    <x:col min="9" max="9" width="11.880000114440918" hidden="0" customWidth="1"/>
    <x:col min="10" max="10" width="22.5" hidden="0" customWidth="1"/>
    <x:col min="11" max="11" width="18.75" hidden="0" customWidth="1"/>
    <x:col min="12" max="12" width="18.75" hidden="0" customWidth="1"/>
    <x:col min="13" max="13" width="26.25" hidden="0" customWidth="1"/>
    <x:col min="14" max="14" width="18.75" hidden="0" customWidth="1"/>
    <x:col min="15" max="15" width="18.1299991607666" hidden="0" customWidth="1"/>
    <x:col min="16" max="16" width="20" hidden="0" customWidth="1"/>
    <x:col min="17" max="17" width="32.5" hidden="0" customWidth="1"/>
    <x:col min="18" max="18" width="15" hidden="0" customWidth="1"/>
    <x:col min="19" max="19" width="18.75" hidden="0" customWidth="1"/>
    <x:col min="20" max="20" width="23.75" hidden="0" customWidth="1"/>
    <x:col min="21" max="21" width="15" hidden="0" customWidth="1"/>
  </x:cols>
  <x:sheetData>
    <x:row r="1" ht="25.5" customHeight="1">
      <x:c r="A1" s="68" t="str">
        <x:v>Formulaire central de saisie</x:v>
      </x:c>
      <x:c r="B1" s="68"/>
      <x:c r="C1" s="68"/>
      <x:c r="D1" s="68"/>
      <x:c r="E1" s="68"/>
      <x:c r="F1" s="68"/>
      <x:c r="G1" s="68"/>
      <x:c r="H1" s="68"/>
      <x:c r="I1" s="68"/>
      <x:c r="J1" s="68"/>
      <x:c r="K1" s="68"/>
      <x:c r="L1" s="68"/>
      <x:c r="M1" s="68"/>
      <x:c r="N1" s="68"/>
      <x:c r="O1" s="68"/>
      <x:c r="P1" s="68"/>
      <x:c r="Q1" s="68"/>
      <x:c r="R1" s="68"/>
      <x:c r="S1" s="68"/>
      <x:c r="T1" s="68"/>
      <x:c r="U1" s="68"/>
    </x:row>
    <x:row r="2" ht="33" customHeight="1">
      <x:c r="A2" s="71" t="str">
        <x:v>Saisie transversale des données climatiques. Les lignes ne passent en base consolidée que si le statut est Validé humainement.</x:v>
      </x:c>
      <x:c r="B2" s="71"/>
      <x:c r="C2" s="71"/>
      <x:c r="D2" s="71"/>
      <x:c r="E2" s="71"/>
      <x:c r="F2" s="71"/>
      <x:c r="G2" s="71"/>
      <x:c r="H2" s="71"/>
      <x:c r="I2" s="71"/>
      <x:c r="J2" s="71"/>
      <x:c r="K2" s="71"/>
      <x:c r="L2" s="71"/>
      <x:c r="M2" s="71"/>
      <x:c r="N2" s="71"/>
      <x:c r="O2" s="71"/>
      <x:c r="P2" s="71"/>
      <x:c r="Q2" s="71"/>
      <x:c r="R2" s="71"/>
      <x:c r="S2" s="71"/>
      <x:c r="T2" s="71"/>
      <x:c r="U2" s="71"/>
    </x:row>
    <x:row r="4">
      <x:c r="A4" s="74" t="str">
        <x:v>ID_Saisie</x:v>
      </x:c>
      <x:c r="B4" s="74" t="str">
        <x:v>Domaine de donnée</x:v>
      </x:c>
      <x:c r="C4" s="74" t="str">
        <x:v>Sous-domaine</x:v>
      </x:c>
      <x:c r="D4" s="74" t="str">
        <x:v>Indicateur</x:v>
      </x:c>
      <x:c r="E4" s="74" t="str">
        <x:v>Année</x:v>
      </x:c>
      <x:c r="F4" s="74" t="str">
        <x:v>Mois</x:v>
      </x:c>
      <x:c r="G4" s="74" t="str">
        <x:v>Commune / zone</x:v>
      </x:c>
      <x:c r="H4" s="74" t="str">
        <x:v>Valeur</x:v>
      </x:c>
      <x:c r="I4" s="74" t="str">
        <x:v>Unité</x:v>
      </x:c>
      <x:c r="J4" s="74" t="str">
        <x:v>Institution source</x:v>
      </x:c>
      <x:c r="K4" s="74" t="str">
        <x:v>Service source</x:v>
      </x:c>
      <x:c r="L4" s="74" t="str">
        <x:v>Personne focale</x:v>
      </x:c>
      <x:c r="M4" s="74" t="str">
        <x:v>Document source</x:v>
      </x:c>
      <x:c r="N4" s="74" t="str">
        <x:v>Fréquence de collecte</x:v>
      </x:c>
      <x:c r="O4" s="74" t="str">
        <x:v>Niveau de fiabilité</x:v>
      </x:c>
      <x:c r="P4" s="74" t="str">
        <x:v>Statut de validation</x:v>
      </x:c>
      <x:c r="Q4" s="74" t="str">
        <x:v>Observations</x:v>
      </x:c>
      <x:c r="R4" s="74" t="str">
        <x:v>Date de saisie</x:v>
      </x:c>
      <x:c r="S4" s="74" t="str">
        <x:v>Responsable</x:v>
      </x:c>
      <x:c r="T4" s="74" t="str">
        <x:v>Alerte_QC</x:v>
      </x:c>
      <x:c r="U4" s="74" t="str">
        <x:v>Alimente_Rapports</x:v>
      </x:c>
    </x:row>
    <x:row r="5">
      <x:c r="A5" s="76" t="str">
        <x:f>IF(B5="","","GEN-"&amp;TEXT(ROW()-4,"0000"))</x:f>
      </x:c>
      <x:c r="B5" s="76"/>
      <x:c r="C5" s="76"/>
      <x:c r="D5" s="76"/>
      <x:c r="E5" s="76"/>
      <x:c r="F5" s="76"/>
      <x:c r="G5" s="76"/>
      <x:c r="H5" s="77"/>
      <x:c r="I5" s="76"/>
      <x:c r="J5" s="76"/>
      <x:c r="K5" s="76"/>
      <x:c r="L5" s="76"/>
      <x:c r="M5" s="76"/>
      <x:c r="N5" s="76"/>
      <x:c r="O5" s="76"/>
      <x:c r="P5" s="76"/>
      <x:c r="Q5" s="76"/>
      <x:c r="R5" s="78" t="str">
        <x:f>IF(B5="","",TODAY())</x:f>
      </x:c>
      <x:c r="S5" s="76"/>
      <x:c r="T5" s="76" t="str">
        <x:f>IF(B5="","",IF(OR(D5="",E5="",H5="",I5="",J5="",M5="",O5="",P5&lt;&gt;"Validé humainement"),"ALERTE: données/preuves/statut",IF(FALSE,"ALERTE: valeur anormale","OK")))</x:f>
      </x:c>
      <x:c r="U5" s="76" t="str">
        <x:f>IF(B5="","",IF(P5="Validé humainement","Oui","Non"))</x:f>
      </x:c>
    </x:row>
    <x:row r="6">
      <x:c r="A6" s="76" t="str">
        <x:f>IF(B6="","","GEN-"&amp;TEXT(ROW()-4,"0000"))</x:f>
      </x:c>
      <x:c r="B6" s="76"/>
      <x:c r="C6" s="76"/>
      <x:c r="D6" s="76"/>
      <x:c r="E6" s="76"/>
      <x:c r="F6" s="76"/>
      <x:c r="G6" s="76"/>
      <x:c r="H6" s="77"/>
      <x:c r="I6" s="76"/>
      <x:c r="J6" s="76"/>
      <x:c r="K6" s="76"/>
      <x:c r="L6" s="76"/>
      <x:c r="M6" s="76"/>
      <x:c r="N6" s="76"/>
      <x:c r="O6" s="76"/>
      <x:c r="P6" s="76"/>
      <x:c r="Q6" s="76"/>
      <x:c r="R6" s="78" t="str">
        <x:f>IF(B6="","",TODAY())</x:f>
      </x:c>
      <x:c r="S6" s="76"/>
      <x:c r="T6" s="76" t="str">
        <x:f>IF(B6="","",IF(OR(D6="",E6="",H6="",I6="",J6="",M6="",O6="",P6&lt;&gt;"Validé humainement"),"ALERTE: données/preuves/statut",IF(FALSE,"ALERTE: valeur anormale","OK")))</x:f>
      </x:c>
      <x:c r="U6" s="76" t="str">
        <x:f>IF(B6="","",IF(P6="Validé humainement","Oui","Non"))</x:f>
      </x:c>
    </x:row>
    <x:row r="7">
      <x:c r="A7" s="76" t="str">
        <x:f>IF(B7="","","GEN-"&amp;TEXT(ROW()-4,"0000"))</x:f>
      </x:c>
      <x:c r="B7" s="76"/>
      <x:c r="C7" s="76"/>
      <x:c r="D7" s="76"/>
      <x:c r="E7" s="76"/>
      <x:c r="F7" s="76"/>
      <x:c r="G7" s="76"/>
      <x:c r="H7" s="77"/>
      <x:c r="I7" s="76"/>
      <x:c r="J7" s="76"/>
      <x:c r="K7" s="76"/>
      <x:c r="L7" s="76"/>
      <x:c r="M7" s="76"/>
      <x:c r="N7" s="76"/>
      <x:c r="O7" s="76"/>
      <x:c r="P7" s="76"/>
      <x:c r="Q7" s="76"/>
      <x:c r="R7" s="78" t="str">
        <x:f>IF(B7="","",TODAY())</x:f>
      </x:c>
      <x:c r="S7" s="76"/>
      <x:c r="T7" s="76" t="str">
        <x:f>IF(B7="","",IF(OR(D7="",E7="",H7="",I7="",J7="",M7="",O7="",P7&lt;&gt;"Validé humainement"),"ALERTE: données/preuves/statut",IF(FALSE,"ALERTE: valeur anormale","OK")))</x:f>
      </x:c>
      <x:c r="U7" s="76" t="str">
        <x:f>IF(B7="","",IF(P7="Validé humainement","Oui","Non"))</x:f>
      </x:c>
    </x:row>
    <x:row r="8">
      <x:c r="A8" s="76" t="str">
        <x:f>IF(B8="","","GEN-"&amp;TEXT(ROW()-4,"0000"))</x:f>
      </x:c>
      <x:c r="B8" s="76"/>
      <x:c r="C8" s="76"/>
      <x:c r="D8" s="76"/>
      <x:c r="E8" s="76"/>
      <x:c r="F8" s="76"/>
      <x:c r="G8" s="76"/>
      <x:c r="H8" s="77"/>
      <x:c r="I8" s="76"/>
      <x:c r="J8" s="76"/>
      <x:c r="K8" s="76"/>
      <x:c r="L8" s="76"/>
      <x:c r="M8" s="76"/>
      <x:c r="N8" s="76"/>
      <x:c r="O8" s="76"/>
      <x:c r="P8" s="76"/>
      <x:c r="Q8" s="76"/>
      <x:c r="R8" s="78" t="str">
        <x:f>IF(B8="","",TODAY())</x:f>
      </x:c>
      <x:c r="S8" s="76"/>
      <x:c r="T8" s="76" t="str">
        <x:f>IF(B8="","",IF(OR(D8="",E8="",H8="",I8="",J8="",M8="",O8="",P8&lt;&gt;"Validé humainement"),"ALERTE: données/preuves/statut",IF(FALSE,"ALERTE: valeur anormale","OK")))</x:f>
      </x:c>
      <x:c r="U8" s="76" t="str">
        <x:f>IF(B8="","",IF(P8="Validé humainement","Oui","Non"))</x:f>
      </x:c>
    </x:row>
    <x:row r="9">
      <x:c r="A9" s="76" t="str">
        <x:f>IF(B9="","","GEN-"&amp;TEXT(ROW()-4,"0000"))</x:f>
      </x:c>
      <x:c r="B9" s="76"/>
      <x:c r="C9" s="76"/>
      <x:c r="D9" s="76"/>
      <x:c r="E9" s="76"/>
      <x:c r="F9" s="76"/>
      <x:c r="G9" s="76"/>
      <x:c r="H9" s="77"/>
      <x:c r="I9" s="76"/>
      <x:c r="J9" s="76"/>
      <x:c r="K9" s="76"/>
      <x:c r="L9" s="76"/>
      <x:c r="M9" s="76"/>
      <x:c r="N9" s="76"/>
      <x:c r="O9" s="76"/>
      <x:c r="P9" s="76"/>
      <x:c r="Q9" s="76"/>
      <x:c r="R9" s="78" t="str">
        <x:f>IF(B9="","",TODAY())</x:f>
      </x:c>
      <x:c r="S9" s="76"/>
      <x:c r="T9" s="76" t="str">
        <x:f>IF(B9="","",IF(OR(D9="",E9="",H9="",I9="",J9="",M9="",O9="",P9&lt;&gt;"Validé humainement"),"ALERTE: données/preuves/statut",IF(FALSE,"ALERTE: valeur anormale","OK")))</x:f>
      </x:c>
      <x:c r="U9" s="76" t="str">
        <x:f>IF(B9="","",IF(P9="Validé humainement","Oui","Non"))</x:f>
      </x:c>
    </x:row>
    <x:row r="10">
      <x:c r="A10" s="76" t="str">
        <x:f>IF(B10="","","GEN-"&amp;TEXT(ROW()-4,"0000"))</x:f>
      </x:c>
      <x:c r="B10" s="76"/>
      <x:c r="C10" s="76"/>
      <x:c r="D10" s="76"/>
      <x:c r="E10" s="76"/>
      <x:c r="F10" s="76"/>
      <x:c r="G10" s="76"/>
      <x:c r="H10" s="77"/>
      <x:c r="I10" s="76"/>
      <x:c r="J10" s="76"/>
      <x:c r="K10" s="76"/>
      <x:c r="L10" s="76"/>
      <x:c r="M10" s="76"/>
      <x:c r="N10" s="76"/>
      <x:c r="O10" s="76"/>
      <x:c r="P10" s="76"/>
      <x:c r="Q10" s="76"/>
      <x:c r="R10" s="78" t="str">
        <x:f>IF(B10="","",TODAY())</x:f>
      </x:c>
      <x:c r="S10" s="76"/>
      <x:c r="T10" s="76" t="str">
        <x:f>IF(B10="","",IF(OR(D10="",E10="",H10="",I10="",J10="",M10="",O10="",P10&lt;&gt;"Validé humainement"),"ALERTE: données/preuves/statut",IF(FALSE,"ALERTE: valeur anormale","OK")))</x:f>
      </x:c>
      <x:c r="U10" s="76" t="str">
        <x:f>IF(B10="","",IF(P10="Validé humainement","Oui","Non"))</x:f>
      </x:c>
    </x:row>
    <x:row r="11">
      <x:c r="A11" s="76" t="str">
        <x:f>IF(B11="","","GEN-"&amp;TEXT(ROW()-4,"0000"))</x:f>
      </x:c>
      <x:c r="B11" s="76"/>
      <x:c r="C11" s="76"/>
      <x:c r="D11" s="76"/>
      <x:c r="E11" s="76"/>
      <x:c r="F11" s="76"/>
      <x:c r="G11" s="76"/>
      <x:c r="H11" s="77"/>
      <x:c r="I11" s="76"/>
      <x:c r="J11" s="76"/>
      <x:c r="K11" s="76"/>
      <x:c r="L11" s="76"/>
      <x:c r="M11" s="76"/>
      <x:c r="N11" s="76"/>
      <x:c r="O11" s="76"/>
      <x:c r="P11" s="76"/>
      <x:c r="Q11" s="76"/>
      <x:c r="R11" s="78" t="str">
        <x:f>IF(B11="","",TODAY())</x:f>
      </x:c>
      <x:c r="S11" s="76"/>
      <x:c r="T11" s="76" t="str">
        <x:f>IF(B11="","",IF(OR(D11="",E11="",H11="",I11="",J11="",M11="",O11="",P11&lt;&gt;"Validé humainement"),"ALERTE: données/preuves/statut",IF(FALSE,"ALERTE: valeur anormale","OK")))</x:f>
      </x:c>
      <x:c r="U11" s="76" t="str">
        <x:f>IF(B11="","",IF(P11="Validé humainement","Oui","Non"))</x:f>
      </x:c>
    </x:row>
    <x:row r="12">
      <x:c r="A12" s="76" t="str">
        <x:f>IF(B12="","","GEN-"&amp;TEXT(ROW()-4,"0000"))</x:f>
      </x:c>
      <x:c r="B12" s="76"/>
      <x:c r="C12" s="76"/>
      <x:c r="D12" s="76"/>
      <x:c r="E12" s="76"/>
      <x:c r="F12" s="76"/>
      <x:c r="G12" s="76"/>
      <x:c r="H12" s="77"/>
      <x:c r="I12" s="76"/>
      <x:c r="J12" s="76"/>
      <x:c r="K12" s="76"/>
      <x:c r="L12" s="76"/>
      <x:c r="M12" s="76"/>
      <x:c r="N12" s="76"/>
      <x:c r="O12" s="76"/>
      <x:c r="P12" s="76"/>
      <x:c r="Q12" s="76"/>
      <x:c r="R12" s="78" t="str">
        <x:f>IF(B12="","",TODAY())</x:f>
      </x:c>
      <x:c r="S12" s="76"/>
      <x:c r="T12" s="76" t="str">
        <x:f>IF(B12="","",IF(OR(D12="",E12="",H12="",I12="",J12="",M12="",O12="",P12&lt;&gt;"Validé humainement"),"ALERTE: données/preuves/statut",IF(FALSE,"ALERTE: valeur anormale","OK")))</x:f>
      </x:c>
      <x:c r="U12" s="76" t="str">
        <x:f>IF(B12="","",IF(P12="Validé humainement","Oui","Non"))</x:f>
      </x:c>
    </x:row>
    <x:row r="13">
      <x:c r="A13" s="76" t="str">
        <x:f>IF(B13="","","GEN-"&amp;TEXT(ROW()-4,"0000"))</x:f>
      </x:c>
      <x:c r="B13" s="76"/>
      <x:c r="C13" s="76"/>
      <x:c r="D13" s="76"/>
      <x:c r="E13" s="76"/>
      <x:c r="F13" s="76"/>
      <x:c r="G13" s="76"/>
      <x:c r="H13" s="77"/>
      <x:c r="I13" s="76"/>
      <x:c r="J13" s="76"/>
      <x:c r="K13" s="76"/>
      <x:c r="L13" s="76"/>
      <x:c r="M13" s="76"/>
      <x:c r="N13" s="76"/>
      <x:c r="O13" s="76"/>
      <x:c r="P13" s="76"/>
      <x:c r="Q13" s="76"/>
      <x:c r="R13" s="78" t="str">
        <x:f>IF(B13="","",TODAY())</x:f>
      </x:c>
      <x:c r="S13" s="76"/>
      <x:c r="T13" s="76" t="str">
        <x:f>IF(B13="","",IF(OR(D13="",E13="",H13="",I13="",J13="",M13="",O13="",P13&lt;&gt;"Validé humainement"),"ALERTE: données/preuves/statut",IF(FALSE,"ALERTE: valeur anormale","OK")))</x:f>
      </x:c>
      <x:c r="U13" s="76" t="str">
        <x:f>IF(B13="","",IF(P13="Validé humainement","Oui","Non"))</x:f>
      </x:c>
    </x:row>
    <x:row r="14">
      <x:c r="A14" s="76" t="str">
        <x:f>IF(B14="","","GEN-"&amp;TEXT(ROW()-4,"0000"))</x:f>
      </x:c>
      <x:c r="B14" s="76"/>
      <x:c r="C14" s="76"/>
      <x:c r="D14" s="76"/>
      <x:c r="E14" s="76"/>
      <x:c r="F14" s="76"/>
      <x:c r="G14" s="76"/>
      <x:c r="H14" s="77"/>
      <x:c r="I14" s="76"/>
      <x:c r="J14" s="76"/>
      <x:c r="K14" s="76"/>
      <x:c r="L14" s="76"/>
      <x:c r="M14" s="76"/>
      <x:c r="N14" s="76"/>
      <x:c r="O14" s="76"/>
      <x:c r="P14" s="76"/>
      <x:c r="Q14" s="76"/>
      <x:c r="R14" s="78" t="str">
        <x:f>IF(B14="","",TODAY())</x:f>
      </x:c>
      <x:c r="S14" s="76"/>
      <x:c r="T14" s="76" t="str">
        <x:f>IF(B14="","",IF(OR(D14="",E14="",H14="",I14="",J14="",M14="",O14="",P14&lt;&gt;"Validé humainement"),"ALERTE: données/preuves/statut",IF(FALSE,"ALERTE: valeur anormale","OK")))</x:f>
      </x:c>
      <x:c r="U14" s="76" t="str">
        <x:f>IF(B14="","",IF(P14="Validé humainement","Oui","Non"))</x:f>
      </x:c>
    </x:row>
    <x:row r="15">
      <x:c r="A15" s="76" t="str">
        <x:f>IF(B15="","","GEN-"&amp;TEXT(ROW()-4,"0000"))</x:f>
      </x:c>
      <x:c r="B15" s="76"/>
      <x:c r="C15" s="76"/>
      <x:c r="D15" s="76"/>
      <x:c r="E15" s="76"/>
      <x:c r="F15" s="76"/>
      <x:c r="G15" s="76"/>
      <x:c r="H15" s="77"/>
      <x:c r="I15" s="76"/>
      <x:c r="J15" s="76"/>
      <x:c r="K15" s="76"/>
      <x:c r="L15" s="76"/>
      <x:c r="M15" s="76"/>
      <x:c r="N15" s="76"/>
      <x:c r="O15" s="76"/>
      <x:c r="P15" s="76"/>
      <x:c r="Q15" s="76"/>
      <x:c r="R15" s="78" t="str">
        <x:f>IF(B15="","",TODAY())</x:f>
      </x:c>
      <x:c r="S15" s="76"/>
      <x:c r="T15" s="76" t="str">
        <x:f>IF(B15="","",IF(OR(D15="",E15="",H15="",I15="",J15="",M15="",O15="",P15&lt;&gt;"Validé humainement"),"ALERTE: données/preuves/statut",IF(FALSE,"ALERTE: valeur anormale","OK")))</x:f>
      </x:c>
      <x:c r="U15" s="76" t="str">
        <x:f>IF(B15="","",IF(P15="Validé humainement","Oui","Non"))</x:f>
      </x:c>
    </x:row>
    <x:row r="16">
      <x:c r="A16" s="76" t="str">
        <x:f>IF(B16="","","GEN-"&amp;TEXT(ROW()-4,"0000"))</x:f>
      </x:c>
      <x:c r="B16" s="76"/>
      <x:c r="C16" s="76"/>
      <x:c r="D16" s="76"/>
      <x:c r="E16" s="76"/>
      <x:c r="F16" s="76"/>
      <x:c r="G16" s="76"/>
      <x:c r="H16" s="77"/>
      <x:c r="I16" s="76"/>
      <x:c r="J16" s="76"/>
      <x:c r="K16" s="76"/>
      <x:c r="L16" s="76"/>
      <x:c r="M16" s="76"/>
      <x:c r="N16" s="76"/>
      <x:c r="O16" s="76"/>
      <x:c r="P16" s="76"/>
      <x:c r="Q16" s="76"/>
      <x:c r="R16" s="78" t="str">
        <x:f>IF(B16="","",TODAY())</x:f>
      </x:c>
      <x:c r="S16" s="76"/>
      <x:c r="T16" s="76" t="str">
        <x:f>IF(B16="","",IF(OR(D16="",E16="",H16="",I16="",J16="",M16="",O16="",P16&lt;&gt;"Validé humainement"),"ALERTE: données/preuves/statut",IF(FALSE,"ALERTE: valeur anormale","OK")))</x:f>
      </x:c>
      <x:c r="U16" s="76" t="str">
        <x:f>IF(B16="","",IF(P16="Validé humainement","Oui","Non"))</x:f>
      </x:c>
    </x:row>
    <x:row r="17">
      <x:c r="A17" s="76" t="str">
        <x:f>IF(B17="","","GEN-"&amp;TEXT(ROW()-4,"0000"))</x:f>
      </x:c>
      <x:c r="B17" s="76"/>
      <x:c r="C17" s="76"/>
      <x:c r="D17" s="76"/>
      <x:c r="E17" s="76"/>
      <x:c r="F17" s="76"/>
      <x:c r="G17" s="76"/>
      <x:c r="H17" s="77"/>
      <x:c r="I17" s="76"/>
      <x:c r="J17" s="76"/>
      <x:c r="K17" s="76"/>
      <x:c r="L17" s="76"/>
      <x:c r="M17" s="76"/>
      <x:c r="N17" s="76"/>
      <x:c r="O17" s="76"/>
      <x:c r="P17" s="76"/>
      <x:c r="Q17" s="76"/>
      <x:c r="R17" s="78" t="str">
        <x:f>IF(B17="","",TODAY())</x:f>
      </x:c>
      <x:c r="S17" s="76"/>
      <x:c r="T17" s="76" t="str">
        <x:f>IF(B17="","",IF(OR(D17="",E17="",H17="",I17="",J17="",M17="",O17="",P17&lt;&gt;"Validé humainement"),"ALERTE: données/preuves/statut",IF(FALSE,"ALERTE: valeur anormale","OK")))</x:f>
      </x:c>
      <x:c r="U17" s="76" t="str">
        <x:f>IF(B17="","",IF(P17="Validé humainement","Oui","Non"))</x:f>
      </x:c>
    </x:row>
    <x:row r="18">
      <x:c r="A18" s="76" t="str">
        <x:f>IF(B18="","","GEN-"&amp;TEXT(ROW()-4,"0000"))</x:f>
      </x:c>
      <x:c r="B18" s="76"/>
      <x:c r="C18" s="76"/>
      <x:c r="D18" s="76"/>
      <x:c r="E18" s="76"/>
      <x:c r="F18" s="76"/>
      <x:c r="G18" s="76"/>
      <x:c r="H18" s="77"/>
      <x:c r="I18" s="76"/>
      <x:c r="J18" s="76"/>
      <x:c r="K18" s="76"/>
      <x:c r="L18" s="76"/>
      <x:c r="M18" s="76"/>
      <x:c r="N18" s="76"/>
      <x:c r="O18" s="76"/>
      <x:c r="P18" s="76"/>
      <x:c r="Q18" s="76"/>
      <x:c r="R18" s="78" t="str">
        <x:f>IF(B18="","",TODAY())</x:f>
      </x:c>
      <x:c r="S18" s="76"/>
      <x:c r="T18" s="76" t="str">
        <x:f>IF(B18="","",IF(OR(D18="",E18="",H18="",I18="",J18="",M18="",O18="",P18&lt;&gt;"Validé humainement"),"ALERTE: données/preuves/statut",IF(FALSE,"ALERTE: valeur anormale","OK")))</x:f>
      </x:c>
      <x:c r="U18" s="76" t="str">
        <x:f>IF(B18="","",IF(P18="Validé humainement","Oui","Non"))</x:f>
      </x:c>
    </x:row>
    <x:row r="19">
      <x:c r="A19" s="76" t="str">
        <x:f>IF(B19="","","GEN-"&amp;TEXT(ROW()-4,"0000"))</x:f>
      </x:c>
      <x:c r="B19" s="76"/>
      <x:c r="C19" s="76"/>
      <x:c r="D19" s="76"/>
      <x:c r="E19" s="76"/>
      <x:c r="F19" s="76"/>
      <x:c r="G19" s="76"/>
      <x:c r="H19" s="77"/>
      <x:c r="I19" s="76"/>
      <x:c r="J19" s="76"/>
      <x:c r="K19" s="76"/>
      <x:c r="L19" s="76"/>
      <x:c r="M19" s="76"/>
      <x:c r="N19" s="76"/>
      <x:c r="O19" s="76"/>
      <x:c r="P19" s="76"/>
      <x:c r="Q19" s="76"/>
      <x:c r="R19" s="78" t="str">
        <x:f>IF(B19="","",TODAY())</x:f>
      </x:c>
      <x:c r="S19" s="76"/>
      <x:c r="T19" s="76" t="str">
        <x:f>IF(B19="","",IF(OR(D19="",E19="",H19="",I19="",J19="",M19="",O19="",P19&lt;&gt;"Validé humainement"),"ALERTE: données/preuves/statut",IF(FALSE,"ALERTE: valeur anormale","OK")))</x:f>
      </x:c>
      <x:c r="U19" s="76" t="str">
        <x:f>IF(B19="","",IF(P19="Validé humainement","Oui","Non"))</x:f>
      </x:c>
    </x:row>
    <x:row r="20">
      <x:c r="A20" s="76" t="str">
        <x:f>IF(B20="","","GEN-"&amp;TEXT(ROW()-4,"0000"))</x:f>
      </x:c>
      <x:c r="B20" s="76"/>
      <x:c r="C20" s="76"/>
      <x:c r="D20" s="76"/>
      <x:c r="E20" s="76"/>
      <x:c r="F20" s="76"/>
      <x:c r="G20" s="76"/>
      <x:c r="H20" s="77"/>
      <x:c r="I20" s="76"/>
      <x:c r="J20" s="76"/>
      <x:c r="K20" s="76"/>
      <x:c r="L20" s="76"/>
      <x:c r="M20" s="76"/>
      <x:c r="N20" s="76"/>
      <x:c r="O20" s="76"/>
      <x:c r="P20" s="76"/>
      <x:c r="Q20" s="76"/>
      <x:c r="R20" s="78" t="str">
        <x:f>IF(B20="","",TODAY())</x:f>
      </x:c>
      <x:c r="S20" s="76"/>
      <x:c r="T20" s="76" t="str">
        <x:f>IF(B20="","",IF(OR(D20="",E20="",H20="",I20="",J20="",M20="",O20="",P20&lt;&gt;"Validé humainement"),"ALERTE: données/preuves/statut",IF(FALSE,"ALERTE: valeur anormale","OK")))</x:f>
      </x:c>
      <x:c r="U20" s="76" t="str">
        <x:f>IF(B20="","",IF(P20="Validé humainement","Oui","Non"))</x:f>
      </x:c>
    </x:row>
    <x:row r="21">
      <x:c r="A21" s="76" t="str">
        <x:f>IF(B21="","","GEN-"&amp;TEXT(ROW()-4,"0000"))</x:f>
      </x:c>
      <x:c r="B21" s="76"/>
      <x:c r="C21" s="76"/>
      <x:c r="D21" s="76"/>
      <x:c r="E21" s="76"/>
      <x:c r="F21" s="76"/>
      <x:c r="G21" s="76"/>
      <x:c r="H21" s="77"/>
      <x:c r="I21" s="76"/>
      <x:c r="J21" s="76"/>
      <x:c r="K21" s="76"/>
      <x:c r="L21" s="76"/>
      <x:c r="M21" s="76"/>
      <x:c r="N21" s="76"/>
      <x:c r="O21" s="76"/>
      <x:c r="P21" s="76"/>
      <x:c r="Q21" s="76"/>
      <x:c r="R21" s="78" t="str">
        <x:f>IF(B21="","",TODAY())</x:f>
      </x:c>
      <x:c r="S21" s="76"/>
      <x:c r="T21" s="76" t="str">
        <x:f>IF(B21="","",IF(OR(D21="",E21="",H21="",I21="",J21="",M21="",O21="",P21&lt;&gt;"Validé humainement"),"ALERTE: données/preuves/statut",IF(FALSE,"ALERTE: valeur anormale","OK")))</x:f>
      </x:c>
      <x:c r="U21" s="76" t="str">
        <x:f>IF(B21="","",IF(P21="Validé humainement","Oui","Non"))</x:f>
      </x:c>
    </x:row>
    <x:row r="22">
      <x:c r="A22" s="76" t="str">
        <x:f>IF(B22="","","GEN-"&amp;TEXT(ROW()-4,"0000"))</x:f>
      </x:c>
      <x:c r="B22" s="76"/>
      <x:c r="C22" s="76"/>
      <x:c r="D22" s="76"/>
      <x:c r="E22" s="76"/>
      <x:c r="F22" s="76"/>
      <x:c r="G22" s="76"/>
      <x:c r="H22" s="77"/>
      <x:c r="I22" s="76"/>
      <x:c r="J22" s="76"/>
      <x:c r="K22" s="76"/>
      <x:c r="L22" s="76"/>
      <x:c r="M22" s="76"/>
      <x:c r="N22" s="76"/>
      <x:c r="O22" s="76"/>
      <x:c r="P22" s="76"/>
      <x:c r="Q22" s="76"/>
      <x:c r="R22" s="78" t="str">
        <x:f>IF(B22="","",TODAY())</x:f>
      </x:c>
      <x:c r="S22" s="76"/>
      <x:c r="T22" s="76" t="str">
        <x:f>IF(B22="","",IF(OR(D22="",E22="",H22="",I22="",J22="",M22="",O22="",P22&lt;&gt;"Validé humainement"),"ALERTE: données/preuves/statut",IF(FALSE,"ALERTE: valeur anormale","OK")))</x:f>
      </x:c>
      <x:c r="U22" s="76" t="str">
        <x:f>IF(B22="","",IF(P22="Validé humainement","Oui","Non"))</x:f>
      </x:c>
    </x:row>
    <x:row r="23">
      <x:c r="A23" s="76" t="str">
        <x:f>IF(B23="","","GEN-"&amp;TEXT(ROW()-4,"0000"))</x:f>
      </x:c>
      <x:c r="B23" s="76"/>
      <x:c r="C23" s="76"/>
      <x:c r="D23" s="76"/>
      <x:c r="E23" s="76"/>
      <x:c r="F23" s="76"/>
      <x:c r="G23" s="76"/>
      <x:c r="H23" s="77"/>
      <x:c r="I23" s="76"/>
      <x:c r="J23" s="76"/>
      <x:c r="K23" s="76"/>
      <x:c r="L23" s="76"/>
      <x:c r="M23" s="76"/>
      <x:c r="N23" s="76"/>
      <x:c r="O23" s="76"/>
      <x:c r="P23" s="76"/>
      <x:c r="Q23" s="76"/>
      <x:c r="R23" s="78" t="str">
        <x:f>IF(B23="","",TODAY())</x:f>
      </x:c>
      <x:c r="S23" s="76"/>
      <x:c r="T23" s="76" t="str">
        <x:f>IF(B23="","",IF(OR(D23="",E23="",H23="",I23="",J23="",M23="",O23="",P23&lt;&gt;"Validé humainement"),"ALERTE: données/preuves/statut",IF(FALSE,"ALERTE: valeur anormale","OK")))</x:f>
      </x:c>
      <x:c r="U23" s="76" t="str">
        <x:f>IF(B23="","",IF(P23="Validé humainement","Oui","Non"))</x:f>
      </x:c>
    </x:row>
    <x:row r="24">
      <x:c r="A24" s="76" t="str">
        <x:f>IF(B24="","","GEN-"&amp;TEXT(ROW()-4,"0000"))</x:f>
      </x:c>
      <x:c r="B24" s="76"/>
      <x:c r="C24" s="76"/>
      <x:c r="D24" s="76"/>
      <x:c r="E24" s="76"/>
      <x:c r="F24" s="76"/>
      <x:c r="G24" s="76"/>
      <x:c r="H24" s="77"/>
      <x:c r="I24" s="76"/>
      <x:c r="J24" s="76"/>
      <x:c r="K24" s="76"/>
      <x:c r="L24" s="76"/>
      <x:c r="M24" s="76"/>
      <x:c r="N24" s="76"/>
      <x:c r="O24" s="76"/>
      <x:c r="P24" s="76"/>
      <x:c r="Q24" s="76"/>
      <x:c r="R24" s="78" t="str">
        <x:f>IF(B24="","",TODAY())</x:f>
      </x:c>
      <x:c r="S24" s="76"/>
      <x:c r="T24" s="76" t="str">
        <x:f>IF(B24="","",IF(OR(D24="",E24="",H24="",I24="",J24="",M24="",O24="",P24&lt;&gt;"Validé humainement"),"ALERTE: données/preuves/statut",IF(FALSE,"ALERTE: valeur anormale","OK")))</x:f>
      </x:c>
      <x:c r="U24" s="76" t="str">
        <x:f>IF(B24="","",IF(P24="Validé humainement","Oui","Non"))</x:f>
      </x:c>
    </x:row>
    <x:row r="25">
      <x:c r="A25" s="76" t="str">
        <x:f>IF(B25="","","GEN-"&amp;TEXT(ROW()-4,"0000"))</x:f>
      </x:c>
      <x:c r="B25" s="76"/>
      <x:c r="C25" s="76"/>
      <x:c r="D25" s="76"/>
      <x:c r="E25" s="76"/>
      <x:c r="F25" s="76"/>
      <x:c r="G25" s="76"/>
      <x:c r="H25" s="77"/>
      <x:c r="I25" s="76"/>
      <x:c r="J25" s="76"/>
      <x:c r="K25" s="76"/>
      <x:c r="L25" s="76"/>
      <x:c r="M25" s="76"/>
      <x:c r="N25" s="76"/>
      <x:c r="O25" s="76"/>
      <x:c r="P25" s="76"/>
      <x:c r="Q25" s="76"/>
      <x:c r="R25" s="78" t="str">
        <x:f>IF(B25="","",TODAY())</x:f>
      </x:c>
      <x:c r="S25" s="76"/>
      <x:c r="T25" s="76" t="str">
        <x:f>IF(B25="","",IF(OR(D25="",E25="",H25="",I25="",J25="",M25="",O25="",P25&lt;&gt;"Validé humainement"),"ALERTE: données/preuves/statut",IF(FALSE,"ALERTE: valeur anormale","OK")))</x:f>
      </x:c>
      <x:c r="U25" s="76" t="str">
        <x:f>IF(B25="","",IF(P25="Validé humainement","Oui","Non"))</x:f>
      </x:c>
    </x:row>
    <x:row r="26">
      <x:c r="A26" s="76" t="str">
        <x:f>IF(B26="","","GEN-"&amp;TEXT(ROW()-4,"0000"))</x:f>
      </x:c>
      <x:c r="B26" s="76"/>
      <x:c r="C26" s="76"/>
      <x:c r="D26" s="76"/>
      <x:c r="E26" s="76"/>
      <x:c r="F26" s="76"/>
      <x:c r="G26" s="76"/>
      <x:c r="H26" s="77"/>
      <x:c r="I26" s="76"/>
      <x:c r="J26" s="76"/>
      <x:c r="K26" s="76"/>
      <x:c r="L26" s="76"/>
      <x:c r="M26" s="76"/>
      <x:c r="N26" s="76"/>
      <x:c r="O26" s="76"/>
      <x:c r="P26" s="76"/>
      <x:c r="Q26" s="76"/>
      <x:c r="R26" s="78" t="str">
        <x:f>IF(B26="","",TODAY())</x:f>
      </x:c>
      <x:c r="S26" s="76"/>
      <x:c r="T26" s="76" t="str">
        <x:f>IF(B26="","",IF(OR(D26="",E26="",H26="",I26="",J26="",M26="",O26="",P26&lt;&gt;"Validé humainement"),"ALERTE: données/preuves/statut",IF(FALSE,"ALERTE: valeur anormale","OK")))</x:f>
      </x:c>
      <x:c r="U26" s="76" t="str">
        <x:f>IF(B26="","",IF(P26="Validé humainement","Oui","Non"))</x:f>
      </x:c>
    </x:row>
    <x:row r="27">
      <x:c r="A27" s="76" t="str">
        <x:f>IF(B27="","","GEN-"&amp;TEXT(ROW()-4,"0000"))</x:f>
      </x:c>
      <x:c r="B27" s="76"/>
      <x:c r="C27" s="76"/>
      <x:c r="D27" s="76"/>
      <x:c r="E27" s="76"/>
      <x:c r="F27" s="76"/>
      <x:c r="G27" s="76"/>
      <x:c r="H27" s="77"/>
      <x:c r="I27" s="76"/>
      <x:c r="J27" s="76"/>
      <x:c r="K27" s="76"/>
      <x:c r="L27" s="76"/>
      <x:c r="M27" s="76"/>
      <x:c r="N27" s="76"/>
      <x:c r="O27" s="76"/>
      <x:c r="P27" s="76"/>
      <x:c r="Q27" s="76"/>
      <x:c r="R27" s="78" t="str">
        <x:f>IF(B27="","",TODAY())</x:f>
      </x:c>
      <x:c r="S27" s="76"/>
      <x:c r="T27" s="76" t="str">
        <x:f>IF(B27="","",IF(OR(D27="",E27="",H27="",I27="",J27="",M27="",O27="",P27&lt;&gt;"Validé humainement"),"ALERTE: données/preuves/statut",IF(FALSE,"ALERTE: valeur anormale","OK")))</x:f>
      </x:c>
      <x:c r="U27" s="76" t="str">
        <x:f>IF(B27="","",IF(P27="Validé humainement","Oui","Non"))</x:f>
      </x:c>
    </x:row>
    <x:row r="28">
      <x:c r="A28" s="76" t="str">
        <x:f>IF(B28="","","GEN-"&amp;TEXT(ROW()-4,"0000"))</x:f>
      </x:c>
      <x:c r="B28" s="76"/>
      <x:c r="C28" s="76"/>
      <x:c r="D28" s="76"/>
      <x:c r="E28" s="76"/>
      <x:c r="F28" s="76"/>
      <x:c r="G28" s="76"/>
      <x:c r="H28" s="77"/>
      <x:c r="I28" s="76"/>
      <x:c r="J28" s="76"/>
      <x:c r="K28" s="76"/>
      <x:c r="L28" s="76"/>
      <x:c r="M28" s="76"/>
      <x:c r="N28" s="76"/>
      <x:c r="O28" s="76"/>
      <x:c r="P28" s="76"/>
      <x:c r="Q28" s="76"/>
      <x:c r="R28" s="78" t="str">
        <x:f>IF(B28="","",TODAY())</x:f>
      </x:c>
      <x:c r="S28" s="76"/>
      <x:c r="T28" s="76" t="str">
        <x:f>IF(B28="","",IF(OR(D28="",E28="",H28="",I28="",J28="",M28="",O28="",P28&lt;&gt;"Validé humainement"),"ALERTE: données/preuves/statut",IF(FALSE,"ALERTE: valeur anormale","OK")))</x:f>
      </x:c>
      <x:c r="U28" s="76" t="str">
        <x:f>IF(B28="","",IF(P28="Validé humainement","Oui","Non"))</x:f>
      </x:c>
    </x:row>
    <x:row r="29">
      <x:c r="A29" s="76" t="str">
        <x:f>IF(B29="","","GEN-"&amp;TEXT(ROW()-4,"0000"))</x:f>
      </x:c>
      <x:c r="B29" s="76"/>
      <x:c r="C29" s="76"/>
      <x:c r="D29" s="76"/>
      <x:c r="E29" s="76"/>
      <x:c r="F29" s="76"/>
      <x:c r="G29" s="76"/>
      <x:c r="H29" s="77"/>
      <x:c r="I29" s="76"/>
      <x:c r="J29" s="76"/>
      <x:c r="K29" s="76"/>
      <x:c r="L29" s="76"/>
      <x:c r="M29" s="76"/>
      <x:c r="N29" s="76"/>
      <x:c r="O29" s="76"/>
      <x:c r="P29" s="76"/>
      <x:c r="Q29" s="76"/>
      <x:c r="R29" s="78" t="str">
        <x:f>IF(B29="","",TODAY())</x:f>
      </x:c>
      <x:c r="S29" s="76"/>
      <x:c r="T29" s="76" t="str">
        <x:f>IF(B29="","",IF(OR(D29="",E29="",H29="",I29="",J29="",M29="",O29="",P29&lt;&gt;"Validé humainement"),"ALERTE: données/preuves/statut",IF(FALSE,"ALERTE: valeur anormale","OK")))</x:f>
      </x:c>
      <x:c r="U29" s="76" t="str">
        <x:f>IF(B29="","",IF(P29="Validé humainement","Oui","Non"))</x:f>
      </x:c>
    </x:row>
    <x:row r="30">
      <x:c r="A30" s="76" t="str">
        <x:f>IF(B30="","","GEN-"&amp;TEXT(ROW()-4,"0000"))</x:f>
      </x:c>
      <x:c r="B30" s="76"/>
      <x:c r="C30" s="76"/>
      <x:c r="D30" s="76"/>
      <x:c r="E30" s="76"/>
      <x:c r="F30" s="76"/>
      <x:c r="G30" s="76"/>
      <x:c r="H30" s="77"/>
      <x:c r="I30" s="76"/>
      <x:c r="J30" s="76"/>
      <x:c r="K30" s="76"/>
      <x:c r="L30" s="76"/>
      <x:c r="M30" s="76"/>
      <x:c r="N30" s="76"/>
      <x:c r="O30" s="76"/>
      <x:c r="P30" s="76"/>
      <x:c r="Q30" s="76"/>
      <x:c r="R30" s="78" t="str">
        <x:f>IF(B30="","",TODAY())</x:f>
      </x:c>
      <x:c r="S30" s="76"/>
      <x:c r="T30" s="76" t="str">
        <x:f>IF(B30="","",IF(OR(D30="",E30="",H30="",I30="",J30="",M30="",O30="",P30&lt;&gt;"Validé humainement"),"ALERTE: données/preuves/statut",IF(FALSE,"ALERTE: valeur anormale","OK")))</x:f>
      </x:c>
      <x:c r="U30" s="76" t="str">
        <x:f>IF(B30="","",IF(P30="Validé humainement","Oui","Non"))</x:f>
      </x:c>
    </x:row>
    <x:row r="31">
      <x:c r="A31" s="76" t="str">
        <x:f>IF(B31="","","GEN-"&amp;TEXT(ROW()-4,"0000"))</x:f>
      </x:c>
      <x:c r="B31" s="76"/>
      <x:c r="C31" s="76"/>
      <x:c r="D31" s="76"/>
      <x:c r="E31" s="76"/>
      <x:c r="F31" s="76"/>
      <x:c r="G31" s="76"/>
      <x:c r="H31" s="77"/>
      <x:c r="I31" s="76"/>
      <x:c r="J31" s="76"/>
      <x:c r="K31" s="76"/>
      <x:c r="L31" s="76"/>
      <x:c r="M31" s="76"/>
      <x:c r="N31" s="76"/>
      <x:c r="O31" s="76"/>
      <x:c r="P31" s="76"/>
      <x:c r="Q31" s="76"/>
      <x:c r="R31" s="78" t="str">
        <x:f>IF(B31="","",TODAY())</x:f>
      </x:c>
      <x:c r="S31" s="76"/>
      <x:c r="T31" s="76" t="str">
        <x:f>IF(B31="","",IF(OR(D31="",E31="",H31="",I31="",J31="",M31="",O31="",P31&lt;&gt;"Validé humainement"),"ALERTE: données/preuves/statut",IF(FALSE,"ALERTE: valeur anormale","OK")))</x:f>
      </x:c>
      <x:c r="U31" s="76" t="str">
        <x:f>IF(B31="","",IF(P31="Validé humainement","Oui","Non"))</x:f>
      </x:c>
    </x:row>
    <x:row r="32">
      <x:c r="A32" s="76" t="str">
        <x:f>IF(B32="","","GEN-"&amp;TEXT(ROW()-4,"0000"))</x:f>
      </x:c>
      <x:c r="B32" s="76"/>
      <x:c r="C32" s="76"/>
      <x:c r="D32" s="76"/>
      <x:c r="E32" s="76"/>
      <x:c r="F32" s="76"/>
      <x:c r="G32" s="76"/>
      <x:c r="H32" s="77"/>
      <x:c r="I32" s="76"/>
      <x:c r="J32" s="76"/>
      <x:c r="K32" s="76"/>
      <x:c r="L32" s="76"/>
      <x:c r="M32" s="76"/>
      <x:c r="N32" s="76"/>
      <x:c r="O32" s="76"/>
      <x:c r="P32" s="76"/>
      <x:c r="Q32" s="76"/>
      <x:c r="R32" s="78" t="str">
        <x:f>IF(B32="","",TODAY())</x:f>
      </x:c>
      <x:c r="S32" s="76"/>
      <x:c r="T32" s="76" t="str">
        <x:f>IF(B32="","",IF(OR(D32="",E32="",H32="",I32="",J32="",M32="",O32="",P32&lt;&gt;"Validé humainement"),"ALERTE: données/preuves/statut",IF(FALSE,"ALERTE: valeur anormale","OK")))</x:f>
      </x:c>
      <x:c r="U32" s="76" t="str">
        <x:f>IF(B32="","",IF(P32="Validé humainement","Oui","Non"))</x:f>
      </x:c>
    </x:row>
    <x:row r="33">
      <x:c r="A33" s="76" t="str">
        <x:f>IF(B33="","","GEN-"&amp;TEXT(ROW()-4,"0000"))</x:f>
      </x:c>
      <x:c r="B33" s="76"/>
      <x:c r="C33" s="76"/>
      <x:c r="D33" s="76"/>
      <x:c r="E33" s="76"/>
      <x:c r="F33" s="76"/>
      <x:c r="G33" s="76"/>
      <x:c r="H33" s="77"/>
      <x:c r="I33" s="76"/>
      <x:c r="J33" s="76"/>
      <x:c r="K33" s="76"/>
      <x:c r="L33" s="76"/>
      <x:c r="M33" s="76"/>
      <x:c r="N33" s="76"/>
      <x:c r="O33" s="76"/>
      <x:c r="P33" s="76"/>
      <x:c r="Q33" s="76"/>
      <x:c r="R33" s="78" t="str">
        <x:f>IF(B33="","",TODAY())</x:f>
      </x:c>
      <x:c r="S33" s="76"/>
      <x:c r="T33" s="76" t="str">
        <x:f>IF(B33="","",IF(OR(D33="",E33="",H33="",I33="",J33="",M33="",O33="",P33&lt;&gt;"Validé humainement"),"ALERTE: données/preuves/statut",IF(FALSE,"ALERTE: valeur anormale","OK")))</x:f>
      </x:c>
      <x:c r="U33" s="76" t="str">
        <x:f>IF(B33="","",IF(P33="Validé humainement","Oui","Non"))</x:f>
      </x:c>
    </x:row>
    <x:row r="34">
      <x:c r="A34" s="76" t="str">
        <x:f>IF(B34="","","GEN-"&amp;TEXT(ROW()-4,"0000"))</x:f>
      </x:c>
      <x:c r="B34" s="76"/>
      <x:c r="C34" s="76"/>
      <x:c r="D34" s="76"/>
      <x:c r="E34" s="76"/>
      <x:c r="F34" s="76"/>
      <x:c r="G34" s="76"/>
      <x:c r="H34" s="77"/>
      <x:c r="I34" s="76"/>
      <x:c r="J34" s="76"/>
      <x:c r="K34" s="76"/>
      <x:c r="L34" s="76"/>
      <x:c r="M34" s="76"/>
      <x:c r="N34" s="76"/>
      <x:c r="O34" s="76"/>
      <x:c r="P34" s="76"/>
      <x:c r="Q34" s="76"/>
      <x:c r="R34" s="78" t="str">
        <x:f>IF(B34="","",TODAY())</x:f>
      </x:c>
      <x:c r="S34" s="76"/>
      <x:c r="T34" s="76" t="str">
        <x:f>IF(B34="","",IF(OR(D34="",E34="",H34="",I34="",J34="",M34="",O34="",P34&lt;&gt;"Validé humainement"),"ALERTE: données/preuves/statut",IF(FALSE,"ALERTE: valeur anormale","OK")))</x:f>
      </x:c>
      <x:c r="U34" s="76" t="str">
        <x:f>IF(B34="","",IF(P34="Validé humainement","Oui","Non"))</x:f>
      </x:c>
    </x:row>
    <x:row r="35">
      <x:c r="A35" s="76" t="str">
        <x:f>IF(B35="","","GEN-"&amp;TEXT(ROW()-4,"0000"))</x:f>
      </x:c>
      <x:c r="B35" s="76"/>
      <x:c r="C35" s="76"/>
      <x:c r="D35" s="76"/>
      <x:c r="E35" s="76"/>
      <x:c r="F35" s="76"/>
      <x:c r="G35" s="76"/>
      <x:c r="H35" s="77"/>
      <x:c r="I35" s="76"/>
      <x:c r="J35" s="76"/>
      <x:c r="K35" s="76"/>
      <x:c r="L35" s="76"/>
      <x:c r="M35" s="76"/>
      <x:c r="N35" s="76"/>
      <x:c r="O35" s="76"/>
      <x:c r="P35" s="76"/>
      <x:c r="Q35" s="76"/>
      <x:c r="R35" s="78" t="str">
        <x:f>IF(B35="","",TODAY())</x:f>
      </x:c>
      <x:c r="S35" s="76"/>
      <x:c r="T35" s="76" t="str">
        <x:f>IF(B35="","",IF(OR(D35="",E35="",H35="",I35="",J35="",M35="",O35="",P35&lt;&gt;"Validé humainement"),"ALERTE: données/preuves/statut",IF(FALSE,"ALERTE: valeur anormale","OK")))</x:f>
      </x:c>
      <x:c r="U35" s="76" t="str">
        <x:f>IF(B35="","",IF(P35="Validé humainement","Oui","Non"))</x:f>
      </x:c>
    </x:row>
    <x:row r="36">
      <x:c r="A36" s="76" t="str">
        <x:f>IF(B36="","","GEN-"&amp;TEXT(ROW()-4,"0000"))</x:f>
      </x:c>
      <x:c r="B36" s="76"/>
      <x:c r="C36" s="76"/>
      <x:c r="D36" s="76"/>
      <x:c r="E36" s="76"/>
      <x:c r="F36" s="76"/>
      <x:c r="G36" s="76"/>
      <x:c r="H36" s="77"/>
      <x:c r="I36" s="76"/>
      <x:c r="J36" s="76"/>
      <x:c r="K36" s="76"/>
      <x:c r="L36" s="76"/>
      <x:c r="M36" s="76"/>
      <x:c r="N36" s="76"/>
      <x:c r="O36" s="76"/>
      <x:c r="P36" s="76"/>
      <x:c r="Q36" s="76"/>
      <x:c r="R36" s="78" t="str">
        <x:f>IF(B36="","",TODAY())</x:f>
      </x:c>
      <x:c r="S36" s="76"/>
      <x:c r="T36" s="76" t="str">
        <x:f>IF(B36="","",IF(OR(D36="",E36="",H36="",I36="",J36="",M36="",O36="",P36&lt;&gt;"Validé humainement"),"ALERTE: données/preuves/statut",IF(FALSE,"ALERTE: valeur anormale","OK")))</x:f>
      </x:c>
      <x:c r="U36" s="76" t="str">
        <x:f>IF(B36="","",IF(P36="Validé humainement","Oui","Non"))</x:f>
      </x:c>
    </x:row>
    <x:row r="37">
      <x:c r="A37" s="76" t="str">
        <x:f>IF(B37="","","GEN-"&amp;TEXT(ROW()-4,"0000"))</x:f>
      </x:c>
      <x:c r="B37" s="76"/>
      <x:c r="C37" s="76"/>
      <x:c r="D37" s="76"/>
      <x:c r="E37" s="76"/>
      <x:c r="F37" s="76"/>
      <x:c r="G37" s="76"/>
      <x:c r="H37" s="77"/>
      <x:c r="I37" s="76"/>
      <x:c r="J37" s="76"/>
      <x:c r="K37" s="76"/>
      <x:c r="L37" s="76"/>
      <x:c r="M37" s="76"/>
      <x:c r="N37" s="76"/>
      <x:c r="O37" s="76"/>
      <x:c r="P37" s="76"/>
      <x:c r="Q37" s="76"/>
      <x:c r="R37" s="78" t="str">
        <x:f>IF(B37="","",TODAY())</x:f>
      </x:c>
      <x:c r="S37" s="76"/>
      <x:c r="T37" s="76" t="str">
        <x:f>IF(B37="","",IF(OR(D37="",E37="",H37="",I37="",J37="",M37="",O37="",P37&lt;&gt;"Validé humainement"),"ALERTE: données/preuves/statut",IF(FALSE,"ALERTE: valeur anormale","OK")))</x:f>
      </x:c>
      <x:c r="U37" s="76" t="str">
        <x:f>IF(B37="","",IF(P37="Validé humainement","Oui","Non"))</x:f>
      </x:c>
    </x:row>
    <x:row r="38">
      <x:c r="A38" s="76" t="str">
        <x:f>IF(B38="","","GEN-"&amp;TEXT(ROW()-4,"0000"))</x:f>
      </x:c>
      <x:c r="B38" s="76"/>
      <x:c r="C38" s="76"/>
      <x:c r="D38" s="76"/>
      <x:c r="E38" s="76"/>
      <x:c r="F38" s="76"/>
      <x:c r="G38" s="76"/>
      <x:c r="H38" s="77"/>
      <x:c r="I38" s="76"/>
      <x:c r="J38" s="76"/>
      <x:c r="K38" s="76"/>
      <x:c r="L38" s="76"/>
      <x:c r="M38" s="76"/>
      <x:c r="N38" s="76"/>
      <x:c r="O38" s="76"/>
      <x:c r="P38" s="76"/>
      <x:c r="Q38" s="76"/>
      <x:c r="R38" s="78" t="str">
        <x:f>IF(B38="","",TODAY())</x:f>
      </x:c>
      <x:c r="S38" s="76"/>
      <x:c r="T38" s="76" t="str">
        <x:f>IF(B38="","",IF(OR(D38="",E38="",H38="",I38="",J38="",M38="",O38="",P38&lt;&gt;"Validé humainement"),"ALERTE: données/preuves/statut",IF(FALSE,"ALERTE: valeur anormale","OK")))</x:f>
      </x:c>
      <x:c r="U38" s="76" t="str">
        <x:f>IF(B38="","",IF(P38="Validé humainement","Oui","Non"))</x:f>
      </x:c>
    </x:row>
    <x:row r="39">
      <x:c r="A39" s="76" t="str">
        <x:f>IF(B39="","","GEN-"&amp;TEXT(ROW()-4,"0000"))</x:f>
      </x:c>
      <x:c r="B39" s="76"/>
      <x:c r="C39" s="76"/>
      <x:c r="D39" s="76"/>
      <x:c r="E39" s="76"/>
      <x:c r="F39" s="76"/>
      <x:c r="G39" s="76"/>
      <x:c r="H39" s="77"/>
      <x:c r="I39" s="76"/>
      <x:c r="J39" s="76"/>
      <x:c r="K39" s="76"/>
      <x:c r="L39" s="76"/>
      <x:c r="M39" s="76"/>
      <x:c r="N39" s="76"/>
      <x:c r="O39" s="76"/>
      <x:c r="P39" s="76"/>
      <x:c r="Q39" s="76"/>
      <x:c r="R39" s="78" t="str">
        <x:f>IF(B39="","",TODAY())</x:f>
      </x:c>
      <x:c r="S39" s="76"/>
      <x:c r="T39" s="76" t="str">
        <x:f>IF(B39="","",IF(OR(D39="",E39="",H39="",I39="",J39="",M39="",O39="",P39&lt;&gt;"Validé humainement"),"ALERTE: données/preuves/statut",IF(FALSE,"ALERTE: valeur anormale","OK")))</x:f>
      </x:c>
      <x:c r="U39" s="76" t="str">
        <x:f>IF(B39="","",IF(P39="Validé humainement","Oui","Non"))</x:f>
      </x:c>
    </x:row>
    <x:row r="40">
      <x:c r="A40" s="76" t="str">
        <x:f>IF(B40="","","GEN-"&amp;TEXT(ROW()-4,"0000"))</x:f>
      </x:c>
      <x:c r="B40" s="76"/>
      <x:c r="C40" s="76"/>
      <x:c r="D40" s="76"/>
      <x:c r="E40" s="76"/>
      <x:c r="F40" s="76"/>
      <x:c r="G40" s="76"/>
      <x:c r="H40" s="77"/>
      <x:c r="I40" s="76"/>
      <x:c r="J40" s="76"/>
      <x:c r="K40" s="76"/>
      <x:c r="L40" s="76"/>
      <x:c r="M40" s="76"/>
      <x:c r="N40" s="76"/>
      <x:c r="O40" s="76"/>
      <x:c r="P40" s="76"/>
      <x:c r="Q40" s="76"/>
      <x:c r="R40" s="78" t="str">
        <x:f>IF(B40="","",TODAY())</x:f>
      </x:c>
      <x:c r="S40" s="76"/>
      <x:c r="T40" s="76" t="str">
        <x:f>IF(B40="","",IF(OR(D40="",E40="",H40="",I40="",J40="",M40="",O40="",P40&lt;&gt;"Validé humainement"),"ALERTE: données/preuves/statut",IF(FALSE,"ALERTE: valeur anormale","OK")))</x:f>
      </x:c>
      <x:c r="U40" s="76" t="str">
        <x:f>IF(B40="","",IF(P40="Validé humainement","Oui","Non"))</x:f>
      </x:c>
    </x:row>
    <x:row r="41">
      <x:c r="A41" s="76" t="str">
        <x:f>IF(B41="","","GEN-"&amp;TEXT(ROW()-4,"0000"))</x:f>
      </x:c>
      <x:c r="B41" s="76"/>
      <x:c r="C41" s="76"/>
      <x:c r="D41" s="76"/>
      <x:c r="E41" s="76"/>
      <x:c r="F41" s="76"/>
      <x:c r="G41" s="76"/>
      <x:c r="H41" s="77"/>
      <x:c r="I41" s="76"/>
      <x:c r="J41" s="76"/>
      <x:c r="K41" s="76"/>
      <x:c r="L41" s="76"/>
      <x:c r="M41" s="76"/>
      <x:c r="N41" s="76"/>
      <x:c r="O41" s="76"/>
      <x:c r="P41" s="76"/>
      <x:c r="Q41" s="76"/>
      <x:c r="R41" s="78" t="str">
        <x:f>IF(B41="","",TODAY())</x:f>
      </x:c>
      <x:c r="S41" s="76"/>
      <x:c r="T41" s="76" t="str">
        <x:f>IF(B41="","",IF(OR(D41="",E41="",H41="",I41="",J41="",M41="",O41="",P41&lt;&gt;"Validé humainement"),"ALERTE: données/preuves/statut",IF(FALSE,"ALERTE: valeur anormale","OK")))</x:f>
      </x:c>
      <x:c r="U41" s="76" t="str">
        <x:f>IF(B41="","",IF(P41="Validé humainement","Oui","Non"))</x:f>
      </x:c>
    </x:row>
    <x:row r="42">
      <x:c r="A42" s="76" t="str">
        <x:f>IF(B42="","","GEN-"&amp;TEXT(ROW()-4,"0000"))</x:f>
      </x:c>
      <x:c r="B42" s="76"/>
      <x:c r="C42" s="76"/>
      <x:c r="D42" s="76"/>
      <x:c r="E42" s="76"/>
      <x:c r="F42" s="76"/>
      <x:c r="G42" s="76"/>
      <x:c r="H42" s="77"/>
      <x:c r="I42" s="76"/>
      <x:c r="J42" s="76"/>
      <x:c r="K42" s="76"/>
      <x:c r="L42" s="76"/>
      <x:c r="M42" s="76"/>
      <x:c r="N42" s="76"/>
      <x:c r="O42" s="76"/>
      <x:c r="P42" s="76"/>
      <x:c r="Q42" s="76"/>
      <x:c r="R42" s="78" t="str">
        <x:f>IF(B42="","",TODAY())</x:f>
      </x:c>
      <x:c r="S42" s="76"/>
      <x:c r="T42" s="76" t="str">
        <x:f>IF(B42="","",IF(OR(D42="",E42="",H42="",I42="",J42="",M42="",O42="",P42&lt;&gt;"Validé humainement"),"ALERTE: données/preuves/statut",IF(FALSE,"ALERTE: valeur anormale","OK")))</x:f>
      </x:c>
      <x:c r="U42" s="76" t="str">
        <x:f>IF(B42="","",IF(P42="Validé humainement","Oui","Non"))</x:f>
      </x:c>
    </x:row>
    <x:row r="43">
      <x:c r="A43" s="76" t="str">
        <x:f>IF(B43="","","GEN-"&amp;TEXT(ROW()-4,"0000"))</x:f>
      </x:c>
      <x:c r="B43" s="76"/>
      <x:c r="C43" s="76"/>
      <x:c r="D43" s="76"/>
      <x:c r="E43" s="76"/>
      <x:c r="F43" s="76"/>
      <x:c r="G43" s="76"/>
      <x:c r="H43" s="77"/>
      <x:c r="I43" s="76"/>
      <x:c r="J43" s="76"/>
      <x:c r="K43" s="76"/>
      <x:c r="L43" s="76"/>
      <x:c r="M43" s="76"/>
      <x:c r="N43" s="76"/>
      <x:c r="O43" s="76"/>
      <x:c r="P43" s="76"/>
      <x:c r="Q43" s="76"/>
      <x:c r="R43" s="78" t="str">
        <x:f>IF(B43="","",TODAY())</x:f>
      </x:c>
      <x:c r="S43" s="76"/>
      <x:c r="T43" s="76" t="str">
        <x:f>IF(B43="","",IF(OR(D43="",E43="",H43="",I43="",J43="",M43="",O43="",P43&lt;&gt;"Validé humainement"),"ALERTE: données/preuves/statut",IF(FALSE,"ALERTE: valeur anormale","OK")))</x:f>
      </x:c>
      <x:c r="U43" s="76" t="str">
        <x:f>IF(B43="","",IF(P43="Validé humainement","Oui","Non"))</x:f>
      </x:c>
    </x:row>
    <x:row r="44">
      <x:c r="A44" s="76" t="str">
        <x:f>IF(B44="","","GEN-"&amp;TEXT(ROW()-4,"0000"))</x:f>
      </x:c>
      <x:c r="B44" s="76"/>
      <x:c r="C44" s="76"/>
      <x:c r="D44" s="76"/>
      <x:c r="E44" s="76"/>
      <x:c r="F44" s="76"/>
      <x:c r="G44" s="76"/>
      <x:c r="H44" s="77"/>
      <x:c r="I44" s="76"/>
      <x:c r="J44" s="76"/>
      <x:c r="K44" s="76"/>
      <x:c r="L44" s="76"/>
      <x:c r="M44" s="76"/>
      <x:c r="N44" s="76"/>
      <x:c r="O44" s="76"/>
      <x:c r="P44" s="76"/>
      <x:c r="Q44" s="76"/>
      <x:c r="R44" s="78" t="str">
        <x:f>IF(B44="","",TODAY())</x:f>
      </x:c>
      <x:c r="S44" s="76"/>
      <x:c r="T44" s="76" t="str">
        <x:f>IF(B44="","",IF(OR(D44="",E44="",H44="",I44="",J44="",M44="",O44="",P44&lt;&gt;"Validé humainement"),"ALERTE: données/preuves/statut",IF(FALSE,"ALERTE: valeur anormale","OK")))</x:f>
      </x:c>
      <x:c r="U44" s="76" t="str">
        <x:f>IF(B44="","",IF(P44="Validé humainement","Oui","Non"))</x:f>
      </x:c>
    </x:row>
    <x:row r="45">
      <x:c r="A45" s="76" t="str">
        <x:f>IF(B45="","","GEN-"&amp;TEXT(ROW()-4,"0000"))</x:f>
      </x:c>
      <x:c r="B45" s="76"/>
      <x:c r="C45" s="76"/>
      <x:c r="D45" s="76"/>
      <x:c r="E45" s="76"/>
      <x:c r="F45" s="76"/>
      <x:c r="G45" s="76"/>
      <x:c r="H45" s="77"/>
      <x:c r="I45" s="76"/>
      <x:c r="J45" s="76"/>
      <x:c r="K45" s="76"/>
      <x:c r="L45" s="76"/>
      <x:c r="M45" s="76"/>
      <x:c r="N45" s="76"/>
      <x:c r="O45" s="76"/>
      <x:c r="P45" s="76"/>
      <x:c r="Q45" s="76"/>
      <x:c r="R45" s="78" t="str">
        <x:f>IF(B45="","",TODAY())</x:f>
      </x:c>
      <x:c r="S45" s="76"/>
      <x:c r="T45" s="76" t="str">
        <x:f>IF(B45="","",IF(OR(D45="",E45="",H45="",I45="",J45="",M45="",O45="",P45&lt;&gt;"Validé humainement"),"ALERTE: données/preuves/statut",IF(FALSE,"ALERTE: valeur anormale","OK")))</x:f>
      </x:c>
      <x:c r="U45" s="76" t="str">
        <x:f>IF(B45="","",IF(P45="Validé humainement","Oui","Non"))</x:f>
      </x:c>
    </x:row>
    <x:row r="46">
      <x:c r="A46" s="76" t="str">
        <x:f>IF(B46="","","GEN-"&amp;TEXT(ROW()-4,"0000"))</x:f>
      </x:c>
      <x:c r="B46" s="76"/>
      <x:c r="C46" s="76"/>
      <x:c r="D46" s="76"/>
      <x:c r="E46" s="76"/>
      <x:c r="F46" s="76"/>
      <x:c r="G46" s="76"/>
      <x:c r="H46" s="77"/>
      <x:c r="I46" s="76"/>
      <x:c r="J46" s="76"/>
      <x:c r="K46" s="76"/>
      <x:c r="L46" s="76"/>
      <x:c r="M46" s="76"/>
      <x:c r="N46" s="76"/>
      <x:c r="O46" s="76"/>
      <x:c r="P46" s="76"/>
      <x:c r="Q46" s="76"/>
      <x:c r="R46" s="78" t="str">
        <x:f>IF(B46="","",TODAY())</x:f>
      </x:c>
      <x:c r="S46" s="76"/>
      <x:c r="T46" s="76" t="str">
        <x:f>IF(B46="","",IF(OR(D46="",E46="",H46="",I46="",J46="",M46="",O46="",P46&lt;&gt;"Validé humainement"),"ALERTE: données/preuves/statut",IF(FALSE,"ALERTE: valeur anormale","OK")))</x:f>
      </x:c>
      <x:c r="U46" s="76" t="str">
        <x:f>IF(B46="","",IF(P46="Validé humainement","Oui","Non"))</x:f>
      </x:c>
    </x:row>
    <x:row r="47">
      <x:c r="A47" s="76" t="str">
        <x:f>IF(B47="","","GEN-"&amp;TEXT(ROW()-4,"0000"))</x:f>
      </x:c>
      <x:c r="B47" s="76"/>
      <x:c r="C47" s="76"/>
      <x:c r="D47" s="76"/>
      <x:c r="E47" s="76"/>
      <x:c r="F47" s="76"/>
      <x:c r="G47" s="76"/>
      <x:c r="H47" s="77"/>
      <x:c r="I47" s="76"/>
      <x:c r="J47" s="76"/>
      <x:c r="K47" s="76"/>
      <x:c r="L47" s="76"/>
      <x:c r="M47" s="76"/>
      <x:c r="N47" s="76"/>
      <x:c r="O47" s="76"/>
      <x:c r="P47" s="76"/>
      <x:c r="Q47" s="76"/>
      <x:c r="R47" s="78" t="str">
        <x:f>IF(B47="","",TODAY())</x:f>
      </x:c>
      <x:c r="S47" s="76"/>
      <x:c r="T47" s="76" t="str">
        <x:f>IF(B47="","",IF(OR(D47="",E47="",H47="",I47="",J47="",M47="",O47="",P47&lt;&gt;"Validé humainement"),"ALERTE: données/preuves/statut",IF(FALSE,"ALERTE: valeur anormale","OK")))</x:f>
      </x:c>
      <x:c r="U47" s="76" t="str">
        <x:f>IF(B47="","",IF(P47="Validé humainement","Oui","Non"))</x:f>
      </x:c>
    </x:row>
    <x:row r="48">
      <x:c r="A48" s="76" t="str">
        <x:f>IF(B48="","","GEN-"&amp;TEXT(ROW()-4,"0000"))</x:f>
      </x:c>
      <x:c r="B48" s="76"/>
      <x:c r="C48" s="76"/>
      <x:c r="D48" s="76"/>
      <x:c r="E48" s="76"/>
      <x:c r="F48" s="76"/>
      <x:c r="G48" s="76"/>
      <x:c r="H48" s="77"/>
      <x:c r="I48" s="76"/>
      <x:c r="J48" s="76"/>
      <x:c r="K48" s="76"/>
      <x:c r="L48" s="76"/>
      <x:c r="M48" s="76"/>
      <x:c r="N48" s="76"/>
      <x:c r="O48" s="76"/>
      <x:c r="P48" s="76"/>
      <x:c r="Q48" s="76"/>
      <x:c r="R48" s="78" t="str">
        <x:f>IF(B48="","",TODAY())</x:f>
      </x:c>
      <x:c r="S48" s="76"/>
      <x:c r="T48" s="76" t="str">
        <x:f>IF(B48="","",IF(OR(D48="",E48="",H48="",I48="",J48="",M48="",O48="",P48&lt;&gt;"Validé humainement"),"ALERTE: données/preuves/statut",IF(FALSE,"ALERTE: valeur anormale","OK")))</x:f>
      </x:c>
      <x:c r="U48" s="76" t="str">
        <x:f>IF(B48="","",IF(P48="Validé humainement","Oui","Non"))</x:f>
      </x:c>
    </x:row>
    <x:row r="49">
      <x:c r="A49" s="76" t="str">
        <x:f>IF(B49="","","GEN-"&amp;TEXT(ROW()-4,"0000"))</x:f>
      </x:c>
      <x:c r="B49" s="76"/>
      <x:c r="C49" s="76"/>
      <x:c r="D49" s="76"/>
      <x:c r="E49" s="76"/>
      <x:c r="F49" s="76"/>
      <x:c r="G49" s="76"/>
      <x:c r="H49" s="77"/>
      <x:c r="I49" s="76"/>
      <x:c r="J49" s="76"/>
      <x:c r="K49" s="76"/>
      <x:c r="L49" s="76"/>
      <x:c r="M49" s="76"/>
      <x:c r="N49" s="76"/>
      <x:c r="O49" s="76"/>
      <x:c r="P49" s="76"/>
      <x:c r="Q49" s="76"/>
      <x:c r="R49" s="78" t="str">
        <x:f>IF(B49="","",TODAY())</x:f>
      </x:c>
      <x:c r="S49" s="76"/>
      <x:c r="T49" s="76" t="str">
        <x:f>IF(B49="","",IF(OR(D49="",E49="",H49="",I49="",J49="",M49="",O49="",P49&lt;&gt;"Validé humainement"),"ALERTE: données/preuves/statut",IF(FALSE,"ALERTE: valeur anormale","OK")))</x:f>
      </x:c>
      <x:c r="U49" s="76" t="str">
        <x:f>IF(B49="","",IF(P49="Validé humainement","Oui","Non"))</x:f>
      </x:c>
    </x:row>
    <x:row r="50">
      <x:c r="A50" s="76" t="str">
        <x:f>IF(B50="","","GEN-"&amp;TEXT(ROW()-4,"0000"))</x:f>
      </x:c>
      <x:c r="B50" s="76"/>
      <x:c r="C50" s="76"/>
      <x:c r="D50" s="76"/>
      <x:c r="E50" s="76"/>
      <x:c r="F50" s="76"/>
      <x:c r="G50" s="76"/>
      <x:c r="H50" s="77"/>
      <x:c r="I50" s="76"/>
      <x:c r="J50" s="76"/>
      <x:c r="K50" s="76"/>
      <x:c r="L50" s="76"/>
      <x:c r="M50" s="76"/>
      <x:c r="N50" s="76"/>
      <x:c r="O50" s="76"/>
      <x:c r="P50" s="76"/>
      <x:c r="Q50" s="76"/>
      <x:c r="R50" s="78" t="str">
        <x:f>IF(B50="","",TODAY())</x:f>
      </x:c>
      <x:c r="S50" s="76"/>
      <x:c r="T50" s="76" t="str">
        <x:f>IF(B50="","",IF(OR(D50="",E50="",H50="",I50="",J50="",M50="",O50="",P50&lt;&gt;"Validé humainement"),"ALERTE: données/preuves/statut",IF(FALSE,"ALERTE: valeur anormale","OK")))</x:f>
      </x:c>
      <x:c r="U50" s="76" t="str">
        <x:f>IF(B50="","",IF(P50="Validé humainement","Oui","Non"))</x:f>
      </x:c>
    </x:row>
    <x:row r="51">
      <x:c r="A51" s="76" t="str">
        <x:f>IF(B51="","","GEN-"&amp;TEXT(ROW()-4,"0000"))</x:f>
      </x:c>
      <x:c r="B51" s="76"/>
      <x:c r="C51" s="76"/>
      <x:c r="D51" s="76"/>
      <x:c r="E51" s="76"/>
      <x:c r="F51" s="76"/>
      <x:c r="G51" s="76"/>
      <x:c r="H51" s="77"/>
      <x:c r="I51" s="76"/>
      <x:c r="J51" s="76"/>
      <x:c r="K51" s="76"/>
      <x:c r="L51" s="76"/>
      <x:c r="M51" s="76"/>
      <x:c r="N51" s="76"/>
      <x:c r="O51" s="76"/>
      <x:c r="P51" s="76"/>
      <x:c r="Q51" s="76"/>
      <x:c r="R51" s="78" t="str">
        <x:f>IF(B51="","",TODAY())</x:f>
      </x:c>
      <x:c r="S51" s="76"/>
      <x:c r="T51" s="76" t="str">
        <x:f>IF(B51="","",IF(OR(D51="",E51="",H51="",I51="",J51="",M51="",O51="",P51&lt;&gt;"Validé humainement"),"ALERTE: données/preuves/statut",IF(FALSE,"ALERTE: valeur anormale","OK")))</x:f>
      </x:c>
      <x:c r="U51" s="76" t="str">
        <x:f>IF(B51="","",IF(P51="Validé humainement","Oui","Non"))</x:f>
      </x:c>
    </x:row>
    <x:row r="52">
      <x:c r="A52" s="76" t="str">
        <x:f>IF(B52="","","GEN-"&amp;TEXT(ROW()-4,"0000"))</x:f>
      </x:c>
      <x:c r="B52" s="76"/>
      <x:c r="C52" s="76"/>
      <x:c r="D52" s="76"/>
      <x:c r="E52" s="76"/>
      <x:c r="F52" s="76"/>
      <x:c r="G52" s="76"/>
      <x:c r="H52" s="77"/>
      <x:c r="I52" s="76"/>
      <x:c r="J52" s="76"/>
      <x:c r="K52" s="76"/>
      <x:c r="L52" s="76"/>
      <x:c r="M52" s="76"/>
      <x:c r="N52" s="76"/>
      <x:c r="O52" s="76"/>
      <x:c r="P52" s="76"/>
      <x:c r="Q52" s="76"/>
      <x:c r="R52" s="78" t="str">
        <x:f>IF(B52="","",TODAY())</x:f>
      </x:c>
      <x:c r="S52" s="76"/>
      <x:c r="T52" s="76" t="str">
        <x:f>IF(B52="","",IF(OR(D52="",E52="",H52="",I52="",J52="",M52="",O52="",P52&lt;&gt;"Validé humainement"),"ALERTE: données/preuves/statut",IF(FALSE,"ALERTE: valeur anormale","OK")))</x:f>
      </x:c>
      <x:c r="U52" s="76" t="str">
        <x:f>IF(B52="","",IF(P52="Validé humainement","Oui","Non"))</x:f>
      </x:c>
    </x:row>
    <x:row r="53">
      <x:c r="A53" s="76" t="str">
        <x:f>IF(B53="","","GEN-"&amp;TEXT(ROW()-4,"0000"))</x:f>
      </x:c>
      <x:c r="B53" s="76"/>
      <x:c r="C53" s="76"/>
      <x:c r="D53" s="76"/>
      <x:c r="E53" s="76"/>
      <x:c r="F53" s="76"/>
      <x:c r="G53" s="76"/>
      <x:c r="H53" s="77"/>
      <x:c r="I53" s="76"/>
      <x:c r="J53" s="76"/>
      <x:c r="K53" s="76"/>
      <x:c r="L53" s="76"/>
      <x:c r="M53" s="76"/>
      <x:c r="N53" s="76"/>
      <x:c r="O53" s="76"/>
      <x:c r="P53" s="76"/>
      <x:c r="Q53" s="76"/>
      <x:c r="R53" s="78" t="str">
        <x:f>IF(B53="","",TODAY())</x:f>
      </x:c>
      <x:c r="S53" s="76"/>
      <x:c r="T53" s="76" t="str">
        <x:f>IF(B53="","",IF(OR(D53="",E53="",H53="",I53="",J53="",M53="",O53="",P53&lt;&gt;"Validé humainement"),"ALERTE: données/preuves/statut",IF(FALSE,"ALERTE: valeur anormale","OK")))</x:f>
      </x:c>
      <x:c r="U53" s="76" t="str">
        <x:f>IF(B53="","",IF(P53="Validé humainement","Oui","Non"))</x:f>
      </x:c>
    </x:row>
    <x:row r="54">
      <x:c r="A54" s="76" t="str">
        <x:f>IF(B54="","","GEN-"&amp;TEXT(ROW()-4,"0000"))</x:f>
      </x:c>
      <x:c r="B54" s="76"/>
      <x:c r="C54" s="76"/>
      <x:c r="D54" s="76"/>
      <x:c r="E54" s="76"/>
      <x:c r="F54" s="76"/>
      <x:c r="G54" s="76"/>
      <x:c r="H54" s="77"/>
      <x:c r="I54" s="76"/>
      <x:c r="J54" s="76"/>
      <x:c r="K54" s="76"/>
      <x:c r="L54" s="76"/>
      <x:c r="M54" s="76"/>
      <x:c r="N54" s="76"/>
      <x:c r="O54" s="76"/>
      <x:c r="P54" s="76"/>
      <x:c r="Q54" s="76"/>
      <x:c r="R54" s="78" t="str">
        <x:f>IF(B54="","",TODAY())</x:f>
      </x:c>
      <x:c r="S54" s="76"/>
      <x:c r="T54" s="76" t="str">
        <x:f>IF(B54="","",IF(OR(D54="",E54="",H54="",I54="",J54="",M54="",O54="",P54&lt;&gt;"Validé humainement"),"ALERTE: données/preuves/statut",IF(FALSE,"ALERTE: valeur anormale","OK")))</x:f>
      </x:c>
      <x:c r="U54" s="76" t="str">
        <x:f>IF(B54="","",IF(P54="Validé humainement","Oui","Non"))</x:f>
      </x:c>
    </x:row>
    <x:row r="55">
      <x:c r="A55" s="76" t="str">
        <x:f>IF(B55="","","GEN-"&amp;TEXT(ROW()-4,"0000"))</x:f>
      </x:c>
      <x:c r="B55" s="76"/>
      <x:c r="C55" s="76"/>
      <x:c r="D55" s="76"/>
      <x:c r="E55" s="76"/>
      <x:c r="F55" s="76"/>
      <x:c r="G55" s="76"/>
      <x:c r="H55" s="77"/>
      <x:c r="I55" s="76"/>
      <x:c r="J55" s="76"/>
      <x:c r="K55" s="76"/>
      <x:c r="L55" s="76"/>
      <x:c r="M55" s="76"/>
      <x:c r="N55" s="76"/>
      <x:c r="O55" s="76"/>
      <x:c r="P55" s="76"/>
      <x:c r="Q55" s="76"/>
      <x:c r="R55" s="78" t="str">
        <x:f>IF(B55="","",TODAY())</x:f>
      </x:c>
      <x:c r="S55" s="76"/>
      <x:c r="T55" s="76" t="str">
        <x:f>IF(B55="","",IF(OR(D55="",E55="",H55="",I55="",J55="",M55="",O55="",P55&lt;&gt;"Validé humainement"),"ALERTE: données/preuves/statut",IF(FALSE,"ALERTE: valeur anormale","OK")))</x:f>
      </x:c>
      <x:c r="U55" s="76" t="str">
        <x:f>IF(B55="","",IF(P55="Validé humainement","Oui","Non"))</x:f>
      </x:c>
    </x:row>
    <x:row r="56">
      <x:c r="A56" s="76" t="str">
        <x:f>IF(B56="","","GEN-"&amp;TEXT(ROW()-4,"0000"))</x:f>
      </x:c>
      <x:c r="B56" s="76"/>
      <x:c r="C56" s="76"/>
      <x:c r="D56" s="76"/>
      <x:c r="E56" s="76"/>
      <x:c r="F56" s="76"/>
      <x:c r="G56" s="76"/>
      <x:c r="H56" s="77"/>
      <x:c r="I56" s="76"/>
      <x:c r="J56" s="76"/>
      <x:c r="K56" s="76"/>
      <x:c r="L56" s="76"/>
      <x:c r="M56" s="76"/>
      <x:c r="N56" s="76"/>
      <x:c r="O56" s="76"/>
      <x:c r="P56" s="76"/>
      <x:c r="Q56" s="76"/>
      <x:c r="R56" s="78" t="str">
        <x:f>IF(B56="","",TODAY())</x:f>
      </x:c>
      <x:c r="S56" s="76"/>
      <x:c r="T56" s="76" t="str">
        <x:f>IF(B56="","",IF(OR(D56="",E56="",H56="",I56="",J56="",M56="",O56="",P56&lt;&gt;"Validé humainement"),"ALERTE: données/preuves/statut",IF(FALSE,"ALERTE: valeur anormale","OK")))</x:f>
      </x:c>
      <x:c r="U56" s="76" t="str">
        <x:f>IF(B56="","",IF(P56="Validé humainement","Oui","Non"))</x:f>
      </x:c>
    </x:row>
    <x:row r="57">
      <x:c r="A57" s="76" t="str">
        <x:f>IF(B57="","","GEN-"&amp;TEXT(ROW()-4,"0000"))</x:f>
      </x:c>
      <x:c r="B57" s="76"/>
      <x:c r="C57" s="76"/>
      <x:c r="D57" s="76"/>
      <x:c r="E57" s="76"/>
      <x:c r="F57" s="76"/>
      <x:c r="G57" s="76"/>
      <x:c r="H57" s="77"/>
      <x:c r="I57" s="76"/>
      <x:c r="J57" s="76"/>
      <x:c r="K57" s="76"/>
      <x:c r="L57" s="76"/>
      <x:c r="M57" s="76"/>
      <x:c r="N57" s="76"/>
      <x:c r="O57" s="76"/>
      <x:c r="P57" s="76"/>
      <x:c r="Q57" s="76"/>
      <x:c r="R57" s="78" t="str">
        <x:f>IF(B57="","",TODAY())</x:f>
      </x:c>
      <x:c r="S57" s="76"/>
      <x:c r="T57" s="76" t="str">
        <x:f>IF(B57="","",IF(OR(D57="",E57="",H57="",I57="",J57="",M57="",O57="",P57&lt;&gt;"Validé humainement"),"ALERTE: données/preuves/statut",IF(FALSE,"ALERTE: valeur anormale","OK")))</x:f>
      </x:c>
      <x:c r="U57" s="76" t="str">
        <x:f>IF(B57="","",IF(P57="Validé humainement","Oui","Non"))</x:f>
      </x:c>
    </x:row>
    <x:row r="58">
      <x:c r="A58" s="76" t="str">
        <x:f>IF(B58="","","GEN-"&amp;TEXT(ROW()-4,"0000"))</x:f>
      </x:c>
      <x:c r="B58" s="76"/>
      <x:c r="C58" s="76"/>
      <x:c r="D58" s="76"/>
      <x:c r="E58" s="76"/>
      <x:c r="F58" s="76"/>
      <x:c r="G58" s="76"/>
      <x:c r="H58" s="77"/>
      <x:c r="I58" s="76"/>
      <x:c r="J58" s="76"/>
      <x:c r="K58" s="76"/>
      <x:c r="L58" s="76"/>
      <x:c r="M58" s="76"/>
      <x:c r="N58" s="76"/>
      <x:c r="O58" s="76"/>
      <x:c r="P58" s="76"/>
      <x:c r="Q58" s="76"/>
      <x:c r="R58" s="78" t="str">
        <x:f>IF(B58="","",TODAY())</x:f>
      </x:c>
      <x:c r="S58" s="76"/>
      <x:c r="T58" s="76" t="str">
        <x:f>IF(B58="","",IF(OR(D58="",E58="",H58="",I58="",J58="",M58="",O58="",P58&lt;&gt;"Validé humainement"),"ALERTE: données/preuves/statut",IF(FALSE,"ALERTE: valeur anormale","OK")))</x:f>
      </x:c>
      <x:c r="U58" s="76" t="str">
        <x:f>IF(B58="","",IF(P58="Validé humainement","Oui","Non"))</x:f>
      </x:c>
    </x:row>
    <x:row r="59">
      <x:c r="A59" s="76" t="str">
        <x:f>IF(B59="","","GEN-"&amp;TEXT(ROW()-4,"0000"))</x:f>
      </x:c>
      <x:c r="B59" s="76"/>
      <x:c r="C59" s="76"/>
      <x:c r="D59" s="76"/>
      <x:c r="E59" s="76"/>
      <x:c r="F59" s="76"/>
      <x:c r="G59" s="76"/>
      <x:c r="H59" s="77"/>
      <x:c r="I59" s="76"/>
      <x:c r="J59" s="76"/>
      <x:c r="K59" s="76"/>
      <x:c r="L59" s="76"/>
      <x:c r="M59" s="76"/>
      <x:c r="N59" s="76"/>
      <x:c r="O59" s="76"/>
      <x:c r="P59" s="76"/>
      <x:c r="Q59" s="76"/>
      <x:c r="R59" s="78" t="str">
        <x:f>IF(B59="","",TODAY())</x:f>
      </x:c>
      <x:c r="S59" s="76"/>
      <x:c r="T59" s="76" t="str">
        <x:f>IF(B59="","",IF(OR(D59="",E59="",H59="",I59="",J59="",M59="",O59="",P59&lt;&gt;"Validé humainement"),"ALERTE: données/preuves/statut",IF(FALSE,"ALERTE: valeur anormale","OK")))</x:f>
      </x:c>
      <x:c r="U59" s="76" t="str">
        <x:f>IF(B59="","",IF(P59="Validé humainement","Oui","Non"))</x:f>
      </x:c>
    </x:row>
    <x:row r="60">
      <x:c r="A60" s="76" t="str">
        <x:f>IF(B60="","","GEN-"&amp;TEXT(ROW()-4,"0000"))</x:f>
      </x:c>
      <x:c r="B60" s="76"/>
      <x:c r="C60" s="76"/>
      <x:c r="D60" s="76"/>
      <x:c r="E60" s="76"/>
      <x:c r="F60" s="76"/>
      <x:c r="G60" s="76"/>
      <x:c r="H60" s="77"/>
      <x:c r="I60" s="76"/>
      <x:c r="J60" s="76"/>
      <x:c r="K60" s="76"/>
      <x:c r="L60" s="76"/>
      <x:c r="M60" s="76"/>
      <x:c r="N60" s="76"/>
      <x:c r="O60" s="76"/>
      <x:c r="P60" s="76"/>
      <x:c r="Q60" s="76"/>
      <x:c r="R60" s="78" t="str">
        <x:f>IF(B60="","",TODAY())</x:f>
      </x:c>
      <x:c r="S60" s="76"/>
      <x:c r="T60" s="76" t="str">
        <x:f>IF(B60="","",IF(OR(D60="",E60="",H60="",I60="",J60="",M60="",O60="",P60&lt;&gt;"Validé humainement"),"ALERTE: données/preuves/statut",IF(FALSE,"ALERTE: valeur anormale","OK")))</x:f>
      </x:c>
      <x:c r="U60" s="76" t="str">
        <x:f>IF(B60="","",IF(P60="Validé humainement","Oui","Non"))</x:f>
      </x:c>
    </x:row>
    <x:row r="61">
      <x:c r="A61" s="76" t="str">
        <x:f>IF(B61="","","GEN-"&amp;TEXT(ROW()-4,"0000"))</x:f>
      </x:c>
      <x:c r="B61" s="76"/>
      <x:c r="C61" s="76"/>
      <x:c r="D61" s="76"/>
      <x:c r="E61" s="76"/>
      <x:c r="F61" s="76"/>
      <x:c r="G61" s="76"/>
      <x:c r="H61" s="77"/>
      <x:c r="I61" s="76"/>
      <x:c r="J61" s="76"/>
      <x:c r="K61" s="76"/>
      <x:c r="L61" s="76"/>
      <x:c r="M61" s="76"/>
      <x:c r="N61" s="76"/>
      <x:c r="O61" s="76"/>
      <x:c r="P61" s="76"/>
      <x:c r="Q61" s="76"/>
      <x:c r="R61" s="78" t="str">
        <x:f>IF(B61="","",TODAY())</x:f>
      </x:c>
      <x:c r="S61" s="76"/>
      <x:c r="T61" s="76" t="str">
        <x:f>IF(B61="","",IF(OR(D61="",E61="",H61="",I61="",J61="",M61="",O61="",P61&lt;&gt;"Validé humainement"),"ALERTE: données/preuves/statut",IF(FALSE,"ALERTE: valeur anormale","OK")))</x:f>
      </x:c>
      <x:c r="U61" s="76" t="str">
        <x:f>IF(B61="","",IF(P61="Validé humainement","Oui","Non"))</x:f>
      </x:c>
    </x:row>
    <x:row r="62">
      <x:c r="A62" s="76" t="str">
        <x:f>IF(B62="","","GEN-"&amp;TEXT(ROW()-4,"0000"))</x:f>
      </x:c>
      <x:c r="B62" s="76"/>
      <x:c r="C62" s="76"/>
      <x:c r="D62" s="76"/>
      <x:c r="E62" s="76"/>
      <x:c r="F62" s="76"/>
      <x:c r="G62" s="76"/>
      <x:c r="H62" s="77"/>
      <x:c r="I62" s="76"/>
      <x:c r="J62" s="76"/>
      <x:c r="K62" s="76"/>
      <x:c r="L62" s="76"/>
      <x:c r="M62" s="76"/>
      <x:c r="N62" s="76"/>
      <x:c r="O62" s="76"/>
      <x:c r="P62" s="76"/>
      <x:c r="Q62" s="76"/>
      <x:c r="R62" s="78" t="str">
        <x:f>IF(B62="","",TODAY())</x:f>
      </x:c>
      <x:c r="S62" s="76"/>
      <x:c r="T62" s="76" t="str">
        <x:f>IF(B62="","",IF(OR(D62="",E62="",H62="",I62="",J62="",M62="",O62="",P62&lt;&gt;"Validé humainement"),"ALERTE: données/preuves/statut",IF(FALSE,"ALERTE: valeur anormale","OK")))</x:f>
      </x:c>
      <x:c r="U62" s="76" t="str">
        <x:f>IF(B62="","",IF(P62="Validé humainement","Oui","Non"))</x:f>
      </x:c>
    </x:row>
    <x:row r="63">
      <x:c r="A63" s="76" t="str">
        <x:f>IF(B63="","","GEN-"&amp;TEXT(ROW()-4,"0000"))</x:f>
      </x:c>
      <x:c r="B63" s="76"/>
      <x:c r="C63" s="76"/>
      <x:c r="D63" s="76"/>
      <x:c r="E63" s="76"/>
      <x:c r="F63" s="76"/>
      <x:c r="G63" s="76"/>
      <x:c r="H63" s="77"/>
      <x:c r="I63" s="76"/>
      <x:c r="J63" s="76"/>
      <x:c r="K63" s="76"/>
      <x:c r="L63" s="76"/>
      <x:c r="M63" s="76"/>
      <x:c r="N63" s="76"/>
      <x:c r="O63" s="76"/>
      <x:c r="P63" s="76"/>
      <x:c r="Q63" s="76"/>
      <x:c r="R63" s="78" t="str">
        <x:f>IF(B63="","",TODAY())</x:f>
      </x:c>
      <x:c r="S63" s="76"/>
      <x:c r="T63" s="76" t="str">
        <x:f>IF(B63="","",IF(OR(D63="",E63="",H63="",I63="",J63="",M63="",O63="",P63&lt;&gt;"Validé humainement"),"ALERTE: données/preuves/statut",IF(FALSE,"ALERTE: valeur anormale","OK")))</x:f>
      </x:c>
      <x:c r="U63" s="76" t="str">
        <x:f>IF(B63="","",IF(P63="Validé humainement","Oui","Non"))</x:f>
      </x:c>
    </x:row>
    <x:row r="64">
      <x:c r="A64" s="76" t="str">
        <x:f>IF(B64="","","GEN-"&amp;TEXT(ROW()-4,"0000"))</x:f>
      </x:c>
      <x:c r="B64" s="76"/>
      <x:c r="C64" s="76"/>
      <x:c r="D64" s="76"/>
      <x:c r="E64" s="76"/>
      <x:c r="F64" s="76"/>
      <x:c r="G64" s="76"/>
      <x:c r="H64" s="77"/>
      <x:c r="I64" s="76"/>
      <x:c r="J64" s="76"/>
      <x:c r="K64" s="76"/>
      <x:c r="L64" s="76"/>
      <x:c r="M64" s="76"/>
      <x:c r="N64" s="76"/>
      <x:c r="O64" s="76"/>
      <x:c r="P64" s="76"/>
      <x:c r="Q64" s="76"/>
      <x:c r="R64" s="78" t="str">
        <x:f>IF(B64="","",TODAY())</x:f>
      </x:c>
      <x:c r="S64" s="76"/>
      <x:c r="T64" s="76" t="str">
        <x:f>IF(B64="","",IF(OR(D64="",E64="",H64="",I64="",J64="",M64="",O64="",P64&lt;&gt;"Validé humainement"),"ALERTE: données/preuves/statut",IF(FALSE,"ALERTE: valeur anormale","OK")))</x:f>
      </x:c>
      <x:c r="U64" s="76" t="str">
        <x:f>IF(B64="","",IF(P64="Validé humainement","Oui","Non"))</x:f>
      </x:c>
    </x:row>
    <x:row r="65">
      <x:c r="A65" s="76" t="str">
        <x:f>IF(B65="","","GEN-"&amp;TEXT(ROW()-4,"0000"))</x:f>
      </x:c>
      <x:c r="B65" s="76"/>
      <x:c r="C65" s="76"/>
      <x:c r="D65" s="76"/>
      <x:c r="E65" s="76"/>
      <x:c r="F65" s="76"/>
      <x:c r="G65" s="76"/>
      <x:c r="H65" s="77"/>
      <x:c r="I65" s="76"/>
      <x:c r="J65" s="76"/>
      <x:c r="K65" s="76"/>
      <x:c r="L65" s="76"/>
      <x:c r="M65" s="76"/>
      <x:c r="N65" s="76"/>
      <x:c r="O65" s="76"/>
      <x:c r="P65" s="76"/>
      <x:c r="Q65" s="76"/>
      <x:c r="R65" s="78" t="str">
        <x:f>IF(B65="","",TODAY())</x:f>
      </x:c>
      <x:c r="S65" s="76"/>
      <x:c r="T65" s="76" t="str">
        <x:f>IF(B65="","",IF(OR(D65="",E65="",H65="",I65="",J65="",M65="",O65="",P65&lt;&gt;"Validé humainement"),"ALERTE: données/preuves/statut",IF(FALSE,"ALERTE: valeur anormale","OK")))</x:f>
      </x:c>
      <x:c r="U65" s="76" t="str">
        <x:f>IF(B65="","",IF(P65="Validé humainement","Oui","Non"))</x:f>
      </x:c>
    </x:row>
    <x:row r="66">
      <x:c r="A66" s="76" t="str">
        <x:f>IF(B66="","","GEN-"&amp;TEXT(ROW()-4,"0000"))</x:f>
      </x:c>
      <x:c r="B66" s="76"/>
      <x:c r="C66" s="76"/>
      <x:c r="D66" s="76"/>
      <x:c r="E66" s="76"/>
      <x:c r="F66" s="76"/>
      <x:c r="G66" s="76"/>
      <x:c r="H66" s="77"/>
      <x:c r="I66" s="76"/>
      <x:c r="J66" s="76"/>
      <x:c r="K66" s="76"/>
      <x:c r="L66" s="76"/>
      <x:c r="M66" s="76"/>
      <x:c r="N66" s="76"/>
      <x:c r="O66" s="76"/>
      <x:c r="P66" s="76"/>
      <x:c r="Q66" s="76"/>
      <x:c r="R66" s="78" t="str">
        <x:f>IF(B66="","",TODAY())</x:f>
      </x:c>
      <x:c r="S66" s="76"/>
      <x:c r="T66" s="76" t="str">
        <x:f>IF(B66="","",IF(OR(D66="",E66="",H66="",I66="",J66="",M66="",O66="",P66&lt;&gt;"Validé humainement"),"ALERTE: données/preuves/statut",IF(FALSE,"ALERTE: valeur anormale","OK")))</x:f>
      </x:c>
      <x:c r="U66" s="76" t="str">
        <x:f>IF(B66="","",IF(P66="Validé humainement","Oui","Non"))</x:f>
      </x:c>
    </x:row>
    <x:row r="67">
      <x:c r="A67" s="76" t="str">
        <x:f>IF(B67="","","GEN-"&amp;TEXT(ROW()-4,"0000"))</x:f>
      </x:c>
      <x:c r="B67" s="76"/>
      <x:c r="C67" s="76"/>
      <x:c r="D67" s="76"/>
      <x:c r="E67" s="76"/>
      <x:c r="F67" s="76"/>
      <x:c r="G67" s="76"/>
      <x:c r="H67" s="77"/>
      <x:c r="I67" s="76"/>
      <x:c r="J67" s="76"/>
      <x:c r="K67" s="76"/>
      <x:c r="L67" s="76"/>
      <x:c r="M67" s="76"/>
      <x:c r="N67" s="76"/>
      <x:c r="O67" s="76"/>
      <x:c r="P67" s="76"/>
      <x:c r="Q67" s="76"/>
      <x:c r="R67" s="78" t="str">
        <x:f>IF(B67="","",TODAY())</x:f>
      </x:c>
      <x:c r="S67" s="76"/>
      <x:c r="T67" s="76" t="str">
        <x:f>IF(B67="","",IF(OR(D67="",E67="",H67="",I67="",J67="",M67="",O67="",P67&lt;&gt;"Validé humainement"),"ALERTE: données/preuves/statut",IF(FALSE,"ALERTE: valeur anormale","OK")))</x:f>
      </x:c>
      <x:c r="U67" s="76" t="str">
        <x:f>IF(B67="","",IF(P67="Validé humainement","Oui","Non"))</x:f>
      </x:c>
    </x:row>
    <x:row r="68">
      <x:c r="A68" s="76" t="str">
        <x:f>IF(B68="","","GEN-"&amp;TEXT(ROW()-4,"0000"))</x:f>
      </x:c>
      <x:c r="B68" s="76"/>
      <x:c r="C68" s="76"/>
      <x:c r="D68" s="76"/>
      <x:c r="E68" s="76"/>
      <x:c r="F68" s="76"/>
      <x:c r="G68" s="76"/>
      <x:c r="H68" s="77"/>
      <x:c r="I68" s="76"/>
      <x:c r="J68" s="76"/>
      <x:c r="K68" s="76"/>
      <x:c r="L68" s="76"/>
      <x:c r="M68" s="76"/>
      <x:c r="N68" s="76"/>
      <x:c r="O68" s="76"/>
      <x:c r="P68" s="76"/>
      <x:c r="Q68" s="76"/>
      <x:c r="R68" s="78" t="str">
        <x:f>IF(B68="","",TODAY())</x:f>
      </x:c>
      <x:c r="S68" s="76"/>
      <x:c r="T68" s="76" t="str">
        <x:f>IF(B68="","",IF(OR(D68="",E68="",H68="",I68="",J68="",M68="",O68="",P68&lt;&gt;"Validé humainement"),"ALERTE: données/preuves/statut",IF(FALSE,"ALERTE: valeur anormale","OK")))</x:f>
      </x:c>
      <x:c r="U68" s="76" t="str">
        <x:f>IF(B68="","",IF(P68="Validé humainement","Oui","Non"))</x:f>
      </x:c>
    </x:row>
    <x:row r="69">
      <x:c r="A69" s="76" t="str">
        <x:f>IF(B69="","","GEN-"&amp;TEXT(ROW()-4,"0000"))</x:f>
      </x:c>
      <x:c r="B69" s="76"/>
      <x:c r="C69" s="76"/>
      <x:c r="D69" s="76"/>
      <x:c r="E69" s="76"/>
      <x:c r="F69" s="76"/>
      <x:c r="G69" s="76"/>
      <x:c r="H69" s="77"/>
      <x:c r="I69" s="76"/>
      <x:c r="J69" s="76"/>
      <x:c r="K69" s="76"/>
      <x:c r="L69" s="76"/>
      <x:c r="M69" s="76"/>
      <x:c r="N69" s="76"/>
      <x:c r="O69" s="76"/>
      <x:c r="P69" s="76"/>
      <x:c r="Q69" s="76"/>
      <x:c r="R69" s="78" t="str">
        <x:f>IF(B69="","",TODAY())</x:f>
      </x:c>
      <x:c r="S69" s="76"/>
      <x:c r="T69" s="76" t="str">
        <x:f>IF(B69="","",IF(OR(D69="",E69="",H69="",I69="",J69="",M69="",O69="",P69&lt;&gt;"Validé humainement"),"ALERTE: données/preuves/statut",IF(FALSE,"ALERTE: valeur anormale","OK")))</x:f>
      </x:c>
      <x:c r="U69" s="76" t="str">
        <x:f>IF(B69="","",IF(P69="Validé humainement","Oui","Non"))</x:f>
      </x:c>
    </x:row>
    <x:row r="70">
      <x:c r="A70" s="76" t="str">
        <x:f>IF(B70="","","GEN-"&amp;TEXT(ROW()-4,"0000"))</x:f>
      </x:c>
      <x:c r="B70" s="76"/>
      <x:c r="C70" s="76"/>
      <x:c r="D70" s="76"/>
      <x:c r="E70" s="76"/>
      <x:c r="F70" s="76"/>
      <x:c r="G70" s="76"/>
      <x:c r="H70" s="77"/>
      <x:c r="I70" s="76"/>
      <x:c r="J70" s="76"/>
      <x:c r="K70" s="76"/>
      <x:c r="L70" s="76"/>
      <x:c r="M70" s="76"/>
      <x:c r="N70" s="76"/>
      <x:c r="O70" s="76"/>
      <x:c r="P70" s="76"/>
      <x:c r="Q70" s="76"/>
      <x:c r="R70" s="78" t="str">
        <x:f>IF(B70="","",TODAY())</x:f>
      </x:c>
      <x:c r="S70" s="76"/>
      <x:c r="T70" s="76" t="str">
        <x:f>IF(B70="","",IF(OR(D70="",E70="",H70="",I70="",J70="",M70="",O70="",P70&lt;&gt;"Validé humainement"),"ALERTE: données/preuves/statut",IF(FALSE,"ALERTE: valeur anormale","OK")))</x:f>
      </x:c>
      <x:c r="U70" s="76" t="str">
        <x:f>IF(B70="","",IF(P70="Validé humainement","Oui","Non"))</x:f>
      </x:c>
    </x:row>
    <x:row r="71">
      <x:c r="A71" s="76" t="str">
        <x:f>IF(B71="","","GEN-"&amp;TEXT(ROW()-4,"0000"))</x:f>
      </x:c>
      <x:c r="B71" s="76"/>
      <x:c r="C71" s="76"/>
      <x:c r="D71" s="76"/>
      <x:c r="E71" s="76"/>
      <x:c r="F71" s="76"/>
      <x:c r="G71" s="76"/>
      <x:c r="H71" s="77"/>
      <x:c r="I71" s="76"/>
      <x:c r="J71" s="76"/>
      <x:c r="K71" s="76"/>
      <x:c r="L71" s="76"/>
      <x:c r="M71" s="76"/>
      <x:c r="N71" s="76"/>
      <x:c r="O71" s="76"/>
      <x:c r="P71" s="76"/>
      <x:c r="Q71" s="76"/>
      <x:c r="R71" s="78" t="str">
        <x:f>IF(B71="","",TODAY())</x:f>
      </x:c>
      <x:c r="S71" s="76"/>
      <x:c r="T71" s="76" t="str">
        <x:f>IF(B71="","",IF(OR(D71="",E71="",H71="",I71="",J71="",M71="",O71="",P71&lt;&gt;"Validé humainement"),"ALERTE: données/preuves/statut",IF(FALSE,"ALERTE: valeur anormale","OK")))</x:f>
      </x:c>
      <x:c r="U71" s="76" t="str">
        <x:f>IF(B71="","",IF(P71="Validé humainement","Oui","Non"))</x:f>
      </x:c>
    </x:row>
    <x:row r="72">
      <x:c r="A72" s="76" t="str">
        <x:f>IF(B72="","","GEN-"&amp;TEXT(ROW()-4,"0000"))</x:f>
      </x:c>
      <x:c r="B72" s="76"/>
      <x:c r="C72" s="76"/>
      <x:c r="D72" s="76"/>
      <x:c r="E72" s="76"/>
      <x:c r="F72" s="76"/>
      <x:c r="G72" s="76"/>
      <x:c r="H72" s="77"/>
      <x:c r="I72" s="76"/>
      <x:c r="J72" s="76"/>
      <x:c r="K72" s="76"/>
      <x:c r="L72" s="76"/>
      <x:c r="M72" s="76"/>
      <x:c r="N72" s="76"/>
      <x:c r="O72" s="76"/>
      <x:c r="P72" s="76"/>
      <x:c r="Q72" s="76"/>
      <x:c r="R72" s="78" t="str">
        <x:f>IF(B72="","",TODAY())</x:f>
      </x:c>
      <x:c r="S72" s="76"/>
      <x:c r="T72" s="76" t="str">
        <x:f>IF(B72="","",IF(OR(D72="",E72="",H72="",I72="",J72="",M72="",O72="",P72&lt;&gt;"Validé humainement"),"ALERTE: données/preuves/statut",IF(FALSE,"ALERTE: valeur anormale","OK")))</x:f>
      </x:c>
      <x:c r="U72" s="76" t="str">
        <x:f>IF(B72="","",IF(P72="Validé humainement","Oui","Non"))</x:f>
      </x:c>
    </x:row>
    <x:row r="73">
      <x:c r="A73" s="76" t="str">
        <x:f>IF(B73="","","GEN-"&amp;TEXT(ROW()-4,"0000"))</x:f>
      </x:c>
      <x:c r="B73" s="76"/>
      <x:c r="C73" s="76"/>
      <x:c r="D73" s="76"/>
      <x:c r="E73" s="76"/>
      <x:c r="F73" s="76"/>
      <x:c r="G73" s="76"/>
      <x:c r="H73" s="77"/>
      <x:c r="I73" s="76"/>
      <x:c r="J73" s="76"/>
      <x:c r="K73" s="76"/>
      <x:c r="L73" s="76"/>
      <x:c r="M73" s="76"/>
      <x:c r="N73" s="76"/>
      <x:c r="O73" s="76"/>
      <x:c r="P73" s="76"/>
      <x:c r="Q73" s="76"/>
      <x:c r="R73" s="78" t="str">
        <x:f>IF(B73="","",TODAY())</x:f>
      </x:c>
      <x:c r="S73" s="76"/>
      <x:c r="T73" s="76" t="str">
        <x:f>IF(B73="","",IF(OR(D73="",E73="",H73="",I73="",J73="",M73="",O73="",P73&lt;&gt;"Validé humainement"),"ALERTE: données/preuves/statut",IF(FALSE,"ALERTE: valeur anormale","OK")))</x:f>
      </x:c>
      <x:c r="U73" s="76" t="str">
        <x:f>IF(B73="","",IF(P73="Validé humainement","Oui","Non"))</x:f>
      </x:c>
    </x:row>
    <x:row r="74">
      <x:c r="A74" s="76" t="str">
        <x:f>IF(B74="","","GEN-"&amp;TEXT(ROW()-4,"0000"))</x:f>
      </x:c>
      <x:c r="B74" s="76"/>
      <x:c r="C74" s="76"/>
      <x:c r="D74" s="76"/>
      <x:c r="E74" s="76"/>
      <x:c r="F74" s="76"/>
      <x:c r="G74" s="76"/>
      <x:c r="H74" s="77"/>
      <x:c r="I74" s="76"/>
      <x:c r="J74" s="76"/>
      <x:c r="K74" s="76"/>
      <x:c r="L74" s="76"/>
      <x:c r="M74" s="76"/>
      <x:c r="N74" s="76"/>
      <x:c r="O74" s="76"/>
      <x:c r="P74" s="76"/>
      <x:c r="Q74" s="76"/>
      <x:c r="R74" s="78" t="str">
        <x:f>IF(B74="","",TODAY())</x:f>
      </x:c>
      <x:c r="S74" s="76"/>
      <x:c r="T74" s="76" t="str">
        <x:f>IF(B74="","",IF(OR(D74="",E74="",H74="",I74="",J74="",M74="",O74="",P74&lt;&gt;"Validé humainement"),"ALERTE: données/preuves/statut",IF(FALSE,"ALERTE: valeur anormale","OK")))</x:f>
      </x:c>
      <x:c r="U74" s="76" t="str">
        <x:f>IF(B74="","",IF(P74="Validé humainement","Oui","Non"))</x:f>
      </x:c>
    </x:row>
    <x:row r="75">
      <x:c r="A75" s="76" t="str">
        <x:f>IF(B75="","","GEN-"&amp;TEXT(ROW()-4,"0000"))</x:f>
      </x:c>
      <x:c r="B75" s="76"/>
      <x:c r="C75" s="76"/>
      <x:c r="D75" s="76"/>
      <x:c r="E75" s="76"/>
      <x:c r="F75" s="76"/>
      <x:c r="G75" s="76"/>
      <x:c r="H75" s="77"/>
      <x:c r="I75" s="76"/>
      <x:c r="J75" s="76"/>
      <x:c r="K75" s="76"/>
      <x:c r="L75" s="76"/>
      <x:c r="M75" s="76"/>
      <x:c r="N75" s="76"/>
      <x:c r="O75" s="76"/>
      <x:c r="P75" s="76"/>
      <x:c r="Q75" s="76"/>
      <x:c r="R75" s="78" t="str">
        <x:f>IF(B75="","",TODAY())</x:f>
      </x:c>
      <x:c r="S75" s="76"/>
      <x:c r="T75" s="76" t="str">
        <x:f>IF(B75="","",IF(OR(D75="",E75="",H75="",I75="",J75="",M75="",O75="",P75&lt;&gt;"Validé humainement"),"ALERTE: données/preuves/statut",IF(FALSE,"ALERTE: valeur anormale","OK")))</x:f>
      </x:c>
      <x:c r="U75" s="76" t="str">
        <x:f>IF(B75="","",IF(P75="Validé humainement","Oui","Non"))</x:f>
      </x:c>
    </x:row>
    <x:row r="76">
      <x:c r="A76" s="76" t="str">
        <x:f>IF(B76="","","GEN-"&amp;TEXT(ROW()-4,"0000"))</x:f>
      </x:c>
      <x:c r="B76" s="76"/>
      <x:c r="C76" s="76"/>
      <x:c r="D76" s="76"/>
      <x:c r="E76" s="76"/>
      <x:c r="F76" s="76"/>
      <x:c r="G76" s="76"/>
      <x:c r="H76" s="77"/>
      <x:c r="I76" s="76"/>
      <x:c r="J76" s="76"/>
      <x:c r="K76" s="76"/>
      <x:c r="L76" s="76"/>
      <x:c r="M76" s="76"/>
      <x:c r="N76" s="76"/>
      <x:c r="O76" s="76"/>
      <x:c r="P76" s="76"/>
      <x:c r="Q76" s="76"/>
      <x:c r="R76" s="78" t="str">
        <x:f>IF(B76="","",TODAY())</x:f>
      </x:c>
      <x:c r="S76" s="76"/>
      <x:c r="T76" s="76" t="str">
        <x:f>IF(B76="","",IF(OR(D76="",E76="",H76="",I76="",J76="",M76="",O76="",P76&lt;&gt;"Validé humainement"),"ALERTE: données/preuves/statut",IF(FALSE,"ALERTE: valeur anormale","OK")))</x:f>
      </x:c>
      <x:c r="U76" s="76" t="str">
        <x:f>IF(B76="","",IF(P76="Validé humainement","Oui","Non"))</x:f>
      </x:c>
    </x:row>
    <x:row r="77">
      <x:c r="A77" s="76" t="str">
        <x:f>IF(B77="","","GEN-"&amp;TEXT(ROW()-4,"0000"))</x:f>
      </x:c>
      <x:c r="B77" s="76"/>
      <x:c r="C77" s="76"/>
      <x:c r="D77" s="76"/>
      <x:c r="E77" s="76"/>
      <x:c r="F77" s="76"/>
      <x:c r="G77" s="76"/>
      <x:c r="H77" s="77"/>
      <x:c r="I77" s="76"/>
      <x:c r="J77" s="76"/>
      <x:c r="K77" s="76"/>
      <x:c r="L77" s="76"/>
      <x:c r="M77" s="76"/>
      <x:c r="N77" s="76"/>
      <x:c r="O77" s="76"/>
      <x:c r="P77" s="76"/>
      <x:c r="Q77" s="76"/>
      <x:c r="R77" s="78" t="str">
        <x:f>IF(B77="","",TODAY())</x:f>
      </x:c>
      <x:c r="S77" s="76"/>
      <x:c r="T77" s="76" t="str">
        <x:f>IF(B77="","",IF(OR(D77="",E77="",H77="",I77="",J77="",M77="",O77="",P77&lt;&gt;"Validé humainement"),"ALERTE: données/preuves/statut",IF(FALSE,"ALERTE: valeur anormale","OK")))</x:f>
      </x:c>
      <x:c r="U77" s="76" t="str">
        <x:f>IF(B77="","",IF(P77="Validé humainement","Oui","Non"))</x:f>
      </x:c>
    </x:row>
    <x:row r="78">
      <x:c r="A78" s="76" t="str">
        <x:f>IF(B78="","","GEN-"&amp;TEXT(ROW()-4,"0000"))</x:f>
      </x:c>
      <x:c r="B78" s="76"/>
      <x:c r="C78" s="76"/>
      <x:c r="D78" s="76"/>
      <x:c r="E78" s="76"/>
      <x:c r="F78" s="76"/>
      <x:c r="G78" s="76"/>
      <x:c r="H78" s="77"/>
      <x:c r="I78" s="76"/>
      <x:c r="J78" s="76"/>
      <x:c r="K78" s="76"/>
      <x:c r="L78" s="76"/>
      <x:c r="M78" s="76"/>
      <x:c r="N78" s="76"/>
      <x:c r="O78" s="76"/>
      <x:c r="P78" s="76"/>
      <x:c r="Q78" s="76"/>
      <x:c r="R78" s="78" t="str">
        <x:f>IF(B78="","",TODAY())</x:f>
      </x:c>
      <x:c r="S78" s="76"/>
      <x:c r="T78" s="76" t="str">
        <x:f>IF(B78="","",IF(OR(D78="",E78="",H78="",I78="",J78="",M78="",O78="",P78&lt;&gt;"Validé humainement"),"ALERTE: données/preuves/statut",IF(FALSE,"ALERTE: valeur anormale","OK")))</x:f>
      </x:c>
      <x:c r="U78" s="76" t="str">
        <x:f>IF(B78="","",IF(P78="Validé humainement","Oui","Non"))</x:f>
      </x:c>
    </x:row>
    <x:row r="79">
      <x:c r="A79" s="76" t="str">
        <x:f>IF(B79="","","GEN-"&amp;TEXT(ROW()-4,"0000"))</x:f>
      </x:c>
      <x:c r="B79" s="76"/>
      <x:c r="C79" s="76"/>
      <x:c r="D79" s="76"/>
      <x:c r="E79" s="76"/>
      <x:c r="F79" s="76"/>
      <x:c r="G79" s="76"/>
      <x:c r="H79" s="77"/>
      <x:c r="I79" s="76"/>
      <x:c r="J79" s="76"/>
      <x:c r="K79" s="76"/>
      <x:c r="L79" s="76"/>
      <x:c r="M79" s="76"/>
      <x:c r="N79" s="76"/>
      <x:c r="O79" s="76"/>
      <x:c r="P79" s="76"/>
      <x:c r="Q79" s="76"/>
      <x:c r="R79" s="78" t="str">
        <x:f>IF(B79="","",TODAY())</x:f>
      </x:c>
      <x:c r="S79" s="76"/>
      <x:c r="T79" s="76" t="str">
        <x:f>IF(B79="","",IF(OR(D79="",E79="",H79="",I79="",J79="",M79="",O79="",P79&lt;&gt;"Validé humainement"),"ALERTE: données/preuves/statut",IF(FALSE,"ALERTE: valeur anormale","OK")))</x:f>
      </x:c>
      <x:c r="U79" s="76" t="str">
        <x:f>IF(B79="","",IF(P79="Validé humainement","Oui","Non"))</x:f>
      </x:c>
    </x:row>
    <x:row r="80">
      <x:c r="A80" s="76" t="str">
        <x:f>IF(B80="","","GEN-"&amp;TEXT(ROW()-4,"0000"))</x:f>
      </x:c>
      <x:c r="B80" s="76"/>
      <x:c r="C80" s="76"/>
      <x:c r="D80" s="76"/>
      <x:c r="E80" s="76"/>
      <x:c r="F80" s="76"/>
      <x:c r="G80" s="76"/>
      <x:c r="H80" s="77"/>
      <x:c r="I80" s="76"/>
      <x:c r="J80" s="76"/>
      <x:c r="K80" s="76"/>
      <x:c r="L80" s="76"/>
      <x:c r="M80" s="76"/>
      <x:c r="N80" s="76"/>
      <x:c r="O80" s="76"/>
      <x:c r="P80" s="76"/>
      <x:c r="Q80" s="76"/>
      <x:c r="R80" s="78" t="str">
        <x:f>IF(B80="","",TODAY())</x:f>
      </x:c>
      <x:c r="S80" s="76"/>
      <x:c r="T80" s="76" t="str">
        <x:f>IF(B80="","",IF(OR(D80="",E80="",H80="",I80="",J80="",M80="",O80="",P80&lt;&gt;"Validé humainement"),"ALERTE: données/preuves/statut",IF(FALSE,"ALERTE: valeur anormale","OK")))</x:f>
      </x:c>
      <x:c r="U80" s="76" t="str">
        <x:f>IF(B80="","",IF(P80="Validé humainement","Oui","Non"))</x:f>
      </x:c>
    </x:row>
    <x:row r="81">
      <x:c r="A81" s="76" t="str">
        <x:f>IF(B81="","","GEN-"&amp;TEXT(ROW()-4,"0000"))</x:f>
      </x:c>
      <x:c r="B81" s="76"/>
      <x:c r="C81" s="76"/>
      <x:c r="D81" s="76"/>
      <x:c r="E81" s="76"/>
      <x:c r="F81" s="76"/>
      <x:c r="G81" s="76"/>
      <x:c r="H81" s="77"/>
      <x:c r="I81" s="76"/>
      <x:c r="J81" s="76"/>
      <x:c r="K81" s="76"/>
      <x:c r="L81" s="76"/>
      <x:c r="M81" s="76"/>
      <x:c r="N81" s="76"/>
      <x:c r="O81" s="76"/>
      <x:c r="P81" s="76"/>
      <x:c r="Q81" s="76"/>
      <x:c r="R81" s="78" t="str">
        <x:f>IF(B81="","",TODAY())</x:f>
      </x:c>
      <x:c r="S81" s="76"/>
      <x:c r="T81" s="76" t="str">
        <x:f>IF(B81="","",IF(OR(D81="",E81="",H81="",I81="",J81="",M81="",O81="",P81&lt;&gt;"Validé humainement"),"ALERTE: données/preuves/statut",IF(FALSE,"ALERTE: valeur anormale","OK")))</x:f>
      </x:c>
      <x:c r="U81" s="76" t="str">
        <x:f>IF(B81="","",IF(P81="Validé humainement","Oui","Non"))</x:f>
      </x:c>
    </x:row>
    <x:row r="82">
      <x:c r="A82" s="76" t="str">
        <x:f>IF(B82="","","GEN-"&amp;TEXT(ROW()-4,"0000"))</x:f>
      </x:c>
      <x:c r="B82" s="76"/>
      <x:c r="C82" s="76"/>
      <x:c r="D82" s="76"/>
      <x:c r="E82" s="76"/>
      <x:c r="F82" s="76"/>
      <x:c r="G82" s="76"/>
      <x:c r="H82" s="77"/>
      <x:c r="I82" s="76"/>
      <x:c r="J82" s="76"/>
      <x:c r="K82" s="76"/>
      <x:c r="L82" s="76"/>
      <x:c r="M82" s="76"/>
      <x:c r="N82" s="76"/>
      <x:c r="O82" s="76"/>
      <x:c r="P82" s="76"/>
      <x:c r="Q82" s="76"/>
      <x:c r="R82" s="78" t="str">
        <x:f>IF(B82="","",TODAY())</x:f>
      </x:c>
      <x:c r="S82" s="76"/>
      <x:c r="T82" s="76" t="str">
        <x:f>IF(B82="","",IF(OR(D82="",E82="",H82="",I82="",J82="",M82="",O82="",P82&lt;&gt;"Validé humainement"),"ALERTE: données/preuves/statut",IF(FALSE,"ALERTE: valeur anormale","OK")))</x:f>
      </x:c>
      <x:c r="U82" s="76" t="str">
        <x:f>IF(B82="","",IF(P82="Validé humainement","Oui","Non"))</x:f>
      </x:c>
    </x:row>
    <x:row r="83">
      <x:c r="A83" s="76" t="str">
        <x:f>IF(B83="","","GEN-"&amp;TEXT(ROW()-4,"0000"))</x:f>
      </x:c>
      <x:c r="B83" s="76"/>
      <x:c r="C83" s="76"/>
      <x:c r="D83" s="76"/>
      <x:c r="E83" s="76"/>
      <x:c r="F83" s="76"/>
      <x:c r="G83" s="76"/>
      <x:c r="H83" s="77"/>
      <x:c r="I83" s="76"/>
      <x:c r="J83" s="76"/>
      <x:c r="K83" s="76"/>
      <x:c r="L83" s="76"/>
      <x:c r="M83" s="76"/>
      <x:c r="N83" s="76"/>
      <x:c r="O83" s="76"/>
      <x:c r="P83" s="76"/>
      <x:c r="Q83" s="76"/>
      <x:c r="R83" s="78" t="str">
        <x:f>IF(B83="","",TODAY())</x:f>
      </x:c>
      <x:c r="S83" s="76"/>
      <x:c r="T83" s="76" t="str">
        <x:f>IF(B83="","",IF(OR(D83="",E83="",H83="",I83="",J83="",M83="",O83="",P83&lt;&gt;"Validé humainement"),"ALERTE: données/preuves/statut",IF(FALSE,"ALERTE: valeur anormale","OK")))</x:f>
      </x:c>
      <x:c r="U83" s="76" t="str">
        <x:f>IF(B83="","",IF(P83="Validé humainement","Oui","Non"))</x:f>
      </x:c>
    </x:row>
    <x:row r="84">
      <x:c r="A84" s="76" t="str">
        <x:f>IF(B84="","","GEN-"&amp;TEXT(ROW()-4,"0000"))</x:f>
      </x:c>
      <x:c r="B84" s="76"/>
      <x:c r="C84" s="76"/>
      <x:c r="D84" s="76"/>
      <x:c r="E84" s="76"/>
      <x:c r="F84" s="76"/>
      <x:c r="G84" s="76"/>
      <x:c r="H84" s="77"/>
      <x:c r="I84" s="76"/>
      <x:c r="J84" s="76"/>
      <x:c r="K84" s="76"/>
      <x:c r="L84" s="76"/>
      <x:c r="M84" s="76"/>
      <x:c r="N84" s="76"/>
      <x:c r="O84" s="76"/>
      <x:c r="P84" s="76"/>
      <x:c r="Q84" s="76"/>
      <x:c r="R84" s="78" t="str">
        <x:f>IF(B84="","",TODAY())</x:f>
      </x:c>
      <x:c r="S84" s="76"/>
      <x:c r="T84" s="76" t="str">
        <x:f>IF(B84="","",IF(OR(D84="",E84="",H84="",I84="",J84="",M84="",O84="",P84&lt;&gt;"Validé humainement"),"ALERTE: données/preuves/statut",IF(FALSE,"ALERTE: valeur anormale","OK")))</x:f>
      </x:c>
      <x:c r="U84" s="76" t="str">
        <x:f>IF(B84="","",IF(P84="Validé humainement","Oui","Non"))</x:f>
      </x:c>
    </x:row>
    <x:row r="85">
      <x:c r="A85" s="76" t="str">
        <x:f>IF(B85="","","GEN-"&amp;TEXT(ROW()-4,"0000"))</x:f>
      </x:c>
      <x:c r="B85" s="76"/>
      <x:c r="C85" s="76"/>
      <x:c r="D85" s="76"/>
      <x:c r="E85" s="76"/>
      <x:c r="F85" s="76"/>
      <x:c r="G85" s="76"/>
      <x:c r="H85" s="77"/>
      <x:c r="I85" s="76"/>
      <x:c r="J85" s="76"/>
      <x:c r="K85" s="76"/>
      <x:c r="L85" s="76"/>
      <x:c r="M85" s="76"/>
      <x:c r="N85" s="76"/>
      <x:c r="O85" s="76"/>
      <x:c r="P85" s="76"/>
      <x:c r="Q85" s="76"/>
      <x:c r="R85" s="78" t="str">
        <x:f>IF(B85="","",TODAY())</x:f>
      </x:c>
      <x:c r="S85" s="76"/>
      <x:c r="T85" s="76" t="str">
        <x:f>IF(B85="","",IF(OR(D85="",E85="",H85="",I85="",J85="",M85="",O85="",P85&lt;&gt;"Validé humainement"),"ALERTE: données/preuves/statut",IF(FALSE,"ALERTE: valeur anormale","OK")))</x:f>
      </x:c>
      <x:c r="U85" s="76" t="str">
        <x:f>IF(B85="","",IF(P85="Validé humainement","Oui","Non"))</x:f>
      </x:c>
    </x:row>
    <x:row r="86">
      <x:c r="A86" s="76" t="str">
        <x:f>IF(B86="","","GEN-"&amp;TEXT(ROW()-4,"0000"))</x:f>
      </x:c>
      <x:c r="B86" s="76"/>
      <x:c r="C86" s="76"/>
      <x:c r="D86" s="76"/>
      <x:c r="E86" s="76"/>
      <x:c r="F86" s="76"/>
      <x:c r="G86" s="76"/>
      <x:c r="H86" s="77"/>
      <x:c r="I86" s="76"/>
      <x:c r="J86" s="76"/>
      <x:c r="K86" s="76"/>
      <x:c r="L86" s="76"/>
      <x:c r="M86" s="76"/>
      <x:c r="N86" s="76"/>
      <x:c r="O86" s="76"/>
      <x:c r="P86" s="76"/>
      <x:c r="Q86" s="76"/>
      <x:c r="R86" s="78" t="str">
        <x:f>IF(B86="","",TODAY())</x:f>
      </x:c>
      <x:c r="S86" s="76"/>
      <x:c r="T86" s="76" t="str">
        <x:f>IF(B86="","",IF(OR(D86="",E86="",H86="",I86="",J86="",M86="",O86="",P86&lt;&gt;"Validé humainement"),"ALERTE: données/preuves/statut",IF(FALSE,"ALERTE: valeur anormale","OK")))</x:f>
      </x:c>
      <x:c r="U86" s="76" t="str">
        <x:f>IF(B86="","",IF(P86="Validé humainement","Oui","Non"))</x:f>
      </x:c>
    </x:row>
    <x:row r="87">
      <x:c r="A87" s="76" t="str">
        <x:f>IF(B87="","","GEN-"&amp;TEXT(ROW()-4,"0000"))</x:f>
      </x:c>
      <x:c r="B87" s="76"/>
      <x:c r="C87" s="76"/>
      <x:c r="D87" s="76"/>
      <x:c r="E87" s="76"/>
      <x:c r="F87" s="76"/>
      <x:c r="G87" s="76"/>
      <x:c r="H87" s="77"/>
      <x:c r="I87" s="76"/>
      <x:c r="J87" s="76"/>
      <x:c r="K87" s="76"/>
      <x:c r="L87" s="76"/>
      <x:c r="M87" s="76"/>
      <x:c r="N87" s="76"/>
      <x:c r="O87" s="76"/>
      <x:c r="P87" s="76"/>
      <x:c r="Q87" s="76"/>
      <x:c r="R87" s="78" t="str">
        <x:f>IF(B87="","",TODAY())</x:f>
      </x:c>
      <x:c r="S87" s="76"/>
      <x:c r="T87" s="76" t="str">
        <x:f>IF(B87="","",IF(OR(D87="",E87="",H87="",I87="",J87="",M87="",O87="",P87&lt;&gt;"Validé humainement"),"ALERTE: données/preuves/statut",IF(FALSE,"ALERTE: valeur anormale","OK")))</x:f>
      </x:c>
      <x:c r="U87" s="76" t="str">
        <x:f>IF(B87="","",IF(P87="Validé humainement","Oui","Non"))</x:f>
      </x:c>
    </x:row>
    <x:row r="88">
      <x:c r="A88" s="76" t="str">
        <x:f>IF(B88="","","GEN-"&amp;TEXT(ROW()-4,"0000"))</x:f>
      </x:c>
      <x:c r="B88" s="76"/>
      <x:c r="C88" s="76"/>
      <x:c r="D88" s="76"/>
      <x:c r="E88" s="76"/>
      <x:c r="F88" s="76"/>
      <x:c r="G88" s="76"/>
      <x:c r="H88" s="77"/>
      <x:c r="I88" s="76"/>
      <x:c r="J88" s="76"/>
      <x:c r="K88" s="76"/>
      <x:c r="L88" s="76"/>
      <x:c r="M88" s="76"/>
      <x:c r="N88" s="76"/>
      <x:c r="O88" s="76"/>
      <x:c r="P88" s="76"/>
      <x:c r="Q88" s="76"/>
      <x:c r="R88" s="78" t="str">
        <x:f>IF(B88="","",TODAY())</x:f>
      </x:c>
      <x:c r="S88" s="76"/>
      <x:c r="T88" s="76" t="str">
        <x:f>IF(B88="","",IF(OR(D88="",E88="",H88="",I88="",J88="",M88="",O88="",P88&lt;&gt;"Validé humainement"),"ALERTE: données/preuves/statut",IF(FALSE,"ALERTE: valeur anormale","OK")))</x:f>
      </x:c>
      <x:c r="U88" s="76" t="str">
        <x:f>IF(B88="","",IF(P88="Validé humainement","Oui","Non"))</x:f>
      </x:c>
    </x:row>
    <x:row r="89">
      <x:c r="A89" s="76" t="str">
        <x:f>IF(B89="","","GEN-"&amp;TEXT(ROW()-4,"0000"))</x:f>
      </x:c>
      <x:c r="B89" s="76"/>
      <x:c r="C89" s="76"/>
      <x:c r="D89" s="76"/>
      <x:c r="E89" s="76"/>
      <x:c r="F89" s="76"/>
      <x:c r="G89" s="76"/>
      <x:c r="H89" s="77"/>
      <x:c r="I89" s="76"/>
      <x:c r="J89" s="76"/>
      <x:c r="K89" s="76"/>
      <x:c r="L89" s="76"/>
      <x:c r="M89" s="76"/>
      <x:c r="N89" s="76"/>
      <x:c r="O89" s="76"/>
      <x:c r="P89" s="76"/>
      <x:c r="Q89" s="76"/>
      <x:c r="R89" s="78" t="str">
        <x:f>IF(B89="","",TODAY())</x:f>
      </x:c>
      <x:c r="S89" s="76"/>
      <x:c r="T89" s="76" t="str">
        <x:f>IF(B89="","",IF(OR(D89="",E89="",H89="",I89="",J89="",M89="",O89="",P89&lt;&gt;"Validé humainement"),"ALERTE: données/preuves/statut",IF(FALSE,"ALERTE: valeur anormale","OK")))</x:f>
      </x:c>
      <x:c r="U89" s="76" t="str">
        <x:f>IF(B89="","",IF(P89="Validé humainement","Oui","Non"))</x:f>
      </x:c>
    </x:row>
    <x:row r="90">
      <x:c r="A90" s="76" t="str">
        <x:f>IF(B90="","","GEN-"&amp;TEXT(ROW()-4,"0000"))</x:f>
      </x:c>
      <x:c r="B90" s="76"/>
      <x:c r="C90" s="76"/>
      <x:c r="D90" s="76"/>
      <x:c r="E90" s="76"/>
      <x:c r="F90" s="76"/>
      <x:c r="G90" s="76"/>
      <x:c r="H90" s="77"/>
      <x:c r="I90" s="76"/>
      <x:c r="J90" s="76"/>
      <x:c r="K90" s="76"/>
      <x:c r="L90" s="76"/>
      <x:c r="M90" s="76"/>
      <x:c r="N90" s="76"/>
      <x:c r="O90" s="76"/>
      <x:c r="P90" s="76"/>
      <x:c r="Q90" s="76"/>
      <x:c r="R90" s="78" t="str">
        <x:f>IF(B90="","",TODAY())</x:f>
      </x:c>
      <x:c r="S90" s="76"/>
      <x:c r="T90" s="76" t="str">
        <x:f>IF(B90="","",IF(OR(D90="",E90="",H90="",I90="",J90="",M90="",O90="",P90&lt;&gt;"Validé humainement"),"ALERTE: données/preuves/statut",IF(FALSE,"ALERTE: valeur anormale","OK")))</x:f>
      </x:c>
      <x:c r="U90" s="76" t="str">
        <x:f>IF(B90="","",IF(P90="Validé humainement","Oui","Non"))</x:f>
      </x:c>
    </x:row>
    <x:row r="91">
      <x:c r="A91" s="76" t="str">
        <x:f>IF(B91="","","GEN-"&amp;TEXT(ROW()-4,"0000"))</x:f>
      </x:c>
      <x:c r="B91" s="76"/>
      <x:c r="C91" s="76"/>
      <x:c r="D91" s="76"/>
      <x:c r="E91" s="76"/>
      <x:c r="F91" s="76"/>
      <x:c r="G91" s="76"/>
      <x:c r="H91" s="77"/>
      <x:c r="I91" s="76"/>
      <x:c r="J91" s="76"/>
      <x:c r="K91" s="76"/>
      <x:c r="L91" s="76"/>
      <x:c r="M91" s="76"/>
      <x:c r="N91" s="76"/>
      <x:c r="O91" s="76"/>
      <x:c r="P91" s="76"/>
      <x:c r="Q91" s="76"/>
      <x:c r="R91" s="78" t="str">
        <x:f>IF(B91="","",TODAY())</x:f>
      </x:c>
      <x:c r="S91" s="76"/>
      <x:c r="T91" s="76" t="str">
        <x:f>IF(B91="","",IF(OR(D91="",E91="",H91="",I91="",J91="",M91="",O91="",P91&lt;&gt;"Validé humainement"),"ALERTE: données/preuves/statut",IF(FALSE,"ALERTE: valeur anormale","OK")))</x:f>
      </x:c>
      <x:c r="U91" s="76" t="str">
        <x:f>IF(B91="","",IF(P91="Validé humainement","Oui","Non"))</x:f>
      </x:c>
    </x:row>
    <x:row r="92">
      <x:c r="A92" s="76" t="str">
        <x:f>IF(B92="","","GEN-"&amp;TEXT(ROW()-4,"0000"))</x:f>
      </x:c>
      <x:c r="B92" s="76"/>
      <x:c r="C92" s="76"/>
      <x:c r="D92" s="76"/>
      <x:c r="E92" s="76"/>
      <x:c r="F92" s="76"/>
      <x:c r="G92" s="76"/>
      <x:c r="H92" s="77"/>
      <x:c r="I92" s="76"/>
      <x:c r="J92" s="76"/>
      <x:c r="K92" s="76"/>
      <x:c r="L92" s="76"/>
      <x:c r="M92" s="76"/>
      <x:c r="N92" s="76"/>
      <x:c r="O92" s="76"/>
      <x:c r="P92" s="76"/>
      <x:c r="Q92" s="76"/>
      <x:c r="R92" s="78" t="str">
        <x:f>IF(B92="","",TODAY())</x:f>
      </x:c>
      <x:c r="S92" s="76"/>
      <x:c r="T92" s="76" t="str">
        <x:f>IF(B92="","",IF(OR(D92="",E92="",H92="",I92="",J92="",M92="",O92="",P92&lt;&gt;"Validé humainement"),"ALERTE: données/preuves/statut",IF(FALSE,"ALERTE: valeur anormale","OK")))</x:f>
      </x:c>
      <x:c r="U92" s="76" t="str">
        <x:f>IF(B92="","",IF(P92="Validé humainement","Oui","Non"))</x:f>
      </x:c>
    </x:row>
    <x:row r="93">
      <x:c r="A93" s="76" t="str">
        <x:f>IF(B93="","","GEN-"&amp;TEXT(ROW()-4,"0000"))</x:f>
      </x:c>
      <x:c r="B93" s="76"/>
      <x:c r="C93" s="76"/>
      <x:c r="D93" s="76"/>
      <x:c r="E93" s="76"/>
      <x:c r="F93" s="76"/>
      <x:c r="G93" s="76"/>
      <x:c r="H93" s="77"/>
      <x:c r="I93" s="76"/>
      <x:c r="J93" s="76"/>
      <x:c r="K93" s="76"/>
      <x:c r="L93" s="76"/>
      <x:c r="M93" s="76"/>
      <x:c r="N93" s="76"/>
      <x:c r="O93" s="76"/>
      <x:c r="P93" s="76"/>
      <x:c r="Q93" s="76"/>
      <x:c r="R93" s="78" t="str">
        <x:f>IF(B93="","",TODAY())</x:f>
      </x:c>
      <x:c r="S93" s="76"/>
      <x:c r="T93" s="76" t="str">
        <x:f>IF(B93="","",IF(OR(D93="",E93="",H93="",I93="",J93="",M93="",O93="",P93&lt;&gt;"Validé humainement"),"ALERTE: données/preuves/statut",IF(FALSE,"ALERTE: valeur anormale","OK")))</x:f>
      </x:c>
      <x:c r="U93" s="76" t="str">
        <x:f>IF(B93="","",IF(P93="Validé humainement","Oui","Non"))</x:f>
      </x:c>
    </x:row>
    <x:row r="94">
      <x:c r="A94" s="76" t="str">
        <x:f>IF(B94="","","GEN-"&amp;TEXT(ROW()-4,"0000"))</x:f>
      </x:c>
      <x:c r="B94" s="76"/>
      <x:c r="C94" s="76"/>
      <x:c r="D94" s="76"/>
      <x:c r="E94" s="76"/>
      <x:c r="F94" s="76"/>
      <x:c r="G94" s="76"/>
      <x:c r="H94" s="77"/>
      <x:c r="I94" s="76"/>
      <x:c r="J94" s="76"/>
      <x:c r="K94" s="76"/>
      <x:c r="L94" s="76"/>
      <x:c r="M94" s="76"/>
      <x:c r="N94" s="76"/>
      <x:c r="O94" s="76"/>
      <x:c r="P94" s="76"/>
      <x:c r="Q94" s="76"/>
      <x:c r="R94" s="78" t="str">
        <x:f>IF(B94="","",TODAY())</x:f>
      </x:c>
      <x:c r="S94" s="76"/>
      <x:c r="T94" s="76" t="str">
        <x:f>IF(B94="","",IF(OR(D94="",E94="",H94="",I94="",J94="",M94="",O94="",P94&lt;&gt;"Validé humainement"),"ALERTE: données/preuves/statut",IF(FALSE,"ALERTE: valeur anormale","OK")))</x:f>
      </x:c>
      <x:c r="U94" s="76" t="str">
        <x:f>IF(B94="","",IF(P94="Validé humainement","Oui","Non"))</x:f>
      </x:c>
    </x:row>
    <x:row r="95">
      <x:c r="A95" s="76" t="str">
        <x:f>IF(B95="","","GEN-"&amp;TEXT(ROW()-4,"0000"))</x:f>
      </x:c>
      <x:c r="B95" s="76"/>
      <x:c r="C95" s="76"/>
      <x:c r="D95" s="76"/>
      <x:c r="E95" s="76"/>
      <x:c r="F95" s="76"/>
      <x:c r="G95" s="76"/>
      <x:c r="H95" s="77"/>
      <x:c r="I95" s="76"/>
      <x:c r="J95" s="76"/>
      <x:c r="K95" s="76"/>
      <x:c r="L95" s="76"/>
      <x:c r="M95" s="76"/>
      <x:c r="N95" s="76"/>
      <x:c r="O95" s="76"/>
      <x:c r="P95" s="76"/>
      <x:c r="Q95" s="76"/>
      <x:c r="R95" s="78" t="str">
        <x:f>IF(B95="","",TODAY())</x:f>
      </x:c>
      <x:c r="S95" s="76"/>
      <x:c r="T95" s="76" t="str">
        <x:f>IF(B95="","",IF(OR(D95="",E95="",H95="",I95="",J95="",M95="",O95="",P95&lt;&gt;"Validé humainement"),"ALERTE: données/preuves/statut",IF(FALSE,"ALERTE: valeur anormale","OK")))</x:f>
      </x:c>
      <x:c r="U95" s="76" t="str">
        <x:f>IF(B95="","",IF(P95="Validé humainement","Oui","Non"))</x:f>
      </x:c>
    </x:row>
    <x:row r="96">
      <x:c r="A96" s="76" t="str">
        <x:f>IF(B96="","","GEN-"&amp;TEXT(ROW()-4,"0000"))</x:f>
      </x:c>
      <x:c r="B96" s="76"/>
      <x:c r="C96" s="76"/>
      <x:c r="D96" s="76"/>
      <x:c r="E96" s="76"/>
      <x:c r="F96" s="76"/>
      <x:c r="G96" s="76"/>
      <x:c r="H96" s="77"/>
      <x:c r="I96" s="76"/>
      <x:c r="J96" s="76"/>
      <x:c r="K96" s="76"/>
      <x:c r="L96" s="76"/>
      <x:c r="M96" s="76"/>
      <x:c r="N96" s="76"/>
      <x:c r="O96" s="76"/>
      <x:c r="P96" s="76"/>
      <x:c r="Q96" s="76"/>
      <x:c r="R96" s="78" t="str">
        <x:f>IF(B96="","",TODAY())</x:f>
      </x:c>
      <x:c r="S96" s="76"/>
      <x:c r="T96" s="76" t="str">
        <x:f>IF(B96="","",IF(OR(D96="",E96="",H96="",I96="",J96="",M96="",O96="",P96&lt;&gt;"Validé humainement"),"ALERTE: données/preuves/statut",IF(FALSE,"ALERTE: valeur anormale","OK")))</x:f>
      </x:c>
      <x:c r="U96" s="76" t="str">
        <x:f>IF(B96="","",IF(P96="Validé humainement","Oui","Non"))</x:f>
      </x:c>
    </x:row>
    <x:row r="97">
      <x:c r="A97" s="76" t="str">
        <x:f>IF(B97="","","GEN-"&amp;TEXT(ROW()-4,"0000"))</x:f>
      </x:c>
      <x:c r="B97" s="76"/>
      <x:c r="C97" s="76"/>
      <x:c r="D97" s="76"/>
      <x:c r="E97" s="76"/>
      <x:c r="F97" s="76"/>
      <x:c r="G97" s="76"/>
      <x:c r="H97" s="77"/>
      <x:c r="I97" s="76"/>
      <x:c r="J97" s="76"/>
      <x:c r="K97" s="76"/>
      <x:c r="L97" s="76"/>
      <x:c r="M97" s="76"/>
      <x:c r="N97" s="76"/>
      <x:c r="O97" s="76"/>
      <x:c r="P97" s="76"/>
      <x:c r="Q97" s="76"/>
      <x:c r="R97" s="78" t="str">
        <x:f>IF(B97="","",TODAY())</x:f>
      </x:c>
      <x:c r="S97" s="76"/>
      <x:c r="T97" s="76" t="str">
        <x:f>IF(B97="","",IF(OR(D97="",E97="",H97="",I97="",J97="",M97="",O97="",P97&lt;&gt;"Validé humainement"),"ALERTE: données/preuves/statut",IF(FALSE,"ALERTE: valeur anormale","OK")))</x:f>
      </x:c>
      <x:c r="U97" s="76" t="str">
        <x:f>IF(B97="","",IF(P97="Validé humainement","Oui","Non"))</x:f>
      </x:c>
    </x:row>
    <x:row r="98">
      <x:c r="A98" s="76" t="str">
        <x:f>IF(B98="","","GEN-"&amp;TEXT(ROW()-4,"0000"))</x:f>
      </x:c>
      <x:c r="B98" s="76"/>
      <x:c r="C98" s="76"/>
      <x:c r="D98" s="76"/>
      <x:c r="E98" s="76"/>
      <x:c r="F98" s="76"/>
      <x:c r="G98" s="76"/>
      <x:c r="H98" s="77"/>
      <x:c r="I98" s="76"/>
      <x:c r="J98" s="76"/>
      <x:c r="K98" s="76"/>
      <x:c r="L98" s="76"/>
      <x:c r="M98" s="76"/>
      <x:c r="N98" s="76"/>
      <x:c r="O98" s="76"/>
      <x:c r="P98" s="76"/>
      <x:c r="Q98" s="76"/>
      <x:c r="R98" s="78" t="str">
        <x:f>IF(B98="","",TODAY())</x:f>
      </x:c>
      <x:c r="S98" s="76"/>
      <x:c r="T98" s="76" t="str">
        <x:f>IF(B98="","",IF(OR(D98="",E98="",H98="",I98="",J98="",M98="",O98="",P98&lt;&gt;"Validé humainement"),"ALERTE: données/preuves/statut",IF(FALSE,"ALERTE: valeur anormale","OK")))</x:f>
      </x:c>
      <x:c r="U98" s="76" t="str">
        <x:f>IF(B98="","",IF(P98="Validé humainement","Oui","Non"))</x:f>
      </x:c>
    </x:row>
    <x:row r="99">
      <x:c r="A99" s="76" t="str">
        <x:f>IF(B99="","","GEN-"&amp;TEXT(ROW()-4,"0000"))</x:f>
      </x:c>
      <x:c r="B99" s="76"/>
      <x:c r="C99" s="76"/>
      <x:c r="D99" s="76"/>
      <x:c r="E99" s="76"/>
      <x:c r="F99" s="76"/>
      <x:c r="G99" s="76"/>
      <x:c r="H99" s="77"/>
      <x:c r="I99" s="76"/>
      <x:c r="J99" s="76"/>
      <x:c r="K99" s="76"/>
      <x:c r="L99" s="76"/>
      <x:c r="M99" s="76"/>
      <x:c r="N99" s="76"/>
      <x:c r="O99" s="76"/>
      <x:c r="P99" s="76"/>
      <x:c r="Q99" s="76"/>
      <x:c r="R99" s="78" t="str">
        <x:f>IF(B99="","",TODAY())</x:f>
      </x:c>
      <x:c r="S99" s="76"/>
      <x:c r="T99" s="76" t="str">
        <x:f>IF(B99="","",IF(OR(D99="",E99="",H99="",I99="",J99="",M99="",O99="",P99&lt;&gt;"Validé humainement"),"ALERTE: données/preuves/statut",IF(FALSE,"ALERTE: valeur anormale","OK")))</x:f>
      </x:c>
      <x:c r="U99" s="76" t="str">
        <x:f>IF(B99="","",IF(P99="Validé humainement","Oui","Non"))</x:f>
      </x:c>
    </x:row>
    <x:row r="100">
      <x:c r="A100" s="76" t="str">
        <x:f>IF(B100="","","GEN-"&amp;TEXT(ROW()-4,"0000"))</x:f>
      </x:c>
      <x:c r="B100" s="76"/>
      <x:c r="C100" s="76"/>
      <x:c r="D100" s="76"/>
      <x:c r="E100" s="76"/>
      <x:c r="F100" s="76"/>
      <x:c r="G100" s="76"/>
      <x:c r="H100" s="77"/>
      <x:c r="I100" s="76"/>
      <x:c r="J100" s="76"/>
      <x:c r="K100" s="76"/>
      <x:c r="L100" s="76"/>
      <x:c r="M100" s="76"/>
      <x:c r="N100" s="76"/>
      <x:c r="O100" s="76"/>
      <x:c r="P100" s="76"/>
      <x:c r="Q100" s="76"/>
      <x:c r="R100" s="78" t="str">
        <x:f>IF(B100="","",TODAY())</x:f>
      </x:c>
      <x:c r="S100" s="76"/>
      <x:c r="T100" s="76" t="str">
        <x:f>IF(B100="","",IF(OR(D100="",E100="",H100="",I100="",J100="",M100="",O100="",P100&lt;&gt;"Validé humainement"),"ALERTE: données/preuves/statut",IF(FALSE,"ALERTE: valeur anormale","OK")))</x:f>
      </x:c>
      <x:c r="U100" s="76" t="str">
        <x:f>IF(B100="","",IF(P100="Validé humainement","Oui","Non"))</x:f>
      </x:c>
    </x:row>
    <x:row r="101">
      <x:c r="A101" s="76" t="str">
        <x:f>IF(B101="","","GEN-"&amp;TEXT(ROW()-4,"0000"))</x:f>
      </x:c>
      <x:c r="B101" s="76"/>
      <x:c r="C101" s="76"/>
      <x:c r="D101" s="76"/>
      <x:c r="E101" s="76"/>
      <x:c r="F101" s="76"/>
      <x:c r="G101" s="76"/>
      <x:c r="H101" s="77"/>
      <x:c r="I101" s="76"/>
      <x:c r="J101" s="76"/>
      <x:c r="K101" s="76"/>
      <x:c r="L101" s="76"/>
      <x:c r="M101" s="76"/>
      <x:c r="N101" s="76"/>
      <x:c r="O101" s="76"/>
      <x:c r="P101" s="76"/>
      <x:c r="Q101" s="76"/>
      <x:c r="R101" s="78" t="str">
        <x:f>IF(B101="","",TODAY())</x:f>
      </x:c>
      <x:c r="S101" s="76"/>
      <x:c r="T101" s="76" t="str">
        <x:f>IF(B101="","",IF(OR(D101="",E101="",H101="",I101="",J101="",M101="",O101="",P101&lt;&gt;"Validé humainement"),"ALERTE: données/preuves/statut",IF(FALSE,"ALERTE: valeur anormale","OK")))</x:f>
      </x:c>
      <x:c r="U101" s="76" t="str">
        <x:f>IF(B101="","",IF(P101="Validé humainement","Oui","Non"))</x:f>
      </x:c>
    </x:row>
    <x:row r="102">
      <x:c r="A102" s="76" t="str">
        <x:f>IF(B102="","","GEN-"&amp;TEXT(ROW()-4,"0000"))</x:f>
      </x:c>
      <x:c r="B102" s="76"/>
      <x:c r="C102" s="76"/>
      <x:c r="D102" s="76"/>
      <x:c r="E102" s="76"/>
      <x:c r="F102" s="76"/>
      <x:c r="G102" s="76"/>
      <x:c r="H102" s="77"/>
      <x:c r="I102" s="76"/>
      <x:c r="J102" s="76"/>
      <x:c r="K102" s="76"/>
      <x:c r="L102" s="76"/>
      <x:c r="M102" s="76"/>
      <x:c r="N102" s="76"/>
      <x:c r="O102" s="76"/>
      <x:c r="P102" s="76"/>
      <x:c r="Q102" s="76"/>
      <x:c r="R102" s="78" t="str">
        <x:f>IF(B102="","",TODAY())</x:f>
      </x:c>
      <x:c r="S102" s="76"/>
      <x:c r="T102" s="76" t="str">
        <x:f>IF(B102="","",IF(OR(D102="",E102="",H102="",I102="",J102="",M102="",O102="",P102&lt;&gt;"Validé humainement"),"ALERTE: données/preuves/statut",IF(FALSE,"ALERTE: valeur anormale","OK")))</x:f>
      </x:c>
      <x:c r="U102" s="76" t="str">
        <x:f>IF(B102="","",IF(P102="Validé humainement","Oui","Non"))</x:f>
      </x:c>
    </x:row>
    <x:row r="103">
      <x:c r="A103" s="76" t="str">
        <x:f>IF(B103="","","GEN-"&amp;TEXT(ROW()-4,"0000"))</x:f>
      </x:c>
      <x:c r="B103" s="76"/>
      <x:c r="C103" s="76"/>
      <x:c r="D103" s="76"/>
      <x:c r="E103" s="76"/>
      <x:c r="F103" s="76"/>
      <x:c r="G103" s="76"/>
      <x:c r="H103" s="77"/>
      <x:c r="I103" s="76"/>
      <x:c r="J103" s="76"/>
      <x:c r="K103" s="76"/>
      <x:c r="L103" s="76"/>
      <x:c r="M103" s="76"/>
      <x:c r="N103" s="76"/>
      <x:c r="O103" s="76"/>
      <x:c r="P103" s="76"/>
      <x:c r="Q103" s="76"/>
      <x:c r="R103" s="78" t="str">
        <x:f>IF(B103="","",TODAY())</x:f>
      </x:c>
      <x:c r="S103" s="76"/>
      <x:c r="T103" s="76" t="str">
        <x:f>IF(B103="","",IF(OR(D103="",E103="",H103="",I103="",J103="",M103="",O103="",P103&lt;&gt;"Validé humainement"),"ALERTE: données/preuves/statut",IF(FALSE,"ALERTE: valeur anormale","OK")))</x:f>
      </x:c>
      <x:c r="U103" s="76" t="str">
        <x:f>IF(B103="","",IF(P103="Validé humainement","Oui","Non"))</x:f>
      </x:c>
    </x:row>
    <x:row r="104">
      <x:c r="A104" s="76" t="str">
        <x:f>IF(B104="","","GEN-"&amp;TEXT(ROW()-4,"0000"))</x:f>
      </x:c>
      <x:c r="B104" s="76"/>
      <x:c r="C104" s="76"/>
      <x:c r="D104" s="76"/>
      <x:c r="E104" s="76"/>
      <x:c r="F104" s="76"/>
      <x:c r="G104" s="76"/>
      <x:c r="H104" s="77"/>
      <x:c r="I104" s="76"/>
      <x:c r="J104" s="76"/>
      <x:c r="K104" s="76"/>
      <x:c r="L104" s="76"/>
      <x:c r="M104" s="76"/>
      <x:c r="N104" s="76"/>
      <x:c r="O104" s="76"/>
      <x:c r="P104" s="76"/>
      <x:c r="Q104" s="76"/>
      <x:c r="R104" s="78" t="str">
        <x:f>IF(B104="","",TODAY())</x:f>
      </x:c>
      <x:c r="S104" s="76"/>
      <x:c r="T104" s="76" t="str">
        <x:f>IF(B104="","",IF(OR(D104="",E104="",H104="",I104="",J104="",M104="",O104="",P104&lt;&gt;"Validé humainement"),"ALERTE: données/preuves/statut",IF(FALSE,"ALERTE: valeur anormale","OK")))</x:f>
      </x:c>
      <x:c r="U104" s="76" t="str">
        <x:f>IF(B104="","",IF(P104="Validé humainement","Oui","Non"))</x:f>
      </x:c>
    </x:row>
  </x:sheetData>
  <x:mergeCells>
    <x:mergeCell ref="A1:U1"/>
    <x:mergeCell ref="A2:U2"/>
  </x:mergeCells>
  <x:conditionalFormatting sqref="T5:T104">
    <x:cfRule type="containsText" dxfId="152" priority="1" operator="containsText" text="ALERTE"/>
    <x:cfRule type="containsText" dxfId="153" priority="2" operator="containsText" text="OK"/>
    <x:cfRule type="containsText" dxfId="154" priority="3" operator="containsText" text="Validé"/>
    <x:cfRule type="containsText" dxfId="155" priority="4" operator="containsText" text="À vérifier"/>
    <x:cfRule type="containsText" dxfId="156" priority="5" operator="containsText" text="Rejeté"/>
  </x:conditionalFormatting>
  <x:conditionalFormatting sqref="P5:P104">
    <x:cfRule type="containsText" dxfId="157" priority="6" operator="containsText" text="ALERTE"/>
    <x:cfRule type="containsText" dxfId="158" priority="7" operator="containsText" text="OK"/>
    <x:cfRule type="containsText" dxfId="159" priority="8" operator="containsText" text="Validé"/>
    <x:cfRule type="containsText" dxfId="160" priority="9" operator="containsText" text="À vérifier"/>
    <x:cfRule type="containsText" dxfId="161" priority="10" operator="containsText" text="Rejeté"/>
  </x:conditionalFormatting>
  <x:dataValidations count="11">
    <x:dataValidation type="list" errorStyle="warning" showInputMessage="1" showErrorMessage="1" errorTitle="Valeur inattendue" error="Veuillez choisir une valeur de la liste." promptTitle="Liste contrôlée" prompt="Choisir une valeur autorisée." sqref="B5:B104">
      <x:formula1>"Climat,Énergie,Déchets,Mobilité,Qualité de l'air,GES,Adaptation / Résilience,Érosion côtière,Finance climat,Projets climat"</x:formula1>
    </x:dataValidation>
    <x:dataValidation type="list" errorStyle="warning" showInputMessage="1" showErrorMessage="1" errorTitle="Valeur inattendue" error="Veuillez choisir une valeur de la liste." promptTitle="Liste contrôlée" prompt="Choisir une valeur autorisée." sqref="C5:C104">
      <x:formula1>"Température,Pluviométrie,Électricité,Déchets solides,Qualité de l'air,Inventaire GES,Transport,Érosion côtière,Risques climatiques,Budget et financement"</x:formula1>
    </x:dataValidation>
    <x:dataValidation type="list" errorStyle="warning" showInputMessage="1" showErrorMessage="1" errorTitle="Valeur inattendue" error="Veuillez choisir une valeur de la liste." promptTitle="Liste contrôlée" prompt="Choisir une valeur autorisée." sqref="E5:E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F5:F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G5:G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J5:J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K5:K104">
      <x:formula1>"Cabinet du Maire,Cellule climat,Cellule MRV,Planification,Environnement,Mobilité,Énergie,Déchets,Finances,Marchés publics,SIG,Affaires sociales"</x:formula1>
    </x:dataValidation>
    <x:dataValidation type="list" errorStyle="warning" showInputMessage="1" showErrorMessage="1" errorTitle="Valeur inattendue" error="Veuillez choisir une valeur de la liste." promptTitle="Liste contrôlée" prompt="Choisir une valeur autorisée." sqref="N5:N104">
      <x:formula1>"Mensuelle,Trimestrielle,Semestrielle,Annuelle,Ponctuelle,Continu"</x:formula1>
    </x:dataValidation>
    <x:dataValidation type="list" errorStyle="warning" showInputMessage="1" showErrorMessage="1" errorTitle="Valeur inattendue" error="Veuillez choisir une valeur de la liste." promptTitle="Liste contrôlée" prompt="Choisir une valeur autorisée." sqref="O5:O104">
      <x:formula1>"Faible,Moyenne,Élevée,Très élevée"</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I5:I104">
      <x:formula1>"tCO2e,kgCO2e,kWh,MWh,tonnes,kg,mm,°C,µg/m3,km,m,FCFA,%,nombre"</x:formula1>
    </x:dataValidation>
  </x:dataValidations>
  <x:pageMargins left="0.7" right="0.7" top="0.75" bottom="0.75" header="0.3" footer="0.3"/>
  <x:tableParts count="1">
    <x:tablePart xmlns:r="http://schemas.openxmlformats.org/officeDocument/2006/relationships" r:id="Rf4a937286b174d45"/>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6.8799991607666" hidden="0" customWidth="1"/>
    <x:col min="8" max="8" width="16.8799991607666" hidden="0" customWidth="1"/>
    <x:col min="9" max="9" width="16.8799991607666" hidden="0" customWidth="1"/>
    <x:col min="10" max="10" width="18.75" hidden="0" customWidth="1"/>
    <x:col min="11" max="11" width="17.5" hidden="0" customWidth="1"/>
    <x:col min="12" max="12" width="22.5" hidden="0" customWidth="1"/>
    <x:col min="13" max="13" width="26.25" hidden="0" customWidth="1"/>
    <x:col min="14" max="14" width="18.1299991607666"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température</x:v>
      </x:c>
      <x:c r="B1" s="68"/>
      <x:c r="C1" s="68"/>
      <x:c r="D1" s="68"/>
      <x:c r="E1" s="68"/>
      <x:c r="F1" s="68"/>
      <x:c r="G1" s="68"/>
      <x:c r="H1" s="68"/>
      <x:c r="I1" s="68"/>
      <x:c r="J1" s="68"/>
      <x:c r="K1" s="68"/>
      <x:c r="L1" s="68"/>
      <x:c r="M1" s="68"/>
      <x:c r="N1" s="68"/>
      <x:c r="O1" s="68"/>
      <x:c r="P1" s="68"/>
      <x:c r="Q1" s="68"/>
      <x:c r="R1" s="68"/>
      <x:c r="S1" s="68"/>
      <x:c r="T1" s="68"/>
    </x:row>
    <x:row r="2" ht="33" customHeight="1">
      <x:c r="A2" s="71" t="str">
        <x:v>Saisie mensuelle des données de température par station et zone.</x:v>
      </x:c>
      <x:c r="B2" s="71"/>
      <x:c r="C2" s="71"/>
      <x:c r="D2" s="71"/>
      <x:c r="E2" s="71"/>
      <x:c r="F2" s="71"/>
      <x:c r="G2" s="71"/>
      <x:c r="H2" s="71"/>
      <x:c r="I2" s="71"/>
      <x:c r="J2" s="71"/>
      <x:c r="K2" s="71"/>
      <x:c r="L2" s="71"/>
      <x:c r="M2" s="71"/>
      <x:c r="N2" s="71"/>
      <x:c r="O2" s="71"/>
      <x:c r="P2" s="71"/>
      <x:c r="Q2" s="71"/>
      <x:c r="R2" s="71"/>
      <x:c r="S2" s="71"/>
      <x:c r="T2" s="71"/>
    </x:row>
    <x:row r="4">
      <x:c r="A4" s="74" t="str">
        <x:v>ID_Saisie</x:v>
      </x:c>
      <x:c r="B4" s="74" t="str">
        <x:v>Date</x:v>
      </x:c>
      <x:c r="C4" s="74" t="str">
        <x:v>Année</x:v>
      </x:c>
      <x:c r="D4" s="74" t="str">
        <x:v>Mois</x:v>
      </x:c>
      <x:c r="E4" s="74" t="str">
        <x:v>Station météo</x:v>
      </x:c>
      <x:c r="F4" s="74" t="str">
        <x:v>Commune / zone</x:v>
      </x:c>
      <x:c r="G4" s="74" t="str">
        <x:v>Température moyenne</x:v>
      </x:c>
      <x:c r="H4" s="74" t="str">
        <x:v>Température minimale</x:v>
      </x:c>
      <x:c r="I4" s="74" t="str">
        <x:v>Température maximale</x:v>
      </x:c>
      <x:c r="J4" s="74" t="str">
        <x:v>Nombre de jours chauds</x:v>
      </x:c>
      <x:c r="K4" s="74" t="str">
        <x:v>Source</x:v>
      </x:c>
      <x:c r="L4" s="74" t="str">
        <x:v>Institution source</x:v>
      </x:c>
      <x:c r="M4" s="74" t="str">
        <x:v>Document source</x:v>
      </x:c>
      <x:c r="N4" s="74" t="str">
        <x:v>Niveau de fiabilité</x:v>
      </x:c>
      <x:c r="O4" s="74" t="str">
        <x:v>Statut validation</x:v>
      </x:c>
      <x:c r="P4" s="74" t="str">
        <x:v>Observations</x:v>
      </x:c>
      <x:c r="Q4" s="74" t="str">
        <x:v>Date de saisie</x:v>
      </x:c>
      <x:c r="R4" s="74" t="str">
        <x:v>Responsable</x:v>
      </x:c>
      <x:c r="S4" s="74" t="str">
        <x:v>Alerte_QC</x:v>
      </x:c>
      <x:c r="T4" s="74" t="str">
        <x:v>Alimente_Rapports</x:v>
      </x:c>
    </x:row>
    <x:row r="5">
      <x:c r="A5" s="76" t="str">
        <x:f>IF(B5="","","TEMP-"&amp;TEXT(ROW()-4,"0000"))</x:f>
      </x:c>
      <x:c r="B5" s="78"/>
      <x:c r="C5" s="76"/>
      <x:c r="D5" s="76"/>
      <x:c r="E5" s="76"/>
      <x:c r="F5" s="76"/>
      <x:c r="G5" s="79"/>
      <x:c r="H5" s="79"/>
      <x:c r="I5" s="79"/>
      <x:c r="J5" s="76"/>
      <x:c r="K5" s="76"/>
      <x:c r="L5" s="76"/>
      <x:c r="M5" s="76"/>
      <x:c r="N5" s="76"/>
      <x:c r="O5" s="76"/>
      <x:c r="P5" s="76"/>
      <x:c r="Q5" s="78" t="str">
        <x:f>IF(B5="","",TODAY())</x:f>
      </x:c>
      <x:c r="R5" s="76"/>
      <x:c r="S5" s="76" t="str">
        <x:f>IF(B5="","",IF(OR(C5="",D5="",F5="",G5="",K5="",M5="",N5="",O5&lt;&gt;"Validé humainement"),"ALERTE: données/preuves/statut",IF(OR(AND(ISNUMBER(G5),OR(G5&lt;0,G5&gt;50)),AND(ISNUMBER(H5),H5&lt;-5),AND(ISNUMBER(I5),I5&gt;55),AND(ISNUMBER(J5),J5&gt;31)),"ALERTE: valeur anormale","OK")))</x:f>
      </x:c>
      <x:c r="T5" s="76" t="str">
        <x:f>IF(B5="","",IF(O5="Validé humainement","Oui","Non"))</x:f>
      </x:c>
    </x:row>
    <x:row r="6">
      <x:c r="A6" s="76" t="str">
        <x:f>IF(B6="","","TEMP-"&amp;TEXT(ROW()-4,"0000"))</x:f>
      </x:c>
      <x:c r="B6" s="78"/>
      <x:c r="C6" s="76"/>
      <x:c r="D6" s="76"/>
      <x:c r="E6" s="76"/>
      <x:c r="F6" s="76"/>
      <x:c r="G6" s="79"/>
      <x:c r="H6" s="79"/>
      <x:c r="I6" s="79"/>
      <x:c r="J6" s="76"/>
      <x:c r="K6" s="76"/>
      <x:c r="L6" s="76"/>
      <x:c r="M6" s="76"/>
      <x:c r="N6" s="76"/>
      <x:c r="O6" s="76"/>
      <x:c r="P6" s="76"/>
      <x:c r="Q6" s="78" t="str">
        <x:f>IF(B6="","",TODAY())</x:f>
      </x:c>
      <x:c r="R6" s="76"/>
      <x:c r="S6" s="76" t="str">
        <x:f>IF(B6="","",IF(OR(C6="",D6="",F6="",G6="",K6="",M6="",N6="",O6&lt;&gt;"Validé humainement"),"ALERTE: données/preuves/statut",IF(OR(AND(ISNUMBER(G6),OR(G6&lt;0,G6&gt;50)),AND(ISNUMBER(H6),H6&lt;-5),AND(ISNUMBER(I6),I6&gt;55),AND(ISNUMBER(J6),J6&gt;31)),"ALERTE: valeur anormale","OK")))</x:f>
      </x:c>
      <x:c r="T6" s="76" t="str">
        <x:f>IF(B6="","",IF(O6="Validé humainement","Oui","Non"))</x:f>
      </x:c>
    </x:row>
    <x:row r="7">
      <x:c r="A7" s="76" t="str">
        <x:f>IF(B7="","","TEMP-"&amp;TEXT(ROW()-4,"0000"))</x:f>
      </x:c>
      <x:c r="B7" s="78"/>
      <x:c r="C7" s="76"/>
      <x:c r="D7" s="76"/>
      <x:c r="E7" s="76"/>
      <x:c r="F7" s="76"/>
      <x:c r="G7" s="79"/>
      <x:c r="H7" s="79"/>
      <x:c r="I7" s="79"/>
      <x:c r="J7" s="76"/>
      <x:c r="K7" s="76"/>
      <x:c r="L7" s="76"/>
      <x:c r="M7" s="76"/>
      <x:c r="N7" s="76"/>
      <x:c r="O7" s="76"/>
      <x:c r="P7" s="76"/>
      <x:c r="Q7" s="78" t="str">
        <x:f>IF(B7="","",TODAY())</x:f>
      </x:c>
      <x:c r="R7" s="76"/>
      <x:c r="S7" s="76" t="str">
        <x:f>IF(B7="","",IF(OR(C7="",D7="",F7="",G7="",K7="",M7="",N7="",O7&lt;&gt;"Validé humainement"),"ALERTE: données/preuves/statut",IF(OR(AND(ISNUMBER(G7),OR(G7&lt;0,G7&gt;50)),AND(ISNUMBER(H7),H7&lt;-5),AND(ISNUMBER(I7),I7&gt;55),AND(ISNUMBER(J7),J7&gt;31)),"ALERTE: valeur anormale","OK")))</x:f>
      </x:c>
      <x:c r="T7" s="76" t="str">
        <x:f>IF(B7="","",IF(O7="Validé humainement","Oui","Non"))</x:f>
      </x:c>
    </x:row>
    <x:row r="8">
      <x:c r="A8" s="76" t="str">
        <x:f>IF(B8="","","TEMP-"&amp;TEXT(ROW()-4,"0000"))</x:f>
      </x:c>
      <x:c r="B8" s="78"/>
      <x:c r="C8" s="76"/>
      <x:c r="D8" s="76"/>
      <x:c r="E8" s="76"/>
      <x:c r="F8" s="76"/>
      <x:c r="G8" s="79"/>
      <x:c r="H8" s="79"/>
      <x:c r="I8" s="79"/>
      <x:c r="J8" s="76"/>
      <x:c r="K8" s="76"/>
      <x:c r="L8" s="76"/>
      <x:c r="M8" s="76"/>
      <x:c r="N8" s="76"/>
      <x:c r="O8" s="76"/>
      <x:c r="P8" s="76"/>
      <x:c r="Q8" s="78" t="str">
        <x:f>IF(B8="","",TODAY())</x:f>
      </x:c>
      <x:c r="R8" s="76"/>
      <x:c r="S8" s="76" t="str">
        <x:f>IF(B8="","",IF(OR(C8="",D8="",F8="",G8="",K8="",M8="",N8="",O8&lt;&gt;"Validé humainement"),"ALERTE: données/preuves/statut",IF(OR(AND(ISNUMBER(G8),OR(G8&lt;0,G8&gt;50)),AND(ISNUMBER(H8),H8&lt;-5),AND(ISNUMBER(I8),I8&gt;55),AND(ISNUMBER(J8),J8&gt;31)),"ALERTE: valeur anormale","OK")))</x:f>
      </x:c>
      <x:c r="T8" s="76" t="str">
        <x:f>IF(B8="","",IF(O8="Validé humainement","Oui","Non"))</x:f>
      </x:c>
    </x:row>
    <x:row r="9">
      <x:c r="A9" s="76" t="str">
        <x:f>IF(B9="","","TEMP-"&amp;TEXT(ROW()-4,"0000"))</x:f>
      </x:c>
      <x:c r="B9" s="78"/>
      <x:c r="C9" s="76"/>
      <x:c r="D9" s="76"/>
      <x:c r="E9" s="76"/>
      <x:c r="F9" s="76"/>
      <x:c r="G9" s="79"/>
      <x:c r="H9" s="79"/>
      <x:c r="I9" s="79"/>
      <x:c r="J9" s="76"/>
      <x:c r="K9" s="76"/>
      <x:c r="L9" s="76"/>
      <x:c r="M9" s="76"/>
      <x:c r="N9" s="76"/>
      <x:c r="O9" s="76"/>
      <x:c r="P9" s="76"/>
      <x:c r="Q9" s="78" t="str">
        <x:f>IF(B9="","",TODAY())</x:f>
      </x:c>
      <x:c r="R9" s="76"/>
      <x:c r="S9" s="76" t="str">
        <x:f>IF(B9="","",IF(OR(C9="",D9="",F9="",G9="",K9="",M9="",N9="",O9&lt;&gt;"Validé humainement"),"ALERTE: données/preuves/statut",IF(OR(AND(ISNUMBER(G9),OR(G9&lt;0,G9&gt;50)),AND(ISNUMBER(H9),H9&lt;-5),AND(ISNUMBER(I9),I9&gt;55),AND(ISNUMBER(J9),J9&gt;31)),"ALERTE: valeur anormale","OK")))</x:f>
      </x:c>
      <x:c r="T9" s="76" t="str">
        <x:f>IF(B9="","",IF(O9="Validé humainement","Oui","Non"))</x:f>
      </x:c>
    </x:row>
    <x:row r="10">
      <x:c r="A10" s="76" t="str">
        <x:f>IF(B10="","","TEMP-"&amp;TEXT(ROW()-4,"0000"))</x:f>
      </x:c>
      <x:c r="B10" s="78"/>
      <x:c r="C10" s="76"/>
      <x:c r="D10" s="76"/>
      <x:c r="E10" s="76"/>
      <x:c r="F10" s="76"/>
      <x:c r="G10" s="79"/>
      <x:c r="H10" s="79"/>
      <x:c r="I10" s="79"/>
      <x:c r="J10" s="76"/>
      <x:c r="K10" s="76"/>
      <x:c r="L10" s="76"/>
      <x:c r="M10" s="76"/>
      <x:c r="N10" s="76"/>
      <x:c r="O10" s="76"/>
      <x:c r="P10" s="76"/>
      <x:c r="Q10" s="78" t="str">
        <x:f>IF(B10="","",TODAY())</x:f>
      </x:c>
      <x:c r="R10" s="76"/>
      <x:c r="S10" s="76" t="str">
        <x:f>IF(B10="","",IF(OR(C10="",D10="",F10="",G10="",K10="",M10="",N10="",O10&lt;&gt;"Validé humainement"),"ALERTE: données/preuves/statut",IF(OR(AND(ISNUMBER(G10),OR(G10&lt;0,G10&gt;50)),AND(ISNUMBER(H10),H10&lt;-5),AND(ISNUMBER(I10),I10&gt;55),AND(ISNUMBER(J10),J10&gt;31)),"ALERTE: valeur anormale","OK")))</x:f>
      </x:c>
      <x:c r="T10" s="76" t="str">
        <x:f>IF(B10="","",IF(O10="Validé humainement","Oui","Non"))</x:f>
      </x:c>
    </x:row>
    <x:row r="11">
      <x:c r="A11" s="76" t="str">
        <x:f>IF(B11="","","TEMP-"&amp;TEXT(ROW()-4,"0000"))</x:f>
      </x:c>
      <x:c r="B11" s="78"/>
      <x:c r="C11" s="76"/>
      <x:c r="D11" s="76"/>
      <x:c r="E11" s="76"/>
      <x:c r="F11" s="76"/>
      <x:c r="G11" s="79"/>
      <x:c r="H11" s="79"/>
      <x:c r="I11" s="79"/>
      <x:c r="J11" s="76"/>
      <x:c r="K11" s="76"/>
      <x:c r="L11" s="76"/>
      <x:c r="M11" s="76"/>
      <x:c r="N11" s="76"/>
      <x:c r="O11" s="76"/>
      <x:c r="P11" s="76"/>
      <x:c r="Q11" s="78" t="str">
        <x:f>IF(B11="","",TODAY())</x:f>
      </x:c>
      <x:c r="R11" s="76"/>
      <x:c r="S11" s="76" t="str">
        <x:f>IF(B11="","",IF(OR(C11="",D11="",F11="",G11="",K11="",M11="",N11="",O11&lt;&gt;"Validé humainement"),"ALERTE: données/preuves/statut",IF(OR(AND(ISNUMBER(G11),OR(G11&lt;0,G11&gt;50)),AND(ISNUMBER(H11),H11&lt;-5),AND(ISNUMBER(I11),I11&gt;55),AND(ISNUMBER(J11),J11&gt;31)),"ALERTE: valeur anormale","OK")))</x:f>
      </x:c>
      <x:c r="T11" s="76" t="str">
        <x:f>IF(B11="","",IF(O11="Validé humainement","Oui","Non"))</x:f>
      </x:c>
    </x:row>
    <x:row r="12">
      <x:c r="A12" s="76" t="str">
        <x:f>IF(B12="","","TEMP-"&amp;TEXT(ROW()-4,"0000"))</x:f>
      </x:c>
      <x:c r="B12" s="78"/>
      <x:c r="C12" s="76"/>
      <x:c r="D12" s="76"/>
      <x:c r="E12" s="76"/>
      <x:c r="F12" s="76"/>
      <x:c r="G12" s="79"/>
      <x:c r="H12" s="79"/>
      <x:c r="I12" s="79"/>
      <x:c r="J12" s="76"/>
      <x:c r="K12" s="76"/>
      <x:c r="L12" s="76"/>
      <x:c r="M12" s="76"/>
      <x:c r="N12" s="76"/>
      <x:c r="O12" s="76"/>
      <x:c r="P12" s="76"/>
      <x:c r="Q12" s="78" t="str">
        <x:f>IF(B12="","",TODAY())</x:f>
      </x:c>
      <x:c r="R12" s="76"/>
      <x:c r="S12" s="76" t="str">
        <x:f>IF(B12="","",IF(OR(C12="",D12="",F12="",G12="",K12="",M12="",N12="",O12&lt;&gt;"Validé humainement"),"ALERTE: données/preuves/statut",IF(OR(AND(ISNUMBER(G12),OR(G12&lt;0,G12&gt;50)),AND(ISNUMBER(H12),H12&lt;-5),AND(ISNUMBER(I12),I12&gt;55),AND(ISNUMBER(J12),J12&gt;31)),"ALERTE: valeur anormale","OK")))</x:f>
      </x:c>
      <x:c r="T12" s="76" t="str">
        <x:f>IF(B12="","",IF(O12="Validé humainement","Oui","Non"))</x:f>
      </x:c>
    </x:row>
    <x:row r="13">
      <x:c r="A13" s="76" t="str">
        <x:f>IF(B13="","","TEMP-"&amp;TEXT(ROW()-4,"0000"))</x:f>
      </x:c>
      <x:c r="B13" s="78"/>
      <x:c r="C13" s="76"/>
      <x:c r="D13" s="76"/>
      <x:c r="E13" s="76"/>
      <x:c r="F13" s="76"/>
      <x:c r="G13" s="79"/>
      <x:c r="H13" s="79"/>
      <x:c r="I13" s="79"/>
      <x:c r="J13" s="76"/>
      <x:c r="K13" s="76"/>
      <x:c r="L13" s="76"/>
      <x:c r="M13" s="76"/>
      <x:c r="N13" s="76"/>
      <x:c r="O13" s="76"/>
      <x:c r="P13" s="76"/>
      <x:c r="Q13" s="78" t="str">
        <x:f>IF(B13="","",TODAY())</x:f>
      </x:c>
      <x:c r="R13" s="76"/>
      <x:c r="S13" s="76" t="str">
        <x:f>IF(B13="","",IF(OR(C13="",D13="",F13="",G13="",K13="",M13="",N13="",O13&lt;&gt;"Validé humainement"),"ALERTE: données/preuves/statut",IF(OR(AND(ISNUMBER(G13),OR(G13&lt;0,G13&gt;50)),AND(ISNUMBER(H13),H13&lt;-5),AND(ISNUMBER(I13),I13&gt;55),AND(ISNUMBER(J13),J13&gt;31)),"ALERTE: valeur anormale","OK")))</x:f>
      </x:c>
      <x:c r="T13" s="76" t="str">
        <x:f>IF(B13="","",IF(O13="Validé humainement","Oui","Non"))</x:f>
      </x:c>
    </x:row>
    <x:row r="14">
      <x:c r="A14" s="76" t="str">
        <x:f>IF(B14="","","TEMP-"&amp;TEXT(ROW()-4,"0000"))</x:f>
      </x:c>
      <x:c r="B14" s="78"/>
      <x:c r="C14" s="76"/>
      <x:c r="D14" s="76"/>
      <x:c r="E14" s="76"/>
      <x:c r="F14" s="76"/>
      <x:c r="G14" s="79"/>
      <x:c r="H14" s="79"/>
      <x:c r="I14" s="79"/>
      <x:c r="J14" s="76"/>
      <x:c r="K14" s="76"/>
      <x:c r="L14" s="76"/>
      <x:c r="M14" s="76"/>
      <x:c r="N14" s="76"/>
      <x:c r="O14" s="76"/>
      <x:c r="P14" s="76"/>
      <x:c r="Q14" s="78" t="str">
        <x:f>IF(B14="","",TODAY())</x:f>
      </x:c>
      <x:c r="R14" s="76"/>
      <x:c r="S14" s="76" t="str">
        <x:f>IF(B14="","",IF(OR(C14="",D14="",F14="",G14="",K14="",M14="",N14="",O14&lt;&gt;"Validé humainement"),"ALERTE: données/preuves/statut",IF(OR(AND(ISNUMBER(G14),OR(G14&lt;0,G14&gt;50)),AND(ISNUMBER(H14),H14&lt;-5),AND(ISNUMBER(I14),I14&gt;55),AND(ISNUMBER(J14),J14&gt;31)),"ALERTE: valeur anormale","OK")))</x:f>
      </x:c>
      <x:c r="T14" s="76" t="str">
        <x:f>IF(B14="","",IF(O14="Validé humainement","Oui","Non"))</x:f>
      </x:c>
    </x:row>
    <x:row r="15">
      <x:c r="A15" s="76" t="str">
        <x:f>IF(B15="","","TEMP-"&amp;TEXT(ROW()-4,"0000"))</x:f>
      </x:c>
      <x:c r="B15" s="78"/>
      <x:c r="C15" s="76"/>
      <x:c r="D15" s="76"/>
      <x:c r="E15" s="76"/>
      <x:c r="F15" s="76"/>
      <x:c r="G15" s="79"/>
      <x:c r="H15" s="79"/>
      <x:c r="I15" s="79"/>
      <x:c r="J15" s="76"/>
      <x:c r="K15" s="76"/>
      <x:c r="L15" s="76"/>
      <x:c r="M15" s="76"/>
      <x:c r="N15" s="76"/>
      <x:c r="O15" s="76"/>
      <x:c r="P15" s="76"/>
      <x:c r="Q15" s="78" t="str">
        <x:f>IF(B15="","",TODAY())</x:f>
      </x:c>
      <x:c r="R15" s="76"/>
      <x:c r="S15" s="76" t="str">
        <x:f>IF(B15="","",IF(OR(C15="",D15="",F15="",G15="",K15="",M15="",N15="",O15&lt;&gt;"Validé humainement"),"ALERTE: données/preuves/statut",IF(OR(AND(ISNUMBER(G15),OR(G15&lt;0,G15&gt;50)),AND(ISNUMBER(H15),H15&lt;-5),AND(ISNUMBER(I15),I15&gt;55),AND(ISNUMBER(J15),J15&gt;31)),"ALERTE: valeur anormale","OK")))</x:f>
      </x:c>
      <x:c r="T15" s="76" t="str">
        <x:f>IF(B15="","",IF(O15="Validé humainement","Oui","Non"))</x:f>
      </x:c>
    </x:row>
    <x:row r="16">
      <x:c r="A16" s="76" t="str">
        <x:f>IF(B16="","","TEMP-"&amp;TEXT(ROW()-4,"0000"))</x:f>
      </x:c>
      <x:c r="B16" s="78"/>
      <x:c r="C16" s="76"/>
      <x:c r="D16" s="76"/>
      <x:c r="E16" s="76"/>
      <x:c r="F16" s="76"/>
      <x:c r="G16" s="79"/>
      <x:c r="H16" s="79"/>
      <x:c r="I16" s="79"/>
      <x:c r="J16" s="76"/>
      <x:c r="K16" s="76"/>
      <x:c r="L16" s="76"/>
      <x:c r="M16" s="76"/>
      <x:c r="N16" s="76"/>
      <x:c r="O16" s="76"/>
      <x:c r="P16" s="76"/>
      <x:c r="Q16" s="78" t="str">
        <x:f>IF(B16="","",TODAY())</x:f>
      </x:c>
      <x:c r="R16" s="76"/>
      <x:c r="S16" s="76" t="str">
        <x:f>IF(B16="","",IF(OR(C16="",D16="",F16="",G16="",K16="",M16="",N16="",O16&lt;&gt;"Validé humainement"),"ALERTE: données/preuves/statut",IF(OR(AND(ISNUMBER(G16),OR(G16&lt;0,G16&gt;50)),AND(ISNUMBER(H16),H16&lt;-5),AND(ISNUMBER(I16),I16&gt;55),AND(ISNUMBER(J16),J16&gt;31)),"ALERTE: valeur anormale","OK")))</x:f>
      </x:c>
      <x:c r="T16" s="76" t="str">
        <x:f>IF(B16="","",IF(O16="Validé humainement","Oui","Non"))</x:f>
      </x:c>
    </x:row>
    <x:row r="17">
      <x:c r="A17" s="76" t="str">
        <x:f>IF(B17="","","TEMP-"&amp;TEXT(ROW()-4,"0000"))</x:f>
      </x:c>
      <x:c r="B17" s="78"/>
      <x:c r="C17" s="76"/>
      <x:c r="D17" s="76"/>
      <x:c r="E17" s="76"/>
      <x:c r="F17" s="76"/>
      <x:c r="G17" s="79"/>
      <x:c r="H17" s="79"/>
      <x:c r="I17" s="79"/>
      <x:c r="J17" s="76"/>
      <x:c r="K17" s="76"/>
      <x:c r="L17" s="76"/>
      <x:c r="M17" s="76"/>
      <x:c r="N17" s="76"/>
      <x:c r="O17" s="76"/>
      <x:c r="P17" s="76"/>
      <x:c r="Q17" s="78" t="str">
        <x:f>IF(B17="","",TODAY())</x:f>
      </x:c>
      <x:c r="R17" s="76"/>
      <x:c r="S17" s="76" t="str">
        <x:f>IF(B17="","",IF(OR(C17="",D17="",F17="",G17="",K17="",M17="",N17="",O17&lt;&gt;"Validé humainement"),"ALERTE: données/preuves/statut",IF(OR(AND(ISNUMBER(G17),OR(G17&lt;0,G17&gt;50)),AND(ISNUMBER(H17),H17&lt;-5),AND(ISNUMBER(I17),I17&gt;55),AND(ISNUMBER(J17),J17&gt;31)),"ALERTE: valeur anormale","OK")))</x:f>
      </x:c>
      <x:c r="T17" s="76" t="str">
        <x:f>IF(B17="","",IF(O17="Validé humainement","Oui","Non"))</x:f>
      </x:c>
    </x:row>
    <x:row r="18">
      <x:c r="A18" s="76" t="str">
        <x:f>IF(B18="","","TEMP-"&amp;TEXT(ROW()-4,"0000"))</x:f>
      </x:c>
      <x:c r="B18" s="78"/>
      <x:c r="C18" s="76"/>
      <x:c r="D18" s="76"/>
      <x:c r="E18" s="76"/>
      <x:c r="F18" s="76"/>
      <x:c r="G18" s="79"/>
      <x:c r="H18" s="79"/>
      <x:c r="I18" s="79"/>
      <x:c r="J18" s="76"/>
      <x:c r="K18" s="76"/>
      <x:c r="L18" s="76"/>
      <x:c r="M18" s="76"/>
      <x:c r="N18" s="76"/>
      <x:c r="O18" s="76"/>
      <x:c r="P18" s="76"/>
      <x:c r="Q18" s="78" t="str">
        <x:f>IF(B18="","",TODAY())</x:f>
      </x:c>
      <x:c r="R18" s="76"/>
      <x:c r="S18" s="76" t="str">
        <x:f>IF(B18="","",IF(OR(C18="",D18="",F18="",G18="",K18="",M18="",N18="",O18&lt;&gt;"Validé humainement"),"ALERTE: données/preuves/statut",IF(OR(AND(ISNUMBER(G18),OR(G18&lt;0,G18&gt;50)),AND(ISNUMBER(H18),H18&lt;-5),AND(ISNUMBER(I18),I18&gt;55),AND(ISNUMBER(J18),J18&gt;31)),"ALERTE: valeur anormale","OK")))</x:f>
      </x:c>
      <x:c r="T18" s="76" t="str">
        <x:f>IF(B18="","",IF(O18="Validé humainement","Oui","Non"))</x:f>
      </x:c>
    </x:row>
    <x:row r="19">
      <x:c r="A19" s="76" t="str">
        <x:f>IF(B19="","","TEMP-"&amp;TEXT(ROW()-4,"0000"))</x:f>
      </x:c>
      <x:c r="B19" s="78"/>
      <x:c r="C19" s="76"/>
      <x:c r="D19" s="76"/>
      <x:c r="E19" s="76"/>
      <x:c r="F19" s="76"/>
      <x:c r="G19" s="79"/>
      <x:c r="H19" s="79"/>
      <x:c r="I19" s="79"/>
      <x:c r="J19" s="76"/>
      <x:c r="K19" s="76"/>
      <x:c r="L19" s="76"/>
      <x:c r="M19" s="76"/>
      <x:c r="N19" s="76"/>
      <x:c r="O19" s="76"/>
      <x:c r="P19" s="76"/>
      <x:c r="Q19" s="78" t="str">
        <x:f>IF(B19="","",TODAY())</x:f>
      </x:c>
      <x:c r="R19" s="76"/>
      <x:c r="S19" s="76" t="str">
        <x:f>IF(B19="","",IF(OR(C19="",D19="",F19="",G19="",K19="",M19="",N19="",O19&lt;&gt;"Validé humainement"),"ALERTE: données/preuves/statut",IF(OR(AND(ISNUMBER(G19),OR(G19&lt;0,G19&gt;50)),AND(ISNUMBER(H19),H19&lt;-5),AND(ISNUMBER(I19),I19&gt;55),AND(ISNUMBER(J19),J19&gt;31)),"ALERTE: valeur anormale","OK")))</x:f>
      </x:c>
      <x:c r="T19" s="76" t="str">
        <x:f>IF(B19="","",IF(O19="Validé humainement","Oui","Non"))</x:f>
      </x:c>
    </x:row>
    <x:row r="20">
      <x:c r="A20" s="76" t="str">
        <x:f>IF(B20="","","TEMP-"&amp;TEXT(ROW()-4,"0000"))</x:f>
      </x:c>
      <x:c r="B20" s="78"/>
      <x:c r="C20" s="76"/>
      <x:c r="D20" s="76"/>
      <x:c r="E20" s="76"/>
      <x:c r="F20" s="76"/>
      <x:c r="G20" s="79"/>
      <x:c r="H20" s="79"/>
      <x:c r="I20" s="79"/>
      <x:c r="J20" s="76"/>
      <x:c r="K20" s="76"/>
      <x:c r="L20" s="76"/>
      <x:c r="M20" s="76"/>
      <x:c r="N20" s="76"/>
      <x:c r="O20" s="76"/>
      <x:c r="P20" s="76"/>
      <x:c r="Q20" s="78" t="str">
        <x:f>IF(B20="","",TODAY())</x:f>
      </x:c>
      <x:c r="R20" s="76"/>
      <x:c r="S20" s="76" t="str">
        <x:f>IF(B20="","",IF(OR(C20="",D20="",F20="",G20="",K20="",M20="",N20="",O20&lt;&gt;"Validé humainement"),"ALERTE: données/preuves/statut",IF(OR(AND(ISNUMBER(G20),OR(G20&lt;0,G20&gt;50)),AND(ISNUMBER(H20),H20&lt;-5),AND(ISNUMBER(I20),I20&gt;55),AND(ISNUMBER(J20),J20&gt;31)),"ALERTE: valeur anormale","OK")))</x:f>
      </x:c>
      <x:c r="T20" s="76" t="str">
        <x:f>IF(B20="","",IF(O20="Validé humainement","Oui","Non"))</x:f>
      </x:c>
    </x:row>
    <x:row r="21">
      <x:c r="A21" s="76" t="str">
        <x:f>IF(B21="","","TEMP-"&amp;TEXT(ROW()-4,"0000"))</x:f>
      </x:c>
      <x:c r="B21" s="78"/>
      <x:c r="C21" s="76"/>
      <x:c r="D21" s="76"/>
      <x:c r="E21" s="76"/>
      <x:c r="F21" s="76"/>
      <x:c r="G21" s="79"/>
      <x:c r="H21" s="79"/>
      <x:c r="I21" s="79"/>
      <x:c r="J21" s="76"/>
      <x:c r="K21" s="76"/>
      <x:c r="L21" s="76"/>
      <x:c r="M21" s="76"/>
      <x:c r="N21" s="76"/>
      <x:c r="O21" s="76"/>
      <x:c r="P21" s="76"/>
      <x:c r="Q21" s="78" t="str">
        <x:f>IF(B21="","",TODAY())</x:f>
      </x:c>
      <x:c r="R21" s="76"/>
      <x:c r="S21" s="76" t="str">
        <x:f>IF(B21="","",IF(OR(C21="",D21="",F21="",G21="",K21="",M21="",N21="",O21&lt;&gt;"Validé humainement"),"ALERTE: données/preuves/statut",IF(OR(AND(ISNUMBER(G21),OR(G21&lt;0,G21&gt;50)),AND(ISNUMBER(H21),H21&lt;-5),AND(ISNUMBER(I21),I21&gt;55),AND(ISNUMBER(J21),J21&gt;31)),"ALERTE: valeur anormale","OK")))</x:f>
      </x:c>
      <x:c r="T21" s="76" t="str">
        <x:f>IF(B21="","",IF(O21="Validé humainement","Oui","Non"))</x:f>
      </x:c>
    </x:row>
    <x:row r="22">
      <x:c r="A22" s="76" t="str">
        <x:f>IF(B22="","","TEMP-"&amp;TEXT(ROW()-4,"0000"))</x:f>
      </x:c>
      <x:c r="B22" s="78"/>
      <x:c r="C22" s="76"/>
      <x:c r="D22" s="76"/>
      <x:c r="E22" s="76"/>
      <x:c r="F22" s="76"/>
      <x:c r="G22" s="79"/>
      <x:c r="H22" s="79"/>
      <x:c r="I22" s="79"/>
      <x:c r="J22" s="76"/>
      <x:c r="K22" s="76"/>
      <x:c r="L22" s="76"/>
      <x:c r="M22" s="76"/>
      <x:c r="N22" s="76"/>
      <x:c r="O22" s="76"/>
      <x:c r="P22" s="76"/>
      <x:c r="Q22" s="78" t="str">
        <x:f>IF(B22="","",TODAY())</x:f>
      </x:c>
      <x:c r="R22" s="76"/>
      <x:c r="S22" s="76" t="str">
        <x:f>IF(B22="","",IF(OR(C22="",D22="",F22="",G22="",K22="",M22="",N22="",O22&lt;&gt;"Validé humainement"),"ALERTE: données/preuves/statut",IF(OR(AND(ISNUMBER(G22),OR(G22&lt;0,G22&gt;50)),AND(ISNUMBER(H22),H22&lt;-5),AND(ISNUMBER(I22),I22&gt;55),AND(ISNUMBER(J22),J22&gt;31)),"ALERTE: valeur anormale","OK")))</x:f>
      </x:c>
      <x:c r="T22" s="76" t="str">
        <x:f>IF(B22="","",IF(O22="Validé humainement","Oui","Non"))</x:f>
      </x:c>
    </x:row>
    <x:row r="23">
      <x:c r="A23" s="76" t="str">
        <x:f>IF(B23="","","TEMP-"&amp;TEXT(ROW()-4,"0000"))</x:f>
      </x:c>
      <x:c r="B23" s="78"/>
      <x:c r="C23" s="76"/>
      <x:c r="D23" s="76"/>
      <x:c r="E23" s="76"/>
      <x:c r="F23" s="76"/>
      <x:c r="G23" s="79"/>
      <x:c r="H23" s="79"/>
      <x:c r="I23" s="79"/>
      <x:c r="J23" s="76"/>
      <x:c r="K23" s="76"/>
      <x:c r="L23" s="76"/>
      <x:c r="M23" s="76"/>
      <x:c r="N23" s="76"/>
      <x:c r="O23" s="76"/>
      <x:c r="P23" s="76"/>
      <x:c r="Q23" s="78" t="str">
        <x:f>IF(B23="","",TODAY())</x:f>
      </x:c>
      <x:c r="R23" s="76"/>
      <x:c r="S23" s="76" t="str">
        <x:f>IF(B23="","",IF(OR(C23="",D23="",F23="",G23="",K23="",M23="",N23="",O23&lt;&gt;"Validé humainement"),"ALERTE: données/preuves/statut",IF(OR(AND(ISNUMBER(G23),OR(G23&lt;0,G23&gt;50)),AND(ISNUMBER(H23),H23&lt;-5),AND(ISNUMBER(I23),I23&gt;55),AND(ISNUMBER(J23),J23&gt;31)),"ALERTE: valeur anormale","OK")))</x:f>
      </x:c>
      <x:c r="T23" s="76" t="str">
        <x:f>IF(B23="","",IF(O23="Validé humainement","Oui","Non"))</x:f>
      </x:c>
    </x:row>
    <x:row r="24">
      <x:c r="A24" s="76" t="str">
        <x:f>IF(B24="","","TEMP-"&amp;TEXT(ROW()-4,"0000"))</x:f>
      </x:c>
      <x:c r="B24" s="78"/>
      <x:c r="C24" s="76"/>
      <x:c r="D24" s="76"/>
      <x:c r="E24" s="76"/>
      <x:c r="F24" s="76"/>
      <x:c r="G24" s="79"/>
      <x:c r="H24" s="79"/>
      <x:c r="I24" s="79"/>
      <x:c r="J24" s="76"/>
      <x:c r="K24" s="76"/>
      <x:c r="L24" s="76"/>
      <x:c r="M24" s="76"/>
      <x:c r="N24" s="76"/>
      <x:c r="O24" s="76"/>
      <x:c r="P24" s="76"/>
      <x:c r="Q24" s="78" t="str">
        <x:f>IF(B24="","",TODAY())</x:f>
      </x:c>
      <x:c r="R24" s="76"/>
      <x:c r="S24" s="76" t="str">
        <x:f>IF(B24="","",IF(OR(C24="",D24="",F24="",G24="",K24="",M24="",N24="",O24&lt;&gt;"Validé humainement"),"ALERTE: données/preuves/statut",IF(OR(AND(ISNUMBER(G24),OR(G24&lt;0,G24&gt;50)),AND(ISNUMBER(H24),H24&lt;-5),AND(ISNUMBER(I24),I24&gt;55),AND(ISNUMBER(J24),J24&gt;31)),"ALERTE: valeur anormale","OK")))</x:f>
      </x:c>
      <x:c r="T24" s="76" t="str">
        <x:f>IF(B24="","",IF(O24="Validé humainement","Oui","Non"))</x:f>
      </x:c>
    </x:row>
    <x:row r="25">
      <x:c r="A25" s="76" t="str">
        <x:f>IF(B25="","","TEMP-"&amp;TEXT(ROW()-4,"0000"))</x:f>
      </x:c>
      <x:c r="B25" s="78"/>
      <x:c r="C25" s="76"/>
      <x:c r="D25" s="76"/>
      <x:c r="E25" s="76"/>
      <x:c r="F25" s="76"/>
      <x:c r="G25" s="79"/>
      <x:c r="H25" s="79"/>
      <x:c r="I25" s="79"/>
      <x:c r="J25" s="76"/>
      <x:c r="K25" s="76"/>
      <x:c r="L25" s="76"/>
      <x:c r="M25" s="76"/>
      <x:c r="N25" s="76"/>
      <x:c r="O25" s="76"/>
      <x:c r="P25" s="76"/>
      <x:c r="Q25" s="78" t="str">
        <x:f>IF(B25="","",TODAY())</x:f>
      </x:c>
      <x:c r="R25" s="76"/>
      <x:c r="S25" s="76" t="str">
        <x:f>IF(B25="","",IF(OR(C25="",D25="",F25="",G25="",K25="",M25="",N25="",O25&lt;&gt;"Validé humainement"),"ALERTE: données/preuves/statut",IF(OR(AND(ISNUMBER(G25),OR(G25&lt;0,G25&gt;50)),AND(ISNUMBER(H25),H25&lt;-5),AND(ISNUMBER(I25),I25&gt;55),AND(ISNUMBER(J25),J25&gt;31)),"ALERTE: valeur anormale","OK")))</x:f>
      </x:c>
      <x:c r="T25" s="76" t="str">
        <x:f>IF(B25="","",IF(O25="Validé humainement","Oui","Non"))</x:f>
      </x:c>
    </x:row>
    <x:row r="26">
      <x:c r="A26" s="76" t="str">
        <x:f>IF(B26="","","TEMP-"&amp;TEXT(ROW()-4,"0000"))</x:f>
      </x:c>
      <x:c r="B26" s="78"/>
      <x:c r="C26" s="76"/>
      <x:c r="D26" s="76"/>
      <x:c r="E26" s="76"/>
      <x:c r="F26" s="76"/>
      <x:c r="G26" s="79"/>
      <x:c r="H26" s="79"/>
      <x:c r="I26" s="79"/>
      <x:c r="J26" s="76"/>
      <x:c r="K26" s="76"/>
      <x:c r="L26" s="76"/>
      <x:c r="M26" s="76"/>
      <x:c r="N26" s="76"/>
      <x:c r="O26" s="76"/>
      <x:c r="P26" s="76"/>
      <x:c r="Q26" s="78" t="str">
        <x:f>IF(B26="","",TODAY())</x:f>
      </x:c>
      <x:c r="R26" s="76"/>
      <x:c r="S26" s="76" t="str">
        <x:f>IF(B26="","",IF(OR(C26="",D26="",F26="",G26="",K26="",M26="",N26="",O26&lt;&gt;"Validé humainement"),"ALERTE: données/preuves/statut",IF(OR(AND(ISNUMBER(G26),OR(G26&lt;0,G26&gt;50)),AND(ISNUMBER(H26),H26&lt;-5),AND(ISNUMBER(I26),I26&gt;55),AND(ISNUMBER(J26),J26&gt;31)),"ALERTE: valeur anormale","OK")))</x:f>
      </x:c>
      <x:c r="T26" s="76" t="str">
        <x:f>IF(B26="","",IF(O26="Validé humainement","Oui","Non"))</x:f>
      </x:c>
    </x:row>
    <x:row r="27">
      <x:c r="A27" s="76" t="str">
        <x:f>IF(B27="","","TEMP-"&amp;TEXT(ROW()-4,"0000"))</x:f>
      </x:c>
      <x:c r="B27" s="78"/>
      <x:c r="C27" s="76"/>
      <x:c r="D27" s="76"/>
      <x:c r="E27" s="76"/>
      <x:c r="F27" s="76"/>
      <x:c r="G27" s="79"/>
      <x:c r="H27" s="79"/>
      <x:c r="I27" s="79"/>
      <x:c r="J27" s="76"/>
      <x:c r="K27" s="76"/>
      <x:c r="L27" s="76"/>
      <x:c r="M27" s="76"/>
      <x:c r="N27" s="76"/>
      <x:c r="O27" s="76"/>
      <x:c r="P27" s="76"/>
      <x:c r="Q27" s="78" t="str">
        <x:f>IF(B27="","",TODAY())</x:f>
      </x:c>
      <x:c r="R27" s="76"/>
      <x:c r="S27" s="76" t="str">
        <x:f>IF(B27="","",IF(OR(C27="",D27="",F27="",G27="",K27="",M27="",N27="",O27&lt;&gt;"Validé humainement"),"ALERTE: données/preuves/statut",IF(OR(AND(ISNUMBER(G27),OR(G27&lt;0,G27&gt;50)),AND(ISNUMBER(H27),H27&lt;-5),AND(ISNUMBER(I27),I27&gt;55),AND(ISNUMBER(J27),J27&gt;31)),"ALERTE: valeur anormale","OK")))</x:f>
      </x:c>
      <x:c r="T27" s="76" t="str">
        <x:f>IF(B27="","",IF(O27="Validé humainement","Oui","Non"))</x:f>
      </x:c>
    </x:row>
    <x:row r="28">
      <x:c r="A28" s="76" t="str">
        <x:f>IF(B28="","","TEMP-"&amp;TEXT(ROW()-4,"0000"))</x:f>
      </x:c>
      <x:c r="B28" s="78"/>
      <x:c r="C28" s="76"/>
      <x:c r="D28" s="76"/>
      <x:c r="E28" s="76"/>
      <x:c r="F28" s="76"/>
      <x:c r="G28" s="79"/>
      <x:c r="H28" s="79"/>
      <x:c r="I28" s="79"/>
      <x:c r="J28" s="76"/>
      <x:c r="K28" s="76"/>
      <x:c r="L28" s="76"/>
      <x:c r="M28" s="76"/>
      <x:c r="N28" s="76"/>
      <x:c r="O28" s="76"/>
      <x:c r="P28" s="76"/>
      <x:c r="Q28" s="78" t="str">
        <x:f>IF(B28="","",TODAY())</x:f>
      </x:c>
      <x:c r="R28" s="76"/>
      <x:c r="S28" s="76" t="str">
        <x:f>IF(B28="","",IF(OR(C28="",D28="",F28="",G28="",K28="",M28="",N28="",O28&lt;&gt;"Validé humainement"),"ALERTE: données/preuves/statut",IF(OR(AND(ISNUMBER(G28),OR(G28&lt;0,G28&gt;50)),AND(ISNUMBER(H28),H28&lt;-5),AND(ISNUMBER(I28),I28&gt;55),AND(ISNUMBER(J28),J28&gt;31)),"ALERTE: valeur anormale","OK")))</x:f>
      </x:c>
      <x:c r="T28" s="76" t="str">
        <x:f>IF(B28="","",IF(O28="Validé humainement","Oui","Non"))</x:f>
      </x:c>
    </x:row>
    <x:row r="29">
      <x:c r="A29" s="76" t="str">
        <x:f>IF(B29="","","TEMP-"&amp;TEXT(ROW()-4,"0000"))</x:f>
      </x:c>
      <x:c r="B29" s="78"/>
      <x:c r="C29" s="76"/>
      <x:c r="D29" s="76"/>
      <x:c r="E29" s="76"/>
      <x:c r="F29" s="76"/>
      <x:c r="G29" s="79"/>
      <x:c r="H29" s="79"/>
      <x:c r="I29" s="79"/>
      <x:c r="J29" s="76"/>
      <x:c r="K29" s="76"/>
      <x:c r="L29" s="76"/>
      <x:c r="M29" s="76"/>
      <x:c r="N29" s="76"/>
      <x:c r="O29" s="76"/>
      <x:c r="P29" s="76"/>
      <x:c r="Q29" s="78" t="str">
        <x:f>IF(B29="","",TODAY())</x:f>
      </x:c>
      <x:c r="R29" s="76"/>
      <x:c r="S29" s="76" t="str">
        <x:f>IF(B29="","",IF(OR(C29="",D29="",F29="",G29="",K29="",M29="",N29="",O29&lt;&gt;"Validé humainement"),"ALERTE: données/preuves/statut",IF(OR(AND(ISNUMBER(G29),OR(G29&lt;0,G29&gt;50)),AND(ISNUMBER(H29),H29&lt;-5),AND(ISNUMBER(I29),I29&gt;55),AND(ISNUMBER(J29),J29&gt;31)),"ALERTE: valeur anormale","OK")))</x:f>
      </x:c>
      <x:c r="T29" s="76" t="str">
        <x:f>IF(B29="","",IF(O29="Validé humainement","Oui","Non"))</x:f>
      </x:c>
    </x:row>
    <x:row r="30">
      <x:c r="A30" s="76" t="str">
        <x:f>IF(B30="","","TEMP-"&amp;TEXT(ROW()-4,"0000"))</x:f>
      </x:c>
      <x:c r="B30" s="78"/>
      <x:c r="C30" s="76"/>
      <x:c r="D30" s="76"/>
      <x:c r="E30" s="76"/>
      <x:c r="F30" s="76"/>
      <x:c r="G30" s="79"/>
      <x:c r="H30" s="79"/>
      <x:c r="I30" s="79"/>
      <x:c r="J30" s="76"/>
      <x:c r="K30" s="76"/>
      <x:c r="L30" s="76"/>
      <x:c r="M30" s="76"/>
      <x:c r="N30" s="76"/>
      <x:c r="O30" s="76"/>
      <x:c r="P30" s="76"/>
      <x:c r="Q30" s="78" t="str">
        <x:f>IF(B30="","",TODAY())</x:f>
      </x:c>
      <x:c r="R30" s="76"/>
      <x:c r="S30" s="76" t="str">
        <x:f>IF(B30="","",IF(OR(C30="",D30="",F30="",G30="",K30="",M30="",N30="",O30&lt;&gt;"Validé humainement"),"ALERTE: données/preuves/statut",IF(OR(AND(ISNUMBER(G30),OR(G30&lt;0,G30&gt;50)),AND(ISNUMBER(H30),H30&lt;-5),AND(ISNUMBER(I30),I30&gt;55),AND(ISNUMBER(J30),J30&gt;31)),"ALERTE: valeur anormale","OK")))</x:f>
      </x:c>
      <x:c r="T30" s="76" t="str">
        <x:f>IF(B30="","",IF(O30="Validé humainement","Oui","Non"))</x:f>
      </x:c>
    </x:row>
    <x:row r="31">
      <x:c r="A31" s="76" t="str">
        <x:f>IF(B31="","","TEMP-"&amp;TEXT(ROW()-4,"0000"))</x:f>
      </x:c>
      <x:c r="B31" s="78"/>
      <x:c r="C31" s="76"/>
      <x:c r="D31" s="76"/>
      <x:c r="E31" s="76"/>
      <x:c r="F31" s="76"/>
      <x:c r="G31" s="79"/>
      <x:c r="H31" s="79"/>
      <x:c r="I31" s="79"/>
      <x:c r="J31" s="76"/>
      <x:c r="K31" s="76"/>
      <x:c r="L31" s="76"/>
      <x:c r="M31" s="76"/>
      <x:c r="N31" s="76"/>
      <x:c r="O31" s="76"/>
      <x:c r="P31" s="76"/>
      <x:c r="Q31" s="78" t="str">
        <x:f>IF(B31="","",TODAY())</x:f>
      </x:c>
      <x:c r="R31" s="76"/>
      <x:c r="S31" s="76" t="str">
        <x:f>IF(B31="","",IF(OR(C31="",D31="",F31="",G31="",K31="",M31="",N31="",O31&lt;&gt;"Validé humainement"),"ALERTE: données/preuves/statut",IF(OR(AND(ISNUMBER(G31),OR(G31&lt;0,G31&gt;50)),AND(ISNUMBER(H31),H31&lt;-5),AND(ISNUMBER(I31),I31&gt;55),AND(ISNUMBER(J31),J31&gt;31)),"ALERTE: valeur anormale","OK")))</x:f>
      </x:c>
      <x:c r="T31" s="76" t="str">
        <x:f>IF(B31="","",IF(O31="Validé humainement","Oui","Non"))</x:f>
      </x:c>
    </x:row>
    <x:row r="32">
      <x:c r="A32" s="76" t="str">
        <x:f>IF(B32="","","TEMP-"&amp;TEXT(ROW()-4,"0000"))</x:f>
      </x:c>
      <x:c r="B32" s="78"/>
      <x:c r="C32" s="76"/>
      <x:c r="D32" s="76"/>
      <x:c r="E32" s="76"/>
      <x:c r="F32" s="76"/>
      <x:c r="G32" s="79"/>
      <x:c r="H32" s="79"/>
      <x:c r="I32" s="79"/>
      <x:c r="J32" s="76"/>
      <x:c r="K32" s="76"/>
      <x:c r="L32" s="76"/>
      <x:c r="M32" s="76"/>
      <x:c r="N32" s="76"/>
      <x:c r="O32" s="76"/>
      <x:c r="P32" s="76"/>
      <x:c r="Q32" s="78" t="str">
        <x:f>IF(B32="","",TODAY())</x:f>
      </x:c>
      <x:c r="R32" s="76"/>
      <x:c r="S32" s="76" t="str">
        <x:f>IF(B32="","",IF(OR(C32="",D32="",F32="",G32="",K32="",M32="",N32="",O32&lt;&gt;"Validé humainement"),"ALERTE: données/preuves/statut",IF(OR(AND(ISNUMBER(G32),OR(G32&lt;0,G32&gt;50)),AND(ISNUMBER(H32),H32&lt;-5),AND(ISNUMBER(I32),I32&gt;55),AND(ISNUMBER(J32),J32&gt;31)),"ALERTE: valeur anormale","OK")))</x:f>
      </x:c>
      <x:c r="T32" s="76" t="str">
        <x:f>IF(B32="","",IF(O32="Validé humainement","Oui","Non"))</x:f>
      </x:c>
    </x:row>
    <x:row r="33">
      <x:c r="A33" s="76" t="str">
        <x:f>IF(B33="","","TEMP-"&amp;TEXT(ROW()-4,"0000"))</x:f>
      </x:c>
      <x:c r="B33" s="78"/>
      <x:c r="C33" s="76"/>
      <x:c r="D33" s="76"/>
      <x:c r="E33" s="76"/>
      <x:c r="F33" s="76"/>
      <x:c r="G33" s="79"/>
      <x:c r="H33" s="79"/>
      <x:c r="I33" s="79"/>
      <x:c r="J33" s="76"/>
      <x:c r="K33" s="76"/>
      <x:c r="L33" s="76"/>
      <x:c r="M33" s="76"/>
      <x:c r="N33" s="76"/>
      <x:c r="O33" s="76"/>
      <x:c r="P33" s="76"/>
      <x:c r="Q33" s="78" t="str">
        <x:f>IF(B33="","",TODAY())</x:f>
      </x:c>
      <x:c r="R33" s="76"/>
      <x:c r="S33" s="76" t="str">
        <x:f>IF(B33="","",IF(OR(C33="",D33="",F33="",G33="",K33="",M33="",N33="",O33&lt;&gt;"Validé humainement"),"ALERTE: données/preuves/statut",IF(OR(AND(ISNUMBER(G33),OR(G33&lt;0,G33&gt;50)),AND(ISNUMBER(H33),H33&lt;-5),AND(ISNUMBER(I33),I33&gt;55),AND(ISNUMBER(J33),J33&gt;31)),"ALERTE: valeur anormale","OK")))</x:f>
      </x:c>
      <x:c r="T33" s="76" t="str">
        <x:f>IF(B33="","",IF(O33="Validé humainement","Oui","Non"))</x:f>
      </x:c>
    </x:row>
    <x:row r="34">
      <x:c r="A34" s="76" t="str">
        <x:f>IF(B34="","","TEMP-"&amp;TEXT(ROW()-4,"0000"))</x:f>
      </x:c>
      <x:c r="B34" s="78"/>
      <x:c r="C34" s="76"/>
      <x:c r="D34" s="76"/>
      <x:c r="E34" s="76"/>
      <x:c r="F34" s="76"/>
      <x:c r="G34" s="79"/>
      <x:c r="H34" s="79"/>
      <x:c r="I34" s="79"/>
      <x:c r="J34" s="76"/>
      <x:c r="K34" s="76"/>
      <x:c r="L34" s="76"/>
      <x:c r="M34" s="76"/>
      <x:c r="N34" s="76"/>
      <x:c r="O34" s="76"/>
      <x:c r="P34" s="76"/>
      <x:c r="Q34" s="78" t="str">
        <x:f>IF(B34="","",TODAY())</x:f>
      </x:c>
      <x:c r="R34" s="76"/>
      <x:c r="S34" s="76" t="str">
        <x:f>IF(B34="","",IF(OR(C34="",D34="",F34="",G34="",K34="",M34="",N34="",O34&lt;&gt;"Validé humainement"),"ALERTE: données/preuves/statut",IF(OR(AND(ISNUMBER(G34),OR(G34&lt;0,G34&gt;50)),AND(ISNUMBER(H34),H34&lt;-5),AND(ISNUMBER(I34),I34&gt;55),AND(ISNUMBER(J34),J34&gt;31)),"ALERTE: valeur anormale","OK")))</x:f>
      </x:c>
      <x:c r="T34" s="76" t="str">
        <x:f>IF(B34="","",IF(O34="Validé humainement","Oui","Non"))</x:f>
      </x:c>
    </x:row>
    <x:row r="35">
      <x:c r="A35" s="76" t="str">
        <x:f>IF(B35="","","TEMP-"&amp;TEXT(ROW()-4,"0000"))</x:f>
      </x:c>
      <x:c r="B35" s="78"/>
      <x:c r="C35" s="76"/>
      <x:c r="D35" s="76"/>
      <x:c r="E35" s="76"/>
      <x:c r="F35" s="76"/>
      <x:c r="G35" s="79"/>
      <x:c r="H35" s="79"/>
      <x:c r="I35" s="79"/>
      <x:c r="J35" s="76"/>
      <x:c r="K35" s="76"/>
      <x:c r="L35" s="76"/>
      <x:c r="M35" s="76"/>
      <x:c r="N35" s="76"/>
      <x:c r="O35" s="76"/>
      <x:c r="P35" s="76"/>
      <x:c r="Q35" s="78" t="str">
        <x:f>IF(B35="","",TODAY())</x:f>
      </x:c>
      <x:c r="R35" s="76"/>
      <x:c r="S35" s="76" t="str">
        <x:f>IF(B35="","",IF(OR(C35="",D35="",F35="",G35="",K35="",M35="",N35="",O35&lt;&gt;"Validé humainement"),"ALERTE: données/preuves/statut",IF(OR(AND(ISNUMBER(G35),OR(G35&lt;0,G35&gt;50)),AND(ISNUMBER(H35),H35&lt;-5),AND(ISNUMBER(I35),I35&gt;55),AND(ISNUMBER(J35),J35&gt;31)),"ALERTE: valeur anormale","OK")))</x:f>
      </x:c>
      <x:c r="T35" s="76" t="str">
        <x:f>IF(B35="","",IF(O35="Validé humainement","Oui","Non"))</x:f>
      </x:c>
    </x:row>
    <x:row r="36">
      <x:c r="A36" s="76" t="str">
        <x:f>IF(B36="","","TEMP-"&amp;TEXT(ROW()-4,"0000"))</x:f>
      </x:c>
      <x:c r="B36" s="78"/>
      <x:c r="C36" s="76"/>
      <x:c r="D36" s="76"/>
      <x:c r="E36" s="76"/>
      <x:c r="F36" s="76"/>
      <x:c r="G36" s="79"/>
      <x:c r="H36" s="79"/>
      <x:c r="I36" s="79"/>
      <x:c r="J36" s="76"/>
      <x:c r="K36" s="76"/>
      <x:c r="L36" s="76"/>
      <x:c r="M36" s="76"/>
      <x:c r="N36" s="76"/>
      <x:c r="O36" s="76"/>
      <x:c r="P36" s="76"/>
      <x:c r="Q36" s="78" t="str">
        <x:f>IF(B36="","",TODAY())</x:f>
      </x:c>
      <x:c r="R36" s="76"/>
      <x:c r="S36" s="76" t="str">
        <x:f>IF(B36="","",IF(OR(C36="",D36="",F36="",G36="",K36="",M36="",N36="",O36&lt;&gt;"Validé humainement"),"ALERTE: données/preuves/statut",IF(OR(AND(ISNUMBER(G36),OR(G36&lt;0,G36&gt;50)),AND(ISNUMBER(H36),H36&lt;-5),AND(ISNUMBER(I36),I36&gt;55),AND(ISNUMBER(J36),J36&gt;31)),"ALERTE: valeur anormale","OK")))</x:f>
      </x:c>
      <x:c r="T36" s="76" t="str">
        <x:f>IF(B36="","",IF(O36="Validé humainement","Oui","Non"))</x:f>
      </x:c>
    </x:row>
    <x:row r="37">
      <x:c r="A37" s="76" t="str">
        <x:f>IF(B37="","","TEMP-"&amp;TEXT(ROW()-4,"0000"))</x:f>
      </x:c>
      <x:c r="B37" s="78"/>
      <x:c r="C37" s="76"/>
      <x:c r="D37" s="76"/>
      <x:c r="E37" s="76"/>
      <x:c r="F37" s="76"/>
      <x:c r="G37" s="79"/>
      <x:c r="H37" s="79"/>
      <x:c r="I37" s="79"/>
      <x:c r="J37" s="76"/>
      <x:c r="K37" s="76"/>
      <x:c r="L37" s="76"/>
      <x:c r="M37" s="76"/>
      <x:c r="N37" s="76"/>
      <x:c r="O37" s="76"/>
      <x:c r="P37" s="76"/>
      <x:c r="Q37" s="78" t="str">
        <x:f>IF(B37="","",TODAY())</x:f>
      </x:c>
      <x:c r="R37" s="76"/>
      <x:c r="S37" s="76" t="str">
        <x:f>IF(B37="","",IF(OR(C37="",D37="",F37="",G37="",K37="",M37="",N37="",O37&lt;&gt;"Validé humainement"),"ALERTE: données/preuves/statut",IF(OR(AND(ISNUMBER(G37),OR(G37&lt;0,G37&gt;50)),AND(ISNUMBER(H37),H37&lt;-5),AND(ISNUMBER(I37),I37&gt;55),AND(ISNUMBER(J37),J37&gt;31)),"ALERTE: valeur anormale","OK")))</x:f>
      </x:c>
      <x:c r="T37" s="76" t="str">
        <x:f>IF(B37="","",IF(O37="Validé humainement","Oui","Non"))</x:f>
      </x:c>
    </x:row>
    <x:row r="38">
      <x:c r="A38" s="76" t="str">
        <x:f>IF(B38="","","TEMP-"&amp;TEXT(ROW()-4,"0000"))</x:f>
      </x:c>
      <x:c r="B38" s="78"/>
      <x:c r="C38" s="76"/>
      <x:c r="D38" s="76"/>
      <x:c r="E38" s="76"/>
      <x:c r="F38" s="76"/>
      <x:c r="G38" s="79"/>
      <x:c r="H38" s="79"/>
      <x:c r="I38" s="79"/>
      <x:c r="J38" s="76"/>
      <x:c r="K38" s="76"/>
      <x:c r="L38" s="76"/>
      <x:c r="M38" s="76"/>
      <x:c r="N38" s="76"/>
      <x:c r="O38" s="76"/>
      <x:c r="P38" s="76"/>
      <x:c r="Q38" s="78" t="str">
        <x:f>IF(B38="","",TODAY())</x:f>
      </x:c>
      <x:c r="R38" s="76"/>
      <x:c r="S38" s="76" t="str">
        <x:f>IF(B38="","",IF(OR(C38="",D38="",F38="",G38="",K38="",M38="",N38="",O38&lt;&gt;"Validé humainement"),"ALERTE: données/preuves/statut",IF(OR(AND(ISNUMBER(G38),OR(G38&lt;0,G38&gt;50)),AND(ISNUMBER(H38),H38&lt;-5),AND(ISNUMBER(I38),I38&gt;55),AND(ISNUMBER(J38),J38&gt;31)),"ALERTE: valeur anormale","OK")))</x:f>
      </x:c>
      <x:c r="T38" s="76" t="str">
        <x:f>IF(B38="","",IF(O38="Validé humainement","Oui","Non"))</x:f>
      </x:c>
    </x:row>
    <x:row r="39">
      <x:c r="A39" s="76" t="str">
        <x:f>IF(B39="","","TEMP-"&amp;TEXT(ROW()-4,"0000"))</x:f>
      </x:c>
      <x:c r="B39" s="78"/>
      <x:c r="C39" s="76"/>
      <x:c r="D39" s="76"/>
      <x:c r="E39" s="76"/>
      <x:c r="F39" s="76"/>
      <x:c r="G39" s="79"/>
      <x:c r="H39" s="79"/>
      <x:c r="I39" s="79"/>
      <x:c r="J39" s="76"/>
      <x:c r="K39" s="76"/>
      <x:c r="L39" s="76"/>
      <x:c r="M39" s="76"/>
      <x:c r="N39" s="76"/>
      <x:c r="O39" s="76"/>
      <x:c r="P39" s="76"/>
      <x:c r="Q39" s="78" t="str">
        <x:f>IF(B39="","",TODAY())</x:f>
      </x:c>
      <x:c r="R39" s="76"/>
      <x:c r="S39" s="76" t="str">
        <x:f>IF(B39="","",IF(OR(C39="",D39="",F39="",G39="",K39="",M39="",N39="",O39&lt;&gt;"Validé humainement"),"ALERTE: données/preuves/statut",IF(OR(AND(ISNUMBER(G39),OR(G39&lt;0,G39&gt;50)),AND(ISNUMBER(H39),H39&lt;-5),AND(ISNUMBER(I39),I39&gt;55),AND(ISNUMBER(J39),J39&gt;31)),"ALERTE: valeur anormale","OK")))</x:f>
      </x:c>
      <x:c r="T39" s="76" t="str">
        <x:f>IF(B39="","",IF(O39="Validé humainement","Oui","Non"))</x:f>
      </x:c>
    </x:row>
    <x:row r="40">
      <x:c r="A40" s="76" t="str">
        <x:f>IF(B40="","","TEMP-"&amp;TEXT(ROW()-4,"0000"))</x:f>
      </x:c>
      <x:c r="B40" s="78"/>
      <x:c r="C40" s="76"/>
      <x:c r="D40" s="76"/>
      <x:c r="E40" s="76"/>
      <x:c r="F40" s="76"/>
      <x:c r="G40" s="79"/>
      <x:c r="H40" s="79"/>
      <x:c r="I40" s="79"/>
      <x:c r="J40" s="76"/>
      <x:c r="K40" s="76"/>
      <x:c r="L40" s="76"/>
      <x:c r="M40" s="76"/>
      <x:c r="N40" s="76"/>
      <x:c r="O40" s="76"/>
      <x:c r="P40" s="76"/>
      <x:c r="Q40" s="78" t="str">
        <x:f>IF(B40="","",TODAY())</x:f>
      </x:c>
      <x:c r="R40" s="76"/>
      <x:c r="S40" s="76" t="str">
        <x:f>IF(B40="","",IF(OR(C40="",D40="",F40="",G40="",K40="",M40="",N40="",O40&lt;&gt;"Validé humainement"),"ALERTE: données/preuves/statut",IF(OR(AND(ISNUMBER(G40),OR(G40&lt;0,G40&gt;50)),AND(ISNUMBER(H40),H40&lt;-5),AND(ISNUMBER(I40),I40&gt;55),AND(ISNUMBER(J40),J40&gt;31)),"ALERTE: valeur anormale","OK")))</x:f>
      </x:c>
      <x:c r="T40" s="76" t="str">
        <x:f>IF(B40="","",IF(O40="Validé humainement","Oui","Non"))</x:f>
      </x:c>
    </x:row>
    <x:row r="41">
      <x:c r="A41" s="76" t="str">
        <x:f>IF(B41="","","TEMP-"&amp;TEXT(ROW()-4,"0000"))</x:f>
      </x:c>
      <x:c r="B41" s="78"/>
      <x:c r="C41" s="76"/>
      <x:c r="D41" s="76"/>
      <x:c r="E41" s="76"/>
      <x:c r="F41" s="76"/>
      <x:c r="G41" s="79"/>
      <x:c r="H41" s="79"/>
      <x:c r="I41" s="79"/>
      <x:c r="J41" s="76"/>
      <x:c r="K41" s="76"/>
      <x:c r="L41" s="76"/>
      <x:c r="M41" s="76"/>
      <x:c r="N41" s="76"/>
      <x:c r="O41" s="76"/>
      <x:c r="P41" s="76"/>
      <x:c r="Q41" s="78" t="str">
        <x:f>IF(B41="","",TODAY())</x:f>
      </x:c>
      <x:c r="R41" s="76"/>
      <x:c r="S41" s="76" t="str">
        <x:f>IF(B41="","",IF(OR(C41="",D41="",F41="",G41="",K41="",M41="",N41="",O41&lt;&gt;"Validé humainement"),"ALERTE: données/preuves/statut",IF(OR(AND(ISNUMBER(G41),OR(G41&lt;0,G41&gt;50)),AND(ISNUMBER(H41),H41&lt;-5),AND(ISNUMBER(I41),I41&gt;55),AND(ISNUMBER(J41),J41&gt;31)),"ALERTE: valeur anormale","OK")))</x:f>
      </x:c>
      <x:c r="T41" s="76" t="str">
        <x:f>IF(B41="","",IF(O41="Validé humainement","Oui","Non"))</x:f>
      </x:c>
    </x:row>
    <x:row r="42">
      <x:c r="A42" s="76" t="str">
        <x:f>IF(B42="","","TEMP-"&amp;TEXT(ROW()-4,"0000"))</x:f>
      </x:c>
      <x:c r="B42" s="78"/>
      <x:c r="C42" s="76"/>
      <x:c r="D42" s="76"/>
      <x:c r="E42" s="76"/>
      <x:c r="F42" s="76"/>
      <x:c r="G42" s="79"/>
      <x:c r="H42" s="79"/>
      <x:c r="I42" s="79"/>
      <x:c r="J42" s="76"/>
      <x:c r="K42" s="76"/>
      <x:c r="L42" s="76"/>
      <x:c r="M42" s="76"/>
      <x:c r="N42" s="76"/>
      <x:c r="O42" s="76"/>
      <x:c r="P42" s="76"/>
      <x:c r="Q42" s="78" t="str">
        <x:f>IF(B42="","",TODAY())</x:f>
      </x:c>
      <x:c r="R42" s="76"/>
      <x:c r="S42" s="76" t="str">
        <x:f>IF(B42="","",IF(OR(C42="",D42="",F42="",G42="",K42="",M42="",N42="",O42&lt;&gt;"Validé humainement"),"ALERTE: données/preuves/statut",IF(OR(AND(ISNUMBER(G42),OR(G42&lt;0,G42&gt;50)),AND(ISNUMBER(H42),H42&lt;-5),AND(ISNUMBER(I42),I42&gt;55),AND(ISNUMBER(J42),J42&gt;31)),"ALERTE: valeur anormale","OK")))</x:f>
      </x:c>
      <x:c r="T42" s="76" t="str">
        <x:f>IF(B42="","",IF(O42="Validé humainement","Oui","Non"))</x:f>
      </x:c>
    </x:row>
    <x:row r="43">
      <x:c r="A43" s="76" t="str">
        <x:f>IF(B43="","","TEMP-"&amp;TEXT(ROW()-4,"0000"))</x:f>
      </x:c>
      <x:c r="B43" s="78"/>
      <x:c r="C43" s="76"/>
      <x:c r="D43" s="76"/>
      <x:c r="E43" s="76"/>
      <x:c r="F43" s="76"/>
      <x:c r="G43" s="79"/>
      <x:c r="H43" s="79"/>
      <x:c r="I43" s="79"/>
      <x:c r="J43" s="76"/>
      <x:c r="K43" s="76"/>
      <x:c r="L43" s="76"/>
      <x:c r="M43" s="76"/>
      <x:c r="N43" s="76"/>
      <x:c r="O43" s="76"/>
      <x:c r="P43" s="76"/>
      <x:c r="Q43" s="78" t="str">
        <x:f>IF(B43="","",TODAY())</x:f>
      </x:c>
      <x:c r="R43" s="76"/>
      <x:c r="S43" s="76" t="str">
        <x:f>IF(B43="","",IF(OR(C43="",D43="",F43="",G43="",K43="",M43="",N43="",O43&lt;&gt;"Validé humainement"),"ALERTE: données/preuves/statut",IF(OR(AND(ISNUMBER(G43),OR(G43&lt;0,G43&gt;50)),AND(ISNUMBER(H43),H43&lt;-5),AND(ISNUMBER(I43),I43&gt;55),AND(ISNUMBER(J43),J43&gt;31)),"ALERTE: valeur anormale","OK")))</x:f>
      </x:c>
      <x:c r="T43" s="76" t="str">
        <x:f>IF(B43="","",IF(O43="Validé humainement","Oui","Non"))</x:f>
      </x:c>
    </x:row>
    <x:row r="44">
      <x:c r="A44" s="76" t="str">
        <x:f>IF(B44="","","TEMP-"&amp;TEXT(ROW()-4,"0000"))</x:f>
      </x:c>
      <x:c r="B44" s="78"/>
      <x:c r="C44" s="76"/>
      <x:c r="D44" s="76"/>
      <x:c r="E44" s="76"/>
      <x:c r="F44" s="76"/>
      <x:c r="G44" s="79"/>
      <x:c r="H44" s="79"/>
      <x:c r="I44" s="79"/>
      <x:c r="J44" s="76"/>
      <x:c r="K44" s="76"/>
      <x:c r="L44" s="76"/>
      <x:c r="M44" s="76"/>
      <x:c r="N44" s="76"/>
      <x:c r="O44" s="76"/>
      <x:c r="P44" s="76"/>
      <x:c r="Q44" s="78" t="str">
        <x:f>IF(B44="","",TODAY())</x:f>
      </x:c>
      <x:c r="R44" s="76"/>
      <x:c r="S44" s="76" t="str">
        <x:f>IF(B44="","",IF(OR(C44="",D44="",F44="",G44="",K44="",M44="",N44="",O44&lt;&gt;"Validé humainement"),"ALERTE: données/preuves/statut",IF(OR(AND(ISNUMBER(G44),OR(G44&lt;0,G44&gt;50)),AND(ISNUMBER(H44),H44&lt;-5),AND(ISNUMBER(I44),I44&gt;55),AND(ISNUMBER(J44),J44&gt;31)),"ALERTE: valeur anormale","OK")))</x:f>
      </x:c>
      <x:c r="T44" s="76" t="str">
        <x:f>IF(B44="","",IF(O44="Validé humainement","Oui","Non"))</x:f>
      </x:c>
    </x:row>
    <x:row r="45">
      <x:c r="A45" s="76" t="str">
        <x:f>IF(B45="","","TEMP-"&amp;TEXT(ROW()-4,"0000"))</x:f>
      </x:c>
      <x:c r="B45" s="78"/>
      <x:c r="C45" s="76"/>
      <x:c r="D45" s="76"/>
      <x:c r="E45" s="76"/>
      <x:c r="F45" s="76"/>
      <x:c r="G45" s="79"/>
      <x:c r="H45" s="79"/>
      <x:c r="I45" s="79"/>
      <x:c r="J45" s="76"/>
      <x:c r="K45" s="76"/>
      <x:c r="L45" s="76"/>
      <x:c r="M45" s="76"/>
      <x:c r="N45" s="76"/>
      <x:c r="O45" s="76"/>
      <x:c r="P45" s="76"/>
      <x:c r="Q45" s="78" t="str">
        <x:f>IF(B45="","",TODAY())</x:f>
      </x:c>
      <x:c r="R45" s="76"/>
      <x:c r="S45" s="76" t="str">
        <x:f>IF(B45="","",IF(OR(C45="",D45="",F45="",G45="",K45="",M45="",N45="",O45&lt;&gt;"Validé humainement"),"ALERTE: données/preuves/statut",IF(OR(AND(ISNUMBER(G45),OR(G45&lt;0,G45&gt;50)),AND(ISNUMBER(H45),H45&lt;-5),AND(ISNUMBER(I45),I45&gt;55),AND(ISNUMBER(J45),J45&gt;31)),"ALERTE: valeur anormale","OK")))</x:f>
      </x:c>
      <x:c r="T45" s="76" t="str">
        <x:f>IF(B45="","",IF(O45="Validé humainement","Oui","Non"))</x:f>
      </x:c>
    </x:row>
    <x:row r="46">
      <x:c r="A46" s="76" t="str">
        <x:f>IF(B46="","","TEMP-"&amp;TEXT(ROW()-4,"0000"))</x:f>
      </x:c>
      <x:c r="B46" s="78"/>
      <x:c r="C46" s="76"/>
      <x:c r="D46" s="76"/>
      <x:c r="E46" s="76"/>
      <x:c r="F46" s="76"/>
      <x:c r="G46" s="79"/>
      <x:c r="H46" s="79"/>
      <x:c r="I46" s="79"/>
      <x:c r="J46" s="76"/>
      <x:c r="K46" s="76"/>
      <x:c r="L46" s="76"/>
      <x:c r="M46" s="76"/>
      <x:c r="N46" s="76"/>
      <x:c r="O46" s="76"/>
      <x:c r="P46" s="76"/>
      <x:c r="Q46" s="78" t="str">
        <x:f>IF(B46="","",TODAY())</x:f>
      </x:c>
      <x:c r="R46" s="76"/>
      <x:c r="S46" s="76" t="str">
        <x:f>IF(B46="","",IF(OR(C46="",D46="",F46="",G46="",K46="",M46="",N46="",O46&lt;&gt;"Validé humainement"),"ALERTE: données/preuves/statut",IF(OR(AND(ISNUMBER(G46),OR(G46&lt;0,G46&gt;50)),AND(ISNUMBER(H46),H46&lt;-5),AND(ISNUMBER(I46),I46&gt;55),AND(ISNUMBER(J46),J46&gt;31)),"ALERTE: valeur anormale","OK")))</x:f>
      </x:c>
      <x:c r="T46" s="76" t="str">
        <x:f>IF(B46="","",IF(O46="Validé humainement","Oui","Non"))</x:f>
      </x:c>
    </x:row>
    <x:row r="47">
      <x:c r="A47" s="76" t="str">
        <x:f>IF(B47="","","TEMP-"&amp;TEXT(ROW()-4,"0000"))</x:f>
      </x:c>
      <x:c r="B47" s="78"/>
      <x:c r="C47" s="76"/>
      <x:c r="D47" s="76"/>
      <x:c r="E47" s="76"/>
      <x:c r="F47" s="76"/>
      <x:c r="G47" s="79"/>
      <x:c r="H47" s="79"/>
      <x:c r="I47" s="79"/>
      <x:c r="J47" s="76"/>
      <x:c r="K47" s="76"/>
      <x:c r="L47" s="76"/>
      <x:c r="M47" s="76"/>
      <x:c r="N47" s="76"/>
      <x:c r="O47" s="76"/>
      <x:c r="P47" s="76"/>
      <x:c r="Q47" s="78" t="str">
        <x:f>IF(B47="","",TODAY())</x:f>
      </x:c>
      <x:c r="R47" s="76"/>
      <x:c r="S47" s="76" t="str">
        <x:f>IF(B47="","",IF(OR(C47="",D47="",F47="",G47="",K47="",M47="",N47="",O47&lt;&gt;"Validé humainement"),"ALERTE: données/preuves/statut",IF(OR(AND(ISNUMBER(G47),OR(G47&lt;0,G47&gt;50)),AND(ISNUMBER(H47),H47&lt;-5),AND(ISNUMBER(I47),I47&gt;55),AND(ISNUMBER(J47),J47&gt;31)),"ALERTE: valeur anormale","OK")))</x:f>
      </x:c>
      <x:c r="T47" s="76" t="str">
        <x:f>IF(B47="","",IF(O47="Validé humainement","Oui","Non"))</x:f>
      </x:c>
    </x:row>
    <x:row r="48">
      <x:c r="A48" s="76" t="str">
        <x:f>IF(B48="","","TEMP-"&amp;TEXT(ROW()-4,"0000"))</x:f>
      </x:c>
      <x:c r="B48" s="78"/>
      <x:c r="C48" s="76"/>
      <x:c r="D48" s="76"/>
      <x:c r="E48" s="76"/>
      <x:c r="F48" s="76"/>
      <x:c r="G48" s="79"/>
      <x:c r="H48" s="79"/>
      <x:c r="I48" s="79"/>
      <x:c r="J48" s="76"/>
      <x:c r="K48" s="76"/>
      <x:c r="L48" s="76"/>
      <x:c r="M48" s="76"/>
      <x:c r="N48" s="76"/>
      <x:c r="O48" s="76"/>
      <x:c r="P48" s="76"/>
      <x:c r="Q48" s="78" t="str">
        <x:f>IF(B48="","",TODAY())</x:f>
      </x:c>
      <x:c r="R48" s="76"/>
      <x:c r="S48" s="76" t="str">
        <x:f>IF(B48="","",IF(OR(C48="",D48="",F48="",G48="",K48="",M48="",N48="",O48&lt;&gt;"Validé humainement"),"ALERTE: données/preuves/statut",IF(OR(AND(ISNUMBER(G48),OR(G48&lt;0,G48&gt;50)),AND(ISNUMBER(H48),H48&lt;-5),AND(ISNUMBER(I48),I48&gt;55),AND(ISNUMBER(J48),J48&gt;31)),"ALERTE: valeur anormale","OK")))</x:f>
      </x:c>
      <x:c r="T48" s="76" t="str">
        <x:f>IF(B48="","",IF(O48="Validé humainement","Oui","Non"))</x:f>
      </x:c>
    </x:row>
    <x:row r="49">
      <x:c r="A49" s="76" t="str">
        <x:f>IF(B49="","","TEMP-"&amp;TEXT(ROW()-4,"0000"))</x:f>
      </x:c>
      <x:c r="B49" s="78"/>
      <x:c r="C49" s="76"/>
      <x:c r="D49" s="76"/>
      <x:c r="E49" s="76"/>
      <x:c r="F49" s="76"/>
      <x:c r="G49" s="79"/>
      <x:c r="H49" s="79"/>
      <x:c r="I49" s="79"/>
      <x:c r="J49" s="76"/>
      <x:c r="K49" s="76"/>
      <x:c r="L49" s="76"/>
      <x:c r="M49" s="76"/>
      <x:c r="N49" s="76"/>
      <x:c r="O49" s="76"/>
      <x:c r="P49" s="76"/>
      <x:c r="Q49" s="78" t="str">
        <x:f>IF(B49="","",TODAY())</x:f>
      </x:c>
      <x:c r="R49" s="76"/>
      <x:c r="S49" s="76" t="str">
        <x:f>IF(B49="","",IF(OR(C49="",D49="",F49="",G49="",K49="",M49="",N49="",O49&lt;&gt;"Validé humainement"),"ALERTE: données/preuves/statut",IF(OR(AND(ISNUMBER(G49),OR(G49&lt;0,G49&gt;50)),AND(ISNUMBER(H49),H49&lt;-5),AND(ISNUMBER(I49),I49&gt;55),AND(ISNUMBER(J49),J49&gt;31)),"ALERTE: valeur anormale","OK")))</x:f>
      </x:c>
      <x:c r="T49" s="76" t="str">
        <x:f>IF(B49="","",IF(O49="Validé humainement","Oui","Non"))</x:f>
      </x:c>
    </x:row>
    <x:row r="50">
      <x:c r="A50" s="76" t="str">
        <x:f>IF(B50="","","TEMP-"&amp;TEXT(ROW()-4,"0000"))</x:f>
      </x:c>
      <x:c r="B50" s="78"/>
      <x:c r="C50" s="76"/>
      <x:c r="D50" s="76"/>
      <x:c r="E50" s="76"/>
      <x:c r="F50" s="76"/>
      <x:c r="G50" s="79"/>
      <x:c r="H50" s="79"/>
      <x:c r="I50" s="79"/>
      <x:c r="J50" s="76"/>
      <x:c r="K50" s="76"/>
      <x:c r="L50" s="76"/>
      <x:c r="M50" s="76"/>
      <x:c r="N50" s="76"/>
      <x:c r="O50" s="76"/>
      <x:c r="P50" s="76"/>
      <x:c r="Q50" s="78" t="str">
        <x:f>IF(B50="","",TODAY())</x:f>
      </x:c>
      <x:c r="R50" s="76"/>
      <x:c r="S50" s="76" t="str">
        <x:f>IF(B50="","",IF(OR(C50="",D50="",F50="",G50="",K50="",M50="",N50="",O50&lt;&gt;"Validé humainement"),"ALERTE: données/preuves/statut",IF(OR(AND(ISNUMBER(G50),OR(G50&lt;0,G50&gt;50)),AND(ISNUMBER(H50),H50&lt;-5),AND(ISNUMBER(I50),I50&gt;55),AND(ISNUMBER(J50),J50&gt;31)),"ALERTE: valeur anormale","OK")))</x:f>
      </x:c>
      <x:c r="T50" s="76" t="str">
        <x:f>IF(B50="","",IF(O50="Validé humainement","Oui","Non"))</x:f>
      </x:c>
    </x:row>
    <x:row r="51">
      <x:c r="A51" s="76" t="str">
        <x:f>IF(B51="","","TEMP-"&amp;TEXT(ROW()-4,"0000"))</x:f>
      </x:c>
      <x:c r="B51" s="78"/>
      <x:c r="C51" s="76"/>
      <x:c r="D51" s="76"/>
      <x:c r="E51" s="76"/>
      <x:c r="F51" s="76"/>
      <x:c r="G51" s="79"/>
      <x:c r="H51" s="79"/>
      <x:c r="I51" s="79"/>
      <x:c r="J51" s="76"/>
      <x:c r="K51" s="76"/>
      <x:c r="L51" s="76"/>
      <x:c r="M51" s="76"/>
      <x:c r="N51" s="76"/>
      <x:c r="O51" s="76"/>
      <x:c r="P51" s="76"/>
      <x:c r="Q51" s="78" t="str">
        <x:f>IF(B51="","",TODAY())</x:f>
      </x:c>
      <x:c r="R51" s="76"/>
      <x:c r="S51" s="76" t="str">
        <x:f>IF(B51="","",IF(OR(C51="",D51="",F51="",G51="",K51="",M51="",N51="",O51&lt;&gt;"Validé humainement"),"ALERTE: données/preuves/statut",IF(OR(AND(ISNUMBER(G51),OR(G51&lt;0,G51&gt;50)),AND(ISNUMBER(H51),H51&lt;-5),AND(ISNUMBER(I51),I51&gt;55),AND(ISNUMBER(J51),J51&gt;31)),"ALERTE: valeur anormale","OK")))</x:f>
      </x:c>
      <x:c r="T51" s="76" t="str">
        <x:f>IF(B51="","",IF(O51="Validé humainement","Oui","Non"))</x:f>
      </x:c>
    </x:row>
    <x:row r="52">
      <x:c r="A52" s="76" t="str">
        <x:f>IF(B52="","","TEMP-"&amp;TEXT(ROW()-4,"0000"))</x:f>
      </x:c>
      <x:c r="B52" s="78"/>
      <x:c r="C52" s="76"/>
      <x:c r="D52" s="76"/>
      <x:c r="E52" s="76"/>
      <x:c r="F52" s="76"/>
      <x:c r="G52" s="79"/>
      <x:c r="H52" s="79"/>
      <x:c r="I52" s="79"/>
      <x:c r="J52" s="76"/>
      <x:c r="K52" s="76"/>
      <x:c r="L52" s="76"/>
      <x:c r="M52" s="76"/>
      <x:c r="N52" s="76"/>
      <x:c r="O52" s="76"/>
      <x:c r="P52" s="76"/>
      <x:c r="Q52" s="78" t="str">
        <x:f>IF(B52="","",TODAY())</x:f>
      </x:c>
      <x:c r="R52" s="76"/>
      <x:c r="S52" s="76" t="str">
        <x:f>IF(B52="","",IF(OR(C52="",D52="",F52="",G52="",K52="",M52="",N52="",O52&lt;&gt;"Validé humainement"),"ALERTE: données/preuves/statut",IF(OR(AND(ISNUMBER(G52),OR(G52&lt;0,G52&gt;50)),AND(ISNUMBER(H52),H52&lt;-5),AND(ISNUMBER(I52),I52&gt;55),AND(ISNUMBER(J52),J52&gt;31)),"ALERTE: valeur anormale","OK")))</x:f>
      </x:c>
      <x:c r="T52" s="76" t="str">
        <x:f>IF(B52="","",IF(O52="Validé humainement","Oui","Non"))</x:f>
      </x:c>
    </x:row>
    <x:row r="53">
      <x:c r="A53" s="76" t="str">
        <x:f>IF(B53="","","TEMP-"&amp;TEXT(ROW()-4,"0000"))</x:f>
      </x:c>
      <x:c r="B53" s="78"/>
      <x:c r="C53" s="76"/>
      <x:c r="D53" s="76"/>
      <x:c r="E53" s="76"/>
      <x:c r="F53" s="76"/>
      <x:c r="G53" s="79"/>
      <x:c r="H53" s="79"/>
      <x:c r="I53" s="79"/>
      <x:c r="J53" s="76"/>
      <x:c r="K53" s="76"/>
      <x:c r="L53" s="76"/>
      <x:c r="M53" s="76"/>
      <x:c r="N53" s="76"/>
      <x:c r="O53" s="76"/>
      <x:c r="P53" s="76"/>
      <x:c r="Q53" s="78" t="str">
        <x:f>IF(B53="","",TODAY())</x:f>
      </x:c>
      <x:c r="R53" s="76"/>
      <x:c r="S53" s="76" t="str">
        <x:f>IF(B53="","",IF(OR(C53="",D53="",F53="",G53="",K53="",M53="",N53="",O53&lt;&gt;"Validé humainement"),"ALERTE: données/preuves/statut",IF(OR(AND(ISNUMBER(G53),OR(G53&lt;0,G53&gt;50)),AND(ISNUMBER(H53),H53&lt;-5),AND(ISNUMBER(I53),I53&gt;55),AND(ISNUMBER(J53),J53&gt;31)),"ALERTE: valeur anormale","OK")))</x:f>
      </x:c>
      <x:c r="T53" s="76" t="str">
        <x:f>IF(B53="","",IF(O53="Validé humainement","Oui","Non"))</x:f>
      </x:c>
    </x:row>
    <x:row r="54">
      <x:c r="A54" s="76" t="str">
        <x:f>IF(B54="","","TEMP-"&amp;TEXT(ROW()-4,"0000"))</x:f>
      </x:c>
      <x:c r="B54" s="78"/>
      <x:c r="C54" s="76"/>
      <x:c r="D54" s="76"/>
      <x:c r="E54" s="76"/>
      <x:c r="F54" s="76"/>
      <x:c r="G54" s="79"/>
      <x:c r="H54" s="79"/>
      <x:c r="I54" s="79"/>
      <x:c r="J54" s="76"/>
      <x:c r="K54" s="76"/>
      <x:c r="L54" s="76"/>
      <x:c r="M54" s="76"/>
      <x:c r="N54" s="76"/>
      <x:c r="O54" s="76"/>
      <x:c r="P54" s="76"/>
      <x:c r="Q54" s="78" t="str">
        <x:f>IF(B54="","",TODAY())</x:f>
      </x:c>
      <x:c r="R54" s="76"/>
      <x:c r="S54" s="76" t="str">
        <x:f>IF(B54="","",IF(OR(C54="",D54="",F54="",G54="",K54="",M54="",N54="",O54&lt;&gt;"Validé humainement"),"ALERTE: données/preuves/statut",IF(OR(AND(ISNUMBER(G54),OR(G54&lt;0,G54&gt;50)),AND(ISNUMBER(H54),H54&lt;-5),AND(ISNUMBER(I54),I54&gt;55),AND(ISNUMBER(J54),J54&gt;31)),"ALERTE: valeur anormale","OK")))</x:f>
      </x:c>
      <x:c r="T54" s="76" t="str">
        <x:f>IF(B54="","",IF(O54="Validé humainement","Oui","Non"))</x:f>
      </x:c>
    </x:row>
    <x:row r="55">
      <x:c r="A55" s="76" t="str">
        <x:f>IF(B55="","","TEMP-"&amp;TEXT(ROW()-4,"0000"))</x:f>
      </x:c>
      <x:c r="B55" s="78"/>
      <x:c r="C55" s="76"/>
      <x:c r="D55" s="76"/>
      <x:c r="E55" s="76"/>
      <x:c r="F55" s="76"/>
      <x:c r="G55" s="79"/>
      <x:c r="H55" s="79"/>
      <x:c r="I55" s="79"/>
      <x:c r="J55" s="76"/>
      <x:c r="K55" s="76"/>
      <x:c r="L55" s="76"/>
      <x:c r="M55" s="76"/>
      <x:c r="N55" s="76"/>
      <x:c r="O55" s="76"/>
      <x:c r="P55" s="76"/>
      <x:c r="Q55" s="78" t="str">
        <x:f>IF(B55="","",TODAY())</x:f>
      </x:c>
      <x:c r="R55" s="76"/>
      <x:c r="S55" s="76" t="str">
        <x:f>IF(B55="","",IF(OR(C55="",D55="",F55="",G55="",K55="",M55="",N55="",O55&lt;&gt;"Validé humainement"),"ALERTE: données/preuves/statut",IF(OR(AND(ISNUMBER(G55),OR(G55&lt;0,G55&gt;50)),AND(ISNUMBER(H55),H55&lt;-5),AND(ISNUMBER(I55),I55&gt;55),AND(ISNUMBER(J55),J55&gt;31)),"ALERTE: valeur anormale","OK")))</x:f>
      </x:c>
      <x:c r="T55" s="76" t="str">
        <x:f>IF(B55="","",IF(O55="Validé humainement","Oui","Non"))</x:f>
      </x:c>
    </x:row>
    <x:row r="56">
      <x:c r="A56" s="76" t="str">
        <x:f>IF(B56="","","TEMP-"&amp;TEXT(ROW()-4,"0000"))</x:f>
      </x:c>
      <x:c r="B56" s="78"/>
      <x:c r="C56" s="76"/>
      <x:c r="D56" s="76"/>
      <x:c r="E56" s="76"/>
      <x:c r="F56" s="76"/>
      <x:c r="G56" s="79"/>
      <x:c r="H56" s="79"/>
      <x:c r="I56" s="79"/>
      <x:c r="J56" s="76"/>
      <x:c r="K56" s="76"/>
      <x:c r="L56" s="76"/>
      <x:c r="M56" s="76"/>
      <x:c r="N56" s="76"/>
      <x:c r="O56" s="76"/>
      <x:c r="P56" s="76"/>
      <x:c r="Q56" s="78" t="str">
        <x:f>IF(B56="","",TODAY())</x:f>
      </x:c>
      <x:c r="R56" s="76"/>
      <x:c r="S56" s="76" t="str">
        <x:f>IF(B56="","",IF(OR(C56="",D56="",F56="",G56="",K56="",M56="",N56="",O56&lt;&gt;"Validé humainement"),"ALERTE: données/preuves/statut",IF(OR(AND(ISNUMBER(G56),OR(G56&lt;0,G56&gt;50)),AND(ISNUMBER(H56),H56&lt;-5),AND(ISNUMBER(I56),I56&gt;55),AND(ISNUMBER(J56),J56&gt;31)),"ALERTE: valeur anormale","OK")))</x:f>
      </x:c>
      <x:c r="T56" s="76" t="str">
        <x:f>IF(B56="","",IF(O56="Validé humainement","Oui","Non"))</x:f>
      </x:c>
    </x:row>
    <x:row r="57">
      <x:c r="A57" s="76" t="str">
        <x:f>IF(B57="","","TEMP-"&amp;TEXT(ROW()-4,"0000"))</x:f>
      </x:c>
      <x:c r="B57" s="78"/>
      <x:c r="C57" s="76"/>
      <x:c r="D57" s="76"/>
      <x:c r="E57" s="76"/>
      <x:c r="F57" s="76"/>
      <x:c r="G57" s="79"/>
      <x:c r="H57" s="79"/>
      <x:c r="I57" s="79"/>
      <x:c r="J57" s="76"/>
      <x:c r="K57" s="76"/>
      <x:c r="L57" s="76"/>
      <x:c r="M57" s="76"/>
      <x:c r="N57" s="76"/>
      <x:c r="O57" s="76"/>
      <x:c r="P57" s="76"/>
      <x:c r="Q57" s="78" t="str">
        <x:f>IF(B57="","",TODAY())</x:f>
      </x:c>
      <x:c r="R57" s="76"/>
      <x:c r="S57" s="76" t="str">
        <x:f>IF(B57="","",IF(OR(C57="",D57="",F57="",G57="",K57="",M57="",N57="",O57&lt;&gt;"Validé humainement"),"ALERTE: données/preuves/statut",IF(OR(AND(ISNUMBER(G57),OR(G57&lt;0,G57&gt;50)),AND(ISNUMBER(H57),H57&lt;-5),AND(ISNUMBER(I57),I57&gt;55),AND(ISNUMBER(J57),J57&gt;31)),"ALERTE: valeur anormale","OK")))</x:f>
      </x:c>
      <x:c r="T57" s="76" t="str">
        <x:f>IF(B57="","",IF(O57="Validé humainement","Oui","Non"))</x:f>
      </x:c>
    </x:row>
    <x:row r="58">
      <x:c r="A58" s="76" t="str">
        <x:f>IF(B58="","","TEMP-"&amp;TEXT(ROW()-4,"0000"))</x:f>
      </x:c>
      <x:c r="B58" s="78"/>
      <x:c r="C58" s="76"/>
      <x:c r="D58" s="76"/>
      <x:c r="E58" s="76"/>
      <x:c r="F58" s="76"/>
      <x:c r="G58" s="79"/>
      <x:c r="H58" s="79"/>
      <x:c r="I58" s="79"/>
      <x:c r="J58" s="76"/>
      <x:c r="K58" s="76"/>
      <x:c r="L58" s="76"/>
      <x:c r="M58" s="76"/>
      <x:c r="N58" s="76"/>
      <x:c r="O58" s="76"/>
      <x:c r="P58" s="76"/>
      <x:c r="Q58" s="78" t="str">
        <x:f>IF(B58="","",TODAY())</x:f>
      </x:c>
      <x:c r="R58" s="76"/>
      <x:c r="S58" s="76" t="str">
        <x:f>IF(B58="","",IF(OR(C58="",D58="",F58="",G58="",K58="",M58="",N58="",O58&lt;&gt;"Validé humainement"),"ALERTE: données/preuves/statut",IF(OR(AND(ISNUMBER(G58),OR(G58&lt;0,G58&gt;50)),AND(ISNUMBER(H58),H58&lt;-5),AND(ISNUMBER(I58),I58&gt;55),AND(ISNUMBER(J58),J58&gt;31)),"ALERTE: valeur anormale","OK")))</x:f>
      </x:c>
      <x:c r="T58" s="76" t="str">
        <x:f>IF(B58="","",IF(O58="Validé humainement","Oui","Non"))</x:f>
      </x:c>
    </x:row>
    <x:row r="59">
      <x:c r="A59" s="76" t="str">
        <x:f>IF(B59="","","TEMP-"&amp;TEXT(ROW()-4,"0000"))</x:f>
      </x:c>
      <x:c r="B59" s="78"/>
      <x:c r="C59" s="76"/>
      <x:c r="D59" s="76"/>
      <x:c r="E59" s="76"/>
      <x:c r="F59" s="76"/>
      <x:c r="G59" s="79"/>
      <x:c r="H59" s="79"/>
      <x:c r="I59" s="79"/>
      <x:c r="J59" s="76"/>
      <x:c r="K59" s="76"/>
      <x:c r="L59" s="76"/>
      <x:c r="M59" s="76"/>
      <x:c r="N59" s="76"/>
      <x:c r="O59" s="76"/>
      <x:c r="P59" s="76"/>
      <x:c r="Q59" s="78" t="str">
        <x:f>IF(B59="","",TODAY())</x:f>
      </x:c>
      <x:c r="R59" s="76"/>
      <x:c r="S59" s="76" t="str">
        <x:f>IF(B59="","",IF(OR(C59="",D59="",F59="",G59="",K59="",M59="",N59="",O59&lt;&gt;"Validé humainement"),"ALERTE: données/preuves/statut",IF(OR(AND(ISNUMBER(G59),OR(G59&lt;0,G59&gt;50)),AND(ISNUMBER(H59),H59&lt;-5),AND(ISNUMBER(I59),I59&gt;55),AND(ISNUMBER(J59),J59&gt;31)),"ALERTE: valeur anormale","OK")))</x:f>
      </x:c>
      <x:c r="T59" s="76" t="str">
        <x:f>IF(B59="","",IF(O59="Validé humainement","Oui","Non"))</x:f>
      </x:c>
    </x:row>
    <x:row r="60">
      <x:c r="A60" s="76" t="str">
        <x:f>IF(B60="","","TEMP-"&amp;TEXT(ROW()-4,"0000"))</x:f>
      </x:c>
      <x:c r="B60" s="78"/>
      <x:c r="C60" s="76"/>
      <x:c r="D60" s="76"/>
      <x:c r="E60" s="76"/>
      <x:c r="F60" s="76"/>
      <x:c r="G60" s="79"/>
      <x:c r="H60" s="79"/>
      <x:c r="I60" s="79"/>
      <x:c r="J60" s="76"/>
      <x:c r="K60" s="76"/>
      <x:c r="L60" s="76"/>
      <x:c r="M60" s="76"/>
      <x:c r="N60" s="76"/>
      <x:c r="O60" s="76"/>
      <x:c r="P60" s="76"/>
      <x:c r="Q60" s="78" t="str">
        <x:f>IF(B60="","",TODAY())</x:f>
      </x:c>
      <x:c r="R60" s="76"/>
      <x:c r="S60" s="76" t="str">
        <x:f>IF(B60="","",IF(OR(C60="",D60="",F60="",G60="",K60="",M60="",N60="",O60&lt;&gt;"Validé humainement"),"ALERTE: données/preuves/statut",IF(OR(AND(ISNUMBER(G60),OR(G60&lt;0,G60&gt;50)),AND(ISNUMBER(H60),H60&lt;-5),AND(ISNUMBER(I60),I60&gt;55),AND(ISNUMBER(J60),J60&gt;31)),"ALERTE: valeur anormale","OK")))</x:f>
      </x:c>
      <x:c r="T60" s="76" t="str">
        <x:f>IF(B60="","",IF(O60="Validé humainement","Oui","Non"))</x:f>
      </x:c>
    </x:row>
    <x:row r="61">
      <x:c r="A61" s="76" t="str">
        <x:f>IF(B61="","","TEMP-"&amp;TEXT(ROW()-4,"0000"))</x:f>
      </x:c>
      <x:c r="B61" s="78"/>
      <x:c r="C61" s="76"/>
      <x:c r="D61" s="76"/>
      <x:c r="E61" s="76"/>
      <x:c r="F61" s="76"/>
      <x:c r="G61" s="79"/>
      <x:c r="H61" s="79"/>
      <x:c r="I61" s="79"/>
      <x:c r="J61" s="76"/>
      <x:c r="K61" s="76"/>
      <x:c r="L61" s="76"/>
      <x:c r="M61" s="76"/>
      <x:c r="N61" s="76"/>
      <x:c r="O61" s="76"/>
      <x:c r="P61" s="76"/>
      <x:c r="Q61" s="78" t="str">
        <x:f>IF(B61="","",TODAY())</x:f>
      </x:c>
      <x:c r="R61" s="76"/>
      <x:c r="S61" s="76" t="str">
        <x:f>IF(B61="","",IF(OR(C61="",D61="",F61="",G61="",K61="",M61="",N61="",O61&lt;&gt;"Validé humainement"),"ALERTE: données/preuves/statut",IF(OR(AND(ISNUMBER(G61),OR(G61&lt;0,G61&gt;50)),AND(ISNUMBER(H61),H61&lt;-5),AND(ISNUMBER(I61),I61&gt;55),AND(ISNUMBER(J61),J61&gt;31)),"ALERTE: valeur anormale","OK")))</x:f>
      </x:c>
      <x:c r="T61" s="76" t="str">
        <x:f>IF(B61="","",IF(O61="Validé humainement","Oui","Non"))</x:f>
      </x:c>
    </x:row>
    <x:row r="62">
      <x:c r="A62" s="76" t="str">
        <x:f>IF(B62="","","TEMP-"&amp;TEXT(ROW()-4,"0000"))</x:f>
      </x:c>
      <x:c r="B62" s="78"/>
      <x:c r="C62" s="76"/>
      <x:c r="D62" s="76"/>
      <x:c r="E62" s="76"/>
      <x:c r="F62" s="76"/>
      <x:c r="G62" s="79"/>
      <x:c r="H62" s="79"/>
      <x:c r="I62" s="79"/>
      <x:c r="J62" s="76"/>
      <x:c r="K62" s="76"/>
      <x:c r="L62" s="76"/>
      <x:c r="M62" s="76"/>
      <x:c r="N62" s="76"/>
      <x:c r="O62" s="76"/>
      <x:c r="P62" s="76"/>
      <x:c r="Q62" s="78" t="str">
        <x:f>IF(B62="","",TODAY())</x:f>
      </x:c>
      <x:c r="R62" s="76"/>
      <x:c r="S62" s="76" t="str">
        <x:f>IF(B62="","",IF(OR(C62="",D62="",F62="",G62="",K62="",M62="",N62="",O62&lt;&gt;"Validé humainement"),"ALERTE: données/preuves/statut",IF(OR(AND(ISNUMBER(G62),OR(G62&lt;0,G62&gt;50)),AND(ISNUMBER(H62),H62&lt;-5),AND(ISNUMBER(I62),I62&gt;55),AND(ISNUMBER(J62),J62&gt;31)),"ALERTE: valeur anormale","OK")))</x:f>
      </x:c>
      <x:c r="T62" s="76" t="str">
        <x:f>IF(B62="","",IF(O62="Validé humainement","Oui","Non"))</x:f>
      </x:c>
    </x:row>
    <x:row r="63">
      <x:c r="A63" s="76" t="str">
        <x:f>IF(B63="","","TEMP-"&amp;TEXT(ROW()-4,"0000"))</x:f>
      </x:c>
      <x:c r="B63" s="78"/>
      <x:c r="C63" s="76"/>
      <x:c r="D63" s="76"/>
      <x:c r="E63" s="76"/>
      <x:c r="F63" s="76"/>
      <x:c r="G63" s="79"/>
      <x:c r="H63" s="79"/>
      <x:c r="I63" s="79"/>
      <x:c r="J63" s="76"/>
      <x:c r="K63" s="76"/>
      <x:c r="L63" s="76"/>
      <x:c r="M63" s="76"/>
      <x:c r="N63" s="76"/>
      <x:c r="O63" s="76"/>
      <x:c r="P63" s="76"/>
      <x:c r="Q63" s="78" t="str">
        <x:f>IF(B63="","",TODAY())</x:f>
      </x:c>
      <x:c r="R63" s="76"/>
      <x:c r="S63" s="76" t="str">
        <x:f>IF(B63="","",IF(OR(C63="",D63="",F63="",G63="",K63="",M63="",N63="",O63&lt;&gt;"Validé humainement"),"ALERTE: données/preuves/statut",IF(OR(AND(ISNUMBER(G63),OR(G63&lt;0,G63&gt;50)),AND(ISNUMBER(H63),H63&lt;-5),AND(ISNUMBER(I63),I63&gt;55),AND(ISNUMBER(J63),J63&gt;31)),"ALERTE: valeur anormale","OK")))</x:f>
      </x:c>
      <x:c r="T63" s="76" t="str">
        <x:f>IF(B63="","",IF(O63="Validé humainement","Oui","Non"))</x:f>
      </x:c>
    </x:row>
    <x:row r="64">
      <x:c r="A64" s="76" t="str">
        <x:f>IF(B64="","","TEMP-"&amp;TEXT(ROW()-4,"0000"))</x:f>
      </x:c>
      <x:c r="B64" s="78"/>
      <x:c r="C64" s="76"/>
      <x:c r="D64" s="76"/>
      <x:c r="E64" s="76"/>
      <x:c r="F64" s="76"/>
      <x:c r="G64" s="79"/>
      <x:c r="H64" s="79"/>
      <x:c r="I64" s="79"/>
      <x:c r="J64" s="76"/>
      <x:c r="K64" s="76"/>
      <x:c r="L64" s="76"/>
      <x:c r="M64" s="76"/>
      <x:c r="N64" s="76"/>
      <x:c r="O64" s="76"/>
      <x:c r="P64" s="76"/>
      <x:c r="Q64" s="78" t="str">
        <x:f>IF(B64="","",TODAY())</x:f>
      </x:c>
      <x:c r="R64" s="76"/>
      <x:c r="S64" s="76" t="str">
        <x:f>IF(B64="","",IF(OR(C64="",D64="",F64="",G64="",K64="",M64="",N64="",O64&lt;&gt;"Validé humainement"),"ALERTE: données/preuves/statut",IF(OR(AND(ISNUMBER(G64),OR(G64&lt;0,G64&gt;50)),AND(ISNUMBER(H64),H64&lt;-5),AND(ISNUMBER(I64),I64&gt;55),AND(ISNUMBER(J64),J64&gt;31)),"ALERTE: valeur anormale","OK")))</x:f>
      </x:c>
      <x:c r="T64" s="76" t="str">
        <x:f>IF(B64="","",IF(O64="Validé humainement","Oui","Non"))</x:f>
      </x:c>
    </x:row>
    <x:row r="65">
      <x:c r="A65" s="76" t="str">
        <x:f>IF(B65="","","TEMP-"&amp;TEXT(ROW()-4,"0000"))</x:f>
      </x:c>
      <x:c r="B65" s="78"/>
      <x:c r="C65" s="76"/>
      <x:c r="D65" s="76"/>
      <x:c r="E65" s="76"/>
      <x:c r="F65" s="76"/>
      <x:c r="G65" s="79"/>
      <x:c r="H65" s="79"/>
      <x:c r="I65" s="79"/>
      <x:c r="J65" s="76"/>
      <x:c r="K65" s="76"/>
      <x:c r="L65" s="76"/>
      <x:c r="M65" s="76"/>
      <x:c r="N65" s="76"/>
      <x:c r="O65" s="76"/>
      <x:c r="P65" s="76"/>
      <x:c r="Q65" s="78" t="str">
        <x:f>IF(B65="","",TODAY())</x:f>
      </x:c>
      <x:c r="R65" s="76"/>
      <x:c r="S65" s="76" t="str">
        <x:f>IF(B65="","",IF(OR(C65="",D65="",F65="",G65="",K65="",M65="",N65="",O65&lt;&gt;"Validé humainement"),"ALERTE: données/preuves/statut",IF(OR(AND(ISNUMBER(G65),OR(G65&lt;0,G65&gt;50)),AND(ISNUMBER(H65),H65&lt;-5),AND(ISNUMBER(I65),I65&gt;55),AND(ISNUMBER(J65),J65&gt;31)),"ALERTE: valeur anormale","OK")))</x:f>
      </x:c>
      <x:c r="T65" s="76" t="str">
        <x:f>IF(B65="","",IF(O65="Validé humainement","Oui","Non"))</x:f>
      </x:c>
    </x:row>
    <x:row r="66">
      <x:c r="A66" s="76" t="str">
        <x:f>IF(B66="","","TEMP-"&amp;TEXT(ROW()-4,"0000"))</x:f>
      </x:c>
      <x:c r="B66" s="78"/>
      <x:c r="C66" s="76"/>
      <x:c r="D66" s="76"/>
      <x:c r="E66" s="76"/>
      <x:c r="F66" s="76"/>
      <x:c r="G66" s="79"/>
      <x:c r="H66" s="79"/>
      <x:c r="I66" s="79"/>
      <x:c r="J66" s="76"/>
      <x:c r="K66" s="76"/>
      <x:c r="L66" s="76"/>
      <x:c r="M66" s="76"/>
      <x:c r="N66" s="76"/>
      <x:c r="O66" s="76"/>
      <x:c r="P66" s="76"/>
      <x:c r="Q66" s="78" t="str">
        <x:f>IF(B66="","",TODAY())</x:f>
      </x:c>
      <x:c r="R66" s="76"/>
      <x:c r="S66" s="76" t="str">
        <x:f>IF(B66="","",IF(OR(C66="",D66="",F66="",G66="",K66="",M66="",N66="",O66&lt;&gt;"Validé humainement"),"ALERTE: données/preuves/statut",IF(OR(AND(ISNUMBER(G66),OR(G66&lt;0,G66&gt;50)),AND(ISNUMBER(H66),H66&lt;-5),AND(ISNUMBER(I66),I66&gt;55),AND(ISNUMBER(J66),J66&gt;31)),"ALERTE: valeur anormale","OK")))</x:f>
      </x:c>
      <x:c r="T66" s="76" t="str">
        <x:f>IF(B66="","",IF(O66="Validé humainement","Oui","Non"))</x:f>
      </x:c>
    </x:row>
    <x:row r="67">
      <x:c r="A67" s="76" t="str">
        <x:f>IF(B67="","","TEMP-"&amp;TEXT(ROW()-4,"0000"))</x:f>
      </x:c>
      <x:c r="B67" s="78"/>
      <x:c r="C67" s="76"/>
      <x:c r="D67" s="76"/>
      <x:c r="E67" s="76"/>
      <x:c r="F67" s="76"/>
      <x:c r="G67" s="79"/>
      <x:c r="H67" s="79"/>
      <x:c r="I67" s="79"/>
      <x:c r="J67" s="76"/>
      <x:c r="K67" s="76"/>
      <x:c r="L67" s="76"/>
      <x:c r="M67" s="76"/>
      <x:c r="N67" s="76"/>
      <x:c r="O67" s="76"/>
      <x:c r="P67" s="76"/>
      <x:c r="Q67" s="78" t="str">
        <x:f>IF(B67="","",TODAY())</x:f>
      </x:c>
      <x:c r="R67" s="76"/>
      <x:c r="S67" s="76" t="str">
        <x:f>IF(B67="","",IF(OR(C67="",D67="",F67="",G67="",K67="",M67="",N67="",O67&lt;&gt;"Validé humainement"),"ALERTE: données/preuves/statut",IF(OR(AND(ISNUMBER(G67),OR(G67&lt;0,G67&gt;50)),AND(ISNUMBER(H67),H67&lt;-5),AND(ISNUMBER(I67),I67&gt;55),AND(ISNUMBER(J67),J67&gt;31)),"ALERTE: valeur anormale","OK")))</x:f>
      </x:c>
      <x:c r="T67" s="76" t="str">
        <x:f>IF(B67="","",IF(O67="Validé humainement","Oui","Non"))</x:f>
      </x:c>
    </x:row>
    <x:row r="68">
      <x:c r="A68" s="76" t="str">
        <x:f>IF(B68="","","TEMP-"&amp;TEXT(ROW()-4,"0000"))</x:f>
      </x:c>
      <x:c r="B68" s="78"/>
      <x:c r="C68" s="76"/>
      <x:c r="D68" s="76"/>
      <x:c r="E68" s="76"/>
      <x:c r="F68" s="76"/>
      <x:c r="G68" s="79"/>
      <x:c r="H68" s="79"/>
      <x:c r="I68" s="79"/>
      <x:c r="J68" s="76"/>
      <x:c r="K68" s="76"/>
      <x:c r="L68" s="76"/>
      <x:c r="M68" s="76"/>
      <x:c r="N68" s="76"/>
      <x:c r="O68" s="76"/>
      <x:c r="P68" s="76"/>
      <x:c r="Q68" s="78" t="str">
        <x:f>IF(B68="","",TODAY())</x:f>
      </x:c>
      <x:c r="R68" s="76"/>
      <x:c r="S68" s="76" t="str">
        <x:f>IF(B68="","",IF(OR(C68="",D68="",F68="",G68="",K68="",M68="",N68="",O68&lt;&gt;"Validé humainement"),"ALERTE: données/preuves/statut",IF(OR(AND(ISNUMBER(G68),OR(G68&lt;0,G68&gt;50)),AND(ISNUMBER(H68),H68&lt;-5),AND(ISNUMBER(I68),I68&gt;55),AND(ISNUMBER(J68),J68&gt;31)),"ALERTE: valeur anormale","OK")))</x:f>
      </x:c>
      <x:c r="T68" s="76" t="str">
        <x:f>IF(B68="","",IF(O68="Validé humainement","Oui","Non"))</x:f>
      </x:c>
    </x:row>
    <x:row r="69">
      <x:c r="A69" s="76" t="str">
        <x:f>IF(B69="","","TEMP-"&amp;TEXT(ROW()-4,"0000"))</x:f>
      </x:c>
      <x:c r="B69" s="78"/>
      <x:c r="C69" s="76"/>
      <x:c r="D69" s="76"/>
      <x:c r="E69" s="76"/>
      <x:c r="F69" s="76"/>
      <x:c r="G69" s="79"/>
      <x:c r="H69" s="79"/>
      <x:c r="I69" s="79"/>
      <x:c r="J69" s="76"/>
      <x:c r="K69" s="76"/>
      <x:c r="L69" s="76"/>
      <x:c r="M69" s="76"/>
      <x:c r="N69" s="76"/>
      <x:c r="O69" s="76"/>
      <x:c r="P69" s="76"/>
      <x:c r="Q69" s="78" t="str">
        <x:f>IF(B69="","",TODAY())</x:f>
      </x:c>
      <x:c r="R69" s="76"/>
      <x:c r="S69" s="76" t="str">
        <x:f>IF(B69="","",IF(OR(C69="",D69="",F69="",G69="",K69="",M69="",N69="",O69&lt;&gt;"Validé humainement"),"ALERTE: données/preuves/statut",IF(OR(AND(ISNUMBER(G69),OR(G69&lt;0,G69&gt;50)),AND(ISNUMBER(H69),H69&lt;-5),AND(ISNUMBER(I69),I69&gt;55),AND(ISNUMBER(J69),J69&gt;31)),"ALERTE: valeur anormale","OK")))</x:f>
      </x:c>
      <x:c r="T69" s="76" t="str">
        <x:f>IF(B69="","",IF(O69="Validé humainement","Oui","Non"))</x:f>
      </x:c>
    </x:row>
    <x:row r="70">
      <x:c r="A70" s="76" t="str">
        <x:f>IF(B70="","","TEMP-"&amp;TEXT(ROW()-4,"0000"))</x:f>
      </x:c>
      <x:c r="B70" s="78"/>
      <x:c r="C70" s="76"/>
      <x:c r="D70" s="76"/>
      <x:c r="E70" s="76"/>
      <x:c r="F70" s="76"/>
      <x:c r="G70" s="79"/>
      <x:c r="H70" s="79"/>
      <x:c r="I70" s="79"/>
      <x:c r="J70" s="76"/>
      <x:c r="K70" s="76"/>
      <x:c r="L70" s="76"/>
      <x:c r="M70" s="76"/>
      <x:c r="N70" s="76"/>
      <x:c r="O70" s="76"/>
      <x:c r="P70" s="76"/>
      <x:c r="Q70" s="78" t="str">
        <x:f>IF(B70="","",TODAY())</x:f>
      </x:c>
      <x:c r="R70" s="76"/>
      <x:c r="S70" s="76" t="str">
        <x:f>IF(B70="","",IF(OR(C70="",D70="",F70="",G70="",K70="",M70="",N70="",O70&lt;&gt;"Validé humainement"),"ALERTE: données/preuves/statut",IF(OR(AND(ISNUMBER(G70),OR(G70&lt;0,G70&gt;50)),AND(ISNUMBER(H70),H70&lt;-5),AND(ISNUMBER(I70),I70&gt;55),AND(ISNUMBER(J70),J70&gt;31)),"ALERTE: valeur anormale","OK")))</x:f>
      </x:c>
      <x:c r="T70" s="76" t="str">
        <x:f>IF(B70="","",IF(O70="Validé humainement","Oui","Non"))</x:f>
      </x:c>
    </x:row>
    <x:row r="71">
      <x:c r="A71" s="76" t="str">
        <x:f>IF(B71="","","TEMP-"&amp;TEXT(ROW()-4,"0000"))</x:f>
      </x:c>
      <x:c r="B71" s="78"/>
      <x:c r="C71" s="76"/>
      <x:c r="D71" s="76"/>
      <x:c r="E71" s="76"/>
      <x:c r="F71" s="76"/>
      <x:c r="G71" s="79"/>
      <x:c r="H71" s="79"/>
      <x:c r="I71" s="79"/>
      <x:c r="J71" s="76"/>
      <x:c r="K71" s="76"/>
      <x:c r="L71" s="76"/>
      <x:c r="M71" s="76"/>
      <x:c r="N71" s="76"/>
      <x:c r="O71" s="76"/>
      <x:c r="P71" s="76"/>
      <x:c r="Q71" s="78" t="str">
        <x:f>IF(B71="","",TODAY())</x:f>
      </x:c>
      <x:c r="R71" s="76"/>
      <x:c r="S71" s="76" t="str">
        <x:f>IF(B71="","",IF(OR(C71="",D71="",F71="",G71="",K71="",M71="",N71="",O71&lt;&gt;"Validé humainement"),"ALERTE: données/preuves/statut",IF(OR(AND(ISNUMBER(G71),OR(G71&lt;0,G71&gt;50)),AND(ISNUMBER(H71),H71&lt;-5),AND(ISNUMBER(I71),I71&gt;55),AND(ISNUMBER(J71),J71&gt;31)),"ALERTE: valeur anormale","OK")))</x:f>
      </x:c>
      <x:c r="T71" s="76" t="str">
        <x:f>IF(B71="","",IF(O71="Validé humainement","Oui","Non"))</x:f>
      </x:c>
    </x:row>
    <x:row r="72">
      <x:c r="A72" s="76" t="str">
        <x:f>IF(B72="","","TEMP-"&amp;TEXT(ROW()-4,"0000"))</x:f>
      </x:c>
      <x:c r="B72" s="78"/>
      <x:c r="C72" s="76"/>
      <x:c r="D72" s="76"/>
      <x:c r="E72" s="76"/>
      <x:c r="F72" s="76"/>
      <x:c r="G72" s="79"/>
      <x:c r="H72" s="79"/>
      <x:c r="I72" s="79"/>
      <x:c r="J72" s="76"/>
      <x:c r="K72" s="76"/>
      <x:c r="L72" s="76"/>
      <x:c r="M72" s="76"/>
      <x:c r="N72" s="76"/>
      <x:c r="O72" s="76"/>
      <x:c r="P72" s="76"/>
      <x:c r="Q72" s="78" t="str">
        <x:f>IF(B72="","",TODAY())</x:f>
      </x:c>
      <x:c r="R72" s="76"/>
      <x:c r="S72" s="76" t="str">
        <x:f>IF(B72="","",IF(OR(C72="",D72="",F72="",G72="",K72="",M72="",N72="",O72&lt;&gt;"Validé humainement"),"ALERTE: données/preuves/statut",IF(OR(AND(ISNUMBER(G72),OR(G72&lt;0,G72&gt;50)),AND(ISNUMBER(H72),H72&lt;-5),AND(ISNUMBER(I72),I72&gt;55),AND(ISNUMBER(J72),J72&gt;31)),"ALERTE: valeur anormale","OK")))</x:f>
      </x:c>
      <x:c r="T72" s="76" t="str">
        <x:f>IF(B72="","",IF(O72="Validé humainement","Oui","Non"))</x:f>
      </x:c>
    </x:row>
    <x:row r="73">
      <x:c r="A73" s="76" t="str">
        <x:f>IF(B73="","","TEMP-"&amp;TEXT(ROW()-4,"0000"))</x:f>
      </x:c>
      <x:c r="B73" s="78"/>
      <x:c r="C73" s="76"/>
      <x:c r="D73" s="76"/>
      <x:c r="E73" s="76"/>
      <x:c r="F73" s="76"/>
      <x:c r="G73" s="79"/>
      <x:c r="H73" s="79"/>
      <x:c r="I73" s="79"/>
      <x:c r="J73" s="76"/>
      <x:c r="K73" s="76"/>
      <x:c r="L73" s="76"/>
      <x:c r="M73" s="76"/>
      <x:c r="N73" s="76"/>
      <x:c r="O73" s="76"/>
      <x:c r="P73" s="76"/>
      <x:c r="Q73" s="78" t="str">
        <x:f>IF(B73="","",TODAY())</x:f>
      </x:c>
      <x:c r="R73" s="76"/>
      <x:c r="S73" s="76" t="str">
        <x:f>IF(B73="","",IF(OR(C73="",D73="",F73="",G73="",K73="",M73="",N73="",O73&lt;&gt;"Validé humainement"),"ALERTE: données/preuves/statut",IF(OR(AND(ISNUMBER(G73),OR(G73&lt;0,G73&gt;50)),AND(ISNUMBER(H73),H73&lt;-5),AND(ISNUMBER(I73),I73&gt;55),AND(ISNUMBER(J73),J73&gt;31)),"ALERTE: valeur anormale","OK")))</x:f>
      </x:c>
      <x:c r="T73" s="76" t="str">
        <x:f>IF(B73="","",IF(O73="Validé humainement","Oui","Non"))</x:f>
      </x:c>
    </x:row>
    <x:row r="74">
      <x:c r="A74" s="76" t="str">
        <x:f>IF(B74="","","TEMP-"&amp;TEXT(ROW()-4,"0000"))</x:f>
      </x:c>
      <x:c r="B74" s="78"/>
      <x:c r="C74" s="76"/>
      <x:c r="D74" s="76"/>
      <x:c r="E74" s="76"/>
      <x:c r="F74" s="76"/>
      <x:c r="G74" s="79"/>
      <x:c r="H74" s="79"/>
      <x:c r="I74" s="79"/>
      <x:c r="J74" s="76"/>
      <x:c r="K74" s="76"/>
      <x:c r="L74" s="76"/>
      <x:c r="M74" s="76"/>
      <x:c r="N74" s="76"/>
      <x:c r="O74" s="76"/>
      <x:c r="P74" s="76"/>
      <x:c r="Q74" s="78" t="str">
        <x:f>IF(B74="","",TODAY())</x:f>
      </x:c>
      <x:c r="R74" s="76"/>
      <x:c r="S74" s="76" t="str">
        <x:f>IF(B74="","",IF(OR(C74="",D74="",F74="",G74="",K74="",M74="",N74="",O74&lt;&gt;"Validé humainement"),"ALERTE: données/preuves/statut",IF(OR(AND(ISNUMBER(G74),OR(G74&lt;0,G74&gt;50)),AND(ISNUMBER(H74),H74&lt;-5),AND(ISNUMBER(I74),I74&gt;55),AND(ISNUMBER(J74),J74&gt;31)),"ALERTE: valeur anormale","OK")))</x:f>
      </x:c>
      <x:c r="T74" s="76" t="str">
        <x:f>IF(B74="","",IF(O74="Validé humainement","Oui","Non"))</x:f>
      </x:c>
    </x:row>
    <x:row r="75">
      <x:c r="A75" s="76" t="str">
        <x:f>IF(B75="","","TEMP-"&amp;TEXT(ROW()-4,"0000"))</x:f>
      </x:c>
      <x:c r="B75" s="78"/>
      <x:c r="C75" s="76"/>
      <x:c r="D75" s="76"/>
      <x:c r="E75" s="76"/>
      <x:c r="F75" s="76"/>
      <x:c r="G75" s="79"/>
      <x:c r="H75" s="79"/>
      <x:c r="I75" s="79"/>
      <x:c r="J75" s="76"/>
      <x:c r="K75" s="76"/>
      <x:c r="L75" s="76"/>
      <x:c r="M75" s="76"/>
      <x:c r="N75" s="76"/>
      <x:c r="O75" s="76"/>
      <x:c r="P75" s="76"/>
      <x:c r="Q75" s="78" t="str">
        <x:f>IF(B75="","",TODAY())</x:f>
      </x:c>
      <x:c r="R75" s="76"/>
      <x:c r="S75" s="76" t="str">
        <x:f>IF(B75="","",IF(OR(C75="",D75="",F75="",G75="",K75="",M75="",N75="",O75&lt;&gt;"Validé humainement"),"ALERTE: données/preuves/statut",IF(OR(AND(ISNUMBER(G75),OR(G75&lt;0,G75&gt;50)),AND(ISNUMBER(H75),H75&lt;-5),AND(ISNUMBER(I75),I75&gt;55),AND(ISNUMBER(J75),J75&gt;31)),"ALERTE: valeur anormale","OK")))</x:f>
      </x:c>
      <x:c r="T75" s="76" t="str">
        <x:f>IF(B75="","",IF(O75="Validé humainement","Oui","Non"))</x:f>
      </x:c>
    </x:row>
    <x:row r="76">
      <x:c r="A76" s="76" t="str">
        <x:f>IF(B76="","","TEMP-"&amp;TEXT(ROW()-4,"0000"))</x:f>
      </x:c>
      <x:c r="B76" s="78"/>
      <x:c r="C76" s="76"/>
      <x:c r="D76" s="76"/>
      <x:c r="E76" s="76"/>
      <x:c r="F76" s="76"/>
      <x:c r="G76" s="79"/>
      <x:c r="H76" s="79"/>
      <x:c r="I76" s="79"/>
      <x:c r="J76" s="76"/>
      <x:c r="K76" s="76"/>
      <x:c r="L76" s="76"/>
      <x:c r="M76" s="76"/>
      <x:c r="N76" s="76"/>
      <x:c r="O76" s="76"/>
      <x:c r="P76" s="76"/>
      <x:c r="Q76" s="78" t="str">
        <x:f>IF(B76="","",TODAY())</x:f>
      </x:c>
      <x:c r="R76" s="76"/>
      <x:c r="S76" s="76" t="str">
        <x:f>IF(B76="","",IF(OR(C76="",D76="",F76="",G76="",K76="",M76="",N76="",O76&lt;&gt;"Validé humainement"),"ALERTE: données/preuves/statut",IF(OR(AND(ISNUMBER(G76),OR(G76&lt;0,G76&gt;50)),AND(ISNUMBER(H76),H76&lt;-5),AND(ISNUMBER(I76),I76&gt;55),AND(ISNUMBER(J76),J76&gt;31)),"ALERTE: valeur anormale","OK")))</x:f>
      </x:c>
      <x:c r="T76" s="76" t="str">
        <x:f>IF(B76="","",IF(O76="Validé humainement","Oui","Non"))</x:f>
      </x:c>
    </x:row>
    <x:row r="77">
      <x:c r="A77" s="76" t="str">
        <x:f>IF(B77="","","TEMP-"&amp;TEXT(ROW()-4,"0000"))</x:f>
      </x:c>
      <x:c r="B77" s="78"/>
      <x:c r="C77" s="76"/>
      <x:c r="D77" s="76"/>
      <x:c r="E77" s="76"/>
      <x:c r="F77" s="76"/>
      <x:c r="G77" s="79"/>
      <x:c r="H77" s="79"/>
      <x:c r="I77" s="79"/>
      <x:c r="J77" s="76"/>
      <x:c r="K77" s="76"/>
      <x:c r="L77" s="76"/>
      <x:c r="M77" s="76"/>
      <x:c r="N77" s="76"/>
      <x:c r="O77" s="76"/>
      <x:c r="P77" s="76"/>
      <x:c r="Q77" s="78" t="str">
        <x:f>IF(B77="","",TODAY())</x:f>
      </x:c>
      <x:c r="R77" s="76"/>
      <x:c r="S77" s="76" t="str">
        <x:f>IF(B77="","",IF(OR(C77="",D77="",F77="",G77="",K77="",M77="",N77="",O77&lt;&gt;"Validé humainement"),"ALERTE: données/preuves/statut",IF(OR(AND(ISNUMBER(G77),OR(G77&lt;0,G77&gt;50)),AND(ISNUMBER(H77),H77&lt;-5),AND(ISNUMBER(I77),I77&gt;55),AND(ISNUMBER(J77),J77&gt;31)),"ALERTE: valeur anormale","OK")))</x:f>
      </x:c>
      <x:c r="T77" s="76" t="str">
        <x:f>IF(B77="","",IF(O77="Validé humainement","Oui","Non"))</x:f>
      </x:c>
    </x:row>
    <x:row r="78">
      <x:c r="A78" s="76" t="str">
        <x:f>IF(B78="","","TEMP-"&amp;TEXT(ROW()-4,"0000"))</x:f>
      </x:c>
      <x:c r="B78" s="78"/>
      <x:c r="C78" s="76"/>
      <x:c r="D78" s="76"/>
      <x:c r="E78" s="76"/>
      <x:c r="F78" s="76"/>
      <x:c r="G78" s="79"/>
      <x:c r="H78" s="79"/>
      <x:c r="I78" s="79"/>
      <x:c r="J78" s="76"/>
      <x:c r="K78" s="76"/>
      <x:c r="L78" s="76"/>
      <x:c r="M78" s="76"/>
      <x:c r="N78" s="76"/>
      <x:c r="O78" s="76"/>
      <x:c r="P78" s="76"/>
      <x:c r="Q78" s="78" t="str">
        <x:f>IF(B78="","",TODAY())</x:f>
      </x:c>
      <x:c r="R78" s="76"/>
      <x:c r="S78" s="76" t="str">
        <x:f>IF(B78="","",IF(OR(C78="",D78="",F78="",G78="",K78="",M78="",N78="",O78&lt;&gt;"Validé humainement"),"ALERTE: données/preuves/statut",IF(OR(AND(ISNUMBER(G78),OR(G78&lt;0,G78&gt;50)),AND(ISNUMBER(H78),H78&lt;-5),AND(ISNUMBER(I78),I78&gt;55),AND(ISNUMBER(J78),J78&gt;31)),"ALERTE: valeur anormale","OK")))</x:f>
      </x:c>
      <x:c r="T78" s="76" t="str">
        <x:f>IF(B78="","",IF(O78="Validé humainement","Oui","Non"))</x:f>
      </x:c>
    </x:row>
    <x:row r="79">
      <x:c r="A79" s="76" t="str">
        <x:f>IF(B79="","","TEMP-"&amp;TEXT(ROW()-4,"0000"))</x:f>
      </x:c>
      <x:c r="B79" s="78"/>
      <x:c r="C79" s="76"/>
      <x:c r="D79" s="76"/>
      <x:c r="E79" s="76"/>
      <x:c r="F79" s="76"/>
      <x:c r="G79" s="79"/>
      <x:c r="H79" s="79"/>
      <x:c r="I79" s="79"/>
      <x:c r="J79" s="76"/>
      <x:c r="K79" s="76"/>
      <x:c r="L79" s="76"/>
      <x:c r="M79" s="76"/>
      <x:c r="N79" s="76"/>
      <x:c r="O79" s="76"/>
      <x:c r="P79" s="76"/>
      <x:c r="Q79" s="78" t="str">
        <x:f>IF(B79="","",TODAY())</x:f>
      </x:c>
      <x:c r="R79" s="76"/>
      <x:c r="S79" s="76" t="str">
        <x:f>IF(B79="","",IF(OR(C79="",D79="",F79="",G79="",K79="",M79="",N79="",O79&lt;&gt;"Validé humainement"),"ALERTE: données/preuves/statut",IF(OR(AND(ISNUMBER(G79),OR(G79&lt;0,G79&gt;50)),AND(ISNUMBER(H79),H79&lt;-5),AND(ISNUMBER(I79),I79&gt;55),AND(ISNUMBER(J79),J79&gt;31)),"ALERTE: valeur anormale","OK")))</x:f>
      </x:c>
      <x:c r="T79" s="76" t="str">
        <x:f>IF(B79="","",IF(O79="Validé humainement","Oui","Non"))</x:f>
      </x:c>
    </x:row>
    <x:row r="80">
      <x:c r="A80" s="76" t="str">
        <x:f>IF(B80="","","TEMP-"&amp;TEXT(ROW()-4,"0000"))</x:f>
      </x:c>
      <x:c r="B80" s="78"/>
      <x:c r="C80" s="76"/>
      <x:c r="D80" s="76"/>
      <x:c r="E80" s="76"/>
      <x:c r="F80" s="76"/>
      <x:c r="G80" s="79"/>
      <x:c r="H80" s="79"/>
      <x:c r="I80" s="79"/>
      <x:c r="J80" s="76"/>
      <x:c r="K80" s="76"/>
      <x:c r="L80" s="76"/>
      <x:c r="M80" s="76"/>
      <x:c r="N80" s="76"/>
      <x:c r="O80" s="76"/>
      <x:c r="P80" s="76"/>
      <x:c r="Q80" s="78" t="str">
        <x:f>IF(B80="","",TODAY())</x:f>
      </x:c>
      <x:c r="R80" s="76"/>
      <x:c r="S80" s="76" t="str">
        <x:f>IF(B80="","",IF(OR(C80="",D80="",F80="",G80="",K80="",M80="",N80="",O80&lt;&gt;"Validé humainement"),"ALERTE: données/preuves/statut",IF(OR(AND(ISNUMBER(G80),OR(G80&lt;0,G80&gt;50)),AND(ISNUMBER(H80),H80&lt;-5),AND(ISNUMBER(I80),I80&gt;55),AND(ISNUMBER(J80),J80&gt;31)),"ALERTE: valeur anormale","OK")))</x:f>
      </x:c>
      <x:c r="T80" s="76" t="str">
        <x:f>IF(B80="","",IF(O80="Validé humainement","Oui","Non"))</x:f>
      </x:c>
    </x:row>
    <x:row r="81">
      <x:c r="A81" s="76" t="str">
        <x:f>IF(B81="","","TEMP-"&amp;TEXT(ROW()-4,"0000"))</x:f>
      </x:c>
      <x:c r="B81" s="78"/>
      <x:c r="C81" s="76"/>
      <x:c r="D81" s="76"/>
      <x:c r="E81" s="76"/>
      <x:c r="F81" s="76"/>
      <x:c r="G81" s="79"/>
      <x:c r="H81" s="79"/>
      <x:c r="I81" s="79"/>
      <x:c r="J81" s="76"/>
      <x:c r="K81" s="76"/>
      <x:c r="L81" s="76"/>
      <x:c r="M81" s="76"/>
      <x:c r="N81" s="76"/>
      <x:c r="O81" s="76"/>
      <x:c r="P81" s="76"/>
      <x:c r="Q81" s="78" t="str">
        <x:f>IF(B81="","",TODAY())</x:f>
      </x:c>
      <x:c r="R81" s="76"/>
      <x:c r="S81" s="76" t="str">
        <x:f>IF(B81="","",IF(OR(C81="",D81="",F81="",G81="",K81="",M81="",N81="",O81&lt;&gt;"Validé humainement"),"ALERTE: données/preuves/statut",IF(OR(AND(ISNUMBER(G81),OR(G81&lt;0,G81&gt;50)),AND(ISNUMBER(H81),H81&lt;-5),AND(ISNUMBER(I81),I81&gt;55),AND(ISNUMBER(J81),J81&gt;31)),"ALERTE: valeur anormale","OK")))</x:f>
      </x:c>
      <x:c r="T81" s="76" t="str">
        <x:f>IF(B81="","",IF(O81="Validé humainement","Oui","Non"))</x:f>
      </x:c>
    </x:row>
    <x:row r="82">
      <x:c r="A82" s="76" t="str">
        <x:f>IF(B82="","","TEMP-"&amp;TEXT(ROW()-4,"0000"))</x:f>
      </x:c>
      <x:c r="B82" s="78"/>
      <x:c r="C82" s="76"/>
      <x:c r="D82" s="76"/>
      <x:c r="E82" s="76"/>
      <x:c r="F82" s="76"/>
      <x:c r="G82" s="79"/>
      <x:c r="H82" s="79"/>
      <x:c r="I82" s="79"/>
      <x:c r="J82" s="76"/>
      <x:c r="K82" s="76"/>
      <x:c r="L82" s="76"/>
      <x:c r="M82" s="76"/>
      <x:c r="N82" s="76"/>
      <x:c r="O82" s="76"/>
      <x:c r="P82" s="76"/>
      <x:c r="Q82" s="78" t="str">
        <x:f>IF(B82="","",TODAY())</x:f>
      </x:c>
      <x:c r="R82" s="76"/>
      <x:c r="S82" s="76" t="str">
        <x:f>IF(B82="","",IF(OR(C82="",D82="",F82="",G82="",K82="",M82="",N82="",O82&lt;&gt;"Validé humainement"),"ALERTE: données/preuves/statut",IF(OR(AND(ISNUMBER(G82),OR(G82&lt;0,G82&gt;50)),AND(ISNUMBER(H82),H82&lt;-5),AND(ISNUMBER(I82),I82&gt;55),AND(ISNUMBER(J82),J82&gt;31)),"ALERTE: valeur anormale","OK")))</x:f>
      </x:c>
      <x:c r="T82" s="76" t="str">
        <x:f>IF(B82="","",IF(O82="Validé humainement","Oui","Non"))</x:f>
      </x:c>
    </x:row>
    <x:row r="83">
      <x:c r="A83" s="76" t="str">
        <x:f>IF(B83="","","TEMP-"&amp;TEXT(ROW()-4,"0000"))</x:f>
      </x:c>
      <x:c r="B83" s="78"/>
      <x:c r="C83" s="76"/>
      <x:c r="D83" s="76"/>
      <x:c r="E83" s="76"/>
      <x:c r="F83" s="76"/>
      <x:c r="G83" s="79"/>
      <x:c r="H83" s="79"/>
      <x:c r="I83" s="79"/>
      <x:c r="J83" s="76"/>
      <x:c r="K83" s="76"/>
      <x:c r="L83" s="76"/>
      <x:c r="M83" s="76"/>
      <x:c r="N83" s="76"/>
      <x:c r="O83" s="76"/>
      <x:c r="P83" s="76"/>
      <x:c r="Q83" s="78" t="str">
        <x:f>IF(B83="","",TODAY())</x:f>
      </x:c>
      <x:c r="R83" s="76"/>
      <x:c r="S83" s="76" t="str">
        <x:f>IF(B83="","",IF(OR(C83="",D83="",F83="",G83="",K83="",M83="",N83="",O83&lt;&gt;"Validé humainement"),"ALERTE: données/preuves/statut",IF(OR(AND(ISNUMBER(G83),OR(G83&lt;0,G83&gt;50)),AND(ISNUMBER(H83),H83&lt;-5),AND(ISNUMBER(I83),I83&gt;55),AND(ISNUMBER(J83),J83&gt;31)),"ALERTE: valeur anormale","OK")))</x:f>
      </x:c>
      <x:c r="T83" s="76" t="str">
        <x:f>IF(B83="","",IF(O83="Validé humainement","Oui","Non"))</x:f>
      </x:c>
    </x:row>
    <x:row r="84">
      <x:c r="A84" s="76" t="str">
        <x:f>IF(B84="","","TEMP-"&amp;TEXT(ROW()-4,"0000"))</x:f>
      </x:c>
      <x:c r="B84" s="78"/>
      <x:c r="C84" s="76"/>
      <x:c r="D84" s="76"/>
      <x:c r="E84" s="76"/>
      <x:c r="F84" s="76"/>
      <x:c r="G84" s="79"/>
      <x:c r="H84" s="79"/>
      <x:c r="I84" s="79"/>
      <x:c r="J84" s="76"/>
      <x:c r="K84" s="76"/>
      <x:c r="L84" s="76"/>
      <x:c r="M84" s="76"/>
      <x:c r="N84" s="76"/>
      <x:c r="O84" s="76"/>
      <x:c r="P84" s="76"/>
      <x:c r="Q84" s="78" t="str">
        <x:f>IF(B84="","",TODAY())</x:f>
      </x:c>
      <x:c r="R84" s="76"/>
      <x:c r="S84" s="76" t="str">
        <x:f>IF(B84="","",IF(OR(C84="",D84="",F84="",G84="",K84="",M84="",N84="",O84&lt;&gt;"Validé humainement"),"ALERTE: données/preuves/statut",IF(OR(AND(ISNUMBER(G84),OR(G84&lt;0,G84&gt;50)),AND(ISNUMBER(H84),H84&lt;-5),AND(ISNUMBER(I84),I84&gt;55),AND(ISNUMBER(J84),J84&gt;31)),"ALERTE: valeur anormale","OK")))</x:f>
      </x:c>
      <x:c r="T84" s="76" t="str">
        <x:f>IF(B84="","",IF(O84="Validé humainement","Oui","Non"))</x:f>
      </x:c>
    </x:row>
    <x:row r="85">
      <x:c r="A85" s="76" t="str">
        <x:f>IF(B85="","","TEMP-"&amp;TEXT(ROW()-4,"0000"))</x:f>
      </x:c>
      <x:c r="B85" s="78"/>
      <x:c r="C85" s="76"/>
      <x:c r="D85" s="76"/>
      <x:c r="E85" s="76"/>
      <x:c r="F85" s="76"/>
      <x:c r="G85" s="79"/>
      <x:c r="H85" s="79"/>
      <x:c r="I85" s="79"/>
      <x:c r="J85" s="76"/>
      <x:c r="K85" s="76"/>
      <x:c r="L85" s="76"/>
      <x:c r="M85" s="76"/>
      <x:c r="N85" s="76"/>
      <x:c r="O85" s="76"/>
      <x:c r="P85" s="76"/>
      <x:c r="Q85" s="78" t="str">
        <x:f>IF(B85="","",TODAY())</x:f>
      </x:c>
      <x:c r="R85" s="76"/>
      <x:c r="S85" s="76" t="str">
        <x:f>IF(B85="","",IF(OR(C85="",D85="",F85="",G85="",K85="",M85="",N85="",O85&lt;&gt;"Validé humainement"),"ALERTE: données/preuves/statut",IF(OR(AND(ISNUMBER(G85),OR(G85&lt;0,G85&gt;50)),AND(ISNUMBER(H85),H85&lt;-5),AND(ISNUMBER(I85),I85&gt;55),AND(ISNUMBER(J85),J85&gt;31)),"ALERTE: valeur anormale","OK")))</x:f>
      </x:c>
      <x:c r="T85" s="76" t="str">
        <x:f>IF(B85="","",IF(O85="Validé humainement","Oui","Non"))</x:f>
      </x:c>
    </x:row>
    <x:row r="86">
      <x:c r="A86" s="76" t="str">
        <x:f>IF(B86="","","TEMP-"&amp;TEXT(ROW()-4,"0000"))</x:f>
      </x:c>
      <x:c r="B86" s="78"/>
      <x:c r="C86" s="76"/>
      <x:c r="D86" s="76"/>
      <x:c r="E86" s="76"/>
      <x:c r="F86" s="76"/>
      <x:c r="G86" s="79"/>
      <x:c r="H86" s="79"/>
      <x:c r="I86" s="79"/>
      <x:c r="J86" s="76"/>
      <x:c r="K86" s="76"/>
      <x:c r="L86" s="76"/>
      <x:c r="M86" s="76"/>
      <x:c r="N86" s="76"/>
      <x:c r="O86" s="76"/>
      <x:c r="P86" s="76"/>
      <x:c r="Q86" s="78" t="str">
        <x:f>IF(B86="","",TODAY())</x:f>
      </x:c>
      <x:c r="R86" s="76"/>
      <x:c r="S86" s="76" t="str">
        <x:f>IF(B86="","",IF(OR(C86="",D86="",F86="",G86="",K86="",M86="",N86="",O86&lt;&gt;"Validé humainement"),"ALERTE: données/preuves/statut",IF(OR(AND(ISNUMBER(G86),OR(G86&lt;0,G86&gt;50)),AND(ISNUMBER(H86),H86&lt;-5),AND(ISNUMBER(I86),I86&gt;55),AND(ISNUMBER(J86),J86&gt;31)),"ALERTE: valeur anormale","OK")))</x:f>
      </x:c>
      <x:c r="T86" s="76" t="str">
        <x:f>IF(B86="","",IF(O86="Validé humainement","Oui","Non"))</x:f>
      </x:c>
    </x:row>
    <x:row r="87">
      <x:c r="A87" s="76" t="str">
        <x:f>IF(B87="","","TEMP-"&amp;TEXT(ROW()-4,"0000"))</x:f>
      </x:c>
      <x:c r="B87" s="78"/>
      <x:c r="C87" s="76"/>
      <x:c r="D87" s="76"/>
      <x:c r="E87" s="76"/>
      <x:c r="F87" s="76"/>
      <x:c r="G87" s="79"/>
      <x:c r="H87" s="79"/>
      <x:c r="I87" s="79"/>
      <x:c r="J87" s="76"/>
      <x:c r="K87" s="76"/>
      <x:c r="L87" s="76"/>
      <x:c r="M87" s="76"/>
      <x:c r="N87" s="76"/>
      <x:c r="O87" s="76"/>
      <x:c r="P87" s="76"/>
      <x:c r="Q87" s="78" t="str">
        <x:f>IF(B87="","",TODAY())</x:f>
      </x:c>
      <x:c r="R87" s="76"/>
      <x:c r="S87" s="76" t="str">
        <x:f>IF(B87="","",IF(OR(C87="",D87="",F87="",G87="",K87="",M87="",N87="",O87&lt;&gt;"Validé humainement"),"ALERTE: données/preuves/statut",IF(OR(AND(ISNUMBER(G87),OR(G87&lt;0,G87&gt;50)),AND(ISNUMBER(H87),H87&lt;-5),AND(ISNUMBER(I87),I87&gt;55),AND(ISNUMBER(J87),J87&gt;31)),"ALERTE: valeur anormale","OK")))</x:f>
      </x:c>
      <x:c r="T87" s="76" t="str">
        <x:f>IF(B87="","",IF(O87="Validé humainement","Oui","Non"))</x:f>
      </x:c>
    </x:row>
    <x:row r="88">
      <x:c r="A88" s="76" t="str">
        <x:f>IF(B88="","","TEMP-"&amp;TEXT(ROW()-4,"0000"))</x:f>
      </x:c>
      <x:c r="B88" s="78"/>
      <x:c r="C88" s="76"/>
      <x:c r="D88" s="76"/>
      <x:c r="E88" s="76"/>
      <x:c r="F88" s="76"/>
      <x:c r="G88" s="79"/>
      <x:c r="H88" s="79"/>
      <x:c r="I88" s="79"/>
      <x:c r="J88" s="76"/>
      <x:c r="K88" s="76"/>
      <x:c r="L88" s="76"/>
      <x:c r="M88" s="76"/>
      <x:c r="N88" s="76"/>
      <x:c r="O88" s="76"/>
      <x:c r="P88" s="76"/>
      <x:c r="Q88" s="78" t="str">
        <x:f>IF(B88="","",TODAY())</x:f>
      </x:c>
      <x:c r="R88" s="76"/>
      <x:c r="S88" s="76" t="str">
        <x:f>IF(B88="","",IF(OR(C88="",D88="",F88="",G88="",K88="",M88="",N88="",O88&lt;&gt;"Validé humainement"),"ALERTE: données/preuves/statut",IF(OR(AND(ISNUMBER(G88),OR(G88&lt;0,G88&gt;50)),AND(ISNUMBER(H88),H88&lt;-5),AND(ISNUMBER(I88),I88&gt;55),AND(ISNUMBER(J88),J88&gt;31)),"ALERTE: valeur anormale","OK")))</x:f>
      </x:c>
      <x:c r="T88" s="76" t="str">
        <x:f>IF(B88="","",IF(O88="Validé humainement","Oui","Non"))</x:f>
      </x:c>
    </x:row>
    <x:row r="89">
      <x:c r="A89" s="76" t="str">
        <x:f>IF(B89="","","TEMP-"&amp;TEXT(ROW()-4,"0000"))</x:f>
      </x:c>
      <x:c r="B89" s="78"/>
      <x:c r="C89" s="76"/>
      <x:c r="D89" s="76"/>
      <x:c r="E89" s="76"/>
      <x:c r="F89" s="76"/>
      <x:c r="G89" s="79"/>
      <x:c r="H89" s="79"/>
      <x:c r="I89" s="79"/>
      <x:c r="J89" s="76"/>
      <x:c r="K89" s="76"/>
      <x:c r="L89" s="76"/>
      <x:c r="M89" s="76"/>
      <x:c r="N89" s="76"/>
      <x:c r="O89" s="76"/>
      <x:c r="P89" s="76"/>
      <x:c r="Q89" s="78" t="str">
        <x:f>IF(B89="","",TODAY())</x:f>
      </x:c>
      <x:c r="R89" s="76"/>
      <x:c r="S89" s="76" t="str">
        <x:f>IF(B89="","",IF(OR(C89="",D89="",F89="",G89="",K89="",M89="",N89="",O89&lt;&gt;"Validé humainement"),"ALERTE: données/preuves/statut",IF(OR(AND(ISNUMBER(G89),OR(G89&lt;0,G89&gt;50)),AND(ISNUMBER(H89),H89&lt;-5),AND(ISNUMBER(I89),I89&gt;55),AND(ISNUMBER(J89),J89&gt;31)),"ALERTE: valeur anormale","OK")))</x:f>
      </x:c>
      <x:c r="T89" s="76" t="str">
        <x:f>IF(B89="","",IF(O89="Validé humainement","Oui","Non"))</x:f>
      </x:c>
    </x:row>
    <x:row r="90">
      <x:c r="A90" s="76" t="str">
        <x:f>IF(B90="","","TEMP-"&amp;TEXT(ROW()-4,"0000"))</x:f>
      </x:c>
      <x:c r="B90" s="78"/>
      <x:c r="C90" s="76"/>
      <x:c r="D90" s="76"/>
      <x:c r="E90" s="76"/>
      <x:c r="F90" s="76"/>
      <x:c r="G90" s="79"/>
      <x:c r="H90" s="79"/>
      <x:c r="I90" s="79"/>
      <x:c r="J90" s="76"/>
      <x:c r="K90" s="76"/>
      <x:c r="L90" s="76"/>
      <x:c r="M90" s="76"/>
      <x:c r="N90" s="76"/>
      <x:c r="O90" s="76"/>
      <x:c r="P90" s="76"/>
      <x:c r="Q90" s="78" t="str">
        <x:f>IF(B90="","",TODAY())</x:f>
      </x:c>
      <x:c r="R90" s="76"/>
      <x:c r="S90" s="76" t="str">
        <x:f>IF(B90="","",IF(OR(C90="",D90="",F90="",G90="",K90="",M90="",N90="",O90&lt;&gt;"Validé humainement"),"ALERTE: données/preuves/statut",IF(OR(AND(ISNUMBER(G90),OR(G90&lt;0,G90&gt;50)),AND(ISNUMBER(H90),H90&lt;-5),AND(ISNUMBER(I90),I90&gt;55),AND(ISNUMBER(J90),J90&gt;31)),"ALERTE: valeur anormale","OK")))</x:f>
      </x:c>
      <x:c r="T90" s="76" t="str">
        <x:f>IF(B90="","",IF(O90="Validé humainement","Oui","Non"))</x:f>
      </x:c>
    </x:row>
    <x:row r="91">
      <x:c r="A91" s="76" t="str">
        <x:f>IF(B91="","","TEMP-"&amp;TEXT(ROW()-4,"0000"))</x:f>
      </x:c>
      <x:c r="B91" s="78"/>
      <x:c r="C91" s="76"/>
      <x:c r="D91" s="76"/>
      <x:c r="E91" s="76"/>
      <x:c r="F91" s="76"/>
      <x:c r="G91" s="79"/>
      <x:c r="H91" s="79"/>
      <x:c r="I91" s="79"/>
      <x:c r="J91" s="76"/>
      <x:c r="K91" s="76"/>
      <x:c r="L91" s="76"/>
      <x:c r="M91" s="76"/>
      <x:c r="N91" s="76"/>
      <x:c r="O91" s="76"/>
      <x:c r="P91" s="76"/>
      <x:c r="Q91" s="78" t="str">
        <x:f>IF(B91="","",TODAY())</x:f>
      </x:c>
      <x:c r="R91" s="76"/>
      <x:c r="S91" s="76" t="str">
        <x:f>IF(B91="","",IF(OR(C91="",D91="",F91="",G91="",K91="",M91="",N91="",O91&lt;&gt;"Validé humainement"),"ALERTE: données/preuves/statut",IF(OR(AND(ISNUMBER(G91),OR(G91&lt;0,G91&gt;50)),AND(ISNUMBER(H91),H91&lt;-5),AND(ISNUMBER(I91),I91&gt;55),AND(ISNUMBER(J91),J91&gt;31)),"ALERTE: valeur anormale","OK")))</x:f>
      </x:c>
      <x:c r="T91" s="76" t="str">
        <x:f>IF(B91="","",IF(O91="Validé humainement","Oui","Non"))</x:f>
      </x:c>
    </x:row>
    <x:row r="92">
      <x:c r="A92" s="76" t="str">
        <x:f>IF(B92="","","TEMP-"&amp;TEXT(ROW()-4,"0000"))</x:f>
      </x:c>
      <x:c r="B92" s="78"/>
      <x:c r="C92" s="76"/>
      <x:c r="D92" s="76"/>
      <x:c r="E92" s="76"/>
      <x:c r="F92" s="76"/>
      <x:c r="G92" s="79"/>
      <x:c r="H92" s="79"/>
      <x:c r="I92" s="79"/>
      <x:c r="J92" s="76"/>
      <x:c r="K92" s="76"/>
      <x:c r="L92" s="76"/>
      <x:c r="M92" s="76"/>
      <x:c r="N92" s="76"/>
      <x:c r="O92" s="76"/>
      <x:c r="P92" s="76"/>
      <x:c r="Q92" s="78" t="str">
        <x:f>IF(B92="","",TODAY())</x:f>
      </x:c>
      <x:c r="R92" s="76"/>
      <x:c r="S92" s="76" t="str">
        <x:f>IF(B92="","",IF(OR(C92="",D92="",F92="",G92="",K92="",M92="",N92="",O92&lt;&gt;"Validé humainement"),"ALERTE: données/preuves/statut",IF(OR(AND(ISNUMBER(G92),OR(G92&lt;0,G92&gt;50)),AND(ISNUMBER(H92),H92&lt;-5),AND(ISNUMBER(I92),I92&gt;55),AND(ISNUMBER(J92),J92&gt;31)),"ALERTE: valeur anormale","OK")))</x:f>
      </x:c>
      <x:c r="T92" s="76" t="str">
        <x:f>IF(B92="","",IF(O92="Validé humainement","Oui","Non"))</x:f>
      </x:c>
    </x:row>
    <x:row r="93">
      <x:c r="A93" s="76" t="str">
        <x:f>IF(B93="","","TEMP-"&amp;TEXT(ROW()-4,"0000"))</x:f>
      </x:c>
      <x:c r="B93" s="78"/>
      <x:c r="C93" s="76"/>
      <x:c r="D93" s="76"/>
      <x:c r="E93" s="76"/>
      <x:c r="F93" s="76"/>
      <x:c r="G93" s="79"/>
      <x:c r="H93" s="79"/>
      <x:c r="I93" s="79"/>
      <x:c r="J93" s="76"/>
      <x:c r="K93" s="76"/>
      <x:c r="L93" s="76"/>
      <x:c r="M93" s="76"/>
      <x:c r="N93" s="76"/>
      <x:c r="O93" s="76"/>
      <x:c r="P93" s="76"/>
      <x:c r="Q93" s="78" t="str">
        <x:f>IF(B93="","",TODAY())</x:f>
      </x:c>
      <x:c r="R93" s="76"/>
      <x:c r="S93" s="76" t="str">
        <x:f>IF(B93="","",IF(OR(C93="",D93="",F93="",G93="",K93="",M93="",N93="",O93&lt;&gt;"Validé humainement"),"ALERTE: données/preuves/statut",IF(OR(AND(ISNUMBER(G93),OR(G93&lt;0,G93&gt;50)),AND(ISNUMBER(H93),H93&lt;-5),AND(ISNUMBER(I93),I93&gt;55),AND(ISNUMBER(J93),J93&gt;31)),"ALERTE: valeur anormale","OK")))</x:f>
      </x:c>
      <x:c r="T93" s="76" t="str">
        <x:f>IF(B93="","",IF(O93="Validé humainement","Oui","Non"))</x:f>
      </x:c>
    </x:row>
    <x:row r="94">
      <x:c r="A94" s="76" t="str">
        <x:f>IF(B94="","","TEMP-"&amp;TEXT(ROW()-4,"0000"))</x:f>
      </x:c>
      <x:c r="B94" s="78"/>
      <x:c r="C94" s="76"/>
      <x:c r="D94" s="76"/>
      <x:c r="E94" s="76"/>
      <x:c r="F94" s="76"/>
      <x:c r="G94" s="79"/>
      <x:c r="H94" s="79"/>
      <x:c r="I94" s="79"/>
      <x:c r="J94" s="76"/>
      <x:c r="K94" s="76"/>
      <x:c r="L94" s="76"/>
      <x:c r="M94" s="76"/>
      <x:c r="N94" s="76"/>
      <x:c r="O94" s="76"/>
      <x:c r="P94" s="76"/>
      <x:c r="Q94" s="78" t="str">
        <x:f>IF(B94="","",TODAY())</x:f>
      </x:c>
      <x:c r="R94" s="76"/>
      <x:c r="S94" s="76" t="str">
        <x:f>IF(B94="","",IF(OR(C94="",D94="",F94="",G94="",K94="",M94="",N94="",O94&lt;&gt;"Validé humainement"),"ALERTE: données/preuves/statut",IF(OR(AND(ISNUMBER(G94),OR(G94&lt;0,G94&gt;50)),AND(ISNUMBER(H94),H94&lt;-5),AND(ISNUMBER(I94),I94&gt;55),AND(ISNUMBER(J94),J94&gt;31)),"ALERTE: valeur anormale","OK")))</x:f>
      </x:c>
      <x:c r="T94" s="76" t="str">
        <x:f>IF(B94="","",IF(O94="Validé humainement","Oui","Non"))</x:f>
      </x:c>
    </x:row>
    <x:row r="95">
      <x:c r="A95" s="76" t="str">
        <x:f>IF(B95="","","TEMP-"&amp;TEXT(ROW()-4,"0000"))</x:f>
      </x:c>
      <x:c r="B95" s="78"/>
      <x:c r="C95" s="76"/>
      <x:c r="D95" s="76"/>
      <x:c r="E95" s="76"/>
      <x:c r="F95" s="76"/>
      <x:c r="G95" s="79"/>
      <x:c r="H95" s="79"/>
      <x:c r="I95" s="79"/>
      <x:c r="J95" s="76"/>
      <x:c r="K95" s="76"/>
      <x:c r="L95" s="76"/>
      <x:c r="M95" s="76"/>
      <x:c r="N95" s="76"/>
      <x:c r="O95" s="76"/>
      <x:c r="P95" s="76"/>
      <x:c r="Q95" s="78" t="str">
        <x:f>IF(B95="","",TODAY())</x:f>
      </x:c>
      <x:c r="R95" s="76"/>
      <x:c r="S95" s="76" t="str">
        <x:f>IF(B95="","",IF(OR(C95="",D95="",F95="",G95="",K95="",M95="",N95="",O95&lt;&gt;"Validé humainement"),"ALERTE: données/preuves/statut",IF(OR(AND(ISNUMBER(G95),OR(G95&lt;0,G95&gt;50)),AND(ISNUMBER(H95),H95&lt;-5),AND(ISNUMBER(I95),I95&gt;55),AND(ISNUMBER(J95),J95&gt;31)),"ALERTE: valeur anormale","OK")))</x:f>
      </x:c>
      <x:c r="T95" s="76" t="str">
        <x:f>IF(B95="","",IF(O95="Validé humainement","Oui","Non"))</x:f>
      </x:c>
    </x:row>
    <x:row r="96">
      <x:c r="A96" s="76" t="str">
        <x:f>IF(B96="","","TEMP-"&amp;TEXT(ROW()-4,"0000"))</x:f>
      </x:c>
      <x:c r="B96" s="78"/>
      <x:c r="C96" s="76"/>
      <x:c r="D96" s="76"/>
      <x:c r="E96" s="76"/>
      <x:c r="F96" s="76"/>
      <x:c r="G96" s="79"/>
      <x:c r="H96" s="79"/>
      <x:c r="I96" s="79"/>
      <x:c r="J96" s="76"/>
      <x:c r="K96" s="76"/>
      <x:c r="L96" s="76"/>
      <x:c r="M96" s="76"/>
      <x:c r="N96" s="76"/>
      <x:c r="O96" s="76"/>
      <x:c r="P96" s="76"/>
      <x:c r="Q96" s="78" t="str">
        <x:f>IF(B96="","",TODAY())</x:f>
      </x:c>
      <x:c r="R96" s="76"/>
      <x:c r="S96" s="76" t="str">
        <x:f>IF(B96="","",IF(OR(C96="",D96="",F96="",G96="",K96="",M96="",N96="",O96&lt;&gt;"Validé humainement"),"ALERTE: données/preuves/statut",IF(OR(AND(ISNUMBER(G96),OR(G96&lt;0,G96&gt;50)),AND(ISNUMBER(H96),H96&lt;-5),AND(ISNUMBER(I96),I96&gt;55),AND(ISNUMBER(J96),J96&gt;31)),"ALERTE: valeur anormale","OK")))</x:f>
      </x:c>
      <x:c r="T96" s="76" t="str">
        <x:f>IF(B96="","",IF(O96="Validé humainement","Oui","Non"))</x:f>
      </x:c>
    </x:row>
    <x:row r="97">
      <x:c r="A97" s="76" t="str">
        <x:f>IF(B97="","","TEMP-"&amp;TEXT(ROW()-4,"0000"))</x:f>
      </x:c>
      <x:c r="B97" s="78"/>
      <x:c r="C97" s="76"/>
      <x:c r="D97" s="76"/>
      <x:c r="E97" s="76"/>
      <x:c r="F97" s="76"/>
      <x:c r="G97" s="79"/>
      <x:c r="H97" s="79"/>
      <x:c r="I97" s="79"/>
      <x:c r="J97" s="76"/>
      <x:c r="K97" s="76"/>
      <x:c r="L97" s="76"/>
      <x:c r="M97" s="76"/>
      <x:c r="N97" s="76"/>
      <x:c r="O97" s="76"/>
      <x:c r="P97" s="76"/>
      <x:c r="Q97" s="78" t="str">
        <x:f>IF(B97="","",TODAY())</x:f>
      </x:c>
      <x:c r="R97" s="76"/>
      <x:c r="S97" s="76" t="str">
        <x:f>IF(B97="","",IF(OR(C97="",D97="",F97="",G97="",K97="",M97="",N97="",O97&lt;&gt;"Validé humainement"),"ALERTE: données/preuves/statut",IF(OR(AND(ISNUMBER(G97),OR(G97&lt;0,G97&gt;50)),AND(ISNUMBER(H97),H97&lt;-5),AND(ISNUMBER(I97),I97&gt;55),AND(ISNUMBER(J97),J97&gt;31)),"ALERTE: valeur anormale","OK")))</x:f>
      </x:c>
      <x:c r="T97" s="76" t="str">
        <x:f>IF(B97="","",IF(O97="Validé humainement","Oui","Non"))</x:f>
      </x:c>
    </x:row>
    <x:row r="98">
      <x:c r="A98" s="76" t="str">
        <x:f>IF(B98="","","TEMP-"&amp;TEXT(ROW()-4,"0000"))</x:f>
      </x:c>
      <x:c r="B98" s="78"/>
      <x:c r="C98" s="76"/>
      <x:c r="D98" s="76"/>
      <x:c r="E98" s="76"/>
      <x:c r="F98" s="76"/>
      <x:c r="G98" s="79"/>
      <x:c r="H98" s="79"/>
      <x:c r="I98" s="79"/>
      <x:c r="J98" s="76"/>
      <x:c r="K98" s="76"/>
      <x:c r="L98" s="76"/>
      <x:c r="M98" s="76"/>
      <x:c r="N98" s="76"/>
      <x:c r="O98" s="76"/>
      <x:c r="P98" s="76"/>
      <x:c r="Q98" s="78" t="str">
        <x:f>IF(B98="","",TODAY())</x:f>
      </x:c>
      <x:c r="R98" s="76"/>
      <x:c r="S98" s="76" t="str">
        <x:f>IF(B98="","",IF(OR(C98="",D98="",F98="",G98="",K98="",M98="",N98="",O98&lt;&gt;"Validé humainement"),"ALERTE: données/preuves/statut",IF(OR(AND(ISNUMBER(G98),OR(G98&lt;0,G98&gt;50)),AND(ISNUMBER(H98),H98&lt;-5),AND(ISNUMBER(I98),I98&gt;55),AND(ISNUMBER(J98),J98&gt;31)),"ALERTE: valeur anormale","OK")))</x:f>
      </x:c>
      <x:c r="T98" s="76" t="str">
        <x:f>IF(B98="","",IF(O98="Validé humainement","Oui","Non"))</x:f>
      </x:c>
    </x:row>
    <x:row r="99">
      <x:c r="A99" s="76" t="str">
        <x:f>IF(B99="","","TEMP-"&amp;TEXT(ROW()-4,"0000"))</x:f>
      </x:c>
      <x:c r="B99" s="78"/>
      <x:c r="C99" s="76"/>
      <x:c r="D99" s="76"/>
      <x:c r="E99" s="76"/>
      <x:c r="F99" s="76"/>
      <x:c r="G99" s="79"/>
      <x:c r="H99" s="79"/>
      <x:c r="I99" s="79"/>
      <x:c r="J99" s="76"/>
      <x:c r="K99" s="76"/>
      <x:c r="L99" s="76"/>
      <x:c r="M99" s="76"/>
      <x:c r="N99" s="76"/>
      <x:c r="O99" s="76"/>
      <x:c r="P99" s="76"/>
      <x:c r="Q99" s="78" t="str">
        <x:f>IF(B99="","",TODAY())</x:f>
      </x:c>
      <x:c r="R99" s="76"/>
      <x:c r="S99" s="76" t="str">
        <x:f>IF(B99="","",IF(OR(C99="",D99="",F99="",G99="",K99="",M99="",N99="",O99&lt;&gt;"Validé humainement"),"ALERTE: données/preuves/statut",IF(OR(AND(ISNUMBER(G99),OR(G99&lt;0,G99&gt;50)),AND(ISNUMBER(H99),H99&lt;-5),AND(ISNUMBER(I99),I99&gt;55),AND(ISNUMBER(J99),J99&gt;31)),"ALERTE: valeur anormale","OK")))</x:f>
      </x:c>
      <x:c r="T99" s="76" t="str">
        <x:f>IF(B99="","",IF(O99="Validé humainement","Oui","Non"))</x:f>
      </x:c>
    </x:row>
    <x:row r="100">
      <x:c r="A100" s="76" t="str">
        <x:f>IF(B100="","","TEMP-"&amp;TEXT(ROW()-4,"0000"))</x:f>
      </x:c>
      <x:c r="B100" s="78"/>
      <x:c r="C100" s="76"/>
      <x:c r="D100" s="76"/>
      <x:c r="E100" s="76"/>
      <x:c r="F100" s="76"/>
      <x:c r="G100" s="79"/>
      <x:c r="H100" s="79"/>
      <x:c r="I100" s="79"/>
      <x:c r="J100" s="76"/>
      <x:c r="K100" s="76"/>
      <x:c r="L100" s="76"/>
      <x:c r="M100" s="76"/>
      <x:c r="N100" s="76"/>
      <x:c r="O100" s="76"/>
      <x:c r="P100" s="76"/>
      <x:c r="Q100" s="78" t="str">
        <x:f>IF(B100="","",TODAY())</x:f>
      </x:c>
      <x:c r="R100" s="76"/>
      <x:c r="S100" s="76" t="str">
        <x:f>IF(B100="","",IF(OR(C100="",D100="",F100="",G100="",K100="",M100="",N100="",O100&lt;&gt;"Validé humainement"),"ALERTE: données/preuves/statut",IF(OR(AND(ISNUMBER(G100),OR(G100&lt;0,G100&gt;50)),AND(ISNUMBER(H100),H100&lt;-5),AND(ISNUMBER(I100),I100&gt;55),AND(ISNUMBER(J100),J100&gt;31)),"ALERTE: valeur anormale","OK")))</x:f>
      </x:c>
      <x:c r="T100" s="76" t="str">
        <x:f>IF(B100="","",IF(O100="Validé humainement","Oui","Non"))</x:f>
      </x:c>
    </x:row>
    <x:row r="101">
      <x:c r="A101" s="76" t="str">
        <x:f>IF(B101="","","TEMP-"&amp;TEXT(ROW()-4,"0000"))</x:f>
      </x:c>
      <x:c r="B101" s="78"/>
      <x:c r="C101" s="76"/>
      <x:c r="D101" s="76"/>
      <x:c r="E101" s="76"/>
      <x:c r="F101" s="76"/>
      <x:c r="G101" s="79"/>
      <x:c r="H101" s="79"/>
      <x:c r="I101" s="79"/>
      <x:c r="J101" s="76"/>
      <x:c r="K101" s="76"/>
      <x:c r="L101" s="76"/>
      <x:c r="M101" s="76"/>
      <x:c r="N101" s="76"/>
      <x:c r="O101" s="76"/>
      <x:c r="P101" s="76"/>
      <x:c r="Q101" s="78" t="str">
        <x:f>IF(B101="","",TODAY())</x:f>
      </x:c>
      <x:c r="R101" s="76"/>
      <x:c r="S101" s="76" t="str">
        <x:f>IF(B101="","",IF(OR(C101="",D101="",F101="",G101="",K101="",M101="",N101="",O101&lt;&gt;"Validé humainement"),"ALERTE: données/preuves/statut",IF(OR(AND(ISNUMBER(G101),OR(G101&lt;0,G101&gt;50)),AND(ISNUMBER(H101),H101&lt;-5),AND(ISNUMBER(I101),I101&gt;55),AND(ISNUMBER(J101),J101&gt;31)),"ALERTE: valeur anormale","OK")))</x:f>
      </x:c>
      <x:c r="T101" s="76" t="str">
        <x:f>IF(B101="","",IF(O101="Validé humainement","Oui","Non"))</x:f>
      </x:c>
    </x:row>
    <x:row r="102">
      <x:c r="A102" s="76" t="str">
        <x:f>IF(B102="","","TEMP-"&amp;TEXT(ROW()-4,"0000"))</x:f>
      </x:c>
      <x:c r="B102" s="78"/>
      <x:c r="C102" s="76"/>
      <x:c r="D102" s="76"/>
      <x:c r="E102" s="76"/>
      <x:c r="F102" s="76"/>
      <x:c r="G102" s="79"/>
      <x:c r="H102" s="79"/>
      <x:c r="I102" s="79"/>
      <x:c r="J102" s="76"/>
      <x:c r="K102" s="76"/>
      <x:c r="L102" s="76"/>
      <x:c r="M102" s="76"/>
      <x:c r="N102" s="76"/>
      <x:c r="O102" s="76"/>
      <x:c r="P102" s="76"/>
      <x:c r="Q102" s="78" t="str">
        <x:f>IF(B102="","",TODAY())</x:f>
      </x:c>
      <x:c r="R102" s="76"/>
      <x:c r="S102" s="76" t="str">
        <x:f>IF(B102="","",IF(OR(C102="",D102="",F102="",G102="",K102="",M102="",N102="",O102&lt;&gt;"Validé humainement"),"ALERTE: données/preuves/statut",IF(OR(AND(ISNUMBER(G102),OR(G102&lt;0,G102&gt;50)),AND(ISNUMBER(H102),H102&lt;-5),AND(ISNUMBER(I102),I102&gt;55),AND(ISNUMBER(J102),J102&gt;31)),"ALERTE: valeur anormale","OK")))</x:f>
      </x:c>
      <x:c r="T102" s="76" t="str">
        <x:f>IF(B102="","",IF(O102="Validé humainement","Oui","Non"))</x:f>
      </x:c>
    </x:row>
    <x:row r="103">
      <x:c r="A103" s="76" t="str">
        <x:f>IF(B103="","","TEMP-"&amp;TEXT(ROW()-4,"0000"))</x:f>
      </x:c>
      <x:c r="B103" s="78"/>
      <x:c r="C103" s="76"/>
      <x:c r="D103" s="76"/>
      <x:c r="E103" s="76"/>
      <x:c r="F103" s="76"/>
      <x:c r="G103" s="79"/>
      <x:c r="H103" s="79"/>
      <x:c r="I103" s="79"/>
      <x:c r="J103" s="76"/>
      <x:c r="K103" s="76"/>
      <x:c r="L103" s="76"/>
      <x:c r="M103" s="76"/>
      <x:c r="N103" s="76"/>
      <x:c r="O103" s="76"/>
      <x:c r="P103" s="76"/>
      <x:c r="Q103" s="78" t="str">
        <x:f>IF(B103="","",TODAY())</x:f>
      </x:c>
      <x:c r="R103" s="76"/>
      <x:c r="S103" s="76" t="str">
        <x:f>IF(B103="","",IF(OR(C103="",D103="",F103="",G103="",K103="",M103="",N103="",O103&lt;&gt;"Validé humainement"),"ALERTE: données/preuves/statut",IF(OR(AND(ISNUMBER(G103),OR(G103&lt;0,G103&gt;50)),AND(ISNUMBER(H103),H103&lt;-5),AND(ISNUMBER(I103),I103&gt;55),AND(ISNUMBER(J103),J103&gt;31)),"ALERTE: valeur anormale","OK")))</x:f>
      </x:c>
      <x:c r="T103" s="76" t="str">
        <x:f>IF(B103="","",IF(O103="Validé humainement","Oui","Non"))</x:f>
      </x:c>
    </x:row>
    <x:row r="104">
      <x:c r="A104" s="76" t="str">
        <x:f>IF(B104="","","TEMP-"&amp;TEXT(ROW()-4,"0000"))</x:f>
      </x:c>
      <x:c r="B104" s="78"/>
      <x:c r="C104" s="76"/>
      <x:c r="D104" s="76"/>
      <x:c r="E104" s="76"/>
      <x:c r="F104" s="76"/>
      <x:c r="G104" s="79"/>
      <x:c r="H104" s="79"/>
      <x:c r="I104" s="79"/>
      <x:c r="J104" s="76"/>
      <x:c r="K104" s="76"/>
      <x:c r="L104" s="76"/>
      <x:c r="M104" s="76"/>
      <x:c r="N104" s="76"/>
      <x:c r="O104" s="76"/>
      <x:c r="P104" s="76"/>
      <x:c r="Q104" s="78" t="str">
        <x:f>IF(B104="","",TODAY())</x:f>
      </x:c>
      <x:c r="R104" s="76"/>
      <x:c r="S104" s="76" t="str">
        <x:f>IF(B104="","",IF(OR(C104="",D104="",F104="",G104="",K104="",M104="",N104="",O104&lt;&gt;"Validé humainement"),"ALERTE: données/preuves/statut",IF(OR(AND(ISNUMBER(G104),OR(G104&lt;0,G104&gt;50)),AND(ISNUMBER(H104),H104&lt;-5),AND(ISNUMBER(I104),I104&gt;55),AND(ISNUMBER(J104),J104&gt;31)),"ALERTE: valeur anormale","OK")))</x:f>
      </x:c>
      <x:c r="T104" s="76" t="str">
        <x:f>IF(B104="","",IF(O104="Validé humainement","Oui","Non"))</x:f>
      </x:c>
    </x:row>
  </x:sheetData>
  <x:mergeCells>
    <x:mergeCell ref="A1:T1"/>
    <x:mergeCell ref="A2:T2"/>
  </x:mergeCells>
  <x:conditionalFormatting sqref="S5:S104">
    <x:cfRule type="containsText" dxfId="162" priority="1" operator="containsText" text="ALERTE"/>
    <x:cfRule type="containsText" dxfId="163" priority="2" operator="containsText" text="OK"/>
    <x:cfRule type="containsText" dxfId="164" priority="3" operator="containsText" text="Validé"/>
    <x:cfRule type="containsText" dxfId="165" priority="4" operator="containsText" text="À vérifier"/>
    <x:cfRule type="containsText" dxfId="166" priority="5" operator="containsText" text="Rejeté"/>
  </x:conditionalFormatting>
  <x:conditionalFormatting sqref="O5:O104">
    <x:cfRule type="containsText" dxfId="167" priority="6" operator="containsText" text="ALERTE"/>
    <x:cfRule type="containsText" dxfId="168" priority="7" operator="containsText" text="OK"/>
    <x:cfRule type="containsText" dxfId="169" priority="8" operator="containsText" text="Validé"/>
    <x:cfRule type="containsText" dxfId="170" priority="9" operator="containsText" text="À vérifier"/>
    <x:cfRule type="containsText" dxfId="17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C5:C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D5:D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F5:F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N5:N104">
      <x:formula1>"Faible,Moyenne,Élevée,Très élevée"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s>
  <x:pageMargins left="0.7" right="0.7" top="0.75" bottom="0.75" header="0.3" footer="0.3"/>
  <x:tableParts count="1">
    <x:tablePart xmlns:r="http://schemas.openxmlformats.org/officeDocument/2006/relationships" r:id="R1db188da43eb480a"/>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9.3799991607666" hidden="0" customWidth="1"/>
    <x:col min="8" max="8" width="19.3799991607666" hidden="0" customWidth="1"/>
    <x:col min="9" max="9" width="16.25"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Formulaire pluviométrie</x:v>
      </x:c>
      <x:c r="B1" s="68"/>
      <x:c r="C1" s="68"/>
      <x:c r="D1" s="68"/>
      <x:c r="E1" s="68"/>
      <x:c r="F1" s="68"/>
      <x:c r="G1" s="68"/>
      <x:c r="H1" s="68"/>
      <x:c r="I1" s="68"/>
      <x:c r="J1" s="68"/>
      <x:c r="K1" s="68"/>
      <x:c r="L1" s="68"/>
      <x:c r="M1" s="68"/>
      <x:c r="N1" s="68"/>
      <x:c r="O1" s="68"/>
      <x:c r="P1" s="68"/>
      <x:c r="Q1" s="68"/>
    </x:row>
    <x:row r="2" ht="33" customHeight="1">
      <x:c r="A2" s="71" t="str">
        <x:v>Saisie mensuelle de la pluie, des jours de pluie et des épisodes extrêmes.</x:v>
      </x:c>
      <x:c r="B2" s="71"/>
      <x:c r="C2" s="71"/>
      <x:c r="D2" s="71"/>
      <x:c r="E2" s="71"/>
      <x:c r="F2" s="71"/>
      <x:c r="G2" s="71"/>
      <x:c r="H2" s="71"/>
      <x:c r="I2" s="71"/>
      <x:c r="J2" s="71"/>
      <x:c r="K2" s="71"/>
      <x:c r="L2" s="71"/>
      <x:c r="M2" s="71"/>
      <x:c r="N2" s="71"/>
      <x:c r="O2" s="71"/>
      <x:c r="P2" s="71"/>
      <x:c r="Q2" s="71"/>
    </x:row>
    <x:row r="4">
      <x:c r="A4" s="74" t="str">
        <x:v>ID_Saisie</x:v>
      </x:c>
      <x:c r="B4" s="74" t="str">
        <x:v>Date</x:v>
      </x:c>
      <x:c r="C4" s="74" t="str">
        <x:v>Année</x:v>
      </x:c>
      <x:c r="D4" s="74" t="str">
        <x:v>Mois</x:v>
      </x:c>
      <x:c r="E4" s="74" t="str">
        <x:v>Station météo</x:v>
      </x:c>
      <x:c r="F4" s="74" t="str">
        <x:v>Commune / zone</x:v>
      </x:c>
      <x:c r="G4" s="74" t="str">
        <x:v>Pluviométrie mensuelle</x:v>
      </x:c>
      <x:c r="H4" s="74" t="str">
        <x:v>Nombre de jours de pluie</x:v>
      </x:c>
      <x:c r="I4" s="74" t="str">
        <x:v>Épisode extrême</x:v>
      </x:c>
      <x:c r="J4" s="74" t="str">
        <x:v>Source</x:v>
      </x:c>
      <x:c r="K4" s="74" t="str">
        <x:v>Document source</x:v>
      </x:c>
      <x:c r="L4" s="74" t="str">
        <x:v>Statut validation</x:v>
      </x:c>
      <x:c r="M4" s="74" t="str">
        <x:v>Observations</x:v>
      </x:c>
      <x:c r="N4" s="74" t="str">
        <x:v>Date de saisie</x:v>
      </x:c>
      <x:c r="O4" s="74" t="str">
        <x:v>Responsable</x:v>
      </x:c>
      <x:c r="P4" s="74" t="str">
        <x:v>Alerte_QC</x:v>
      </x:c>
      <x:c r="Q4" s="74" t="str">
        <x:v>Alimente_Rapports</x:v>
      </x:c>
    </x:row>
    <x:row r="5">
      <x:c r="A5" s="76" t="str">
        <x:f>IF(B5="","","PLUIE-"&amp;TEXT(ROW()-4,"0000"))</x:f>
      </x:c>
      <x:c r="B5" s="78"/>
      <x:c r="C5" s="76"/>
      <x:c r="D5" s="76"/>
      <x:c r="E5" s="76"/>
      <x:c r="F5" s="76"/>
      <x:c r="G5" s="80"/>
      <x:c r="H5" s="76"/>
      <x:c r="I5" s="76"/>
      <x:c r="J5" s="76"/>
      <x:c r="K5" s="76"/>
      <x:c r="L5" s="76"/>
      <x:c r="M5" s="76"/>
      <x:c r="N5" s="78" t="str">
        <x:f>IF(B5="","",TODAY())</x:f>
      </x:c>
      <x:c r="O5" s="76"/>
      <x:c r="P5" s="76" t="str">
        <x:f>IF(B5="","",IF(OR(C5="",D5="",F5="",G5="",J5="",K5="",L5&lt;&gt;"Validé humainement"),"ALERTE: données/preuves/statut",IF(OR(AND(ISNUMBER(G5),OR(G5&lt;0,G5&gt;1000)),AND(ISNUMBER(H5),H5&gt;31)),"ALERTE: valeur anormale","OK")))</x:f>
      </x:c>
      <x:c r="Q5" s="76" t="str">
        <x:f>IF(B5="","",IF(L5="Validé humainement","Oui","Non"))</x:f>
      </x:c>
    </x:row>
    <x:row r="6">
      <x:c r="A6" s="76" t="str">
        <x:f>IF(B6="","","PLUIE-"&amp;TEXT(ROW()-4,"0000"))</x:f>
      </x:c>
      <x:c r="B6" s="78"/>
      <x:c r="C6" s="76"/>
      <x:c r="D6" s="76"/>
      <x:c r="E6" s="76"/>
      <x:c r="F6" s="76"/>
      <x:c r="G6" s="80"/>
      <x:c r="H6" s="76"/>
      <x:c r="I6" s="76"/>
      <x:c r="J6" s="76"/>
      <x:c r="K6" s="76"/>
      <x:c r="L6" s="76"/>
      <x:c r="M6" s="76"/>
      <x:c r="N6" s="78" t="str">
        <x:f>IF(B6="","",TODAY())</x:f>
      </x:c>
      <x:c r="O6" s="76"/>
      <x:c r="P6" s="76" t="str">
        <x:f>IF(B6="","",IF(OR(C6="",D6="",F6="",G6="",J6="",K6="",L6&lt;&gt;"Validé humainement"),"ALERTE: données/preuves/statut",IF(OR(AND(ISNUMBER(G6),OR(G6&lt;0,G6&gt;1000)),AND(ISNUMBER(H6),H6&gt;31)),"ALERTE: valeur anormale","OK")))</x:f>
      </x:c>
      <x:c r="Q6" s="76" t="str">
        <x:f>IF(B6="","",IF(L6="Validé humainement","Oui","Non"))</x:f>
      </x:c>
    </x:row>
    <x:row r="7">
      <x:c r="A7" s="76" t="str">
        <x:f>IF(B7="","","PLUIE-"&amp;TEXT(ROW()-4,"0000"))</x:f>
      </x:c>
      <x:c r="B7" s="78"/>
      <x:c r="C7" s="76"/>
      <x:c r="D7" s="76"/>
      <x:c r="E7" s="76"/>
      <x:c r="F7" s="76"/>
      <x:c r="G7" s="80"/>
      <x:c r="H7" s="76"/>
      <x:c r="I7" s="76"/>
      <x:c r="J7" s="76"/>
      <x:c r="K7" s="76"/>
      <x:c r="L7" s="76"/>
      <x:c r="M7" s="76"/>
      <x:c r="N7" s="78" t="str">
        <x:f>IF(B7="","",TODAY())</x:f>
      </x:c>
      <x:c r="O7" s="76"/>
      <x:c r="P7" s="76" t="str">
        <x:f>IF(B7="","",IF(OR(C7="",D7="",F7="",G7="",J7="",K7="",L7&lt;&gt;"Validé humainement"),"ALERTE: données/preuves/statut",IF(OR(AND(ISNUMBER(G7),OR(G7&lt;0,G7&gt;1000)),AND(ISNUMBER(H7),H7&gt;31)),"ALERTE: valeur anormale","OK")))</x:f>
      </x:c>
      <x:c r="Q7" s="76" t="str">
        <x:f>IF(B7="","",IF(L7="Validé humainement","Oui","Non"))</x:f>
      </x:c>
    </x:row>
    <x:row r="8">
      <x:c r="A8" s="76" t="str">
        <x:f>IF(B8="","","PLUIE-"&amp;TEXT(ROW()-4,"0000"))</x:f>
      </x:c>
      <x:c r="B8" s="78"/>
      <x:c r="C8" s="76"/>
      <x:c r="D8" s="76"/>
      <x:c r="E8" s="76"/>
      <x:c r="F8" s="76"/>
      <x:c r="G8" s="80"/>
      <x:c r="H8" s="76"/>
      <x:c r="I8" s="76"/>
      <x:c r="J8" s="76"/>
      <x:c r="K8" s="76"/>
      <x:c r="L8" s="76"/>
      <x:c r="M8" s="76"/>
      <x:c r="N8" s="78" t="str">
        <x:f>IF(B8="","",TODAY())</x:f>
      </x:c>
      <x:c r="O8" s="76"/>
      <x:c r="P8" s="76" t="str">
        <x:f>IF(B8="","",IF(OR(C8="",D8="",F8="",G8="",J8="",K8="",L8&lt;&gt;"Validé humainement"),"ALERTE: données/preuves/statut",IF(OR(AND(ISNUMBER(G8),OR(G8&lt;0,G8&gt;1000)),AND(ISNUMBER(H8),H8&gt;31)),"ALERTE: valeur anormale","OK")))</x:f>
      </x:c>
      <x:c r="Q8" s="76" t="str">
        <x:f>IF(B8="","",IF(L8="Validé humainement","Oui","Non"))</x:f>
      </x:c>
    </x:row>
    <x:row r="9">
      <x:c r="A9" s="76" t="str">
        <x:f>IF(B9="","","PLUIE-"&amp;TEXT(ROW()-4,"0000"))</x:f>
      </x:c>
      <x:c r="B9" s="78"/>
      <x:c r="C9" s="76"/>
      <x:c r="D9" s="76"/>
      <x:c r="E9" s="76"/>
      <x:c r="F9" s="76"/>
      <x:c r="G9" s="80"/>
      <x:c r="H9" s="76"/>
      <x:c r="I9" s="76"/>
      <x:c r="J9" s="76"/>
      <x:c r="K9" s="76"/>
      <x:c r="L9" s="76"/>
      <x:c r="M9" s="76"/>
      <x:c r="N9" s="78" t="str">
        <x:f>IF(B9="","",TODAY())</x:f>
      </x:c>
      <x:c r="O9" s="76"/>
      <x:c r="P9" s="76" t="str">
        <x:f>IF(B9="","",IF(OR(C9="",D9="",F9="",G9="",J9="",K9="",L9&lt;&gt;"Validé humainement"),"ALERTE: données/preuves/statut",IF(OR(AND(ISNUMBER(G9),OR(G9&lt;0,G9&gt;1000)),AND(ISNUMBER(H9),H9&gt;31)),"ALERTE: valeur anormale","OK")))</x:f>
      </x:c>
      <x:c r="Q9" s="76" t="str">
        <x:f>IF(B9="","",IF(L9="Validé humainement","Oui","Non"))</x:f>
      </x:c>
    </x:row>
    <x:row r="10">
      <x:c r="A10" s="76" t="str">
        <x:f>IF(B10="","","PLUIE-"&amp;TEXT(ROW()-4,"0000"))</x:f>
      </x:c>
      <x:c r="B10" s="78"/>
      <x:c r="C10" s="76"/>
      <x:c r="D10" s="76"/>
      <x:c r="E10" s="76"/>
      <x:c r="F10" s="76"/>
      <x:c r="G10" s="80"/>
      <x:c r="H10" s="76"/>
      <x:c r="I10" s="76"/>
      <x:c r="J10" s="76"/>
      <x:c r="K10" s="76"/>
      <x:c r="L10" s="76"/>
      <x:c r="M10" s="76"/>
      <x:c r="N10" s="78" t="str">
        <x:f>IF(B10="","",TODAY())</x:f>
      </x:c>
      <x:c r="O10" s="76"/>
      <x:c r="P10" s="76" t="str">
        <x:f>IF(B10="","",IF(OR(C10="",D10="",F10="",G10="",J10="",K10="",L10&lt;&gt;"Validé humainement"),"ALERTE: données/preuves/statut",IF(OR(AND(ISNUMBER(G10),OR(G10&lt;0,G10&gt;1000)),AND(ISNUMBER(H10),H10&gt;31)),"ALERTE: valeur anormale","OK")))</x:f>
      </x:c>
      <x:c r="Q10" s="76" t="str">
        <x:f>IF(B10="","",IF(L10="Validé humainement","Oui","Non"))</x:f>
      </x:c>
    </x:row>
    <x:row r="11">
      <x:c r="A11" s="76" t="str">
        <x:f>IF(B11="","","PLUIE-"&amp;TEXT(ROW()-4,"0000"))</x:f>
      </x:c>
      <x:c r="B11" s="78"/>
      <x:c r="C11" s="76"/>
      <x:c r="D11" s="76"/>
      <x:c r="E11" s="76"/>
      <x:c r="F11" s="76"/>
      <x:c r="G11" s="80"/>
      <x:c r="H11" s="76"/>
      <x:c r="I11" s="76"/>
      <x:c r="J11" s="76"/>
      <x:c r="K11" s="76"/>
      <x:c r="L11" s="76"/>
      <x:c r="M11" s="76"/>
      <x:c r="N11" s="78" t="str">
        <x:f>IF(B11="","",TODAY())</x:f>
      </x:c>
      <x:c r="O11" s="76"/>
      <x:c r="P11" s="76" t="str">
        <x:f>IF(B11="","",IF(OR(C11="",D11="",F11="",G11="",J11="",K11="",L11&lt;&gt;"Validé humainement"),"ALERTE: données/preuves/statut",IF(OR(AND(ISNUMBER(G11),OR(G11&lt;0,G11&gt;1000)),AND(ISNUMBER(H11),H11&gt;31)),"ALERTE: valeur anormale","OK")))</x:f>
      </x:c>
      <x:c r="Q11" s="76" t="str">
        <x:f>IF(B11="","",IF(L11="Validé humainement","Oui","Non"))</x:f>
      </x:c>
    </x:row>
    <x:row r="12">
      <x:c r="A12" s="76" t="str">
        <x:f>IF(B12="","","PLUIE-"&amp;TEXT(ROW()-4,"0000"))</x:f>
      </x:c>
      <x:c r="B12" s="78"/>
      <x:c r="C12" s="76"/>
      <x:c r="D12" s="76"/>
      <x:c r="E12" s="76"/>
      <x:c r="F12" s="76"/>
      <x:c r="G12" s="80"/>
      <x:c r="H12" s="76"/>
      <x:c r="I12" s="76"/>
      <x:c r="J12" s="76"/>
      <x:c r="K12" s="76"/>
      <x:c r="L12" s="76"/>
      <x:c r="M12" s="76"/>
      <x:c r="N12" s="78" t="str">
        <x:f>IF(B12="","",TODAY())</x:f>
      </x:c>
      <x:c r="O12" s="76"/>
      <x:c r="P12" s="76" t="str">
        <x:f>IF(B12="","",IF(OR(C12="",D12="",F12="",G12="",J12="",K12="",L12&lt;&gt;"Validé humainement"),"ALERTE: données/preuves/statut",IF(OR(AND(ISNUMBER(G12),OR(G12&lt;0,G12&gt;1000)),AND(ISNUMBER(H12),H12&gt;31)),"ALERTE: valeur anormale","OK")))</x:f>
      </x:c>
      <x:c r="Q12" s="76" t="str">
        <x:f>IF(B12="","",IF(L12="Validé humainement","Oui","Non"))</x:f>
      </x:c>
    </x:row>
    <x:row r="13">
      <x:c r="A13" s="76" t="str">
        <x:f>IF(B13="","","PLUIE-"&amp;TEXT(ROW()-4,"0000"))</x:f>
      </x:c>
      <x:c r="B13" s="78"/>
      <x:c r="C13" s="76"/>
      <x:c r="D13" s="76"/>
      <x:c r="E13" s="76"/>
      <x:c r="F13" s="76"/>
      <x:c r="G13" s="80"/>
      <x:c r="H13" s="76"/>
      <x:c r="I13" s="76"/>
      <x:c r="J13" s="76"/>
      <x:c r="K13" s="76"/>
      <x:c r="L13" s="76"/>
      <x:c r="M13" s="76"/>
      <x:c r="N13" s="78" t="str">
        <x:f>IF(B13="","",TODAY())</x:f>
      </x:c>
      <x:c r="O13" s="76"/>
      <x:c r="P13" s="76" t="str">
        <x:f>IF(B13="","",IF(OR(C13="",D13="",F13="",G13="",J13="",K13="",L13&lt;&gt;"Validé humainement"),"ALERTE: données/preuves/statut",IF(OR(AND(ISNUMBER(G13),OR(G13&lt;0,G13&gt;1000)),AND(ISNUMBER(H13),H13&gt;31)),"ALERTE: valeur anormale","OK")))</x:f>
      </x:c>
      <x:c r="Q13" s="76" t="str">
        <x:f>IF(B13="","",IF(L13="Validé humainement","Oui","Non"))</x:f>
      </x:c>
    </x:row>
    <x:row r="14">
      <x:c r="A14" s="76" t="str">
        <x:f>IF(B14="","","PLUIE-"&amp;TEXT(ROW()-4,"0000"))</x:f>
      </x:c>
      <x:c r="B14" s="78"/>
      <x:c r="C14" s="76"/>
      <x:c r="D14" s="76"/>
      <x:c r="E14" s="76"/>
      <x:c r="F14" s="76"/>
      <x:c r="G14" s="80"/>
      <x:c r="H14" s="76"/>
      <x:c r="I14" s="76"/>
      <x:c r="J14" s="76"/>
      <x:c r="K14" s="76"/>
      <x:c r="L14" s="76"/>
      <x:c r="M14" s="76"/>
      <x:c r="N14" s="78" t="str">
        <x:f>IF(B14="","",TODAY())</x:f>
      </x:c>
      <x:c r="O14" s="76"/>
      <x:c r="P14" s="76" t="str">
        <x:f>IF(B14="","",IF(OR(C14="",D14="",F14="",G14="",J14="",K14="",L14&lt;&gt;"Validé humainement"),"ALERTE: données/preuves/statut",IF(OR(AND(ISNUMBER(G14),OR(G14&lt;0,G14&gt;1000)),AND(ISNUMBER(H14),H14&gt;31)),"ALERTE: valeur anormale","OK")))</x:f>
      </x:c>
      <x:c r="Q14" s="76" t="str">
        <x:f>IF(B14="","",IF(L14="Validé humainement","Oui","Non"))</x:f>
      </x:c>
    </x:row>
    <x:row r="15">
      <x:c r="A15" s="76" t="str">
        <x:f>IF(B15="","","PLUIE-"&amp;TEXT(ROW()-4,"0000"))</x:f>
      </x:c>
      <x:c r="B15" s="78"/>
      <x:c r="C15" s="76"/>
      <x:c r="D15" s="76"/>
      <x:c r="E15" s="76"/>
      <x:c r="F15" s="76"/>
      <x:c r="G15" s="80"/>
      <x:c r="H15" s="76"/>
      <x:c r="I15" s="76"/>
      <x:c r="J15" s="76"/>
      <x:c r="K15" s="76"/>
      <x:c r="L15" s="76"/>
      <x:c r="M15" s="76"/>
      <x:c r="N15" s="78" t="str">
        <x:f>IF(B15="","",TODAY())</x:f>
      </x:c>
      <x:c r="O15" s="76"/>
      <x:c r="P15" s="76" t="str">
        <x:f>IF(B15="","",IF(OR(C15="",D15="",F15="",G15="",J15="",K15="",L15&lt;&gt;"Validé humainement"),"ALERTE: données/preuves/statut",IF(OR(AND(ISNUMBER(G15),OR(G15&lt;0,G15&gt;1000)),AND(ISNUMBER(H15),H15&gt;31)),"ALERTE: valeur anormale","OK")))</x:f>
      </x:c>
      <x:c r="Q15" s="76" t="str">
        <x:f>IF(B15="","",IF(L15="Validé humainement","Oui","Non"))</x:f>
      </x:c>
    </x:row>
    <x:row r="16">
      <x:c r="A16" s="76" t="str">
        <x:f>IF(B16="","","PLUIE-"&amp;TEXT(ROW()-4,"0000"))</x:f>
      </x:c>
      <x:c r="B16" s="78"/>
      <x:c r="C16" s="76"/>
      <x:c r="D16" s="76"/>
      <x:c r="E16" s="76"/>
      <x:c r="F16" s="76"/>
      <x:c r="G16" s="80"/>
      <x:c r="H16" s="76"/>
      <x:c r="I16" s="76"/>
      <x:c r="J16" s="76"/>
      <x:c r="K16" s="76"/>
      <x:c r="L16" s="76"/>
      <x:c r="M16" s="76"/>
      <x:c r="N16" s="78" t="str">
        <x:f>IF(B16="","",TODAY())</x:f>
      </x:c>
      <x:c r="O16" s="76"/>
      <x:c r="P16" s="76" t="str">
        <x:f>IF(B16="","",IF(OR(C16="",D16="",F16="",G16="",J16="",K16="",L16&lt;&gt;"Validé humainement"),"ALERTE: données/preuves/statut",IF(OR(AND(ISNUMBER(G16),OR(G16&lt;0,G16&gt;1000)),AND(ISNUMBER(H16),H16&gt;31)),"ALERTE: valeur anormale","OK")))</x:f>
      </x:c>
      <x:c r="Q16" s="76" t="str">
        <x:f>IF(B16="","",IF(L16="Validé humainement","Oui","Non"))</x:f>
      </x:c>
    </x:row>
    <x:row r="17">
      <x:c r="A17" s="76" t="str">
        <x:f>IF(B17="","","PLUIE-"&amp;TEXT(ROW()-4,"0000"))</x:f>
      </x:c>
      <x:c r="B17" s="78"/>
      <x:c r="C17" s="76"/>
      <x:c r="D17" s="76"/>
      <x:c r="E17" s="76"/>
      <x:c r="F17" s="76"/>
      <x:c r="G17" s="80"/>
      <x:c r="H17" s="76"/>
      <x:c r="I17" s="76"/>
      <x:c r="J17" s="76"/>
      <x:c r="K17" s="76"/>
      <x:c r="L17" s="76"/>
      <x:c r="M17" s="76"/>
      <x:c r="N17" s="78" t="str">
        <x:f>IF(B17="","",TODAY())</x:f>
      </x:c>
      <x:c r="O17" s="76"/>
      <x:c r="P17" s="76" t="str">
        <x:f>IF(B17="","",IF(OR(C17="",D17="",F17="",G17="",J17="",K17="",L17&lt;&gt;"Validé humainement"),"ALERTE: données/preuves/statut",IF(OR(AND(ISNUMBER(G17),OR(G17&lt;0,G17&gt;1000)),AND(ISNUMBER(H17),H17&gt;31)),"ALERTE: valeur anormale","OK")))</x:f>
      </x:c>
      <x:c r="Q17" s="76" t="str">
        <x:f>IF(B17="","",IF(L17="Validé humainement","Oui","Non"))</x:f>
      </x:c>
    </x:row>
    <x:row r="18">
      <x:c r="A18" s="76" t="str">
        <x:f>IF(B18="","","PLUIE-"&amp;TEXT(ROW()-4,"0000"))</x:f>
      </x:c>
      <x:c r="B18" s="78"/>
      <x:c r="C18" s="76"/>
      <x:c r="D18" s="76"/>
      <x:c r="E18" s="76"/>
      <x:c r="F18" s="76"/>
      <x:c r="G18" s="80"/>
      <x:c r="H18" s="76"/>
      <x:c r="I18" s="76"/>
      <x:c r="J18" s="76"/>
      <x:c r="K18" s="76"/>
      <x:c r="L18" s="76"/>
      <x:c r="M18" s="76"/>
      <x:c r="N18" s="78" t="str">
        <x:f>IF(B18="","",TODAY())</x:f>
      </x:c>
      <x:c r="O18" s="76"/>
      <x:c r="P18" s="76" t="str">
        <x:f>IF(B18="","",IF(OR(C18="",D18="",F18="",G18="",J18="",K18="",L18&lt;&gt;"Validé humainement"),"ALERTE: données/preuves/statut",IF(OR(AND(ISNUMBER(G18),OR(G18&lt;0,G18&gt;1000)),AND(ISNUMBER(H18),H18&gt;31)),"ALERTE: valeur anormale","OK")))</x:f>
      </x:c>
      <x:c r="Q18" s="76" t="str">
        <x:f>IF(B18="","",IF(L18="Validé humainement","Oui","Non"))</x:f>
      </x:c>
    </x:row>
    <x:row r="19">
      <x:c r="A19" s="76" t="str">
        <x:f>IF(B19="","","PLUIE-"&amp;TEXT(ROW()-4,"0000"))</x:f>
      </x:c>
      <x:c r="B19" s="78"/>
      <x:c r="C19" s="76"/>
      <x:c r="D19" s="76"/>
      <x:c r="E19" s="76"/>
      <x:c r="F19" s="76"/>
      <x:c r="G19" s="80"/>
      <x:c r="H19" s="76"/>
      <x:c r="I19" s="76"/>
      <x:c r="J19" s="76"/>
      <x:c r="K19" s="76"/>
      <x:c r="L19" s="76"/>
      <x:c r="M19" s="76"/>
      <x:c r="N19" s="78" t="str">
        <x:f>IF(B19="","",TODAY())</x:f>
      </x:c>
      <x:c r="O19" s="76"/>
      <x:c r="P19" s="76" t="str">
        <x:f>IF(B19="","",IF(OR(C19="",D19="",F19="",G19="",J19="",K19="",L19&lt;&gt;"Validé humainement"),"ALERTE: données/preuves/statut",IF(OR(AND(ISNUMBER(G19),OR(G19&lt;0,G19&gt;1000)),AND(ISNUMBER(H19),H19&gt;31)),"ALERTE: valeur anormale","OK")))</x:f>
      </x:c>
      <x:c r="Q19" s="76" t="str">
        <x:f>IF(B19="","",IF(L19="Validé humainement","Oui","Non"))</x:f>
      </x:c>
    </x:row>
    <x:row r="20">
      <x:c r="A20" s="76" t="str">
        <x:f>IF(B20="","","PLUIE-"&amp;TEXT(ROW()-4,"0000"))</x:f>
      </x:c>
      <x:c r="B20" s="78"/>
      <x:c r="C20" s="76"/>
      <x:c r="D20" s="76"/>
      <x:c r="E20" s="76"/>
      <x:c r="F20" s="76"/>
      <x:c r="G20" s="80"/>
      <x:c r="H20" s="76"/>
      <x:c r="I20" s="76"/>
      <x:c r="J20" s="76"/>
      <x:c r="K20" s="76"/>
      <x:c r="L20" s="76"/>
      <x:c r="M20" s="76"/>
      <x:c r="N20" s="78" t="str">
        <x:f>IF(B20="","",TODAY())</x:f>
      </x:c>
      <x:c r="O20" s="76"/>
      <x:c r="P20" s="76" t="str">
        <x:f>IF(B20="","",IF(OR(C20="",D20="",F20="",G20="",J20="",K20="",L20&lt;&gt;"Validé humainement"),"ALERTE: données/preuves/statut",IF(OR(AND(ISNUMBER(G20),OR(G20&lt;0,G20&gt;1000)),AND(ISNUMBER(H20),H20&gt;31)),"ALERTE: valeur anormale","OK")))</x:f>
      </x:c>
      <x:c r="Q20" s="76" t="str">
        <x:f>IF(B20="","",IF(L20="Validé humainement","Oui","Non"))</x:f>
      </x:c>
    </x:row>
    <x:row r="21">
      <x:c r="A21" s="76" t="str">
        <x:f>IF(B21="","","PLUIE-"&amp;TEXT(ROW()-4,"0000"))</x:f>
      </x:c>
      <x:c r="B21" s="78"/>
      <x:c r="C21" s="76"/>
      <x:c r="D21" s="76"/>
      <x:c r="E21" s="76"/>
      <x:c r="F21" s="76"/>
      <x:c r="G21" s="80"/>
      <x:c r="H21" s="76"/>
      <x:c r="I21" s="76"/>
      <x:c r="J21" s="76"/>
      <x:c r="K21" s="76"/>
      <x:c r="L21" s="76"/>
      <x:c r="M21" s="76"/>
      <x:c r="N21" s="78" t="str">
        <x:f>IF(B21="","",TODAY())</x:f>
      </x:c>
      <x:c r="O21" s="76"/>
      <x:c r="P21" s="76" t="str">
        <x:f>IF(B21="","",IF(OR(C21="",D21="",F21="",G21="",J21="",K21="",L21&lt;&gt;"Validé humainement"),"ALERTE: données/preuves/statut",IF(OR(AND(ISNUMBER(G21),OR(G21&lt;0,G21&gt;1000)),AND(ISNUMBER(H21),H21&gt;31)),"ALERTE: valeur anormale","OK")))</x:f>
      </x:c>
      <x:c r="Q21" s="76" t="str">
        <x:f>IF(B21="","",IF(L21="Validé humainement","Oui","Non"))</x:f>
      </x:c>
    </x:row>
    <x:row r="22">
      <x:c r="A22" s="76" t="str">
        <x:f>IF(B22="","","PLUIE-"&amp;TEXT(ROW()-4,"0000"))</x:f>
      </x:c>
      <x:c r="B22" s="78"/>
      <x:c r="C22" s="76"/>
      <x:c r="D22" s="76"/>
      <x:c r="E22" s="76"/>
      <x:c r="F22" s="76"/>
      <x:c r="G22" s="80"/>
      <x:c r="H22" s="76"/>
      <x:c r="I22" s="76"/>
      <x:c r="J22" s="76"/>
      <x:c r="K22" s="76"/>
      <x:c r="L22" s="76"/>
      <x:c r="M22" s="76"/>
      <x:c r="N22" s="78" t="str">
        <x:f>IF(B22="","",TODAY())</x:f>
      </x:c>
      <x:c r="O22" s="76"/>
      <x:c r="P22" s="76" t="str">
        <x:f>IF(B22="","",IF(OR(C22="",D22="",F22="",G22="",J22="",K22="",L22&lt;&gt;"Validé humainement"),"ALERTE: données/preuves/statut",IF(OR(AND(ISNUMBER(G22),OR(G22&lt;0,G22&gt;1000)),AND(ISNUMBER(H22),H22&gt;31)),"ALERTE: valeur anormale","OK")))</x:f>
      </x:c>
      <x:c r="Q22" s="76" t="str">
        <x:f>IF(B22="","",IF(L22="Validé humainement","Oui","Non"))</x:f>
      </x:c>
    </x:row>
    <x:row r="23">
      <x:c r="A23" s="76" t="str">
        <x:f>IF(B23="","","PLUIE-"&amp;TEXT(ROW()-4,"0000"))</x:f>
      </x:c>
      <x:c r="B23" s="78"/>
      <x:c r="C23" s="76"/>
      <x:c r="D23" s="76"/>
      <x:c r="E23" s="76"/>
      <x:c r="F23" s="76"/>
      <x:c r="G23" s="80"/>
      <x:c r="H23" s="76"/>
      <x:c r="I23" s="76"/>
      <x:c r="J23" s="76"/>
      <x:c r="K23" s="76"/>
      <x:c r="L23" s="76"/>
      <x:c r="M23" s="76"/>
      <x:c r="N23" s="78" t="str">
        <x:f>IF(B23="","",TODAY())</x:f>
      </x:c>
      <x:c r="O23" s="76"/>
      <x:c r="P23" s="76" t="str">
        <x:f>IF(B23="","",IF(OR(C23="",D23="",F23="",G23="",J23="",K23="",L23&lt;&gt;"Validé humainement"),"ALERTE: données/preuves/statut",IF(OR(AND(ISNUMBER(G23),OR(G23&lt;0,G23&gt;1000)),AND(ISNUMBER(H23),H23&gt;31)),"ALERTE: valeur anormale","OK")))</x:f>
      </x:c>
      <x:c r="Q23" s="76" t="str">
        <x:f>IF(B23="","",IF(L23="Validé humainement","Oui","Non"))</x:f>
      </x:c>
    </x:row>
    <x:row r="24">
      <x:c r="A24" s="76" t="str">
        <x:f>IF(B24="","","PLUIE-"&amp;TEXT(ROW()-4,"0000"))</x:f>
      </x:c>
      <x:c r="B24" s="78"/>
      <x:c r="C24" s="76"/>
      <x:c r="D24" s="76"/>
      <x:c r="E24" s="76"/>
      <x:c r="F24" s="76"/>
      <x:c r="G24" s="80"/>
      <x:c r="H24" s="76"/>
      <x:c r="I24" s="76"/>
      <x:c r="J24" s="76"/>
      <x:c r="K24" s="76"/>
      <x:c r="L24" s="76"/>
      <x:c r="M24" s="76"/>
      <x:c r="N24" s="78" t="str">
        <x:f>IF(B24="","",TODAY())</x:f>
      </x:c>
      <x:c r="O24" s="76"/>
      <x:c r="P24" s="76" t="str">
        <x:f>IF(B24="","",IF(OR(C24="",D24="",F24="",G24="",J24="",K24="",L24&lt;&gt;"Validé humainement"),"ALERTE: données/preuves/statut",IF(OR(AND(ISNUMBER(G24),OR(G24&lt;0,G24&gt;1000)),AND(ISNUMBER(H24),H24&gt;31)),"ALERTE: valeur anormale","OK")))</x:f>
      </x:c>
      <x:c r="Q24" s="76" t="str">
        <x:f>IF(B24="","",IF(L24="Validé humainement","Oui","Non"))</x:f>
      </x:c>
    </x:row>
    <x:row r="25">
      <x:c r="A25" s="76" t="str">
        <x:f>IF(B25="","","PLUIE-"&amp;TEXT(ROW()-4,"0000"))</x:f>
      </x:c>
      <x:c r="B25" s="78"/>
      <x:c r="C25" s="76"/>
      <x:c r="D25" s="76"/>
      <x:c r="E25" s="76"/>
      <x:c r="F25" s="76"/>
      <x:c r="G25" s="80"/>
      <x:c r="H25" s="76"/>
      <x:c r="I25" s="76"/>
      <x:c r="J25" s="76"/>
      <x:c r="K25" s="76"/>
      <x:c r="L25" s="76"/>
      <x:c r="M25" s="76"/>
      <x:c r="N25" s="78" t="str">
        <x:f>IF(B25="","",TODAY())</x:f>
      </x:c>
      <x:c r="O25" s="76"/>
      <x:c r="P25" s="76" t="str">
        <x:f>IF(B25="","",IF(OR(C25="",D25="",F25="",G25="",J25="",K25="",L25&lt;&gt;"Validé humainement"),"ALERTE: données/preuves/statut",IF(OR(AND(ISNUMBER(G25),OR(G25&lt;0,G25&gt;1000)),AND(ISNUMBER(H25),H25&gt;31)),"ALERTE: valeur anormale","OK")))</x:f>
      </x:c>
      <x:c r="Q25" s="76" t="str">
        <x:f>IF(B25="","",IF(L25="Validé humainement","Oui","Non"))</x:f>
      </x:c>
    </x:row>
    <x:row r="26">
      <x:c r="A26" s="76" t="str">
        <x:f>IF(B26="","","PLUIE-"&amp;TEXT(ROW()-4,"0000"))</x:f>
      </x:c>
      <x:c r="B26" s="78"/>
      <x:c r="C26" s="76"/>
      <x:c r="D26" s="76"/>
      <x:c r="E26" s="76"/>
      <x:c r="F26" s="76"/>
      <x:c r="G26" s="80"/>
      <x:c r="H26" s="76"/>
      <x:c r="I26" s="76"/>
      <x:c r="J26" s="76"/>
      <x:c r="K26" s="76"/>
      <x:c r="L26" s="76"/>
      <x:c r="M26" s="76"/>
      <x:c r="N26" s="78" t="str">
        <x:f>IF(B26="","",TODAY())</x:f>
      </x:c>
      <x:c r="O26" s="76"/>
      <x:c r="P26" s="76" t="str">
        <x:f>IF(B26="","",IF(OR(C26="",D26="",F26="",G26="",J26="",K26="",L26&lt;&gt;"Validé humainement"),"ALERTE: données/preuves/statut",IF(OR(AND(ISNUMBER(G26),OR(G26&lt;0,G26&gt;1000)),AND(ISNUMBER(H26),H26&gt;31)),"ALERTE: valeur anormale","OK")))</x:f>
      </x:c>
      <x:c r="Q26" s="76" t="str">
        <x:f>IF(B26="","",IF(L26="Validé humainement","Oui","Non"))</x:f>
      </x:c>
    </x:row>
    <x:row r="27">
      <x:c r="A27" s="76" t="str">
        <x:f>IF(B27="","","PLUIE-"&amp;TEXT(ROW()-4,"0000"))</x:f>
      </x:c>
      <x:c r="B27" s="78"/>
      <x:c r="C27" s="76"/>
      <x:c r="D27" s="76"/>
      <x:c r="E27" s="76"/>
      <x:c r="F27" s="76"/>
      <x:c r="G27" s="80"/>
      <x:c r="H27" s="76"/>
      <x:c r="I27" s="76"/>
      <x:c r="J27" s="76"/>
      <x:c r="K27" s="76"/>
      <x:c r="L27" s="76"/>
      <x:c r="M27" s="76"/>
      <x:c r="N27" s="78" t="str">
        <x:f>IF(B27="","",TODAY())</x:f>
      </x:c>
      <x:c r="O27" s="76"/>
      <x:c r="P27" s="76" t="str">
        <x:f>IF(B27="","",IF(OR(C27="",D27="",F27="",G27="",J27="",K27="",L27&lt;&gt;"Validé humainement"),"ALERTE: données/preuves/statut",IF(OR(AND(ISNUMBER(G27),OR(G27&lt;0,G27&gt;1000)),AND(ISNUMBER(H27),H27&gt;31)),"ALERTE: valeur anormale","OK")))</x:f>
      </x:c>
      <x:c r="Q27" s="76" t="str">
        <x:f>IF(B27="","",IF(L27="Validé humainement","Oui","Non"))</x:f>
      </x:c>
    </x:row>
    <x:row r="28">
      <x:c r="A28" s="76" t="str">
        <x:f>IF(B28="","","PLUIE-"&amp;TEXT(ROW()-4,"0000"))</x:f>
      </x:c>
      <x:c r="B28" s="78"/>
      <x:c r="C28" s="76"/>
      <x:c r="D28" s="76"/>
      <x:c r="E28" s="76"/>
      <x:c r="F28" s="76"/>
      <x:c r="G28" s="80"/>
      <x:c r="H28" s="76"/>
      <x:c r="I28" s="76"/>
      <x:c r="J28" s="76"/>
      <x:c r="K28" s="76"/>
      <x:c r="L28" s="76"/>
      <x:c r="M28" s="76"/>
      <x:c r="N28" s="78" t="str">
        <x:f>IF(B28="","",TODAY())</x:f>
      </x:c>
      <x:c r="O28" s="76"/>
      <x:c r="P28" s="76" t="str">
        <x:f>IF(B28="","",IF(OR(C28="",D28="",F28="",G28="",J28="",K28="",L28&lt;&gt;"Validé humainement"),"ALERTE: données/preuves/statut",IF(OR(AND(ISNUMBER(G28),OR(G28&lt;0,G28&gt;1000)),AND(ISNUMBER(H28),H28&gt;31)),"ALERTE: valeur anormale","OK")))</x:f>
      </x:c>
      <x:c r="Q28" s="76" t="str">
        <x:f>IF(B28="","",IF(L28="Validé humainement","Oui","Non"))</x:f>
      </x:c>
    </x:row>
    <x:row r="29">
      <x:c r="A29" s="76" t="str">
        <x:f>IF(B29="","","PLUIE-"&amp;TEXT(ROW()-4,"0000"))</x:f>
      </x:c>
      <x:c r="B29" s="78"/>
      <x:c r="C29" s="76"/>
      <x:c r="D29" s="76"/>
      <x:c r="E29" s="76"/>
      <x:c r="F29" s="76"/>
      <x:c r="G29" s="80"/>
      <x:c r="H29" s="76"/>
      <x:c r="I29" s="76"/>
      <x:c r="J29" s="76"/>
      <x:c r="K29" s="76"/>
      <x:c r="L29" s="76"/>
      <x:c r="M29" s="76"/>
      <x:c r="N29" s="78" t="str">
        <x:f>IF(B29="","",TODAY())</x:f>
      </x:c>
      <x:c r="O29" s="76"/>
      <x:c r="P29" s="76" t="str">
        <x:f>IF(B29="","",IF(OR(C29="",D29="",F29="",G29="",J29="",K29="",L29&lt;&gt;"Validé humainement"),"ALERTE: données/preuves/statut",IF(OR(AND(ISNUMBER(G29),OR(G29&lt;0,G29&gt;1000)),AND(ISNUMBER(H29),H29&gt;31)),"ALERTE: valeur anormale","OK")))</x:f>
      </x:c>
      <x:c r="Q29" s="76" t="str">
        <x:f>IF(B29="","",IF(L29="Validé humainement","Oui","Non"))</x:f>
      </x:c>
    </x:row>
    <x:row r="30">
      <x:c r="A30" s="76" t="str">
        <x:f>IF(B30="","","PLUIE-"&amp;TEXT(ROW()-4,"0000"))</x:f>
      </x:c>
      <x:c r="B30" s="78"/>
      <x:c r="C30" s="76"/>
      <x:c r="D30" s="76"/>
      <x:c r="E30" s="76"/>
      <x:c r="F30" s="76"/>
      <x:c r="G30" s="80"/>
      <x:c r="H30" s="76"/>
      <x:c r="I30" s="76"/>
      <x:c r="J30" s="76"/>
      <x:c r="K30" s="76"/>
      <x:c r="L30" s="76"/>
      <x:c r="M30" s="76"/>
      <x:c r="N30" s="78" t="str">
        <x:f>IF(B30="","",TODAY())</x:f>
      </x:c>
      <x:c r="O30" s="76"/>
      <x:c r="P30" s="76" t="str">
        <x:f>IF(B30="","",IF(OR(C30="",D30="",F30="",G30="",J30="",K30="",L30&lt;&gt;"Validé humainement"),"ALERTE: données/preuves/statut",IF(OR(AND(ISNUMBER(G30),OR(G30&lt;0,G30&gt;1000)),AND(ISNUMBER(H30),H30&gt;31)),"ALERTE: valeur anormale","OK")))</x:f>
      </x:c>
      <x:c r="Q30" s="76" t="str">
        <x:f>IF(B30="","",IF(L30="Validé humainement","Oui","Non"))</x:f>
      </x:c>
    </x:row>
    <x:row r="31">
      <x:c r="A31" s="76" t="str">
        <x:f>IF(B31="","","PLUIE-"&amp;TEXT(ROW()-4,"0000"))</x:f>
      </x:c>
      <x:c r="B31" s="78"/>
      <x:c r="C31" s="76"/>
      <x:c r="D31" s="76"/>
      <x:c r="E31" s="76"/>
      <x:c r="F31" s="76"/>
      <x:c r="G31" s="80"/>
      <x:c r="H31" s="76"/>
      <x:c r="I31" s="76"/>
      <x:c r="J31" s="76"/>
      <x:c r="K31" s="76"/>
      <x:c r="L31" s="76"/>
      <x:c r="M31" s="76"/>
      <x:c r="N31" s="78" t="str">
        <x:f>IF(B31="","",TODAY())</x:f>
      </x:c>
      <x:c r="O31" s="76"/>
      <x:c r="P31" s="76" t="str">
        <x:f>IF(B31="","",IF(OR(C31="",D31="",F31="",G31="",J31="",K31="",L31&lt;&gt;"Validé humainement"),"ALERTE: données/preuves/statut",IF(OR(AND(ISNUMBER(G31),OR(G31&lt;0,G31&gt;1000)),AND(ISNUMBER(H31),H31&gt;31)),"ALERTE: valeur anormale","OK")))</x:f>
      </x:c>
      <x:c r="Q31" s="76" t="str">
        <x:f>IF(B31="","",IF(L31="Validé humainement","Oui","Non"))</x:f>
      </x:c>
    </x:row>
    <x:row r="32">
      <x:c r="A32" s="76" t="str">
        <x:f>IF(B32="","","PLUIE-"&amp;TEXT(ROW()-4,"0000"))</x:f>
      </x:c>
      <x:c r="B32" s="78"/>
      <x:c r="C32" s="76"/>
      <x:c r="D32" s="76"/>
      <x:c r="E32" s="76"/>
      <x:c r="F32" s="76"/>
      <x:c r="G32" s="80"/>
      <x:c r="H32" s="76"/>
      <x:c r="I32" s="76"/>
      <x:c r="J32" s="76"/>
      <x:c r="K32" s="76"/>
      <x:c r="L32" s="76"/>
      <x:c r="M32" s="76"/>
      <x:c r="N32" s="78" t="str">
        <x:f>IF(B32="","",TODAY())</x:f>
      </x:c>
      <x:c r="O32" s="76"/>
      <x:c r="P32" s="76" t="str">
        <x:f>IF(B32="","",IF(OR(C32="",D32="",F32="",G32="",J32="",K32="",L32&lt;&gt;"Validé humainement"),"ALERTE: données/preuves/statut",IF(OR(AND(ISNUMBER(G32),OR(G32&lt;0,G32&gt;1000)),AND(ISNUMBER(H32),H32&gt;31)),"ALERTE: valeur anormale","OK")))</x:f>
      </x:c>
      <x:c r="Q32" s="76" t="str">
        <x:f>IF(B32="","",IF(L32="Validé humainement","Oui","Non"))</x:f>
      </x:c>
    </x:row>
    <x:row r="33">
      <x:c r="A33" s="76" t="str">
        <x:f>IF(B33="","","PLUIE-"&amp;TEXT(ROW()-4,"0000"))</x:f>
      </x:c>
      <x:c r="B33" s="78"/>
      <x:c r="C33" s="76"/>
      <x:c r="D33" s="76"/>
      <x:c r="E33" s="76"/>
      <x:c r="F33" s="76"/>
      <x:c r="G33" s="80"/>
      <x:c r="H33" s="76"/>
      <x:c r="I33" s="76"/>
      <x:c r="J33" s="76"/>
      <x:c r="K33" s="76"/>
      <x:c r="L33" s="76"/>
      <x:c r="M33" s="76"/>
      <x:c r="N33" s="78" t="str">
        <x:f>IF(B33="","",TODAY())</x:f>
      </x:c>
      <x:c r="O33" s="76"/>
      <x:c r="P33" s="76" t="str">
        <x:f>IF(B33="","",IF(OR(C33="",D33="",F33="",G33="",J33="",K33="",L33&lt;&gt;"Validé humainement"),"ALERTE: données/preuves/statut",IF(OR(AND(ISNUMBER(G33),OR(G33&lt;0,G33&gt;1000)),AND(ISNUMBER(H33),H33&gt;31)),"ALERTE: valeur anormale","OK")))</x:f>
      </x:c>
      <x:c r="Q33" s="76" t="str">
        <x:f>IF(B33="","",IF(L33="Validé humainement","Oui","Non"))</x:f>
      </x:c>
    </x:row>
    <x:row r="34">
      <x:c r="A34" s="76" t="str">
        <x:f>IF(B34="","","PLUIE-"&amp;TEXT(ROW()-4,"0000"))</x:f>
      </x:c>
      <x:c r="B34" s="78"/>
      <x:c r="C34" s="76"/>
      <x:c r="D34" s="76"/>
      <x:c r="E34" s="76"/>
      <x:c r="F34" s="76"/>
      <x:c r="G34" s="80"/>
      <x:c r="H34" s="76"/>
      <x:c r="I34" s="76"/>
      <x:c r="J34" s="76"/>
      <x:c r="K34" s="76"/>
      <x:c r="L34" s="76"/>
      <x:c r="M34" s="76"/>
      <x:c r="N34" s="78" t="str">
        <x:f>IF(B34="","",TODAY())</x:f>
      </x:c>
      <x:c r="O34" s="76"/>
      <x:c r="P34" s="76" t="str">
        <x:f>IF(B34="","",IF(OR(C34="",D34="",F34="",G34="",J34="",K34="",L34&lt;&gt;"Validé humainement"),"ALERTE: données/preuves/statut",IF(OR(AND(ISNUMBER(G34),OR(G34&lt;0,G34&gt;1000)),AND(ISNUMBER(H34),H34&gt;31)),"ALERTE: valeur anormale","OK")))</x:f>
      </x:c>
      <x:c r="Q34" s="76" t="str">
        <x:f>IF(B34="","",IF(L34="Validé humainement","Oui","Non"))</x:f>
      </x:c>
    </x:row>
    <x:row r="35">
      <x:c r="A35" s="76" t="str">
        <x:f>IF(B35="","","PLUIE-"&amp;TEXT(ROW()-4,"0000"))</x:f>
      </x:c>
      <x:c r="B35" s="78"/>
      <x:c r="C35" s="76"/>
      <x:c r="D35" s="76"/>
      <x:c r="E35" s="76"/>
      <x:c r="F35" s="76"/>
      <x:c r="G35" s="80"/>
      <x:c r="H35" s="76"/>
      <x:c r="I35" s="76"/>
      <x:c r="J35" s="76"/>
      <x:c r="K35" s="76"/>
      <x:c r="L35" s="76"/>
      <x:c r="M35" s="76"/>
      <x:c r="N35" s="78" t="str">
        <x:f>IF(B35="","",TODAY())</x:f>
      </x:c>
      <x:c r="O35" s="76"/>
      <x:c r="P35" s="76" t="str">
        <x:f>IF(B35="","",IF(OR(C35="",D35="",F35="",G35="",J35="",K35="",L35&lt;&gt;"Validé humainement"),"ALERTE: données/preuves/statut",IF(OR(AND(ISNUMBER(G35),OR(G35&lt;0,G35&gt;1000)),AND(ISNUMBER(H35),H35&gt;31)),"ALERTE: valeur anormale","OK")))</x:f>
      </x:c>
      <x:c r="Q35" s="76" t="str">
        <x:f>IF(B35="","",IF(L35="Validé humainement","Oui","Non"))</x:f>
      </x:c>
    </x:row>
    <x:row r="36">
      <x:c r="A36" s="76" t="str">
        <x:f>IF(B36="","","PLUIE-"&amp;TEXT(ROW()-4,"0000"))</x:f>
      </x:c>
      <x:c r="B36" s="78"/>
      <x:c r="C36" s="76"/>
      <x:c r="D36" s="76"/>
      <x:c r="E36" s="76"/>
      <x:c r="F36" s="76"/>
      <x:c r="G36" s="80"/>
      <x:c r="H36" s="76"/>
      <x:c r="I36" s="76"/>
      <x:c r="J36" s="76"/>
      <x:c r="K36" s="76"/>
      <x:c r="L36" s="76"/>
      <x:c r="M36" s="76"/>
      <x:c r="N36" s="78" t="str">
        <x:f>IF(B36="","",TODAY())</x:f>
      </x:c>
      <x:c r="O36" s="76"/>
      <x:c r="P36" s="76" t="str">
        <x:f>IF(B36="","",IF(OR(C36="",D36="",F36="",G36="",J36="",K36="",L36&lt;&gt;"Validé humainement"),"ALERTE: données/preuves/statut",IF(OR(AND(ISNUMBER(G36),OR(G36&lt;0,G36&gt;1000)),AND(ISNUMBER(H36),H36&gt;31)),"ALERTE: valeur anormale","OK")))</x:f>
      </x:c>
      <x:c r="Q36" s="76" t="str">
        <x:f>IF(B36="","",IF(L36="Validé humainement","Oui","Non"))</x:f>
      </x:c>
    </x:row>
    <x:row r="37">
      <x:c r="A37" s="76" t="str">
        <x:f>IF(B37="","","PLUIE-"&amp;TEXT(ROW()-4,"0000"))</x:f>
      </x:c>
      <x:c r="B37" s="78"/>
      <x:c r="C37" s="76"/>
      <x:c r="D37" s="76"/>
      <x:c r="E37" s="76"/>
      <x:c r="F37" s="76"/>
      <x:c r="G37" s="80"/>
      <x:c r="H37" s="76"/>
      <x:c r="I37" s="76"/>
      <x:c r="J37" s="76"/>
      <x:c r="K37" s="76"/>
      <x:c r="L37" s="76"/>
      <x:c r="M37" s="76"/>
      <x:c r="N37" s="78" t="str">
        <x:f>IF(B37="","",TODAY())</x:f>
      </x:c>
      <x:c r="O37" s="76"/>
      <x:c r="P37" s="76" t="str">
        <x:f>IF(B37="","",IF(OR(C37="",D37="",F37="",G37="",J37="",K37="",L37&lt;&gt;"Validé humainement"),"ALERTE: données/preuves/statut",IF(OR(AND(ISNUMBER(G37),OR(G37&lt;0,G37&gt;1000)),AND(ISNUMBER(H37),H37&gt;31)),"ALERTE: valeur anormale","OK")))</x:f>
      </x:c>
      <x:c r="Q37" s="76" t="str">
        <x:f>IF(B37="","",IF(L37="Validé humainement","Oui","Non"))</x:f>
      </x:c>
    </x:row>
    <x:row r="38">
      <x:c r="A38" s="76" t="str">
        <x:f>IF(B38="","","PLUIE-"&amp;TEXT(ROW()-4,"0000"))</x:f>
      </x:c>
      <x:c r="B38" s="78"/>
      <x:c r="C38" s="76"/>
      <x:c r="D38" s="76"/>
      <x:c r="E38" s="76"/>
      <x:c r="F38" s="76"/>
      <x:c r="G38" s="80"/>
      <x:c r="H38" s="76"/>
      <x:c r="I38" s="76"/>
      <x:c r="J38" s="76"/>
      <x:c r="K38" s="76"/>
      <x:c r="L38" s="76"/>
      <x:c r="M38" s="76"/>
      <x:c r="N38" s="78" t="str">
        <x:f>IF(B38="","",TODAY())</x:f>
      </x:c>
      <x:c r="O38" s="76"/>
      <x:c r="P38" s="76" t="str">
        <x:f>IF(B38="","",IF(OR(C38="",D38="",F38="",G38="",J38="",K38="",L38&lt;&gt;"Validé humainement"),"ALERTE: données/preuves/statut",IF(OR(AND(ISNUMBER(G38),OR(G38&lt;0,G38&gt;1000)),AND(ISNUMBER(H38),H38&gt;31)),"ALERTE: valeur anormale","OK")))</x:f>
      </x:c>
      <x:c r="Q38" s="76" t="str">
        <x:f>IF(B38="","",IF(L38="Validé humainement","Oui","Non"))</x:f>
      </x:c>
    </x:row>
    <x:row r="39">
      <x:c r="A39" s="76" t="str">
        <x:f>IF(B39="","","PLUIE-"&amp;TEXT(ROW()-4,"0000"))</x:f>
      </x:c>
      <x:c r="B39" s="78"/>
      <x:c r="C39" s="76"/>
      <x:c r="D39" s="76"/>
      <x:c r="E39" s="76"/>
      <x:c r="F39" s="76"/>
      <x:c r="G39" s="80"/>
      <x:c r="H39" s="76"/>
      <x:c r="I39" s="76"/>
      <x:c r="J39" s="76"/>
      <x:c r="K39" s="76"/>
      <x:c r="L39" s="76"/>
      <x:c r="M39" s="76"/>
      <x:c r="N39" s="78" t="str">
        <x:f>IF(B39="","",TODAY())</x:f>
      </x:c>
      <x:c r="O39" s="76"/>
      <x:c r="P39" s="76" t="str">
        <x:f>IF(B39="","",IF(OR(C39="",D39="",F39="",G39="",J39="",K39="",L39&lt;&gt;"Validé humainement"),"ALERTE: données/preuves/statut",IF(OR(AND(ISNUMBER(G39),OR(G39&lt;0,G39&gt;1000)),AND(ISNUMBER(H39),H39&gt;31)),"ALERTE: valeur anormale","OK")))</x:f>
      </x:c>
      <x:c r="Q39" s="76" t="str">
        <x:f>IF(B39="","",IF(L39="Validé humainement","Oui","Non"))</x:f>
      </x:c>
    </x:row>
    <x:row r="40">
      <x:c r="A40" s="76" t="str">
        <x:f>IF(B40="","","PLUIE-"&amp;TEXT(ROW()-4,"0000"))</x:f>
      </x:c>
      <x:c r="B40" s="78"/>
      <x:c r="C40" s="76"/>
      <x:c r="D40" s="76"/>
      <x:c r="E40" s="76"/>
      <x:c r="F40" s="76"/>
      <x:c r="G40" s="80"/>
      <x:c r="H40" s="76"/>
      <x:c r="I40" s="76"/>
      <x:c r="J40" s="76"/>
      <x:c r="K40" s="76"/>
      <x:c r="L40" s="76"/>
      <x:c r="M40" s="76"/>
      <x:c r="N40" s="78" t="str">
        <x:f>IF(B40="","",TODAY())</x:f>
      </x:c>
      <x:c r="O40" s="76"/>
      <x:c r="P40" s="76" t="str">
        <x:f>IF(B40="","",IF(OR(C40="",D40="",F40="",G40="",J40="",K40="",L40&lt;&gt;"Validé humainement"),"ALERTE: données/preuves/statut",IF(OR(AND(ISNUMBER(G40),OR(G40&lt;0,G40&gt;1000)),AND(ISNUMBER(H40),H40&gt;31)),"ALERTE: valeur anormale","OK")))</x:f>
      </x:c>
      <x:c r="Q40" s="76" t="str">
        <x:f>IF(B40="","",IF(L40="Validé humainement","Oui","Non"))</x:f>
      </x:c>
    </x:row>
    <x:row r="41">
      <x:c r="A41" s="76" t="str">
        <x:f>IF(B41="","","PLUIE-"&amp;TEXT(ROW()-4,"0000"))</x:f>
      </x:c>
      <x:c r="B41" s="78"/>
      <x:c r="C41" s="76"/>
      <x:c r="D41" s="76"/>
      <x:c r="E41" s="76"/>
      <x:c r="F41" s="76"/>
      <x:c r="G41" s="80"/>
      <x:c r="H41" s="76"/>
      <x:c r="I41" s="76"/>
      <x:c r="J41" s="76"/>
      <x:c r="K41" s="76"/>
      <x:c r="L41" s="76"/>
      <x:c r="M41" s="76"/>
      <x:c r="N41" s="78" t="str">
        <x:f>IF(B41="","",TODAY())</x:f>
      </x:c>
      <x:c r="O41" s="76"/>
      <x:c r="P41" s="76" t="str">
        <x:f>IF(B41="","",IF(OR(C41="",D41="",F41="",G41="",J41="",K41="",L41&lt;&gt;"Validé humainement"),"ALERTE: données/preuves/statut",IF(OR(AND(ISNUMBER(G41),OR(G41&lt;0,G41&gt;1000)),AND(ISNUMBER(H41),H41&gt;31)),"ALERTE: valeur anormale","OK")))</x:f>
      </x:c>
      <x:c r="Q41" s="76" t="str">
        <x:f>IF(B41="","",IF(L41="Validé humainement","Oui","Non"))</x:f>
      </x:c>
    </x:row>
    <x:row r="42">
      <x:c r="A42" s="76" t="str">
        <x:f>IF(B42="","","PLUIE-"&amp;TEXT(ROW()-4,"0000"))</x:f>
      </x:c>
      <x:c r="B42" s="78"/>
      <x:c r="C42" s="76"/>
      <x:c r="D42" s="76"/>
      <x:c r="E42" s="76"/>
      <x:c r="F42" s="76"/>
      <x:c r="G42" s="80"/>
      <x:c r="H42" s="76"/>
      <x:c r="I42" s="76"/>
      <x:c r="J42" s="76"/>
      <x:c r="K42" s="76"/>
      <x:c r="L42" s="76"/>
      <x:c r="M42" s="76"/>
      <x:c r="N42" s="78" t="str">
        <x:f>IF(B42="","",TODAY())</x:f>
      </x:c>
      <x:c r="O42" s="76"/>
      <x:c r="P42" s="76" t="str">
        <x:f>IF(B42="","",IF(OR(C42="",D42="",F42="",G42="",J42="",K42="",L42&lt;&gt;"Validé humainement"),"ALERTE: données/preuves/statut",IF(OR(AND(ISNUMBER(G42),OR(G42&lt;0,G42&gt;1000)),AND(ISNUMBER(H42),H42&gt;31)),"ALERTE: valeur anormale","OK")))</x:f>
      </x:c>
      <x:c r="Q42" s="76" t="str">
        <x:f>IF(B42="","",IF(L42="Validé humainement","Oui","Non"))</x:f>
      </x:c>
    </x:row>
    <x:row r="43">
      <x:c r="A43" s="76" t="str">
        <x:f>IF(B43="","","PLUIE-"&amp;TEXT(ROW()-4,"0000"))</x:f>
      </x:c>
      <x:c r="B43" s="78"/>
      <x:c r="C43" s="76"/>
      <x:c r="D43" s="76"/>
      <x:c r="E43" s="76"/>
      <x:c r="F43" s="76"/>
      <x:c r="G43" s="80"/>
      <x:c r="H43" s="76"/>
      <x:c r="I43" s="76"/>
      <x:c r="J43" s="76"/>
      <x:c r="K43" s="76"/>
      <x:c r="L43" s="76"/>
      <x:c r="M43" s="76"/>
      <x:c r="N43" s="78" t="str">
        <x:f>IF(B43="","",TODAY())</x:f>
      </x:c>
      <x:c r="O43" s="76"/>
      <x:c r="P43" s="76" t="str">
        <x:f>IF(B43="","",IF(OR(C43="",D43="",F43="",G43="",J43="",K43="",L43&lt;&gt;"Validé humainement"),"ALERTE: données/preuves/statut",IF(OR(AND(ISNUMBER(G43),OR(G43&lt;0,G43&gt;1000)),AND(ISNUMBER(H43),H43&gt;31)),"ALERTE: valeur anormale","OK")))</x:f>
      </x:c>
      <x:c r="Q43" s="76" t="str">
        <x:f>IF(B43="","",IF(L43="Validé humainement","Oui","Non"))</x:f>
      </x:c>
    </x:row>
    <x:row r="44">
      <x:c r="A44" s="76" t="str">
        <x:f>IF(B44="","","PLUIE-"&amp;TEXT(ROW()-4,"0000"))</x:f>
      </x:c>
      <x:c r="B44" s="78"/>
      <x:c r="C44" s="76"/>
      <x:c r="D44" s="76"/>
      <x:c r="E44" s="76"/>
      <x:c r="F44" s="76"/>
      <x:c r="G44" s="80"/>
      <x:c r="H44" s="76"/>
      <x:c r="I44" s="76"/>
      <x:c r="J44" s="76"/>
      <x:c r="K44" s="76"/>
      <x:c r="L44" s="76"/>
      <x:c r="M44" s="76"/>
      <x:c r="N44" s="78" t="str">
        <x:f>IF(B44="","",TODAY())</x:f>
      </x:c>
      <x:c r="O44" s="76"/>
      <x:c r="P44" s="76" t="str">
        <x:f>IF(B44="","",IF(OR(C44="",D44="",F44="",G44="",J44="",K44="",L44&lt;&gt;"Validé humainement"),"ALERTE: données/preuves/statut",IF(OR(AND(ISNUMBER(G44),OR(G44&lt;0,G44&gt;1000)),AND(ISNUMBER(H44),H44&gt;31)),"ALERTE: valeur anormale","OK")))</x:f>
      </x:c>
      <x:c r="Q44" s="76" t="str">
        <x:f>IF(B44="","",IF(L44="Validé humainement","Oui","Non"))</x:f>
      </x:c>
    </x:row>
    <x:row r="45">
      <x:c r="A45" s="76" t="str">
        <x:f>IF(B45="","","PLUIE-"&amp;TEXT(ROW()-4,"0000"))</x:f>
      </x:c>
      <x:c r="B45" s="78"/>
      <x:c r="C45" s="76"/>
      <x:c r="D45" s="76"/>
      <x:c r="E45" s="76"/>
      <x:c r="F45" s="76"/>
      <x:c r="G45" s="80"/>
      <x:c r="H45" s="76"/>
      <x:c r="I45" s="76"/>
      <x:c r="J45" s="76"/>
      <x:c r="K45" s="76"/>
      <x:c r="L45" s="76"/>
      <x:c r="M45" s="76"/>
      <x:c r="N45" s="78" t="str">
        <x:f>IF(B45="","",TODAY())</x:f>
      </x:c>
      <x:c r="O45" s="76"/>
      <x:c r="P45" s="76" t="str">
        <x:f>IF(B45="","",IF(OR(C45="",D45="",F45="",G45="",J45="",K45="",L45&lt;&gt;"Validé humainement"),"ALERTE: données/preuves/statut",IF(OR(AND(ISNUMBER(G45),OR(G45&lt;0,G45&gt;1000)),AND(ISNUMBER(H45),H45&gt;31)),"ALERTE: valeur anormale","OK")))</x:f>
      </x:c>
      <x:c r="Q45" s="76" t="str">
        <x:f>IF(B45="","",IF(L45="Validé humainement","Oui","Non"))</x:f>
      </x:c>
    </x:row>
    <x:row r="46">
      <x:c r="A46" s="76" t="str">
        <x:f>IF(B46="","","PLUIE-"&amp;TEXT(ROW()-4,"0000"))</x:f>
      </x:c>
      <x:c r="B46" s="78"/>
      <x:c r="C46" s="76"/>
      <x:c r="D46" s="76"/>
      <x:c r="E46" s="76"/>
      <x:c r="F46" s="76"/>
      <x:c r="G46" s="80"/>
      <x:c r="H46" s="76"/>
      <x:c r="I46" s="76"/>
      <x:c r="J46" s="76"/>
      <x:c r="K46" s="76"/>
      <x:c r="L46" s="76"/>
      <x:c r="M46" s="76"/>
      <x:c r="N46" s="78" t="str">
        <x:f>IF(B46="","",TODAY())</x:f>
      </x:c>
      <x:c r="O46" s="76"/>
      <x:c r="P46" s="76" t="str">
        <x:f>IF(B46="","",IF(OR(C46="",D46="",F46="",G46="",J46="",K46="",L46&lt;&gt;"Validé humainement"),"ALERTE: données/preuves/statut",IF(OR(AND(ISNUMBER(G46),OR(G46&lt;0,G46&gt;1000)),AND(ISNUMBER(H46),H46&gt;31)),"ALERTE: valeur anormale","OK")))</x:f>
      </x:c>
      <x:c r="Q46" s="76" t="str">
        <x:f>IF(B46="","",IF(L46="Validé humainement","Oui","Non"))</x:f>
      </x:c>
    </x:row>
    <x:row r="47">
      <x:c r="A47" s="76" t="str">
        <x:f>IF(B47="","","PLUIE-"&amp;TEXT(ROW()-4,"0000"))</x:f>
      </x:c>
      <x:c r="B47" s="78"/>
      <x:c r="C47" s="76"/>
      <x:c r="D47" s="76"/>
      <x:c r="E47" s="76"/>
      <x:c r="F47" s="76"/>
      <x:c r="G47" s="80"/>
      <x:c r="H47" s="76"/>
      <x:c r="I47" s="76"/>
      <x:c r="J47" s="76"/>
      <x:c r="K47" s="76"/>
      <x:c r="L47" s="76"/>
      <x:c r="M47" s="76"/>
      <x:c r="N47" s="78" t="str">
        <x:f>IF(B47="","",TODAY())</x:f>
      </x:c>
      <x:c r="O47" s="76"/>
      <x:c r="P47" s="76" t="str">
        <x:f>IF(B47="","",IF(OR(C47="",D47="",F47="",G47="",J47="",K47="",L47&lt;&gt;"Validé humainement"),"ALERTE: données/preuves/statut",IF(OR(AND(ISNUMBER(G47),OR(G47&lt;0,G47&gt;1000)),AND(ISNUMBER(H47),H47&gt;31)),"ALERTE: valeur anormale","OK")))</x:f>
      </x:c>
      <x:c r="Q47" s="76" t="str">
        <x:f>IF(B47="","",IF(L47="Validé humainement","Oui","Non"))</x:f>
      </x:c>
    </x:row>
    <x:row r="48">
      <x:c r="A48" s="76" t="str">
        <x:f>IF(B48="","","PLUIE-"&amp;TEXT(ROW()-4,"0000"))</x:f>
      </x:c>
      <x:c r="B48" s="78"/>
      <x:c r="C48" s="76"/>
      <x:c r="D48" s="76"/>
      <x:c r="E48" s="76"/>
      <x:c r="F48" s="76"/>
      <x:c r="G48" s="80"/>
      <x:c r="H48" s="76"/>
      <x:c r="I48" s="76"/>
      <x:c r="J48" s="76"/>
      <x:c r="K48" s="76"/>
      <x:c r="L48" s="76"/>
      <x:c r="M48" s="76"/>
      <x:c r="N48" s="78" t="str">
        <x:f>IF(B48="","",TODAY())</x:f>
      </x:c>
      <x:c r="O48" s="76"/>
      <x:c r="P48" s="76" t="str">
        <x:f>IF(B48="","",IF(OR(C48="",D48="",F48="",G48="",J48="",K48="",L48&lt;&gt;"Validé humainement"),"ALERTE: données/preuves/statut",IF(OR(AND(ISNUMBER(G48),OR(G48&lt;0,G48&gt;1000)),AND(ISNUMBER(H48),H48&gt;31)),"ALERTE: valeur anormale","OK")))</x:f>
      </x:c>
      <x:c r="Q48" s="76" t="str">
        <x:f>IF(B48="","",IF(L48="Validé humainement","Oui","Non"))</x:f>
      </x:c>
    </x:row>
    <x:row r="49">
      <x:c r="A49" s="76" t="str">
        <x:f>IF(B49="","","PLUIE-"&amp;TEXT(ROW()-4,"0000"))</x:f>
      </x:c>
      <x:c r="B49" s="78"/>
      <x:c r="C49" s="76"/>
      <x:c r="D49" s="76"/>
      <x:c r="E49" s="76"/>
      <x:c r="F49" s="76"/>
      <x:c r="G49" s="80"/>
      <x:c r="H49" s="76"/>
      <x:c r="I49" s="76"/>
      <x:c r="J49" s="76"/>
      <x:c r="K49" s="76"/>
      <x:c r="L49" s="76"/>
      <x:c r="M49" s="76"/>
      <x:c r="N49" s="78" t="str">
        <x:f>IF(B49="","",TODAY())</x:f>
      </x:c>
      <x:c r="O49" s="76"/>
      <x:c r="P49" s="76" t="str">
        <x:f>IF(B49="","",IF(OR(C49="",D49="",F49="",G49="",J49="",K49="",L49&lt;&gt;"Validé humainement"),"ALERTE: données/preuves/statut",IF(OR(AND(ISNUMBER(G49),OR(G49&lt;0,G49&gt;1000)),AND(ISNUMBER(H49),H49&gt;31)),"ALERTE: valeur anormale","OK")))</x:f>
      </x:c>
      <x:c r="Q49" s="76" t="str">
        <x:f>IF(B49="","",IF(L49="Validé humainement","Oui","Non"))</x:f>
      </x:c>
    </x:row>
    <x:row r="50">
      <x:c r="A50" s="76" t="str">
        <x:f>IF(B50="","","PLUIE-"&amp;TEXT(ROW()-4,"0000"))</x:f>
      </x:c>
      <x:c r="B50" s="78"/>
      <x:c r="C50" s="76"/>
      <x:c r="D50" s="76"/>
      <x:c r="E50" s="76"/>
      <x:c r="F50" s="76"/>
      <x:c r="G50" s="80"/>
      <x:c r="H50" s="76"/>
      <x:c r="I50" s="76"/>
      <x:c r="J50" s="76"/>
      <x:c r="K50" s="76"/>
      <x:c r="L50" s="76"/>
      <x:c r="M50" s="76"/>
      <x:c r="N50" s="78" t="str">
        <x:f>IF(B50="","",TODAY())</x:f>
      </x:c>
      <x:c r="O50" s="76"/>
      <x:c r="P50" s="76" t="str">
        <x:f>IF(B50="","",IF(OR(C50="",D50="",F50="",G50="",J50="",K50="",L50&lt;&gt;"Validé humainement"),"ALERTE: données/preuves/statut",IF(OR(AND(ISNUMBER(G50),OR(G50&lt;0,G50&gt;1000)),AND(ISNUMBER(H50),H50&gt;31)),"ALERTE: valeur anormale","OK")))</x:f>
      </x:c>
      <x:c r="Q50" s="76" t="str">
        <x:f>IF(B50="","",IF(L50="Validé humainement","Oui","Non"))</x:f>
      </x:c>
    </x:row>
    <x:row r="51">
      <x:c r="A51" s="76" t="str">
        <x:f>IF(B51="","","PLUIE-"&amp;TEXT(ROW()-4,"0000"))</x:f>
      </x:c>
      <x:c r="B51" s="78"/>
      <x:c r="C51" s="76"/>
      <x:c r="D51" s="76"/>
      <x:c r="E51" s="76"/>
      <x:c r="F51" s="76"/>
      <x:c r="G51" s="80"/>
      <x:c r="H51" s="76"/>
      <x:c r="I51" s="76"/>
      <x:c r="J51" s="76"/>
      <x:c r="K51" s="76"/>
      <x:c r="L51" s="76"/>
      <x:c r="M51" s="76"/>
      <x:c r="N51" s="78" t="str">
        <x:f>IF(B51="","",TODAY())</x:f>
      </x:c>
      <x:c r="O51" s="76"/>
      <x:c r="P51" s="76" t="str">
        <x:f>IF(B51="","",IF(OR(C51="",D51="",F51="",G51="",J51="",K51="",L51&lt;&gt;"Validé humainement"),"ALERTE: données/preuves/statut",IF(OR(AND(ISNUMBER(G51),OR(G51&lt;0,G51&gt;1000)),AND(ISNUMBER(H51),H51&gt;31)),"ALERTE: valeur anormale","OK")))</x:f>
      </x:c>
      <x:c r="Q51" s="76" t="str">
        <x:f>IF(B51="","",IF(L51="Validé humainement","Oui","Non"))</x:f>
      </x:c>
    </x:row>
    <x:row r="52">
      <x:c r="A52" s="76" t="str">
        <x:f>IF(B52="","","PLUIE-"&amp;TEXT(ROW()-4,"0000"))</x:f>
      </x:c>
      <x:c r="B52" s="78"/>
      <x:c r="C52" s="76"/>
      <x:c r="D52" s="76"/>
      <x:c r="E52" s="76"/>
      <x:c r="F52" s="76"/>
      <x:c r="G52" s="80"/>
      <x:c r="H52" s="76"/>
      <x:c r="I52" s="76"/>
      <x:c r="J52" s="76"/>
      <x:c r="K52" s="76"/>
      <x:c r="L52" s="76"/>
      <x:c r="M52" s="76"/>
      <x:c r="N52" s="78" t="str">
        <x:f>IF(B52="","",TODAY())</x:f>
      </x:c>
      <x:c r="O52" s="76"/>
      <x:c r="P52" s="76" t="str">
        <x:f>IF(B52="","",IF(OR(C52="",D52="",F52="",G52="",J52="",K52="",L52&lt;&gt;"Validé humainement"),"ALERTE: données/preuves/statut",IF(OR(AND(ISNUMBER(G52),OR(G52&lt;0,G52&gt;1000)),AND(ISNUMBER(H52),H52&gt;31)),"ALERTE: valeur anormale","OK")))</x:f>
      </x:c>
      <x:c r="Q52" s="76" t="str">
        <x:f>IF(B52="","",IF(L52="Validé humainement","Oui","Non"))</x:f>
      </x:c>
    </x:row>
    <x:row r="53">
      <x:c r="A53" s="76" t="str">
        <x:f>IF(B53="","","PLUIE-"&amp;TEXT(ROW()-4,"0000"))</x:f>
      </x:c>
      <x:c r="B53" s="78"/>
      <x:c r="C53" s="76"/>
      <x:c r="D53" s="76"/>
      <x:c r="E53" s="76"/>
      <x:c r="F53" s="76"/>
      <x:c r="G53" s="80"/>
      <x:c r="H53" s="76"/>
      <x:c r="I53" s="76"/>
      <x:c r="J53" s="76"/>
      <x:c r="K53" s="76"/>
      <x:c r="L53" s="76"/>
      <x:c r="M53" s="76"/>
      <x:c r="N53" s="78" t="str">
        <x:f>IF(B53="","",TODAY())</x:f>
      </x:c>
      <x:c r="O53" s="76"/>
      <x:c r="P53" s="76" t="str">
        <x:f>IF(B53="","",IF(OR(C53="",D53="",F53="",G53="",J53="",K53="",L53&lt;&gt;"Validé humainement"),"ALERTE: données/preuves/statut",IF(OR(AND(ISNUMBER(G53),OR(G53&lt;0,G53&gt;1000)),AND(ISNUMBER(H53),H53&gt;31)),"ALERTE: valeur anormale","OK")))</x:f>
      </x:c>
      <x:c r="Q53" s="76" t="str">
        <x:f>IF(B53="","",IF(L53="Validé humainement","Oui","Non"))</x:f>
      </x:c>
    </x:row>
    <x:row r="54">
      <x:c r="A54" s="76" t="str">
        <x:f>IF(B54="","","PLUIE-"&amp;TEXT(ROW()-4,"0000"))</x:f>
      </x:c>
      <x:c r="B54" s="78"/>
      <x:c r="C54" s="76"/>
      <x:c r="D54" s="76"/>
      <x:c r="E54" s="76"/>
      <x:c r="F54" s="76"/>
      <x:c r="G54" s="80"/>
      <x:c r="H54" s="76"/>
      <x:c r="I54" s="76"/>
      <x:c r="J54" s="76"/>
      <x:c r="K54" s="76"/>
      <x:c r="L54" s="76"/>
      <x:c r="M54" s="76"/>
      <x:c r="N54" s="78" t="str">
        <x:f>IF(B54="","",TODAY())</x:f>
      </x:c>
      <x:c r="O54" s="76"/>
      <x:c r="P54" s="76" t="str">
        <x:f>IF(B54="","",IF(OR(C54="",D54="",F54="",G54="",J54="",K54="",L54&lt;&gt;"Validé humainement"),"ALERTE: données/preuves/statut",IF(OR(AND(ISNUMBER(G54),OR(G54&lt;0,G54&gt;1000)),AND(ISNUMBER(H54),H54&gt;31)),"ALERTE: valeur anormale","OK")))</x:f>
      </x:c>
      <x:c r="Q54" s="76" t="str">
        <x:f>IF(B54="","",IF(L54="Validé humainement","Oui","Non"))</x:f>
      </x:c>
    </x:row>
    <x:row r="55">
      <x:c r="A55" s="76" t="str">
        <x:f>IF(B55="","","PLUIE-"&amp;TEXT(ROW()-4,"0000"))</x:f>
      </x:c>
      <x:c r="B55" s="78"/>
      <x:c r="C55" s="76"/>
      <x:c r="D55" s="76"/>
      <x:c r="E55" s="76"/>
      <x:c r="F55" s="76"/>
      <x:c r="G55" s="80"/>
      <x:c r="H55" s="76"/>
      <x:c r="I55" s="76"/>
      <x:c r="J55" s="76"/>
      <x:c r="K55" s="76"/>
      <x:c r="L55" s="76"/>
      <x:c r="M55" s="76"/>
      <x:c r="N55" s="78" t="str">
        <x:f>IF(B55="","",TODAY())</x:f>
      </x:c>
      <x:c r="O55" s="76"/>
      <x:c r="P55" s="76" t="str">
        <x:f>IF(B55="","",IF(OR(C55="",D55="",F55="",G55="",J55="",K55="",L55&lt;&gt;"Validé humainement"),"ALERTE: données/preuves/statut",IF(OR(AND(ISNUMBER(G55),OR(G55&lt;0,G55&gt;1000)),AND(ISNUMBER(H55),H55&gt;31)),"ALERTE: valeur anormale","OK")))</x:f>
      </x:c>
      <x:c r="Q55" s="76" t="str">
        <x:f>IF(B55="","",IF(L55="Validé humainement","Oui","Non"))</x:f>
      </x:c>
    </x:row>
    <x:row r="56">
      <x:c r="A56" s="76" t="str">
        <x:f>IF(B56="","","PLUIE-"&amp;TEXT(ROW()-4,"0000"))</x:f>
      </x:c>
      <x:c r="B56" s="78"/>
      <x:c r="C56" s="76"/>
      <x:c r="D56" s="76"/>
      <x:c r="E56" s="76"/>
      <x:c r="F56" s="76"/>
      <x:c r="G56" s="80"/>
      <x:c r="H56" s="76"/>
      <x:c r="I56" s="76"/>
      <x:c r="J56" s="76"/>
      <x:c r="K56" s="76"/>
      <x:c r="L56" s="76"/>
      <x:c r="M56" s="76"/>
      <x:c r="N56" s="78" t="str">
        <x:f>IF(B56="","",TODAY())</x:f>
      </x:c>
      <x:c r="O56" s="76"/>
      <x:c r="P56" s="76" t="str">
        <x:f>IF(B56="","",IF(OR(C56="",D56="",F56="",G56="",J56="",K56="",L56&lt;&gt;"Validé humainement"),"ALERTE: données/preuves/statut",IF(OR(AND(ISNUMBER(G56),OR(G56&lt;0,G56&gt;1000)),AND(ISNUMBER(H56),H56&gt;31)),"ALERTE: valeur anormale","OK")))</x:f>
      </x:c>
      <x:c r="Q56" s="76" t="str">
        <x:f>IF(B56="","",IF(L56="Validé humainement","Oui","Non"))</x:f>
      </x:c>
    </x:row>
    <x:row r="57">
      <x:c r="A57" s="76" t="str">
        <x:f>IF(B57="","","PLUIE-"&amp;TEXT(ROW()-4,"0000"))</x:f>
      </x:c>
      <x:c r="B57" s="78"/>
      <x:c r="C57" s="76"/>
      <x:c r="D57" s="76"/>
      <x:c r="E57" s="76"/>
      <x:c r="F57" s="76"/>
      <x:c r="G57" s="80"/>
      <x:c r="H57" s="76"/>
      <x:c r="I57" s="76"/>
      <x:c r="J57" s="76"/>
      <x:c r="K57" s="76"/>
      <x:c r="L57" s="76"/>
      <x:c r="M57" s="76"/>
      <x:c r="N57" s="78" t="str">
        <x:f>IF(B57="","",TODAY())</x:f>
      </x:c>
      <x:c r="O57" s="76"/>
      <x:c r="P57" s="76" t="str">
        <x:f>IF(B57="","",IF(OR(C57="",D57="",F57="",G57="",J57="",K57="",L57&lt;&gt;"Validé humainement"),"ALERTE: données/preuves/statut",IF(OR(AND(ISNUMBER(G57),OR(G57&lt;0,G57&gt;1000)),AND(ISNUMBER(H57),H57&gt;31)),"ALERTE: valeur anormale","OK")))</x:f>
      </x:c>
      <x:c r="Q57" s="76" t="str">
        <x:f>IF(B57="","",IF(L57="Validé humainement","Oui","Non"))</x:f>
      </x:c>
    </x:row>
    <x:row r="58">
      <x:c r="A58" s="76" t="str">
        <x:f>IF(B58="","","PLUIE-"&amp;TEXT(ROW()-4,"0000"))</x:f>
      </x:c>
      <x:c r="B58" s="78"/>
      <x:c r="C58" s="76"/>
      <x:c r="D58" s="76"/>
      <x:c r="E58" s="76"/>
      <x:c r="F58" s="76"/>
      <x:c r="G58" s="80"/>
      <x:c r="H58" s="76"/>
      <x:c r="I58" s="76"/>
      <x:c r="J58" s="76"/>
      <x:c r="K58" s="76"/>
      <x:c r="L58" s="76"/>
      <x:c r="M58" s="76"/>
      <x:c r="N58" s="78" t="str">
        <x:f>IF(B58="","",TODAY())</x:f>
      </x:c>
      <x:c r="O58" s="76"/>
      <x:c r="P58" s="76" t="str">
        <x:f>IF(B58="","",IF(OR(C58="",D58="",F58="",G58="",J58="",K58="",L58&lt;&gt;"Validé humainement"),"ALERTE: données/preuves/statut",IF(OR(AND(ISNUMBER(G58),OR(G58&lt;0,G58&gt;1000)),AND(ISNUMBER(H58),H58&gt;31)),"ALERTE: valeur anormale","OK")))</x:f>
      </x:c>
      <x:c r="Q58" s="76" t="str">
        <x:f>IF(B58="","",IF(L58="Validé humainement","Oui","Non"))</x:f>
      </x:c>
    </x:row>
    <x:row r="59">
      <x:c r="A59" s="76" t="str">
        <x:f>IF(B59="","","PLUIE-"&amp;TEXT(ROW()-4,"0000"))</x:f>
      </x:c>
      <x:c r="B59" s="78"/>
      <x:c r="C59" s="76"/>
      <x:c r="D59" s="76"/>
      <x:c r="E59" s="76"/>
      <x:c r="F59" s="76"/>
      <x:c r="G59" s="80"/>
      <x:c r="H59" s="76"/>
      <x:c r="I59" s="76"/>
      <x:c r="J59" s="76"/>
      <x:c r="K59" s="76"/>
      <x:c r="L59" s="76"/>
      <x:c r="M59" s="76"/>
      <x:c r="N59" s="78" t="str">
        <x:f>IF(B59="","",TODAY())</x:f>
      </x:c>
      <x:c r="O59" s="76"/>
      <x:c r="P59" s="76" t="str">
        <x:f>IF(B59="","",IF(OR(C59="",D59="",F59="",G59="",J59="",K59="",L59&lt;&gt;"Validé humainement"),"ALERTE: données/preuves/statut",IF(OR(AND(ISNUMBER(G59),OR(G59&lt;0,G59&gt;1000)),AND(ISNUMBER(H59),H59&gt;31)),"ALERTE: valeur anormale","OK")))</x:f>
      </x:c>
      <x:c r="Q59" s="76" t="str">
        <x:f>IF(B59="","",IF(L59="Validé humainement","Oui","Non"))</x:f>
      </x:c>
    </x:row>
    <x:row r="60">
      <x:c r="A60" s="76" t="str">
        <x:f>IF(B60="","","PLUIE-"&amp;TEXT(ROW()-4,"0000"))</x:f>
      </x:c>
      <x:c r="B60" s="78"/>
      <x:c r="C60" s="76"/>
      <x:c r="D60" s="76"/>
      <x:c r="E60" s="76"/>
      <x:c r="F60" s="76"/>
      <x:c r="G60" s="80"/>
      <x:c r="H60" s="76"/>
      <x:c r="I60" s="76"/>
      <x:c r="J60" s="76"/>
      <x:c r="K60" s="76"/>
      <x:c r="L60" s="76"/>
      <x:c r="M60" s="76"/>
      <x:c r="N60" s="78" t="str">
        <x:f>IF(B60="","",TODAY())</x:f>
      </x:c>
      <x:c r="O60" s="76"/>
      <x:c r="P60" s="76" t="str">
        <x:f>IF(B60="","",IF(OR(C60="",D60="",F60="",G60="",J60="",K60="",L60&lt;&gt;"Validé humainement"),"ALERTE: données/preuves/statut",IF(OR(AND(ISNUMBER(G60),OR(G60&lt;0,G60&gt;1000)),AND(ISNUMBER(H60),H60&gt;31)),"ALERTE: valeur anormale","OK")))</x:f>
      </x:c>
      <x:c r="Q60" s="76" t="str">
        <x:f>IF(B60="","",IF(L60="Validé humainement","Oui","Non"))</x:f>
      </x:c>
    </x:row>
    <x:row r="61">
      <x:c r="A61" s="76" t="str">
        <x:f>IF(B61="","","PLUIE-"&amp;TEXT(ROW()-4,"0000"))</x:f>
      </x:c>
      <x:c r="B61" s="78"/>
      <x:c r="C61" s="76"/>
      <x:c r="D61" s="76"/>
      <x:c r="E61" s="76"/>
      <x:c r="F61" s="76"/>
      <x:c r="G61" s="80"/>
      <x:c r="H61" s="76"/>
      <x:c r="I61" s="76"/>
      <x:c r="J61" s="76"/>
      <x:c r="K61" s="76"/>
      <x:c r="L61" s="76"/>
      <x:c r="M61" s="76"/>
      <x:c r="N61" s="78" t="str">
        <x:f>IF(B61="","",TODAY())</x:f>
      </x:c>
      <x:c r="O61" s="76"/>
      <x:c r="P61" s="76" t="str">
        <x:f>IF(B61="","",IF(OR(C61="",D61="",F61="",G61="",J61="",K61="",L61&lt;&gt;"Validé humainement"),"ALERTE: données/preuves/statut",IF(OR(AND(ISNUMBER(G61),OR(G61&lt;0,G61&gt;1000)),AND(ISNUMBER(H61),H61&gt;31)),"ALERTE: valeur anormale","OK")))</x:f>
      </x:c>
      <x:c r="Q61" s="76" t="str">
        <x:f>IF(B61="","",IF(L61="Validé humainement","Oui","Non"))</x:f>
      </x:c>
    </x:row>
    <x:row r="62">
      <x:c r="A62" s="76" t="str">
        <x:f>IF(B62="","","PLUIE-"&amp;TEXT(ROW()-4,"0000"))</x:f>
      </x:c>
      <x:c r="B62" s="78"/>
      <x:c r="C62" s="76"/>
      <x:c r="D62" s="76"/>
      <x:c r="E62" s="76"/>
      <x:c r="F62" s="76"/>
      <x:c r="G62" s="80"/>
      <x:c r="H62" s="76"/>
      <x:c r="I62" s="76"/>
      <x:c r="J62" s="76"/>
      <x:c r="K62" s="76"/>
      <x:c r="L62" s="76"/>
      <x:c r="M62" s="76"/>
      <x:c r="N62" s="78" t="str">
        <x:f>IF(B62="","",TODAY())</x:f>
      </x:c>
      <x:c r="O62" s="76"/>
      <x:c r="P62" s="76" t="str">
        <x:f>IF(B62="","",IF(OR(C62="",D62="",F62="",G62="",J62="",K62="",L62&lt;&gt;"Validé humainement"),"ALERTE: données/preuves/statut",IF(OR(AND(ISNUMBER(G62),OR(G62&lt;0,G62&gt;1000)),AND(ISNUMBER(H62),H62&gt;31)),"ALERTE: valeur anormale","OK")))</x:f>
      </x:c>
      <x:c r="Q62" s="76" t="str">
        <x:f>IF(B62="","",IF(L62="Validé humainement","Oui","Non"))</x:f>
      </x:c>
    </x:row>
    <x:row r="63">
      <x:c r="A63" s="76" t="str">
        <x:f>IF(B63="","","PLUIE-"&amp;TEXT(ROW()-4,"0000"))</x:f>
      </x:c>
      <x:c r="B63" s="78"/>
      <x:c r="C63" s="76"/>
      <x:c r="D63" s="76"/>
      <x:c r="E63" s="76"/>
      <x:c r="F63" s="76"/>
      <x:c r="G63" s="80"/>
      <x:c r="H63" s="76"/>
      <x:c r="I63" s="76"/>
      <x:c r="J63" s="76"/>
      <x:c r="K63" s="76"/>
      <x:c r="L63" s="76"/>
      <x:c r="M63" s="76"/>
      <x:c r="N63" s="78" t="str">
        <x:f>IF(B63="","",TODAY())</x:f>
      </x:c>
      <x:c r="O63" s="76"/>
      <x:c r="P63" s="76" t="str">
        <x:f>IF(B63="","",IF(OR(C63="",D63="",F63="",G63="",J63="",K63="",L63&lt;&gt;"Validé humainement"),"ALERTE: données/preuves/statut",IF(OR(AND(ISNUMBER(G63),OR(G63&lt;0,G63&gt;1000)),AND(ISNUMBER(H63),H63&gt;31)),"ALERTE: valeur anormale","OK")))</x:f>
      </x:c>
      <x:c r="Q63" s="76" t="str">
        <x:f>IF(B63="","",IF(L63="Validé humainement","Oui","Non"))</x:f>
      </x:c>
    </x:row>
    <x:row r="64">
      <x:c r="A64" s="76" t="str">
        <x:f>IF(B64="","","PLUIE-"&amp;TEXT(ROW()-4,"0000"))</x:f>
      </x:c>
      <x:c r="B64" s="78"/>
      <x:c r="C64" s="76"/>
      <x:c r="D64" s="76"/>
      <x:c r="E64" s="76"/>
      <x:c r="F64" s="76"/>
      <x:c r="G64" s="80"/>
      <x:c r="H64" s="76"/>
      <x:c r="I64" s="76"/>
      <x:c r="J64" s="76"/>
      <x:c r="K64" s="76"/>
      <x:c r="L64" s="76"/>
      <x:c r="M64" s="76"/>
      <x:c r="N64" s="78" t="str">
        <x:f>IF(B64="","",TODAY())</x:f>
      </x:c>
      <x:c r="O64" s="76"/>
      <x:c r="P64" s="76" t="str">
        <x:f>IF(B64="","",IF(OR(C64="",D64="",F64="",G64="",J64="",K64="",L64&lt;&gt;"Validé humainement"),"ALERTE: données/preuves/statut",IF(OR(AND(ISNUMBER(G64),OR(G64&lt;0,G64&gt;1000)),AND(ISNUMBER(H64),H64&gt;31)),"ALERTE: valeur anormale","OK")))</x:f>
      </x:c>
      <x:c r="Q64" s="76" t="str">
        <x:f>IF(B64="","",IF(L64="Validé humainement","Oui","Non"))</x:f>
      </x:c>
    </x:row>
    <x:row r="65">
      <x:c r="A65" s="76" t="str">
        <x:f>IF(B65="","","PLUIE-"&amp;TEXT(ROW()-4,"0000"))</x:f>
      </x:c>
      <x:c r="B65" s="78"/>
      <x:c r="C65" s="76"/>
      <x:c r="D65" s="76"/>
      <x:c r="E65" s="76"/>
      <x:c r="F65" s="76"/>
      <x:c r="G65" s="80"/>
      <x:c r="H65" s="76"/>
      <x:c r="I65" s="76"/>
      <x:c r="J65" s="76"/>
      <x:c r="K65" s="76"/>
      <x:c r="L65" s="76"/>
      <x:c r="M65" s="76"/>
      <x:c r="N65" s="78" t="str">
        <x:f>IF(B65="","",TODAY())</x:f>
      </x:c>
      <x:c r="O65" s="76"/>
      <x:c r="P65" s="76" t="str">
        <x:f>IF(B65="","",IF(OR(C65="",D65="",F65="",G65="",J65="",K65="",L65&lt;&gt;"Validé humainement"),"ALERTE: données/preuves/statut",IF(OR(AND(ISNUMBER(G65),OR(G65&lt;0,G65&gt;1000)),AND(ISNUMBER(H65),H65&gt;31)),"ALERTE: valeur anormale","OK")))</x:f>
      </x:c>
      <x:c r="Q65" s="76" t="str">
        <x:f>IF(B65="","",IF(L65="Validé humainement","Oui","Non"))</x:f>
      </x:c>
    </x:row>
    <x:row r="66">
      <x:c r="A66" s="76" t="str">
        <x:f>IF(B66="","","PLUIE-"&amp;TEXT(ROW()-4,"0000"))</x:f>
      </x:c>
      <x:c r="B66" s="78"/>
      <x:c r="C66" s="76"/>
      <x:c r="D66" s="76"/>
      <x:c r="E66" s="76"/>
      <x:c r="F66" s="76"/>
      <x:c r="G66" s="80"/>
      <x:c r="H66" s="76"/>
      <x:c r="I66" s="76"/>
      <x:c r="J66" s="76"/>
      <x:c r="K66" s="76"/>
      <x:c r="L66" s="76"/>
      <x:c r="M66" s="76"/>
      <x:c r="N66" s="78" t="str">
        <x:f>IF(B66="","",TODAY())</x:f>
      </x:c>
      <x:c r="O66" s="76"/>
      <x:c r="P66" s="76" t="str">
        <x:f>IF(B66="","",IF(OR(C66="",D66="",F66="",G66="",J66="",K66="",L66&lt;&gt;"Validé humainement"),"ALERTE: données/preuves/statut",IF(OR(AND(ISNUMBER(G66),OR(G66&lt;0,G66&gt;1000)),AND(ISNUMBER(H66),H66&gt;31)),"ALERTE: valeur anormale","OK")))</x:f>
      </x:c>
      <x:c r="Q66" s="76" t="str">
        <x:f>IF(B66="","",IF(L66="Validé humainement","Oui","Non"))</x:f>
      </x:c>
    </x:row>
    <x:row r="67">
      <x:c r="A67" s="76" t="str">
        <x:f>IF(B67="","","PLUIE-"&amp;TEXT(ROW()-4,"0000"))</x:f>
      </x:c>
      <x:c r="B67" s="78"/>
      <x:c r="C67" s="76"/>
      <x:c r="D67" s="76"/>
      <x:c r="E67" s="76"/>
      <x:c r="F67" s="76"/>
      <x:c r="G67" s="80"/>
      <x:c r="H67" s="76"/>
      <x:c r="I67" s="76"/>
      <x:c r="J67" s="76"/>
      <x:c r="K67" s="76"/>
      <x:c r="L67" s="76"/>
      <x:c r="M67" s="76"/>
      <x:c r="N67" s="78" t="str">
        <x:f>IF(B67="","",TODAY())</x:f>
      </x:c>
      <x:c r="O67" s="76"/>
      <x:c r="P67" s="76" t="str">
        <x:f>IF(B67="","",IF(OR(C67="",D67="",F67="",G67="",J67="",K67="",L67&lt;&gt;"Validé humainement"),"ALERTE: données/preuves/statut",IF(OR(AND(ISNUMBER(G67),OR(G67&lt;0,G67&gt;1000)),AND(ISNUMBER(H67),H67&gt;31)),"ALERTE: valeur anormale","OK")))</x:f>
      </x:c>
      <x:c r="Q67" s="76" t="str">
        <x:f>IF(B67="","",IF(L67="Validé humainement","Oui","Non"))</x:f>
      </x:c>
    </x:row>
    <x:row r="68">
      <x:c r="A68" s="76" t="str">
        <x:f>IF(B68="","","PLUIE-"&amp;TEXT(ROW()-4,"0000"))</x:f>
      </x:c>
      <x:c r="B68" s="78"/>
      <x:c r="C68" s="76"/>
      <x:c r="D68" s="76"/>
      <x:c r="E68" s="76"/>
      <x:c r="F68" s="76"/>
      <x:c r="G68" s="80"/>
      <x:c r="H68" s="76"/>
      <x:c r="I68" s="76"/>
      <x:c r="J68" s="76"/>
      <x:c r="K68" s="76"/>
      <x:c r="L68" s="76"/>
      <x:c r="M68" s="76"/>
      <x:c r="N68" s="78" t="str">
        <x:f>IF(B68="","",TODAY())</x:f>
      </x:c>
      <x:c r="O68" s="76"/>
      <x:c r="P68" s="76" t="str">
        <x:f>IF(B68="","",IF(OR(C68="",D68="",F68="",G68="",J68="",K68="",L68&lt;&gt;"Validé humainement"),"ALERTE: données/preuves/statut",IF(OR(AND(ISNUMBER(G68),OR(G68&lt;0,G68&gt;1000)),AND(ISNUMBER(H68),H68&gt;31)),"ALERTE: valeur anormale","OK")))</x:f>
      </x:c>
      <x:c r="Q68" s="76" t="str">
        <x:f>IF(B68="","",IF(L68="Validé humainement","Oui","Non"))</x:f>
      </x:c>
    </x:row>
    <x:row r="69">
      <x:c r="A69" s="76" t="str">
        <x:f>IF(B69="","","PLUIE-"&amp;TEXT(ROW()-4,"0000"))</x:f>
      </x:c>
      <x:c r="B69" s="78"/>
      <x:c r="C69" s="76"/>
      <x:c r="D69" s="76"/>
      <x:c r="E69" s="76"/>
      <x:c r="F69" s="76"/>
      <x:c r="G69" s="80"/>
      <x:c r="H69" s="76"/>
      <x:c r="I69" s="76"/>
      <x:c r="J69" s="76"/>
      <x:c r="K69" s="76"/>
      <x:c r="L69" s="76"/>
      <x:c r="M69" s="76"/>
      <x:c r="N69" s="78" t="str">
        <x:f>IF(B69="","",TODAY())</x:f>
      </x:c>
      <x:c r="O69" s="76"/>
      <x:c r="P69" s="76" t="str">
        <x:f>IF(B69="","",IF(OR(C69="",D69="",F69="",G69="",J69="",K69="",L69&lt;&gt;"Validé humainement"),"ALERTE: données/preuves/statut",IF(OR(AND(ISNUMBER(G69),OR(G69&lt;0,G69&gt;1000)),AND(ISNUMBER(H69),H69&gt;31)),"ALERTE: valeur anormale","OK")))</x:f>
      </x:c>
      <x:c r="Q69" s="76" t="str">
        <x:f>IF(B69="","",IF(L69="Validé humainement","Oui","Non"))</x:f>
      </x:c>
    </x:row>
    <x:row r="70">
      <x:c r="A70" s="76" t="str">
        <x:f>IF(B70="","","PLUIE-"&amp;TEXT(ROW()-4,"0000"))</x:f>
      </x:c>
      <x:c r="B70" s="78"/>
      <x:c r="C70" s="76"/>
      <x:c r="D70" s="76"/>
      <x:c r="E70" s="76"/>
      <x:c r="F70" s="76"/>
      <x:c r="G70" s="80"/>
      <x:c r="H70" s="76"/>
      <x:c r="I70" s="76"/>
      <x:c r="J70" s="76"/>
      <x:c r="K70" s="76"/>
      <x:c r="L70" s="76"/>
      <x:c r="M70" s="76"/>
      <x:c r="N70" s="78" t="str">
        <x:f>IF(B70="","",TODAY())</x:f>
      </x:c>
      <x:c r="O70" s="76"/>
      <x:c r="P70" s="76" t="str">
        <x:f>IF(B70="","",IF(OR(C70="",D70="",F70="",G70="",J70="",K70="",L70&lt;&gt;"Validé humainement"),"ALERTE: données/preuves/statut",IF(OR(AND(ISNUMBER(G70),OR(G70&lt;0,G70&gt;1000)),AND(ISNUMBER(H70),H70&gt;31)),"ALERTE: valeur anormale","OK")))</x:f>
      </x:c>
      <x:c r="Q70" s="76" t="str">
        <x:f>IF(B70="","",IF(L70="Validé humainement","Oui","Non"))</x:f>
      </x:c>
    </x:row>
    <x:row r="71">
      <x:c r="A71" s="76" t="str">
        <x:f>IF(B71="","","PLUIE-"&amp;TEXT(ROW()-4,"0000"))</x:f>
      </x:c>
      <x:c r="B71" s="78"/>
      <x:c r="C71" s="76"/>
      <x:c r="D71" s="76"/>
      <x:c r="E71" s="76"/>
      <x:c r="F71" s="76"/>
      <x:c r="G71" s="80"/>
      <x:c r="H71" s="76"/>
      <x:c r="I71" s="76"/>
      <x:c r="J71" s="76"/>
      <x:c r="K71" s="76"/>
      <x:c r="L71" s="76"/>
      <x:c r="M71" s="76"/>
      <x:c r="N71" s="78" t="str">
        <x:f>IF(B71="","",TODAY())</x:f>
      </x:c>
      <x:c r="O71" s="76"/>
      <x:c r="P71" s="76" t="str">
        <x:f>IF(B71="","",IF(OR(C71="",D71="",F71="",G71="",J71="",K71="",L71&lt;&gt;"Validé humainement"),"ALERTE: données/preuves/statut",IF(OR(AND(ISNUMBER(G71),OR(G71&lt;0,G71&gt;1000)),AND(ISNUMBER(H71),H71&gt;31)),"ALERTE: valeur anormale","OK")))</x:f>
      </x:c>
      <x:c r="Q71" s="76" t="str">
        <x:f>IF(B71="","",IF(L71="Validé humainement","Oui","Non"))</x:f>
      </x:c>
    </x:row>
    <x:row r="72">
      <x:c r="A72" s="76" t="str">
        <x:f>IF(B72="","","PLUIE-"&amp;TEXT(ROW()-4,"0000"))</x:f>
      </x:c>
      <x:c r="B72" s="78"/>
      <x:c r="C72" s="76"/>
      <x:c r="D72" s="76"/>
      <x:c r="E72" s="76"/>
      <x:c r="F72" s="76"/>
      <x:c r="G72" s="80"/>
      <x:c r="H72" s="76"/>
      <x:c r="I72" s="76"/>
      <x:c r="J72" s="76"/>
      <x:c r="K72" s="76"/>
      <x:c r="L72" s="76"/>
      <x:c r="M72" s="76"/>
      <x:c r="N72" s="78" t="str">
        <x:f>IF(B72="","",TODAY())</x:f>
      </x:c>
      <x:c r="O72" s="76"/>
      <x:c r="P72" s="76" t="str">
        <x:f>IF(B72="","",IF(OR(C72="",D72="",F72="",G72="",J72="",K72="",L72&lt;&gt;"Validé humainement"),"ALERTE: données/preuves/statut",IF(OR(AND(ISNUMBER(G72),OR(G72&lt;0,G72&gt;1000)),AND(ISNUMBER(H72),H72&gt;31)),"ALERTE: valeur anormale","OK")))</x:f>
      </x:c>
      <x:c r="Q72" s="76" t="str">
        <x:f>IF(B72="","",IF(L72="Validé humainement","Oui","Non"))</x:f>
      </x:c>
    </x:row>
    <x:row r="73">
      <x:c r="A73" s="76" t="str">
        <x:f>IF(B73="","","PLUIE-"&amp;TEXT(ROW()-4,"0000"))</x:f>
      </x:c>
      <x:c r="B73" s="78"/>
      <x:c r="C73" s="76"/>
      <x:c r="D73" s="76"/>
      <x:c r="E73" s="76"/>
      <x:c r="F73" s="76"/>
      <x:c r="G73" s="80"/>
      <x:c r="H73" s="76"/>
      <x:c r="I73" s="76"/>
      <x:c r="J73" s="76"/>
      <x:c r="K73" s="76"/>
      <x:c r="L73" s="76"/>
      <x:c r="M73" s="76"/>
      <x:c r="N73" s="78" t="str">
        <x:f>IF(B73="","",TODAY())</x:f>
      </x:c>
      <x:c r="O73" s="76"/>
      <x:c r="P73" s="76" t="str">
        <x:f>IF(B73="","",IF(OR(C73="",D73="",F73="",G73="",J73="",K73="",L73&lt;&gt;"Validé humainement"),"ALERTE: données/preuves/statut",IF(OR(AND(ISNUMBER(G73),OR(G73&lt;0,G73&gt;1000)),AND(ISNUMBER(H73),H73&gt;31)),"ALERTE: valeur anormale","OK")))</x:f>
      </x:c>
      <x:c r="Q73" s="76" t="str">
        <x:f>IF(B73="","",IF(L73="Validé humainement","Oui","Non"))</x:f>
      </x:c>
    </x:row>
    <x:row r="74">
      <x:c r="A74" s="76" t="str">
        <x:f>IF(B74="","","PLUIE-"&amp;TEXT(ROW()-4,"0000"))</x:f>
      </x:c>
      <x:c r="B74" s="78"/>
      <x:c r="C74" s="76"/>
      <x:c r="D74" s="76"/>
      <x:c r="E74" s="76"/>
      <x:c r="F74" s="76"/>
      <x:c r="G74" s="80"/>
      <x:c r="H74" s="76"/>
      <x:c r="I74" s="76"/>
      <x:c r="J74" s="76"/>
      <x:c r="K74" s="76"/>
      <x:c r="L74" s="76"/>
      <x:c r="M74" s="76"/>
      <x:c r="N74" s="78" t="str">
        <x:f>IF(B74="","",TODAY())</x:f>
      </x:c>
      <x:c r="O74" s="76"/>
      <x:c r="P74" s="76" t="str">
        <x:f>IF(B74="","",IF(OR(C74="",D74="",F74="",G74="",J74="",K74="",L74&lt;&gt;"Validé humainement"),"ALERTE: données/preuves/statut",IF(OR(AND(ISNUMBER(G74),OR(G74&lt;0,G74&gt;1000)),AND(ISNUMBER(H74),H74&gt;31)),"ALERTE: valeur anormale","OK")))</x:f>
      </x:c>
      <x:c r="Q74" s="76" t="str">
        <x:f>IF(B74="","",IF(L74="Validé humainement","Oui","Non"))</x:f>
      </x:c>
    </x:row>
    <x:row r="75">
      <x:c r="A75" s="76" t="str">
        <x:f>IF(B75="","","PLUIE-"&amp;TEXT(ROW()-4,"0000"))</x:f>
      </x:c>
      <x:c r="B75" s="78"/>
      <x:c r="C75" s="76"/>
      <x:c r="D75" s="76"/>
      <x:c r="E75" s="76"/>
      <x:c r="F75" s="76"/>
      <x:c r="G75" s="80"/>
      <x:c r="H75" s="76"/>
      <x:c r="I75" s="76"/>
      <x:c r="J75" s="76"/>
      <x:c r="K75" s="76"/>
      <x:c r="L75" s="76"/>
      <x:c r="M75" s="76"/>
      <x:c r="N75" s="78" t="str">
        <x:f>IF(B75="","",TODAY())</x:f>
      </x:c>
      <x:c r="O75" s="76"/>
      <x:c r="P75" s="76" t="str">
        <x:f>IF(B75="","",IF(OR(C75="",D75="",F75="",G75="",J75="",K75="",L75&lt;&gt;"Validé humainement"),"ALERTE: données/preuves/statut",IF(OR(AND(ISNUMBER(G75),OR(G75&lt;0,G75&gt;1000)),AND(ISNUMBER(H75),H75&gt;31)),"ALERTE: valeur anormale","OK")))</x:f>
      </x:c>
      <x:c r="Q75" s="76" t="str">
        <x:f>IF(B75="","",IF(L75="Validé humainement","Oui","Non"))</x:f>
      </x:c>
    </x:row>
    <x:row r="76">
      <x:c r="A76" s="76" t="str">
        <x:f>IF(B76="","","PLUIE-"&amp;TEXT(ROW()-4,"0000"))</x:f>
      </x:c>
      <x:c r="B76" s="78"/>
      <x:c r="C76" s="76"/>
      <x:c r="D76" s="76"/>
      <x:c r="E76" s="76"/>
      <x:c r="F76" s="76"/>
      <x:c r="G76" s="80"/>
      <x:c r="H76" s="76"/>
      <x:c r="I76" s="76"/>
      <x:c r="J76" s="76"/>
      <x:c r="K76" s="76"/>
      <x:c r="L76" s="76"/>
      <x:c r="M76" s="76"/>
      <x:c r="N76" s="78" t="str">
        <x:f>IF(B76="","",TODAY())</x:f>
      </x:c>
      <x:c r="O76" s="76"/>
      <x:c r="P76" s="76" t="str">
        <x:f>IF(B76="","",IF(OR(C76="",D76="",F76="",G76="",J76="",K76="",L76&lt;&gt;"Validé humainement"),"ALERTE: données/preuves/statut",IF(OR(AND(ISNUMBER(G76),OR(G76&lt;0,G76&gt;1000)),AND(ISNUMBER(H76),H76&gt;31)),"ALERTE: valeur anormale","OK")))</x:f>
      </x:c>
      <x:c r="Q76" s="76" t="str">
        <x:f>IF(B76="","",IF(L76="Validé humainement","Oui","Non"))</x:f>
      </x:c>
    </x:row>
    <x:row r="77">
      <x:c r="A77" s="76" t="str">
        <x:f>IF(B77="","","PLUIE-"&amp;TEXT(ROW()-4,"0000"))</x:f>
      </x:c>
      <x:c r="B77" s="78"/>
      <x:c r="C77" s="76"/>
      <x:c r="D77" s="76"/>
      <x:c r="E77" s="76"/>
      <x:c r="F77" s="76"/>
      <x:c r="G77" s="80"/>
      <x:c r="H77" s="76"/>
      <x:c r="I77" s="76"/>
      <x:c r="J77" s="76"/>
      <x:c r="K77" s="76"/>
      <x:c r="L77" s="76"/>
      <x:c r="M77" s="76"/>
      <x:c r="N77" s="78" t="str">
        <x:f>IF(B77="","",TODAY())</x:f>
      </x:c>
      <x:c r="O77" s="76"/>
      <x:c r="P77" s="76" t="str">
        <x:f>IF(B77="","",IF(OR(C77="",D77="",F77="",G77="",J77="",K77="",L77&lt;&gt;"Validé humainement"),"ALERTE: données/preuves/statut",IF(OR(AND(ISNUMBER(G77),OR(G77&lt;0,G77&gt;1000)),AND(ISNUMBER(H77),H77&gt;31)),"ALERTE: valeur anormale","OK")))</x:f>
      </x:c>
      <x:c r="Q77" s="76" t="str">
        <x:f>IF(B77="","",IF(L77="Validé humainement","Oui","Non"))</x:f>
      </x:c>
    </x:row>
    <x:row r="78">
      <x:c r="A78" s="76" t="str">
        <x:f>IF(B78="","","PLUIE-"&amp;TEXT(ROW()-4,"0000"))</x:f>
      </x:c>
      <x:c r="B78" s="78"/>
      <x:c r="C78" s="76"/>
      <x:c r="D78" s="76"/>
      <x:c r="E78" s="76"/>
      <x:c r="F78" s="76"/>
      <x:c r="G78" s="80"/>
      <x:c r="H78" s="76"/>
      <x:c r="I78" s="76"/>
      <x:c r="J78" s="76"/>
      <x:c r="K78" s="76"/>
      <x:c r="L78" s="76"/>
      <x:c r="M78" s="76"/>
      <x:c r="N78" s="78" t="str">
        <x:f>IF(B78="","",TODAY())</x:f>
      </x:c>
      <x:c r="O78" s="76"/>
      <x:c r="P78" s="76" t="str">
        <x:f>IF(B78="","",IF(OR(C78="",D78="",F78="",G78="",J78="",K78="",L78&lt;&gt;"Validé humainement"),"ALERTE: données/preuves/statut",IF(OR(AND(ISNUMBER(G78),OR(G78&lt;0,G78&gt;1000)),AND(ISNUMBER(H78),H78&gt;31)),"ALERTE: valeur anormale","OK")))</x:f>
      </x:c>
      <x:c r="Q78" s="76" t="str">
        <x:f>IF(B78="","",IF(L78="Validé humainement","Oui","Non"))</x:f>
      </x:c>
    </x:row>
    <x:row r="79">
      <x:c r="A79" s="76" t="str">
        <x:f>IF(B79="","","PLUIE-"&amp;TEXT(ROW()-4,"0000"))</x:f>
      </x:c>
      <x:c r="B79" s="78"/>
      <x:c r="C79" s="76"/>
      <x:c r="D79" s="76"/>
      <x:c r="E79" s="76"/>
      <x:c r="F79" s="76"/>
      <x:c r="G79" s="80"/>
      <x:c r="H79" s="76"/>
      <x:c r="I79" s="76"/>
      <x:c r="J79" s="76"/>
      <x:c r="K79" s="76"/>
      <x:c r="L79" s="76"/>
      <x:c r="M79" s="76"/>
      <x:c r="N79" s="78" t="str">
        <x:f>IF(B79="","",TODAY())</x:f>
      </x:c>
      <x:c r="O79" s="76"/>
      <x:c r="P79" s="76" t="str">
        <x:f>IF(B79="","",IF(OR(C79="",D79="",F79="",G79="",J79="",K79="",L79&lt;&gt;"Validé humainement"),"ALERTE: données/preuves/statut",IF(OR(AND(ISNUMBER(G79),OR(G79&lt;0,G79&gt;1000)),AND(ISNUMBER(H79),H79&gt;31)),"ALERTE: valeur anormale","OK")))</x:f>
      </x:c>
      <x:c r="Q79" s="76" t="str">
        <x:f>IF(B79="","",IF(L79="Validé humainement","Oui","Non"))</x:f>
      </x:c>
    </x:row>
    <x:row r="80">
      <x:c r="A80" s="76" t="str">
        <x:f>IF(B80="","","PLUIE-"&amp;TEXT(ROW()-4,"0000"))</x:f>
      </x:c>
      <x:c r="B80" s="78"/>
      <x:c r="C80" s="76"/>
      <x:c r="D80" s="76"/>
      <x:c r="E80" s="76"/>
      <x:c r="F80" s="76"/>
      <x:c r="G80" s="80"/>
      <x:c r="H80" s="76"/>
      <x:c r="I80" s="76"/>
      <x:c r="J80" s="76"/>
      <x:c r="K80" s="76"/>
      <x:c r="L80" s="76"/>
      <x:c r="M80" s="76"/>
      <x:c r="N80" s="78" t="str">
        <x:f>IF(B80="","",TODAY())</x:f>
      </x:c>
      <x:c r="O80" s="76"/>
      <x:c r="P80" s="76" t="str">
        <x:f>IF(B80="","",IF(OR(C80="",D80="",F80="",G80="",J80="",K80="",L80&lt;&gt;"Validé humainement"),"ALERTE: données/preuves/statut",IF(OR(AND(ISNUMBER(G80),OR(G80&lt;0,G80&gt;1000)),AND(ISNUMBER(H80),H80&gt;31)),"ALERTE: valeur anormale","OK")))</x:f>
      </x:c>
      <x:c r="Q80" s="76" t="str">
        <x:f>IF(B80="","",IF(L80="Validé humainement","Oui","Non"))</x:f>
      </x:c>
    </x:row>
    <x:row r="81">
      <x:c r="A81" s="76" t="str">
        <x:f>IF(B81="","","PLUIE-"&amp;TEXT(ROW()-4,"0000"))</x:f>
      </x:c>
      <x:c r="B81" s="78"/>
      <x:c r="C81" s="76"/>
      <x:c r="D81" s="76"/>
      <x:c r="E81" s="76"/>
      <x:c r="F81" s="76"/>
      <x:c r="G81" s="80"/>
      <x:c r="H81" s="76"/>
      <x:c r="I81" s="76"/>
      <x:c r="J81" s="76"/>
      <x:c r="K81" s="76"/>
      <x:c r="L81" s="76"/>
      <x:c r="M81" s="76"/>
      <x:c r="N81" s="78" t="str">
        <x:f>IF(B81="","",TODAY())</x:f>
      </x:c>
      <x:c r="O81" s="76"/>
      <x:c r="P81" s="76" t="str">
        <x:f>IF(B81="","",IF(OR(C81="",D81="",F81="",G81="",J81="",K81="",L81&lt;&gt;"Validé humainement"),"ALERTE: données/preuves/statut",IF(OR(AND(ISNUMBER(G81),OR(G81&lt;0,G81&gt;1000)),AND(ISNUMBER(H81),H81&gt;31)),"ALERTE: valeur anormale","OK")))</x:f>
      </x:c>
      <x:c r="Q81" s="76" t="str">
        <x:f>IF(B81="","",IF(L81="Validé humainement","Oui","Non"))</x:f>
      </x:c>
    </x:row>
    <x:row r="82">
      <x:c r="A82" s="76" t="str">
        <x:f>IF(B82="","","PLUIE-"&amp;TEXT(ROW()-4,"0000"))</x:f>
      </x:c>
      <x:c r="B82" s="78"/>
      <x:c r="C82" s="76"/>
      <x:c r="D82" s="76"/>
      <x:c r="E82" s="76"/>
      <x:c r="F82" s="76"/>
      <x:c r="G82" s="80"/>
      <x:c r="H82" s="76"/>
      <x:c r="I82" s="76"/>
      <x:c r="J82" s="76"/>
      <x:c r="K82" s="76"/>
      <x:c r="L82" s="76"/>
      <x:c r="M82" s="76"/>
      <x:c r="N82" s="78" t="str">
        <x:f>IF(B82="","",TODAY())</x:f>
      </x:c>
      <x:c r="O82" s="76"/>
      <x:c r="P82" s="76" t="str">
        <x:f>IF(B82="","",IF(OR(C82="",D82="",F82="",G82="",J82="",K82="",L82&lt;&gt;"Validé humainement"),"ALERTE: données/preuves/statut",IF(OR(AND(ISNUMBER(G82),OR(G82&lt;0,G82&gt;1000)),AND(ISNUMBER(H82),H82&gt;31)),"ALERTE: valeur anormale","OK")))</x:f>
      </x:c>
      <x:c r="Q82" s="76" t="str">
        <x:f>IF(B82="","",IF(L82="Validé humainement","Oui","Non"))</x:f>
      </x:c>
    </x:row>
    <x:row r="83">
      <x:c r="A83" s="76" t="str">
        <x:f>IF(B83="","","PLUIE-"&amp;TEXT(ROW()-4,"0000"))</x:f>
      </x:c>
      <x:c r="B83" s="78"/>
      <x:c r="C83" s="76"/>
      <x:c r="D83" s="76"/>
      <x:c r="E83" s="76"/>
      <x:c r="F83" s="76"/>
      <x:c r="G83" s="80"/>
      <x:c r="H83" s="76"/>
      <x:c r="I83" s="76"/>
      <x:c r="J83" s="76"/>
      <x:c r="K83" s="76"/>
      <x:c r="L83" s="76"/>
      <x:c r="M83" s="76"/>
      <x:c r="N83" s="78" t="str">
        <x:f>IF(B83="","",TODAY())</x:f>
      </x:c>
      <x:c r="O83" s="76"/>
      <x:c r="P83" s="76" t="str">
        <x:f>IF(B83="","",IF(OR(C83="",D83="",F83="",G83="",J83="",K83="",L83&lt;&gt;"Validé humainement"),"ALERTE: données/preuves/statut",IF(OR(AND(ISNUMBER(G83),OR(G83&lt;0,G83&gt;1000)),AND(ISNUMBER(H83),H83&gt;31)),"ALERTE: valeur anormale","OK")))</x:f>
      </x:c>
      <x:c r="Q83" s="76" t="str">
        <x:f>IF(B83="","",IF(L83="Validé humainement","Oui","Non"))</x:f>
      </x:c>
    </x:row>
    <x:row r="84">
      <x:c r="A84" s="76" t="str">
        <x:f>IF(B84="","","PLUIE-"&amp;TEXT(ROW()-4,"0000"))</x:f>
      </x:c>
      <x:c r="B84" s="78"/>
      <x:c r="C84" s="76"/>
      <x:c r="D84" s="76"/>
      <x:c r="E84" s="76"/>
      <x:c r="F84" s="76"/>
      <x:c r="G84" s="80"/>
      <x:c r="H84" s="76"/>
      <x:c r="I84" s="76"/>
      <x:c r="J84" s="76"/>
      <x:c r="K84" s="76"/>
      <x:c r="L84" s="76"/>
      <x:c r="M84" s="76"/>
      <x:c r="N84" s="78" t="str">
        <x:f>IF(B84="","",TODAY())</x:f>
      </x:c>
      <x:c r="O84" s="76"/>
      <x:c r="P84" s="76" t="str">
        <x:f>IF(B84="","",IF(OR(C84="",D84="",F84="",G84="",J84="",K84="",L84&lt;&gt;"Validé humainement"),"ALERTE: données/preuves/statut",IF(OR(AND(ISNUMBER(G84),OR(G84&lt;0,G84&gt;1000)),AND(ISNUMBER(H84),H84&gt;31)),"ALERTE: valeur anormale","OK")))</x:f>
      </x:c>
      <x:c r="Q84" s="76" t="str">
        <x:f>IF(B84="","",IF(L84="Validé humainement","Oui","Non"))</x:f>
      </x:c>
    </x:row>
    <x:row r="85">
      <x:c r="A85" s="76" t="str">
        <x:f>IF(B85="","","PLUIE-"&amp;TEXT(ROW()-4,"0000"))</x:f>
      </x:c>
      <x:c r="B85" s="78"/>
      <x:c r="C85" s="76"/>
      <x:c r="D85" s="76"/>
      <x:c r="E85" s="76"/>
      <x:c r="F85" s="76"/>
      <x:c r="G85" s="80"/>
      <x:c r="H85" s="76"/>
      <x:c r="I85" s="76"/>
      <x:c r="J85" s="76"/>
      <x:c r="K85" s="76"/>
      <x:c r="L85" s="76"/>
      <x:c r="M85" s="76"/>
      <x:c r="N85" s="78" t="str">
        <x:f>IF(B85="","",TODAY())</x:f>
      </x:c>
      <x:c r="O85" s="76"/>
      <x:c r="P85" s="76" t="str">
        <x:f>IF(B85="","",IF(OR(C85="",D85="",F85="",G85="",J85="",K85="",L85&lt;&gt;"Validé humainement"),"ALERTE: données/preuves/statut",IF(OR(AND(ISNUMBER(G85),OR(G85&lt;0,G85&gt;1000)),AND(ISNUMBER(H85),H85&gt;31)),"ALERTE: valeur anormale","OK")))</x:f>
      </x:c>
      <x:c r="Q85" s="76" t="str">
        <x:f>IF(B85="","",IF(L85="Validé humainement","Oui","Non"))</x:f>
      </x:c>
    </x:row>
    <x:row r="86">
      <x:c r="A86" s="76" t="str">
        <x:f>IF(B86="","","PLUIE-"&amp;TEXT(ROW()-4,"0000"))</x:f>
      </x:c>
      <x:c r="B86" s="78"/>
      <x:c r="C86" s="76"/>
      <x:c r="D86" s="76"/>
      <x:c r="E86" s="76"/>
      <x:c r="F86" s="76"/>
      <x:c r="G86" s="80"/>
      <x:c r="H86" s="76"/>
      <x:c r="I86" s="76"/>
      <x:c r="J86" s="76"/>
      <x:c r="K86" s="76"/>
      <x:c r="L86" s="76"/>
      <x:c r="M86" s="76"/>
      <x:c r="N86" s="78" t="str">
        <x:f>IF(B86="","",TODAY())</x:f>
      </x:c>
      <x:c r="O86" s="76"/>
      <x:c r="P86" s="76" t="str">
        <x:f>IF(B86="","",IF(OR(C86="",D86="",F86="",G86="",J86="",K86="",L86&lt;&gt;"Validé humainement"),"ALERTE: données/preuves/statut",IF(OR(AND(ISNUMBER(G86),OR(G86&lt;0,G86&gt;1000)),AND(ISNUMBER(H86),H86&gt;31)),"ALERTE: valeur anormale","OK")))</x:f>
      </x:c>
      <x:c r="Q86" s="76" t="str">
        <x:f>IF(B86="","",IF(L86="Validé humainement","Oui","Non"))</x:f>
      </x:c>
    </x:row>
    <x:row r="87">
      <x:c r="A87" s="76" t="str">
        <x:f>IF(B87="","","PLUIE-"&amp;TEXT(ROW()-4,"0000"))</x:f>
      </x:c>
      <x:c r="B87" s="78"/>
      <x:c r="C87" s="76"/>
      <x:c r="D87" s="76"/>
      <x:c r="E87" s="76"/>
      <x:c r="F87" s="76"/>
      <x:c r="G87" s="80"/>
      <x:c r="H87" s="76"/>
      <x:c r="I87" s="76"/>
      <x:c r="J87" s="76"/>
      <x:c r="K87" s="76"/>
      <x:c r="L87" s="76"/>
      <x:c r="M87" s="76"/>
      <x:c r="N87" s="78" t="str">
        <x:f>IF(B87="","",TODAY())</x:f>
      </x:c>
      <x:c r="O87" s="76"/>
      <x:c r="P87" s="76" t="str">
        <x:f>IF(B87="","",IF(OR(C87="",D87="",F87="",G87="",J87="",K87="",L87&lt;&gt;"Validé humainement"),"ALERTE: données/preuves/statut",IF(OR(AND(ISNUMBER(G87),OR(G87&lt;0,G87&gt;1000)),AND(ISNUMBER(H87),H87&gt;31)),"ALERTE: valeur anormale","OK")))</x:f>
      </x:c>
      <x:c r="Q87" s="76" t="str">
        <x:f>IF(B87="","",IF(L87="Validé humainement","Oui","Non"))</x:f>
      </x:c>
    </x:row>
    <x:row r="88">
      <x:c r="A88" s="76" t="str">
        <x:f>IF(B88="","","PLUIE-"&amp;TEXT(ROW()-4,"0000"))</x:f>
      </x:c>
      <x:c r="B88" s="78"/>
      <x:c r="C88" s="76"/>
      <x:c r="D88" s="76"/>
      <x:c r="E88" s="76"/>
      <x:c r="F88" s="76"/>
      <x:c r="G88" s="80"/>
      <x:c r="H88" s="76"/>
      <x:c r="I88" s="76"/>
      <x:c r="J88" s="76"/>
      <x:c r="K88" s="76"/>
      <x:c r="L88" s="76"/>
      <x:c r="M88" s="76"/>
      <x:c r="N88" s="78" t="str">
        <x:f>IF(B88="","",TODAY())</x:f>
      </x:c>
      <x:c r="O88" s="76"/>
      <x:c r="P88" s="76" t="str">
        <x:f>IF(B88="","",IF(OR(C88="",D88="",F88="",G88="",J88="",K88="",L88&lt;&gt;"Validé humainement"),"ALERTE: données/preuves/statut",IF(OR(AND(ISNUMBER(G88),OR(G88&lt;0,G88&gt;1000)),AND(ISNUMBER(H88),H88&gt;31)),"ALERTE: valeur anormale","OK")))</x:f>
      </x:c>
      <x:c r="Q88" s="76" t="str">
        <x:f>IF(B88="","",IF(L88="Validé humainement","Oui","Non"))</x:f>
      </x:c>
    </x:row>
    <x:row r="89">
      <x:c r="A89" s="76" t="str">
        <x:f>IF(B89="","","PLUIE-"&amp;TEXT(ROW()-4,"0000"))</x:f>
      </x:c>
      <x:c r="B89" s="78"/>
      <x:c r="C89" s="76"/>
      <x:c r="D89" s="76"/>
      <x:c r="E89" s="76"/>
      <x:c r="F89" s="76"/>
      <x:c r="G89" s="80"/>
      <x:c r="H89" s="76"/>
      <x:c r="I89" s="76"/>
      <x:c r="J89" s="76"/>
      <x:c r="K89" s="76"/>
      <x:c r="L89" s="76"/>
      <x:c r="M89" s="76"/>
      <x:c r="N89" s="78" t="str">
        <x:f>IF(B89="","",TODAY())</x:f>
      </x:c>
      <x:c r="O89" s="76"/>
      <x:c r="P89" s="76" t="str">
        <x:f>IF(B89="","",IF(OR(C89="",D89="",F89="",G89="",J89="",K89="",L89&lt;&gt;"Validé humainement"),"ALERTE: données/preuves/statut",IF(OR(AND(ISNUMBER(G89),OR(G89&lt;0,G89&gt;1000)),AND(ISNUMBER(H89),H89&gt;31)),"ALERTE: valeur anormale","OK")))</x:f>
      </x:c>
      <x:c r="Q89" s="76" t="str">
        <x:f>IF(B89="","",IF(L89="Validé humainement","Oui","Non"))</x:f>
      </x:c>
    </x:row>
    <x:row r="90">
      <x:c r="A90" s="76" t="str">
        <x:f>IF(B90="","","PLUIE-"&amp;TEXT(ROW()-4,"0000"))</x:f>
      </x:c>
      <x:c r="B90" s="78"/>
      <x:c r="C90" s="76"/>
      <x:c r="D90" s="76"/>
      <x:c r="E90" s="76"/>
      <x:c r="F90" s="76"/>
      <x:c r="G90" s="80"/>
      <x:c r="H90" s="76"/>
      <x:c r="I90" s="76"/>
      <x:c r="J90" s="76"/>
      <x:c r="K90" s="76"/>
      <x:c r="L90" s="76"/>
      <x:c r="M90" s="76"/>
      <x:c r="N90" s="78" t="str">
        <x:f>IF(B90="","",TODAY())</x:f>
      </x:c>
      <x:c r="O90" s="76"/>
      <x:c r="P90" s="76" t="str">
        <x:f>IF(B90="","",IF(OR(C90="",D90="",F90="",G90="",J90="",K90="",L90&lt;&gt;"Validé humainement"),"ALERTE: données/preuves/statut",IF(OR(AND(ISNUMBER(G90),OR(G90&lt;0,G90&gt;1000)),AND(ISNUMBER(H90),H90&gt;31)),"ALERTE: valeur anormale","OK")))</x:f>
      </x:c>
      <x:c r="Q90" s="76" t="str">
        <x:f>IF(B90="","",IF(L90="Validé humainement","Oui","Non"))</x:f>
      </x:c>
    </x:row>
    <x:row r="91">
      <x:c r="A91" s="76" t="str">
        <x:f>IF(B91="","","PLUIE-"&amp;TEXT(ROW()-4,"0000"))</x:f>
      </x:c>
      <x:c r="B91" s="78"/>
      <x:c r="C91" s="76"/>
      <x:c r="D91" s="76"/>
      <x:c r="E91" s="76"/>
      <x:c r="F91" s="76"/>
      <x:c r="G91" s="80"/>
      <x:c r="H91" s="76"/>
      <x:c r="I91" s="76"/>
      <x:c r="J91" s="76"/>
      <x:c r="K91" s="76"/>
      <x:c r="L91" s="76"/>
      <x:c r="M91" s="76"/>
      <x:c r="N91" s="78" t="str">
        <x:f>IF(B91="","",TODAY())</x:f>
      </x:c>
      <x:c r="O91" s="76"/>
      <x:c r="P91" s="76" t="str">
        <x:f>IF(B91="","",IF(OR(C91="",D91="",F91="",G91="",J91="",K91="",L91&lt;&gt;"Validé humainement"),"ALERTE: données/preuves/statut",IF(OR(AND(ISNUMBER(G91),OR(G91&lt;0,G91&gt;1000)),AND(ISNUMBER(H91),H91&gt;31)),"ALERTE: valeur anormale","OK")))</x:f>
      </x:c>
      <x:c r="Q91" s="76" t="str">
        <x:f>IF(B91="","",IF(L91="Validé humainement","Oui","Non"))</x:f>
      </x:c>
    </x:row>
    <x:row r="92">
      <x:c r="A92" s="76" t="str">
        <x:f>IF(B92="","","PLUIE-"&amp;TEXT(ROW()-4,"0000"))</x:f>
      </x:c>
      <x:c r="B92" s="78"/>
      <x:c r="C92" s="76"/>
      <x:c r="D92" s="76"/>
      <x:c r="E92" s="76"/>
      <x:c r="F92" s="76"/>
      <x:c r="G92" s="80"/>
      <x:c r="H92" s="76"/>
      <x:c r="I92" s="76"/>
      <x:c r="J92" s="76"/>
      <x:c r="K92" s="76"/>
      <x:c r="L92" s="76"/>
      <x:c r="M92" s="76"/>
      <x:c r="N92" s="78" t="str">
        <x:f>IF(B92="","",TODAY())</x:f>
      </x:c>
      <x:c r="O92" s="76"/>
      <x:c r="P92" s="76" t="str">
        <x:f>IF(B92="","",IF(OR(C92="",D92="",F92="",G92="",J92="",K92="",L92&lt;&gt;"Validé humainement"),"ALERTE: données/preuves/statut",IF(OR(AND(ISNUMBER(G92),OR(G92&lt;0,G92&gt;1000)),AND(ISNUMBER(H92),H92&gt;31)),"ALERTE: valeur anormale","OK")))</x:f>
      </x:c>
      <x:c r="Q92" s="76" t="str">
        <x:f>IF(B92="","",IF(L92="Validé humainement","Oui","Non"))</x:f>
      </x:c>
    </x:row>
    <x:row r="93">
      <x:c r="A93" s="76" t="str">
        <x:f>IF(B93="","","PLUIE-"&amp;TEXT(ROW()-4,"0000"))</x:f>
      </x:c>
      <x:c r="B93" s="78"/>
      <x:c r="C93" s="76"/>
      <x:c r="D93" s="76"/>
      <x:c r="E93" s="76"/>
      <x:c r="F93" s="76"/>
      <x:c r="G93" s="80"/>
      <x:c r="H93" s="76"/>
      <x:c r="I93" s="76"/>
      <x:c r="J93" s="76"/>
      <x:c r="K93" s="76"/>
      <x:c r="L93" s="76"/>
      <x:c r="M93" s="76"/>
      <x:c r="N93" s="78" t="str">
        <x:f>IF(B93="","",TODAY())</x:f>
      </x:c>
      <x:c r="O93" s="76"/>
      <x:c r="P93" s="76" t="str">
        <x:f>IF(B93="","",IF(OR(C93="",D93="",F93="",G93="",J93="",K93="",L93&lt;&gt;"Validé humainement"),"ALERTE: données/preuves/statut",IF(OR(AND(ISNUMBER(G93),OR(G93&lt;0,G93&gt;1000)),AND(ISNUMBER(H93),H93&gt;31)),"ALERTE: valeur anormale","OK")))</x:f>
      </x:c>
      <x:c r="Q93" s="76" t="str">
        <x:f>IF(B93="","",IF(L93="Validé humainement","Oui","Non"))</x:f>
      </x:c>
    </x:row>
    <x:row r="94">
      <x:c r="A94" s="76" t="str">
        <x:f>IF(B94="","","PLUIE-"&amp;TEXT(ROW()-4,"0000"))</x:f>
      </x:c>
      <x:c r="B94" s="78"/>
      <x:c r="C94" s="76"/>
      <x:c r="D94" s="76"/>
      <x:c r="E94" s="76"/>
      <x:c r="F94" s="76"/>
      <x:c r="G94" s="80"/>
      <x:c r="H94" s="76"/>
      <x:c r="I94" s="76"/>
      <x:c r="J94" s="76"/>
      <x:c r="K94" s="76"/>
      <x:c r="L94" s="76"/>
      <x:c r="M94" s="76"/>
      <x:c r="N94" s="78" t="str">
        <x:f>IF(B94="","",TODAY())</x:f>
      </x:c>
      <x:c r="O94" s="76"/>
      <x:c r="P94" s="76" t="str">
        <x:f>IF(B94="","",IF(OR(C94="",D94="",F94="",G94="",J94="",K94="",L94&lt;&gt;"Validé humainement"),"ALERTE: données/preuves/statut",IF(OR(AND(ISNUMBER(G94),OR(G94&lt;0,G94&gt;1000)),AND(ISNUMBER(H94),H94&gt;31)),"ALERTE: valeur anormale","OK")))</x:f>
      </x:c>
      <x:c r="Q94" s="76" t="str">
        <x:f>IF(B94="","",IF(L94="Validé humainement","Oui","Non"))</x:f>
      </x:c>
    </x:row>
    <x:row r="95">
      <x:c r="A95" s="76" t="str">
        <x:f>IF(B95="","","PLUIE-"&amp;TEXT(ROW()-4,"0000"))</x:f>
      </x:c>
      <x:c r="B95" s="78"/>
      <x:c r="C95" s="76"/>
      <x:c r="D95" s="76"/>
      <x:c r="E95" s="76"/>
      <x:c r="F95" s="76"/>
      <x:c r="G95" s="80"/>
      <x:c r="H95" s="76"/>
      <x:c r="I95" s="76"/>
      <x:c r="J95" s="76"/>
      <x:c r="K95" s="76"/>
      <x:c r="L95" s="76"/>
      <x:c r="M95" s="76"/>
      <x:c r="N95" s="78" t="str">
        <x:f>IF(B95="","",TODAY())</x:f>
      </x:c>
      <x:c r="O95" s="76"/>
      <x:c r="P95" s="76" t="str">
        <x:f>IF(B95="","",IF(OR(C95="",D95="",F95="",G95="",J95="",K95="",L95&lt;&gt;"Validé humainement"),"ALERTE: données/preuves/statut",IF(OR(AND(ISNUMBER(G95),OR(G95&lt;0,G95&gt;1000)),AND(ISNUMBER(H95),H95&gt;31)),"ALERTE: valeur anormale","OK")))</x:f>
      </x:c>
      <x:c r="Q95" s="76" t="str">
        <x:f>IF(B95="","",IF(L95="Validé humainement","Oui","Non"))</x:f>
      </x:c>
    </x:row>
    <x:row r="96">
      <x:c r="A96" s="76" t="str">
        <x:f>IF(B96="","","PLUIE-"&amp;TEXT(ROW()-4,"0000"))</x:f>
      </x:c>
      <x:c r="B96" s="78"/>
      <x:c r="C96" s="76"/>
      <x:c r="D96" s="76"/>
      <x:c r="E96" s="76"/>
      <x:c r="F96" s="76"/>
      <x:c r="G96" s="80"/>
      <x:c r="H96" s="76"/>
      <x:c r="I96" s="76"/>
      <x:c r="J96" s="76"/>
      <x:c r="K96" s="76"/>
      <x:c r="L96" s="76"/>
      <x:c r="M96" s="76"/>
      <x:c r="N96" s="78" t="str">
        <x:f>IF(B96="","",TODAY())</x:f>
      </x:c>
      <x:c r="O96" s="76"/>
      <x:c r="P96" s="76" t="str">
        <x:f>IF(B96="","",IF(OR(C96="",D96="",F96="",G96="",J96="",K96="",L96&lt;&gt;"Validé humainement"),"ALERTE: données/preuves/statut",IF(OR(AND(ISNUMBER(G96),OR(G96&lt;0,G96&gt;1000)),AND(ISNUMBER(H96),H96&gt;31)),"ALERTE: valeur anormale","OK")))</x:f>
      </x:c>
      <x:c r="Q96" s="76" t="str">
        <x:f>IF(B96="","",IF(L96="Validé humainement","Oui","Non"))</x:f>
      </x:c>
    </x:row>
    <x:row r="97">
      <x:c r="A97" s="76" t="str">
        <x:f>IF(B97="","","PLUIE-"&amp;TEXT(ROW()-4,"0000"))</x:f>
      </x:c>
      <x:c r="B97" s="78"/>
      <x:c r="C97" s="76"/>
      <x:c r="D97" s="76"/>
      <x:c r="E97" s="76"/>
      <x:c r="F97" s="76"/>
      <x:c r="G97" s="80"/>
      <x:c r="H97" s="76"/>
      <x:c r="I97" s="76"/>
      <x:c r="J97" s="76"/>
      <x:c r="K97" s="76"/>
      <x:c r="L97" s="76"/>
      <x:c r="M97" s="76"/>
      <x:c r="N97" s="78" t="str">
        <x:f>IF(B97="","",TODAY())</x:f>
      </x:c>
      <x:c r="O97" s="76"/>
      <x:c r="P97" s="76" t="str">
        <x:f>IF(B97="","",IF(OR(C97="",D97="",F97="",G97="",J97="",K97="",L97&lt;&gt;"Validé humainement"),"ALERTE: données/preuves/statut",IF(OR(AND(ISNUMBER(G97),OR(G97&lt;0,G97&gt;1000)),AND(ISNUMBER(H97),H97&gt;31)),"ALERTE: valeur anormale","OK")))</x:f>
      </x:c>
      <x:c r="Q97" s="76" t="str">
        <x:f>IF(B97="","",IF(L97="Validé humainement","Oui","Non"))</x:f>
      </x:c>
    </x:row>
    <x:row r="98">
      <x:c r="A98" s="76" t="str">
        <x:f>IF(B98="","","PLUIE-"&amp;TEXT(ROW()-4,"0000"))</x:f>
      </x:c>
      <x:c r="B98" s="78"/>
      <x:c r="C98" s="76"/>
      <x:c r="D98" s="76"/>
      <x:c r="E98" s="76"/>
      <x:c r="F98" s="76"/>
      <x:c r="G98" s="80"/>
      <x:c r="H98" s="76"/>
      <x:c r="I98" s="76"/>
      <x:c r="J98" s="76"/>
      <x:c r="K98" s="76"/>
      <x:c r="L98" s="76"/>
      <x:c r="M98" s="76"/>
      <x:c r="N98" s="78" t="str">
        <x:f>IF(B98="","",TODAY())</x:f>
      </x:c>
      <x:c r="O98" s="76"/>
      <x:c r="P98" s="76" t="str">
        <x:f>IF(B98="","",IF(OR(C98="",D98="",F98="",G98="",J98="",K98="",L98&lt;&gt;"Validé humainement"),"ALERTE: données/preuves/statut",IF(OR(AND(ISNUMBER(G98),OR(G98&lt;0,G98&gt;1000)),AND(ISNUMBER(H98),H98&gt;31)),"ALERTE: valeur anormale","OK")))</x:f>
      </x:c>
      <x:c r="Q98" s="76" t="str">
        <x:f>IF(B98="","",IF(L98="Validé humainement","Oui","Non"))</x:f>
      </x:c>
    </x:row>
    <x:row r="99">
      <x:c r="A99" s="76" t="str">
        <x:f>IF(B99="","","PLUIE-"&amp;TEXT(ROW()-4,"0000"))</x:f>
      </x:c>
      <x:c r="B99" s="78"/>
      <x:c r="C99" s="76"/>
      <x:c r="D99" s="76"/>
      <x:c r="E99" s="76"/>
      <x:c r="F99" s="76"/>
      <x:c r="G99" s="80"/>
      <x:c r="H99" s="76"/>
      <x:c r="I99" s="76"/>
      <x:c r="J99" s="76"/>
      <x:c r="K99" s="76"/>
      <x:c r="L99" s="76"/>
      <x:c r="M99" s="76"/>
      <x:c r="N99" s="78" t="str">
        <x:f>IF(B99="","",TODAY())</x:f>
      </x:c>
      <x:c r="O99" s="76"/>
      <x:c r="P99" s="76" t="str">
        <x:f>IF(B99="","",IF(OR(C99="",D99="",F99="",G99="",J99="",K99="",L99&lt;&gt;"Validé humainement"),"ALERTE: données/preuves/statut",IF(OR(AND(ISNUMBER(G99),OR(G99&lt;0,G99&gt;1000)),AND(ISNUMBER(H99),H99&gt;31)),"ALERTE: valeur anormale","OK")))</x:f>
      </x:c>
      <x:c r="Q99" s="76" t="str">
        <x:f>IF(B99="","",IF(L99="Validé humainement","Oui","Non"))</x:f>
      </x:c>
    </x:row>
    <x:row r="100">
      <x:c r="A100" s="76" t="str">
        <x:f>IF(B100="","","PLUIE-"&amp;TEXT(ROW()-4,"0000"))</x:f>
      </x:c>
      <x:c r="B100" s="78"/>
      <x:c r="C100" s="76"/>
      <x:c r="D100" s="76"/>
      <x:c r="E100" s="76"/>
      <x:c r="F100" s="76"/>
      <x:c r="G100" s="80"/>
      <x:c r="H100" s="76"/>
      <x:c r="I100" s="76"/>
      <x:c r="J100" s="76"/>
      <x:c r="K100" s="76"/>
      <x:c r="L100" s="76"/>
      <x:c r="M100" s="76"/>
      <x:c r="N100" s="78" t="str">
        <x:f>IF(B100="","",TODAY())</x:f>
      </x:c>
      <x:c r="O100" s="76"/>
      <x:c r="P100" s="76" t="str">
        <x:f>IF(B100="","",IF(OR(C100="",D100="",F100="",G100="",J100="",K100="",L100&lt;&gt;"Validé humainement"),"ALERTE: données/preuves/statut",IF(OR(AND(ISNUMBER(G100),OR(G100&lt;0,G100&gt;1000)),AND(ISNUMBER(H100),H100&gt;31)),"ALERTE: valeur anormale","OK")))</x:f>
      </x:c>
      <x:c r="Q100" s="76" t="str">
        <x:f>IF(B100="","",IF(L100="Validé humainement","Oui","Non"))</x:f>
      </x:c>
    </x:row>
    <x:row r="101">
      <x:c r="A101" s="76" t="str">
        <x:f>IF(B101="","","PLUIE-"&amp;TEXT(ROW()-4,"0000"))</x:f>
      </x:c>
      <x:c r="B101" s="78"/>
      <x:c r="C101" s="76"/>
      <x:c r="D101" s="76"/>
      <x:c r="E101" s="76"/>
      <x:c r="F101" s="76"/>
      <x:c r="G101" s="80"/>
      <x:c r="H101" s="76"/>
      <x:c r="I101" s="76"/>
      <x:c r="J101" s="76"/>
      <x:c r="K101" s="76"/>
      <x:c r="L101" s="76"/>
      <x:c r="M101" s="76"/>
      <x:c r="N101" s="78" t="str">
        <x:f>IF(B101="","",TODAY())</x:f>
      </x:c>
      <x:c r="O101" s="76"/>
      <x:c r="P101" s="76" t="str">
        <x:f>IF(B101="","",IF(OR(C101="",D101="",F101="",G101="",J101="",K101="",L101&lt;&gt;"Validé humainement"),"ALERTE: données/preuves/statut",IF(OR(AND(ISNUMBER(G101),OR(G101&lt;0,G101&gt;1000)),AND(ISNUMBER(H101),H101&gt;31)),"ALERTE: valeur anormale","OK")))</x:f>
      </x:c>
      <x:c r="Q101" s="76" t="str">
        <x:f>IF(B101="","",IF(L101="Validé humainement","Oui","Non"))</x:f>
      </x:c>
    </x:row>
    <x:row r="102">
      <x:c r="A102" s="76" t="str">
        <x:f>IF(B102="","","PLUIE-"&amp;TEXT(ROW()-4,"0000"))</x:f>
      </x:c>
      <x:c r="B102" s="78"/>
      <x:c r="C102" s="76"/>
      <x:c r="D102" s="76"/>
      <x:c r="E102" s="76"/>
      <x:c r="F102" s="76"/>
      <x:c r="G102" s="80"/>
      <x:c r="H102" s="76"/>
      <x:c r="I102" s="76"/>
      <x:c r="J102" s="76"/>
      <x:c r="K102" s="76"/>
      <x:c r="L102" s="76"/>
      <x:c r="M102" s="76"/>
      <x:c r="N102" s="78" t="str">
        <x:f>IF(B102="","",TODAY())</x:f>
      </x:c>
      <x:c r="O102" s="76"/>
      <x:c r="P102" s="76" t="str">
        <x:f>IF(B102="","",IF(OR(C102="",D102="",F102="",G102="",J102="",K102="",L102&lt;&gt;"Validé humainement"),"ALERTE: données/preuves/statut",IF(OR(AND(ISNUMBER(G102),OR(G102&lt;0,G102&gt;1000)),AND(ISNUMBER(H102),H102&gt;31)),"ALERTE: valeur anormale","OK")))</x:f>
      </x:c>
      <x:c r="Q102" s="76" t="str">
        <x:f>IF(B102="","",IF(L102="Validé humainement","Oui","Non"))</x:f>
      </x:c>
    </x:row>
    <x:row r="103">
      <x:c r="A103" s="76" t="str">
        <x:f>IF(B103="","","PLUIE-"&amp;TEXT(ROW()-4,"0000"))</x:f>
      </x:c>
      <x:c r="B103" s="78"/>
      <x:c r="C103" s="76"/>
      <x:c r="D103" s="76"/>
      <x:c r="E103" s="76"/>
      <x:c r="F103" s="76"/>
      <x:c r="G103" s="80"/>
      <x:c r="H103" s="76"/>
      <x:c r="I103" s="76"/>
      <x:c r="J103" s="76"/>
      <x:c r="K103" s="76"/>
      <x:c r="L103" s="76"/>
      <x:c r="M103" s="76"/>
      <x:c r="N103" s="78" t="str">
        <x:f>IF(B103="","",TODAY())</x:f>
      </x:c>
      <x:c r="O103" s="76"/>
      <x:c r="P103" s="76" t="str">
        <x:f>IF(B103="","",IF(OR(C103="",D103="",F103="",G103="",J103="",K103="",L103&lt;&gt;"Validé humainement"),"ALERTE: données/preuves/statut",IF(OR(AND(ISNUMBER(G103),OR(G103&lt;0,G103&gt;1000)),AND(ISNUMBER(H103),H103&gt;31)),"ALERTE: valeur anormale","OK")))</x:f>
      </x:c>
      <x:c r="Q103" s="76" t="str">
        <x:f>IF(B103="","",IF(L103="Validé humainement","Oui","Non"))</x:f>
      </x:c>
    </x:row>
    <x:row r="104">
      <x:c r="A104" s="76" t="str">
        <x:f>IF(B104="","","PLUIE-"&amp;TEXT(ROW()-4,"0000"))</x:f>
      </x:c>
      <x:c r="B104" s="78"/>
      <x:c r="C104" s="76"/>
      <x:c r="D104" s="76"/>
      <x:c r="E104" s="76"/>
      <x:c r="F104" s="76"/>
      <x:c r="G104" s="80"/>
      <x:c r="H104" s="76"/>
      <x:c r="I104" s="76"/>
      <x:c r="J104" s="76"/>
      <x:c r="K104" s="76"/>
      <x:c r="L104" s="76"/>
      <x:c r="M104" s="76"/>
      <x:c r="N104" s="78" t="str">
        <x:f>IF(B104="","",TODAY())</x:f>
      </x:c>
      <x:c r="O104" s="76"/>
      <x:c r="P104" s="76" t="str">
        <x:f>IF(B104="","",IF(OR(C104="",D104="",F104="",G104="",J104="",K104="",L104&lt;&gt;"Validé humainement"),"ALERTE: données/preuves/statut",IF(OR(AND(ISNUMBER(G104),OR(G104&lt;0,G104&gt;1000)),AND(ISNUMBER(H104),H104&gt;31)),"ALERTE: valeur anormale","OK")))</x:f>
      </x:c>
      <x:c r="Q104" s="76" t="str">
        <x:f>IF(B104="","",IF(L104="Validé humainement","Oui","Non"))</x:f>
      </x:c>
    </x:row>
  </x:sheetData>
  <x:mergeCells>
    <x:mergeCell ref="A1:Q1"/>
    <x:mergeCell ref="A2:Q2"/>
  </x:mergeCells>
  <x:conditionalFormatting sqref="P5:P104">
    <x:cfRule type="containsText" dxfId="172" priority="1" operator="containsText" text="ALERTE"/>
    <x:cfRule type="containsText" dxfId="173" priority="2" operator="containsText" text="OK"/>
    <x:cfRule type="containsText" dxfId="174" priority="3" operator="containsText" text="Validé"/>
    <x:cfRule type="containsText" dxfId="175" priority="4" operator="containsText" text="À vérifier"/>
    <x:cfRule type="containsText" dxfId="176" priority="5" operator="containsText" text="Rejeté"/>
  </x:conditionalFormatting>
  <x:conditionalFormatting sqref="L5:L104">
    <x:cfRule type="containsText" dxfId="177" priority="6" operator="containsText" text="ALERTE"/>
    <x:cfRule type="containsText" dxfId="178" priority="7" operator="containsText" text="OK"/>
    <x:cfRule type="containsText" dxfId="179" priority="8" operator="containsText" text="Validé"/>
    <x:cfRule type="containsText" dxfId="180" priority="9" operator="containsText" text="À vérifier"/>
    <x:cfRule type="containsText" dxfId="18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C5:C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D5:D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F5:F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L5:L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I5:I104">
      <x:formula1>"Oui,Non"</x:formula1>
    </x:dataValidation>
  </x:dataValidations>
  <x:pageMargins left="0.7" right="0.7" top="0.75" bottom="0.75" header="0.3" footer="0.3"/>
  <x:tableParts count="1">
    <x:tablePart xmlns:r="http://schemas.openxmlformats.org/officeDocument/2006/relationships" r:id="R104c8adbf8cc4624"/>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25" hidden="0" customWidth="1"/>
    <x:col min="6" max="6" width="17.5" hidden="0" customWidth="1"/>
    <x:col min="7" max="7" width="23.1299991607666" hidden="0" customWidth="1"/>
    <x:col min="8" max="8" width="19.3799991607666" hidden="0" customWidth="1"/>
    <x:col min="9" max="9" width="22.5" hidden="0" customWidth="1"/>
    <x:col min="10" max="10" width="26.25" hidden="0" customWidth="1"/>
    <x:col min="11" max="11" width="20" hidden="0" customWidth="1"/>
    <x:col min="12" max="12" width="31.25" hidden="0" customWidth="1"/>
    <x:col min="13" max="13" width="15" hidden="0" customWidth="1"/>
    <x:col min="14" max="14" width="18.75" hidden="0" customWidth="1"/>
    <x:col min="15" max="15" width="23.75" hidden="0" customWidth="1"/>
    <x:col min="16" max="16" width="15" hidden="0" customWidth="1"/>
  </x:cols>
  <x:sheetData>
    <x:row r="1" ht="25.5" customHeight="1">
      <x:c r="A1" s="68" t="str">
        <x:v>Formulaire électricité</x:v>
      </x:c>
      <x:c r="B1" s="68"/>
      <x:c r="C1" s="68"/>
      <x:c r="D1" s="68"/>
      <x:c r="E1" s="68"/>
      <x:c r="F1" s="68"/>
      <x:c r="G1" s="68"/>
      <x:c r="H1" s="68"/>
      <x:c r="I1" s="68"/>
      <x:c r="J1" s="68"/>
      <x:c r="K1" s="68"/>
      <x:c r="L1" s="68"/>
      <x:c r="M1" s="68"/>
      <x:c r="N1" s="68"/>
      <x:c r="O1" s="68"/>
      <x:c r="P1" s="68"/>
    </x:row>
    <x:row r="2" ht="33" customHeight="1">
      <x:c r="A2" s="71" t="str">
        <x:v>Saisie de consommation électrique et estimation automatique des émissions associées.</x:v>
      </x:c>
      <x:c r="B2" s="71"/>
      <x:c r="C2" s="71"/>
      <x:c r="D2" s="71"/>
      <x:c r="E2" s="71"/>
      <x:c r="F2" s="71"/>
      <x:c r="G2" s="71"/>
      <x:c r="H2" s="71"/>
      <x:c r="I2" s="71"/>
      <x:c r="J2" s="71"/>
      <x:c r="K2" s="71"/>
      <x:c r="L2" s="71"/>
      <x:c r="M2" s="71"/>
      <x:c r="N2" s="71"/>
      <x:c r="O2" s="71"/>
      <x:c r="P2" s="71"/>
    </x:row>
    <x:row r="4">
      <x:c r="A4" s="74" t="str">
        <x:v>ID_Saisie</x:v>
      </x:c>
      <x:c r="B4" s="74" t="str">
        <x:v>Année</x:v>
      </x:c>
      <x:c r="C4" s="74" t="str">
        <x:v>Mois</x:v>
      </x:c>
      <x:c r="D4" s="74" t="str">
        <x:v>Zone</x:v>
      </x:c>
      <x:c r="E4" s="74" t="str">
        <x:v>Type de consommation</x:v>
      </x:c>
      <x:c r="F4" s="74" t="str">
        <x:v>Consommation kWh</x:v>
      </x:c>
      <x:c r="G4" s="74" t="str">
        <x:v>Facteur d'émission kgCO2e/kWh</x:v>
      </x:c>
      <x:c r="H4" s="74" t="str">
        <x:v>Émissions estimées tCO2e</x:v>
      </x:c>
      <x:c r="I4" s="74" t="str">
        <x:v>Institution source</x:v>
      </x:c>
      <x:c r="J4" s="74" t="str">
        <x:v>Document source</x:v>
      </x:c>
      <x:c r="K4" s="74" t="str">
        <x:v>Statut validation</x:v>
      </x:c>
      <x:c r="L4" s="74" t="str">
        <x:v>Observations</x:v>
      </x:c>
      <x:c r="M4" s="74" t="str">
        <x:v>Date de saisie</x:v>
      </x:c>
      <x:c r="N4" s="74" t="str">
        <x:v>Responsable</x:v>
      </x:c>
      <x:c r="O4" s="74" t="str">
        <x:v>Alerte_QC</x:v>
      </x:c>
      <x:c r="P4" s="74" t="str">
        <x:v>Alimente_Rapports</x:v>
      </x:c>
    </x:row>
    <x:row r="5">
      <x:c r="A5" s="76" t="str">
        <x:f>IF(B5="","","ELEC-"&amp;TEXT(ROW()-4,"0000"))</x:f>
      </x:c>
      <x:c r="B5" s="76"/>
      <x:c r="C5" s="76"/>
      <x:c r="D5" s="76"/>
      <x:c r="E5" s="76"/>
      <x:c r="F5" s="81"/>
      <x:c r="G5" s="82"/>
      <x:c r="H5" s="77" t="str">
        <x:f>IF(OR(F5="",G5=""),"",F5*G5/1000)</x:f>
      </x:c>
      <x:c r="I5" s="76"/>
      <x:c r="J5" s="76"/>
      <x:c r="K5" s="76"/>
      <x:c r="L5" s="76"/>
      <x:c r="M5" s="78" t="str">
        <x:f>IF(B5="","",TODAY())</x:f>
      </x:c>
      <x:c r="N5" s="76"/>
      <x:c r="O5" s="76" t="str">
        <x:f>IF(B5="","",IF(OR(C5="",D5="",E5="",F5="",G5="",I5="",J5="",K5&lt;&gt;"Validé humainement"),"ALERTE: données/preuves/statut",IF(OR(AND(ISNUMBER(F5),F5&lt;0),AND(ISNUMBER(G5),G5&lt;0)),"ALERTE: valeur anormale","OK")))</x:f>
      </x:c>
      <x:c r="P5" s="76" t="str">
        <x:f>IF(B5="","",IF(K5="Validé humainement","Oui","Non"))</x:f>
      </x:c>
    </x:row>
    <x:row r="6">
      <x:c r="A6" s="76" t="str">
        <x:f>IF(B6="","","ELEC-"&amp;TEXT(ROW()-4,"0000"))</x:f>
      </x:c>
      <x:c r="B6" s="76"/>
      <x:c r="C6" s="76"/>
      <x:c r="D6" s="76"/>
      <x:c r="E6" s="76"/>
      <x:c r="F6" s="81"/>
      <x:c r="G6" s="82"/>
      <x:c r="H6" s="77" t="str">
        <x:f>IF(OR(F6="",G6=""),"",F6*G6/1000)</x:f>
      </x:c>
      <x:c r="I6" s="76"/>
      <x:c r="J6" s="76"/>
      <x:c r="K6" s="76"/>
      <x:c r="L6" s="76"/>
      <x:c r="M6" s="78" t="str">
        <x:f>IF(B6="","",TODAY())</x:f>
      </x:c>
      <x:c r="N6" s="76"/>
      <x:c r="O6" s="76" t="str">
        <x:f>IF(B6="","",IF(OR(C6="",D6="",E6="",F6="",G6="",I6="",J6="",K6&lt;&gt;"Validé humainement"),"ALERTE: données/preuves/statut",IF(OR(AND(ISNUMBER(F6),F6&lt;0),AND(ISNUMBER(G6),G6&lt;0)),"ALERTE: valeur anormale","OK")))</x:f>
      </x:c>
      <x:c r="P6" s="76" t="str">
        <x:f>IF(B6="","",IF(K6="Validé humainement","Oui","Non"))</x:f>
      </x:c>
    </x:row>
    <x:row r="7">
      <x:c r="A7" s="76" t="str">
        <x:f>IF(B7="","","ELEC-"&amp;TEXT(ROW()-4,"0000"))</x:f>
      </x:c>
      <x:c r="B7" s="76"/>
      <x:c r="C7" s="76"/>
      <x:c r="D7" s="76"/>
      <x:c r="E7" s="76"/>
      <x:c r="F7" s="81"/>
      <x:c r="G7" s="82"/>
      <x:c r="H7" s="77" t="str">
        <x:f>IF(OR(F7="",G7=""),"",F7*G7/1000)</x:f>
      </x:c>
      <x:c r="I7" s="76"/>
      <x:c r="J7" s="76"/>
      <x:c r="K7" s="76"/>
      <x:c r="L7" s="76"/>
      <x:c r="M7" s="78" t="str">
        <x:f>IF(B7="","",TODAY())</x:f>
      </x:c>
      <x:c r="N7" s="76"/>
      <x:c r="O7" s="76" t="str">
        <x:f>IF(B7="","",IF(OR(C7="",D7="",E7="",F7="",G7="",I7="",J7="",K7&lt;&gt;"Validé humainement"),"ALERTE: données/preuves/statut",IF(OR(AND(ISNUMBER(F7),F7&lt;0),AND(ISNUMBER(G7),G7&lt;0)),"ALERTE: valeur anormale","OK")))</x:f>
      </x:c>
      <x:c r="P7" s="76" t="str">
        <x:f>IF(B7="","",IF(K7="Validé humainement","Oui","Non"))</x:f>
      </x:c>
    </x:row>
    <x:row r="8">
      <x:c r="A8" s="76" t="str">
        <x:f>IF(B8="","","ELEC-"&amp;TEXT(ROW()-4,"0000"))</x:f>
      </x:c>
      <x:c r="B8" s="76"/>
      <x:c r="C8" s="76"/>
      <x:c r="D8" s="76"/>
      <x:c r="E8" s="76"/>
      <x:c r="F8" s="81"/>
      <x:c r="G8" s="82"/>
      <x:c r="H8" s="77" t="str">
        <x:f>IF(OR(F8="",G8=""),"",F8*G8/1000)</x:f>
      </x:c>
      <x:c r="I8" s="76"/>
      <x:c r="J8" s="76"/>
      <x:c r="K8" s="76"/>
      <x:c r="L8" s="76"/>
      <x:c r="M8" s="78" t="str">
        <x:f>IF(B8="","",TODAY())</x:f>
      </x:c>
      <x:c r="N8" s="76"/>
      <x:c r="O8" s="76" t="str">
        <x:f>IF(B8="","",IF(OR(C8="",D8="",E8="",F8="",G8="",I8="",J8="",K8&lt;&gt;"Validé humainement"),"ALERTE: données/preuves/statut",IF(OR(AND(ISNUMBER(F8),F8&lt;0),AND(ISNUMBER(G8),G8&lt;0)),"ALERTE: valeur anormale","OK")))</x:f>
      </x:c>
      <x:c r="P8" s="76" t="str">
        <x:f>IF(B8="","",IF(K8="Validé humainement","Oui","Non"))</x:f>
      </x:c>
    </x:row>
    <x:row r="9">
      <x:c r="A9" s="76" t="str">
        <x:f>IF(B9="","","ELEC-"&amp;TEXT(ROW()-4,"0000"))</x:f>
      </x:c>
      <x:c r="B9" s="76"/>
      <x:c r="C9" s="76"/>
      <x:c r="D9" s="76"/>
      <x:c r="E9" s="76"/>
      <x:c r="F9" s="81"/>
      <x:c r="G9" s="82"/>
      <x:c r="H9" s="77" t="str">
        <x:f>IF(OR(F9="",G9=""),"",F9*G9/1000)</x:f>
      </x:c>
      <x:c r="I9" s="76"/>
      <x:c r="J9" s="76"/>
      <x:c r="K9" s="76"/>
      <x:c r="L9" s="76"/>
      <x:c r="M9" s="78" t="str">
        <x:f>IF(B9="","",TODAY())</x:f>
      </x:c>
      <x:c r="N9" s="76"/>
      <x:c r="O9" s="76" t="str">
        <x:f>IF(B9="","",IF(OR(C9="",D9="",E9="",F9="",G9="",I9="",J9="",K9&lt;&gt;"Validé humainement"),"ALERTE: données/preuves/statut",IF(OR(AND(ISNUMBER(F9),F9&lt;0),AND(ISNUMBER(G9),G9&lt;0)),"ALERTE: valeur anormale","OK")))</x:f>
      </x:c>
      <x:c r="P9" s="76" t="str">
        <x:f>IF(B9="","",IF(K9="Validé humainement","Oui","Non"))</x:f>
      </x:c>
    </x:row>
    <x:row r="10">
      <x:c r="A10" s="76" t="str">
        <x:f>IF(B10="","","ELEC-"&amp;TEXT(ROW()-4,"0000"))</x:f>
      </x:c>
      <x:c r="B10" s="76"/>
      <x:c r="C10" s="76"/>
      <x:c r="D10" s="76"/>
      <x:c r="E10" s="76"/>
      <x:c r="F10" s="81"/>
      <x:c r="G10" s="82"/>
      <x:c r="H10" s="77" t="str">
        <x:f>IF(OR(F10="",G10=""),"",F10*G10/1000)</x:f>
      </x:c>
      <x:c r="I10" s="76"/>
      <x:c r="J10" s="76"/>
      <x:c r="K10" s="76"/>
      <x:c r="L10" s="76"/>
      <x:c r="M10" s="78" t="str">
        <x:f>IF(B10="","",TODAY())</x:f>
      </x:c>
      <x:c r="N10" s="76"/>
      <x:c r="O10" s="76" t="str">
        <x:f>IF(B10="","",IF(OR(C10="",D10="",E10="",F10="",G10="",I10="",J10="",K10&lt;&gt;"Validé humainement"),"ALERTE: données/preuves/statut",IF(OR(AND(ISNUMBER(F10),F10&lt;0),AND(ISNUMBER(G10),G10&lt;0)),"ALERTE: valeur anormale","OK")))</x:f>
      </x:c>
      <x:c r="P10" s="76" t="str">
        <x:f>IF(B10="","",IF(K10="Validé humainement","Oui","Non"))</x:f>
      </x:c>
    </x:row>
    <x:row r="11">
      <x:c r="A11" s="76" t="str">
        <x:f>IF(B11="","","ELEC-"&amp;TEXT(ROW()-4,"0000"))</x:f>
      </x:c>
      <x:c r="B11" s="76"/>
      <x:c r="C11" s="76"/>
      <x:c r="D11" s="76"/>
      <x:c r="E11" s="76"/>
      <x:c r="F11" s="81"/>
      <x:c r="G11" s="82"/>
      <x:c r="H11" s="77" t="str">
        <x:f>IF(OR(F11="",G11=""),"",F11*G11/1000)</x:f>
      </x:c>
      <x:c r="I11" s="76"/>
      <x:c r="J11" s="76"/>
      <x:c r="K11" s="76"/>
      <x:c r="L11" s="76"/>
      <x:c r="M11" s="78" t="str">
        <x:f>IF(B11="","",TODAY())</x:f>
      </x:c>
      <x:c r="N11" s="76"/>
      <x:c r="O11" s="76" t="str">
        <x:f>IF(B11="","",IF(OR(C11="",D11="",E11="",F11="",G11="",I11="",J11="",K11&lt;&gt;"Validé humainement"),"ALERTE: données/preuves/statut",IF(OR(AND(ISNUMBER(F11),F11&lt;0),AND(ISNUMBER(G11),G11&lt;0)),"ALERTE: valeur anormale","OK")))</x:f>
      </x:c>
      <x:c r="P11" s="76" t="str">
        <x:f>IF(B11="","",IF(K11="Validé humainement","Oui","Non"))</x:f>
      </x:c>
    </x:row>
    <x:row r="12">
      <x:c r="A12" s="76" t="str">
        <x:f>IF(B12="","","ELEC-"&amp;TEXT(ROW()-4,"0000"))</x:f>
      </x:c>
      <x:c r="B12" s="76"/>
      <x:c r="C12" s="76"/>
      <x:c r="D12" s="76"/>
      <x:c r="E12" s="76"/>
      <x:c r="F12" s="81"/>
      <x:c r="G12" s="82"/>
      <x:c r="H12" s="77" t="str">
        <x:f>IF(OR(F12="",G12=""),"",F12*G12/1000)</x:f>
      </x:c>
      <x:c r="I12" s="76"/>
      <x:c r="J12" s="76"/>
      <x:c r="K12" s="76"/>
      <x:c r="L12" s="76"/>
      <x:c r="M12" s="78" t="str">
        <x:f>IF(B12="","",TODAY())</x:f>
      </x:c>
      <x:c r="N12" s="76"/>
      <x:c r="O12" s="76" t="str">
        <x:f>IF(B12="","",IF(OR(C12="",D12="",E12="",F12="",G12="",I12="",J12="",K12&lt;&gt;"Validé humainement"),"ALERTE: données/preuves/statut",IF(OR(AND(ISNUMBER(F12),F12&lt;0),AND(ISNUMBER(G12),G12&lt;0)),"ALERTE: valeur anormale","OK")))</x:f>
      </x:c>
      <x:c r="P12" s="76" t="str">
        <x:f>IF(B12="","",IF(K12="Validé humainement","Oui","Non"))</x:f>
      </x:c>
    </x:row>
    <x:row r="13">
      <x:c r="A13" s="76" t="str">
        <x:f>IF(B13="","","ELEC-"&amp;TEXT(ROW()-4,"0000"))</x:f>
      </x:c>
      <x:c r="B13" s="76"/>
      <x:c r="C13" s="76"/>
      <x:c r="D13" s="76"/>
      <x:c r="E13" s="76"/>
      <x:c r="F13" s="81"/>
      <x:c r="G13" s="82"/>
      <x:c r="H13" s="77" t="str">
        <x:f>IF(OR(F13="",G13=""),"",F13*G13/1000)</x:f>
      </x:c>
      <x:c r="I13" s="76"/>
      <x:c r="J13" s="76"/>
      <x:c r="K13" s="76"/>
      <x:c r="L13" s="76"/>
      <x:c r="M13" s="78" t="str">
        <x:f>IF(B13="","",TODAY())</x:f>
      </x:c>
      <x:c r="N13" s="76"/>
      <x:c r="O13" s="76" t="str">
        <x:f>IF(B13="","",IF(OR(C13="",D13="",E13="",F13="",G13="",I13="",J13="",K13&lt;&gt;"Validé humainement"),"ALERTE: données/preuves/statut",IF(OR(AND(ISNUMBER(F13),F13&lt;0),AND(ISNUMBER(G13),G13&lt;0)),"ALERTE: valeur anormale","OK")))</x:f>
      </x:c>
      <x:c r="P13" s="76" t="str">
        <x:f>IF(B13="","",IF(K13="Validé humainement","Oui","Non"))</x:f>
      </x:c>
    </x:row>
    <x:row r="14">
      <x:c r="A14" s="76" t="str">
        <x:f>IF(B14="","","ELEC-"&amp;TEXT(ROW()-4,"0000"))</x:f>
      </x:c>
      <x:c r="B14" s="76"/>
      <x:c r="C14" s="76"/>
      <x:c r="D14" s="76"/>
      <x:c r="E14" s="76"/>
      <x:c r="F14" s="81"/>
      <x:c r="G14" s="82"/>
      <x:c r="H14" s="77" t="str">
        <x:f>IF(OR(F14="",G14=""),"",F14*G14/1000)</x:f>
      </x:c>
      <x:c r="I14" s="76"/>
      <x:c r="J14" s="76"/>
      <x:c r="K14" s="76"/>
      <x:c r="L14" s="76"/>
      <x:c r="M14" s="78" t="str">
        <x:f>IF(B14="","",TODAY())</x:f>
      </x:c>
      <x:c r="N14" s="76"/>
      <x:c r="O14" s="76" t="str">
        <x:f>IF(B14="","",IF(OR(C14="",D14="",E14="",F14="",G14="",I14="",J14="",K14&lt;&gt;"Validé humainement"),"ALERTE: données/preuves/statut",IF(OR(AND(ISNUMBER(F14),F14&lt;0),AND(ISNUMBER(G14),G14&lt;0)),"ALERTE: valeur anormale","OK")))</x:f>
      </x:c>
      <x:c r="P14" s="76" t="str">
        <x:f>IF(B14="","",IF(K14="Validé humainement","Oui","Non"))</x:f>
      </x:c>
    </x:row>
    <x:row r="15">
      <x:c r="A15" s="76" t="str">
        <x:f>IF(B15="","","ELEC-"&amp;TEXT(ROW()-4,"0000"))</x:f>
      </x:c>
      <x:c r="B15" s="76"/>
      <x:c r="C15" s="76"/>
      <x:c r="D15" s="76"/>
      <x:c r="E15" s="76"/>
      <x:c r="F15" s="81"/>
      <x:c r="G15" s="82"/>
      <x:c r="H15" s="77" t="str">
        <x:f>IF(OR(F15="",G15=""),"",F15*G15/1000)</x:f>
      </x:c>
      <x:c r="I15" s="76"/>
      <x:c r="J15" s="76"/>
      <x:c r="K15" s="76"/>
      <x:c r="L15" s="76"/>
      <x:c r="M15" s="78" t="str">
        <x:f>IF(B15="","",TODAY())</x:f>
      </x:c>
      <x:c r="N15" s="76"/>
      <x:c r="O15" s="76" t="str">
        <x:f>IF(B15="","",IF(OR(C15="",D15="",E15="",F15="",G15="",I15="",J15="",K15&lt;&gt;"Validé humainement"),"ALERTE: données/preuves/statut",IF(OR(AND(ISNUMBER(F15),F15&lt;0),AND(ISNUMBER(G15),G15&lt;0)),"ALERTE: valeur anormale","OK")))</x:f>
      </x:c>
      <x:c r="P15" s="76" t="str">
        <x:f>IF(B15="","",IF(K15="Validé humainement","Oui","Non"))</x:f>
      </x:c>
    </x:row>
    <x:row r="16">
      <x:c r="A16" s="76" t="str">
        <x:f>IF(B16="","","ELEC-"&amp;TEXT(ROW()-4,"0000"))</x:f>
      </x:c>
      <x:c r="B16" s="76"/>
      <x:c r="C16" s="76"/>
      <x:c r="D16" s="76"/>
      <x:c r="E16" s="76"/>
      <x:c r="F16" s="81"/>
      <x:c r="G16" s="82"/>
      <x:c r="H16" s="77" t="str">
        <x:f>IF(OR(F16="",G16=""),"",F16*G16/1000)</x:f>
      </x:c>
      <x:c r="I16" s="76"/>
      <x:c r="J16" s="76"/>
      <x:c r="K16" s="76"/>
      <x:c r="L16" s="76"/>
      <x:c r="M16" s="78" t="str">
        <x:f>IF(B16="","",TODAY())</x:f>
      </x:c>
      <x:c r="N16" s="76"/>
      <x:c r="O16" s="76" t="str">
        <x:f>IF(B16="","",IF(OR(C16="",D16="",E16="",F16="",G16="",I16="",J16="",K16&lt;&gt;"Validé humainement"),"ALERTE: données/preuves/statut",IF(OR(AND(ISNUMBER(F16),F16&lt;0),AND(ISNUMBER(G16),G16&lt;0)),"ALERTE: valeur anormale","OK")))</x:f>
      </x:c>
      <x:c r="P16" s="76" t="str">
        <x:f>IF(B16="","",IF(K16="Validé humainement","Oui","Non"))</x:f>
      </x:c>
    </x:row>
    <x:row r="17">
      <x:c r="A17" s="76" t="str">
        <x:f>IF(B17="","","ELEC-"&amp;TEXT(ROW()-4,"0000"))</x:f>
      </x:c>
      <x:c r="B17" s="76"/>
      <x:c r="C17" s="76"/>
      <x:c r="D17" s="76"/>
      <x:c r="E17" s="76"/>
      <x:c r="F17" s="81"/>
      <x:c r="G17" s="82"/>
      <x:c r="H17" s="77" t="str">
        <x:f>IF(OR(F17="",G17=""),"",F17*G17/1000)</x:f>
      </x:c>
      <x:c r="I17" s="76"/>
      <x:c r="J17" s="76"/>
      <x:c r="K17" s="76"/>
      <x:c r="L17" s="76"/>
      <x:c r="M17" s="78" t="str">
        <x:f>IF(B17="","",TODAY())</x:f>
      </x:c>
      <x:c r="N17" s="76"/>
      <x:c r="O17" s="76" t="str">
        <x:f>IF(B17="","",IF(OR(C17="",D17="",E17="",F17="",G17="",I17="",J17="",K17&lt;&gt;"Validé humainement"),"ALERTE: données/preuves/statut",IF(OR(AND(ISNUMBER(F17),F17&lt;0),AND(ISNUMBER(G17),G17&lt;0)),"ALERTE: valeur anormale","OK")))</x:f>
      </x:c>
      <x:c r="P17" s="76" t="str">
        <x:f>IF(B17="","",IF(K17="Validé humainement","Oui","Non"))</x:f>
      </x:c>
    </x:row>
    <x:row r="18">
      <x:c r="A18" s="76" t="str">
        <x:f>IF(B18="","","ELEC-"&amp;TEXT(ROW()-4,"0000"))</x:f>
      </x:c>
      <x:c r="B18" s="76"/>
      <x:c r="C18" s="76"/>
      <x:c r="D18" s="76"/>
      <x:c r="E18" s="76"/>
      <x:c r="F18" s="81"/>
      <x:c r="G18" s="82"/>
      <x:c r="H18" s="77" t="str">
        <x:f>IF(OR(F18="",G18=""),"",F18*G18/1000)</x:f>
      </x:c>
      <x:c r="I18" s="76"/>
      <x:c r="J18" s="76"/>
      <x:c r="K18" s="76"/>
      <x:c r="L18" s="76"/>
      <x:c r="M18" s="78" t="str">
        <x:f>IF(B18="","",TODAY())</x:f>
      </x:c>
      <x:c r="N18" s="76"/>
      <x:c r="O18" s="76" t="str">
        <x:f>IF(B18="","",IF(OR(C18="",D18="",E18="",F18="",G18="",I18="",J18="",K18&lt;&gt;"Validé humainement"),"ALERTE: données/preuves/statut",IF(OR(AND(ISNUMBER(F18),F18&lt;0),AND(ISNUMBER(G18),G18&lt;0)),"ALERTE: valeur anormale","OK")))</x:f>
      </x:c>
      <x:c r="P18" s="76" t="str">
        <x:f>IF(B18="","",IF(K18="Validé humainement","Oui","Non"))</x:f>
      </x:c>
    </x:row>
    <x:row r="19">
      <x:c r="A19" s="76" t="str">
        <x:f>IF(B19="","","ELEC-"&amp;TEXT(ROW()-4,"0000"))</x:f>
      </x:c>
      <x:c r="B19" s="76"/>
      <x:c r="C19" s="76"/>
      <x:c r="D19" s="76"/>
      <x:c r="E19" s="76"/>
      <x:c r="F19" s="81"/>
      <x:c r="G19" s="82"/>
      <x:c r="H19" s="77" t="str">
        <x:f>IF(OR(F19="",G19=""),"",F19*G19/1000)</x:f>
      </x:c>
      <x:c r="I19" s="76"/>
      <x:c r="J19" s="76"/>
      <x:c r="K19" s="76"/>
      <x:c r="L19" s="76"/>
      <x:c r="M19" s="78" t="str">
        <x:f>IF(B19="","",TODAY())</x:f>
      </x:c>
      <x:c r="N19" s="76"/>
      <x:c r="O19" s="76" t="str">
        <x:f>IF(B19="","",IF(OR(C19="",D19="",E19="",F19="",G19="",I19="",J19="",K19&lt;&gt;"Validé humainement"),"ALERTE: données/preuves/statut",IF(OR(AND(ISNUMBER(F19),F19&lt;0),AND(ISNUMBER(G19),G19&lt;0)),"ALERTE: valeur anormale","OK")))</x:f>
      </x:c>
      <x:c r="P19" s="76" t="str">
        <x:f>IF(B19="","",IF(K19="Validé humainement","Oui","Non"))</x:f>
      </x:c>
    </x:row>
    <x:row r="20">
      <x:c r="A20" s="76" t="str">
        <x:f>IF(B20="","","ELEC-"&amp;TEXT(ROW()-4,"0000"))</x:f>
      </x:c>
      <x:c r="B20" s="76"/>
      <x:c r="C20" s="76"/>
      <x:c r="D20" s="76"/>
      <x:c r="E20" s="76"/>
      <x:c r="F20" s="81"/>
      <x:c r="G20" s="82"/>
      <x:c r="H20" s="77" t="str">
        <x:f>IF(OR(F20="",G20=""),"",F20*G20/1000)</x:f>
      </x:c>
      <x:c r="I20" s="76"/>
      <x:c r="J20" s="76"/>
      <x:c r="K20" s="76"/>
      <x:c r="L20" s="76"/>
      <x:c r="M20" s="78" t="str">
        <x:f>IF(B20="","",TODAY())</x:f>
      </x:c>
      <x:c r="N20" s="76"/>
      <x:c r="O20" s="76" t="str">
        <x:f>IF(B20="","",IF(OR(C20="",D20="",E20="",F20="",G20="",I20="",J20="",K20&lt;&gt;"Validé humainement"),"ALERTE: données/preuves/statut",IF(OR(AND(ISNUMBER(F20),F20&lt;0),AND(ISNUMBER(G20),G20&lt;0)),"ALERTE: valeur anormale","OK")))</x:f>
      </x:c>
      <x:c r="P20" s="76" t="str">
        <x:f>IF(B20="","",IF(K20="Validé humainement","Oui","Non"))</x:f>
      </x:c>
    </x:row>
    <x:row r="21">
      <x:c r="A21" s="76" t="str">
        <x:f>IF(B21="","","ELEC-"&amp;TEXT(ROW()-4,"0000"))</x:f>
      </x:c>
      <x:c r="B21" s="76"/>
      <x:c r="C21" s="76"/>
      <x:c r="D21" s="76"/>
      <x:c r="E21" s="76"/>
      <x:c r="F21" s="81"/>
      <x:c r="G21" s="82"/>
      <x:c r="H21" s="77" t="str">
        <x:f>IF(OR(F21="",G21=""),"",F21*G21/1000)</x:f>
      </x:c>
      <x:c r="I21" s="76"/>
      <x:c r="J21" s="76"/>
      <x:c r="K21" s="76"/>
      <x:c r="L21" s="76"/>
      <x:c r="M21" s="78" t="str">
        <x:f>IF(B21="","",TODAY())</x:f>
      </x:c>
      <x:c r="N21" s="76"/>
      <x:c r="O21" s="76" t="str">
        <x:f>IF(B21="","",IF(OR(C21="",D21="",E21="",F21="",G21="",I21="",J21="",K21&lt;&gt;"Validé humainement"),"ALERTE: données/preuves/statut",IF(OR(AND(ISNUMBER(F21),F21&lt;0),AND(ISNUMBER(G21),G21&lt;0)),"ALERTE: valeur anormale","OK")))</x:f>
      </x:c>
      <x:c r="P21" s="76" t="str">
        <x:f>IF(B21="","",IF(K21="Validé humainement","Oui","Non"))</x:f>
      </x:c>
    </x:row>
    <x:row r="22">
      <x:c r="A22" s="76" t="str">
        <x:f>IF(B22="","","ELEC-"&amp;TEXT(ROW()-4,"0000"))</x:f>
      </x:c>
      <x:c r="B22" s="76"/>
      <x:c r="C22" s="76"/>
      <x:c r="D22" s="76"/>
      <x:c r="E22" s="76"/>
      <x:c r="F22" s="81"/>
      <x:c r="G22" s="82"/>
      <x:c r="H22" s="77" t="str">
        <x:f>IF(OR(F22="",G22=""),"",F22*G22/1000)</x:f>
      </x:c>
      <x:c r="I22" s="76"/>
      <x:c r="J22" s="76"/>
      <x:c r="K22" s="76"/>
      <x:c r="L22" s="76"/>
      <x:c r="M22" s="78" t="str">
        <x:f>IF(B22="","",TODAY())</x:f>
      </x:c>
      <x:c r="N22" s="76"/>
      <x:c r="O22" s="76" t="str">
        <x:f>IF(B22="","",IF(OR(C22="",D22="",E22="",F22="",G22="",I22="",J22="",K22&lt;&gt;"Validé humainement"),"ALERTE: données/preuves/statut",IF(OR(AND(ISNUMBER(F22),F22&lt;0),AND(ISNUMBER(G22),G22&lt;0)),"ALERTE: valeur anormale","OK")))</x:f>
      </x:c>
      <x:c r="P22" s="76" t="str">
        <x:f>IF(B22="","",IF(K22="Validé humainement","Oui","Non"))</x:f>
      </x:c>
    </x:row>
    <x:row r="23">
      <x:c r="A23" s="76" t="str">
        <x:f>IF(B23="","","ELEC-"&amp;TEXT(ROW()-4,"0000"))</x:f>
      </x:c>
      <x:c r="B23" s="76"/>
      <x:c r="C23" s="76"/>
      <x:c r="D23" s="76"/>
      <x:c r="E23" s="76"/>
      <x:c r="F23" s="81"/>
      <x:c r="G23" s="82"/>
      <x:c r="H23" s="77" t="str">
        <x:f>IF(OR(F23="",G23=""),"",F23*G23/1000)</x:f>
      </x:c>
      <x:c r="I23" s="76"/>
      <x:c r="J23" s="76"/>
      <x:c r="K23" s="76"/>
      <x:c r="L23" s="76"/>
      <x:c r="M23" s="78" t="str">
        <x:f>IF(B23="","",TODAY())</x:f>
      </x:c>
      <x:c r="N23" s="76"/>
      <x:c r="O23" s="76" t="str">
        <x:f>IF(B23="","",IF(OR(C23="",D23="",E23="",F23="",G23="",I23="",J23="",K23&lt;&gt;"Validé humainement"),"ALERTE: données/preuves/statut",IF(OR(AND(ISNUMBER(F23),F23&lt;0),AND(ISNUMBER(G23),G23&lt;0)),"ALERTE: valeur anormale","OK")))</x:f>
      </x:c>
      <x:c r="P23" s="76" t="str">
        <x:f>IF(B23="","",IF(K23="Validé humainement","Oui","Non"))</x:f>
      </x:c>
    </x:row>
    <x:row r="24">
      <x:c r="A24" s="76" t="str">
        <x:f>IF(B24="","","ELEC-"&amp;TEXT(ROW()-4,"0000"))</x:f>
      </x:c>
      <x:c r="B24" s="76"/>
      <x:c r="C24" s="76"/>
      <x:c r="D24" s="76"/>
      <x:c r="E24" s="76"/>
      <x:c r="F24" s="81"/>
      <x:c r="G24" s="82"/>
      <x:c r="H24" s="77" t="str">
        <x:f>IF(OR(F24="",G24=""),"",F24*G24/1000)</x:f>
      </x:c>
      <x:c r="I24" s="76"/>
      <x:c r="J24" s="76"/>
      <x:c r="K24" s="76"/>
      <x:c r="L24" s="76"/>
      <x:c r="M24" s="78" t="str">
        <x:f>IF(B24="","",TODAY())</x:f>
      </x:c>
      <x:c r="N24" s="76"/>
      <x:c r="O24" s="76" t="str">
        <x:f>IF(B24="","",IF(OR(C24="",D24="",E24="",F24="",G24="",I24="",J24="",K24&lt;&gt;"Validé humainement"),"ALERTE: données/preuves/statut",IF(OR(AND(ISNUMBER(F24),F24&lt;0),AND(ISNUMBER(G24),G24&lt;0)),"ALERTE: valeur anormale","OK")))</x:f>
      </x:c>
      <x:c r="P24" s="76" t="str">
        <x:f>IF(B24="","",IF(K24="Validé humainement","Oui","Non"))</x:f>
      </x:c>
    </x:row>
    <x:row r="25">
      <x:c r="A25" s="76" t="str">
        <x:f>IF(B25="","","ELEC-"&amp;TEXT(ROW()-4,"0000"))</x:f>
      </x:c>
      <x:c r="B25" s="76"/>
      <x:c r="C25" s="76"/>
      <x:c r="D25" s="76"/>
      <x:c r="E25" s="76"/>
      <x:c r="F25" s="81"/>
      <x:c r="G25" s="82"/>
      <x:c r="H25" s="77" t="str">
        <x:f>IF(OR(F25="",G25=""),"",F25*G25/1000)</x:f>
      </x:c>
      <x:c r="I25" s="76"/>
      <x:c r="J25" s="76"/>
      <x:c r="K25" s="76"/>
      <x:c r="L25" s="76"/>
      <x:c r="M25" s="78" t="str">
        <x:f>IF(B25="","",TODAY())</x:f>
      </x:c>
      <x:c r="N25" s="76"/>
      <x:c r="O25" s="76" t="str">
        <x:f>IF(B25="","",IF(OR(C25="",D25="",E25="",F25="",G25="",I25="",J25="",K25&lt;&gt;"Validé humainement"),"ALERTE: données/preuves/statut",IF(OR(AND(ISNUMBER(F25),F25&lt;0),AND(ISNUMBER(G25),G25&lt;0)),"ALERTE: valeur anormale","OK")))</x:f>
      </x:c>
      <x:c r="P25" s="76" t="str">
        <x:f>IF(B25="","",IF(K25="Validé humainement","Oui","Non"))</x:f>
      </x:c>
    </x:row>
    <x:row r="26">
      <x:c r="A26" s="76" t="str">
        <x:f>IF(B26="","","ELEC-"&amp;TEXT(ROW()-4,"0000"))</x:f>
      </x:c>
      <x:c r="B26" s="76"/>
      <x:c r="C26" s="76"/>
      <x:c r="D26" s="76"/>
      <x:c r="E26" s="76"/>
      <x:c r="F26" s="81"/>
      <x:c r="G26" s="82"/>
      <x:c r="H26" s="77" t="str">
        <x:f>IF(OR(F26="",G26=""),"",F26*G26/1000)</x:f>
      </x:c>
      <x:c r="I26" s="76"/>
      <x:c r="J26" s="76"/>
      <x:c r="K26" s="76"/>
      <x:c r="L26" s="76"/>
      <x:c r="M26" s="78" t="str">
        <x:f>IF(B26="","",TODAY())</x:f>
      </x:c>
      <x:c r="N26" s="76"/>
      <x:c r="O26" s="76" t="str">
        <x:f>IF(B26="","",IF(OR(C26="",D26="",E26="",F26="",G26="",I26="",J26="",K26&lt;&gt;"Validé humainement"),"ALERTE: données/preuves/statut",IF(OR(AND(ISNUMBER(F26),F26&lt;0),AND(ISNUMBER(G26),G26&lt;0)),"ALERTE: valeur anormale","OK")))</x:f>
      </x:c>
      <x:c r="P26" s="76" t="str">
        <x:f>IF(B26="","",IF(K26="Validé humainement","Oui","Non"))</x:f>
      </x:c>
    </x:row>
    <x:row r="27">
      <x:c r="A27" s="76" t="str">
        <x:f>IF(B27="","","ELEC-"&amp;TEXT(ROW()-4,"0000"))</x:f>
      </x:c>
      <x:c r="B27" s="76"/>
      <x:c r="C27" s="76"/>
      <x:c r="D27" s="76"/>
      <x:c r="E27" s="76"/>
      <x:c r="F27" s="81"/>
      <x:c r="G27" s="82"/>
      <x:c r="H27" s="77" t="str">
        <x:f>IF(OR(F27="",G27=""),"",F27*G27/1000)</x:f>
      </x:c>
      <x:c r="I27" s="76"/>
      <x:c r="J27" s="76"/>
      <x:c r="K27" s="76"/>
      <x:c r="L27" s="76"/>
      <x:c r="M27" s="78" t="str">
        <x:f>IF(B27="","",TODAY())</x:f>
      </x:c>
      <x:c r="N27" s="76"/>
      <x:c r="O27" s="76" t="str">
        <x:f>IF(B27="","",IF(OR(C27="",D27="",E27="",F27="",G27="",I27="",J27="",K27&lt;&gt;"Validé humainement"),"ALERTE: données/preuves/statut",IF(OR(AND(ISNUMBER(F27),F27&lt;0),AND(ISNUMBER(G27),G27&lt;0)),"ALERTE: valeur anormale","OK")))</x:f>
      </x:c>
      <x:c r="P27" s="76" t="str">
        <x:f>IF(B27="","",IF(K27="Validé humainement","Oui","Non"))</x:f>
      </x:c>
    </x:row>
    <x:row r="28">
      <x:c r="A28" s="76" t="str">
        <x:f>IF(B28="","","ELEC-"&amp;TEXT(ROW()-4,"0000"))</x:f>
      </x:c>
      <x:c r="B28" s="76"/>
      <x:c r="C28" s="76"/>
      <x:c r="D28" s="76"/>
      <x:c r="E28" s="76"/>
      <x:c r="F28" s="81"/>
      <x:c r="G28" s="82"/>
      <x:c r="H28" s="77" t="str">
        <x:f>IF(OR(F28="",G28=""),"",F28*G28/1000)</x:f>
      </x:c>
      <x:c r="I28" s="76"/>
      <x:c r="J28" s="76"/>
      <x:c r="K28" s="76"/>
      <x:c r="L28" s="76"/>
      <x:c r="M28" s="78" t="str">
        <x:f>IF(B28="","",TODAY())</x:f>
      </x:c>
      <x:c r="N28" s="76"/>
      <x:c r="O28" s="76" t="str">
        <x:f>IF(B28="","",IF(OR(C28="",D28="",E28="",F28="",G28="",I28="",J28="",K28&lt;&gt;"Validé humainement"),"ALERTE: données/preuves/statut",IF(OR(AND(ISNUMBER(F28),F28&lt;0),AND(ISNUMBER(G28),G28&lt;0)),"ALERTE: valeur anormale","OK")))</x:f>
      </x:c>
      <x:c r="P28" s="76" t="str">
        <x:f>IF(B28="","",IF(K28="Validé humainement","Oui","Non"))</x:f>
      </x:c>
    </x:row>
    <x:row r="29">
      <x:c r="A29" s="76" t="str">
        <x:f>IF(B29="","","ELEC-"&amp;TEXT(ROW()-4,"0000"))</x:f>
      </x:c>
      <x:c r="B29" s="76"/>
      <x:c r="C29" s="76"/>
      <x:c r="D29" s="76"/>
      <x:c r="E29" s="76"/>
      <x:c r="F29" s="81"/>
      <x:c r="G29" s="82"/>
      <x:c r="H29" s="77" t="str">
        <x:f>IF(OR(F29="",G29=""),"",F29*G29/1000)</x:f>
      </x:c>
      <x:c r="I29" s="76"/>
      <x:c r="J29" s="76"/>
      <x:c r="K29" s="76"/>
      <x:c r="L29" s="76"/>
      <x:c r="M29" s="78" t="str">
        <x:f>IF(B29="","",TODAY())</x:f>
      </x:c>
      <x:c r="N29" s="76"/>
      <x:c r="O29" s="76" t="str">
        <x:f>IF(B29="","",IF(OR(C29="",D29="",E29="",F29="",G29="",I29="",J29="",K29&lt;&gt;"Validé humainement"),"ALERTE: données/preuves/statut",IF(OR(AND(ISNUMBER(F29),F29&lt;0),AND(ISNUMBER(G29),G29&lt;0)),"ALERTE: valeur anormale","OK")))</x:f>
      </x:c>
      <x:c r="P29" s="76" t="str">
        <x:f>IF(B29="","",IF(K29="Validé humainement","Oui","Non"))</x:f>
      </x:c>
    </x:row>
    <x:row r="30">
      <x:c r="A30" s="76" t="str">
        <x:f>IF(B30="","","ELEC-"&amp;TEXT(ROW()-4,"0000"))</x:f>
      </x:c>
      <x:c r="B30" s="76"/>
      <x:c r="C30" s="76"/>
      <x:c r="D30" s="76"/>
      <x:c r="E30" s="76"/>
      <x:c r="F30" s="81"/>
      <x:c r="G30" s="82"/>
      <x:c r="H30" s="77" t="str">
        <x:f>IF(OR(F30="",G30=""),"",F30*G30/1000)</x:f>
      </x:c>
      <x:c r="I30" s="76"/>
      <x:c r="J30" s="76"/>
      <x:c r="K30" s="76"/>
      <x:c r="L30" s="76"/>
      <x:c r="M30" s="78" t="str">
        <x:f>IF(B30="","",TODAY())</x:f>
      </x:c>
      <x:c r="N30" s="76"/>
      <x:c r="O30" s="76" t="str">
        <x:f>IF(B30="","",IF(OR(C30="",D30="",E30="",F30="",G30="",I30="",J30="",K30&lt;&gt;"Validé humainement"),"ALERTE: données/preuves/statut",IF(OR(AND(ISNUMBER(F30),F30&lt;0),AND(ISNUMBER(G30),G30&lt;0)),"ALERTE: valeur anormale","OK")))</x:f>
      </x:c>
      <x:c r="P30" s="76" t="str">
        <x:f>IF(B30="","",IF(K30="Validé humainement","Oui","Non"))</x:f>
      </x:c>
    </x:row>
    <x:row r="31">
      <x:c r="A31" s="76" t="str">
        <x:f>IF(B31="","","ELEC-"&amp;TEXT(ROW()-4,"0000"))</x:f>
      </x:c>
      <x:c r="B31" s="76"/>
      <x:c r="C31" s="76"/>
      <x:c r="D31" s="76"/>
      <x:c r="E31" s="76"/>
      <x:c r="F31" s="81"/>
      <x:c r="G31" s="82"/>
      <x:c r="H31" s="77" t="str">
        <x:f>IF(OR(F31="",G31=""),"",F31*G31/1000)</x:f>
      </x:c>
      <x:c r="I31" s="76"/>
      <x:c r="J31" s="76"/>
      <x:c r="K31" s="76"/>
      <x:c r="L31" s="76"/>
      <x:c r="M31" s="78" t="str">
        <x:f>IF(B31="","",TODAY())</x:f>
      </x:c>
      <x:c r="N31" s="76"/>
      <x:c r="O31" s="76" t="str">
        <x:f>IF(B31="","",IF(OR(C31="",D31="",E31="",F31="",G31="",I31="",J31="",K31&lt;&gt;"Validé humainement"),"ALERTE: données/preuves/statut",IF(OR(AND(ISNUMBER(F31),F31&lt;0),AND(ISNUMBER(G31),G31&lt;0)),"ALERTE: valeur anormale","OK")))</x:f>
      </x:c>
      <x:c r="P31" s="76" t="str">
        <x:f>IF(B31="","",IF(K31="Validé humainement","Oui","Non"))</x:f>
      </x:c>
    </x:row>
    <x:row r="32">
      <x:c r="A32" s="76" t="str">
        <x:f>IF(B32="","","ELEC-"&amp;TEXT(ROW()-4,"0000"))</x:f>
      </x:c>
      <x:c r="B32" s="76"/>
      <x:c r="C32" s="76"/>
      <x:c r="D32" s="76"/>
      <x:c r="E32" s="76"/>
      <x:c r="F32" s="81"/>
      <x:c r="G32" s="82"/>
      <x:c r="H32" s="77" t="str">
        <x:f>IF(OR(F32="",G32=""),"",F32*G32/1000)</x:f>
      </x:c>
      <x:c r="I32" s="76"/>
      <x:c r="J32" s="76"/>
      <x:c r="K32" s="76"/>
      <x:c r="L32" s="76"/>
      <x:c r="M32" s="78" t="str">
        <x:f>IF(B32="","",TODAY())</x:f>
      </x:c>
      <x:c r="N32" s="76"/>
      <x:c r="O32" s="76" t="str">
        <x:f>IF(B32="","",IF(OR(C32="",D32="",E32="",F32="",G32="",I32="",J32="",K32&lt;&gt;"Validé humainement"),"ALERTE: données/preuves/statut",IF(OR(AND(ISNUMBER(F32),F32&lt;0),AND(ISNUMBER(G32),G32&lt;0)),"ALERTE: valeur anormale","OK")))</x:f>
      </x:c>
      <x:c r="P32" s="76" t="str">
        <x:f>IF(B32="","",IF(K32="Validé humainement","Oui","Non"))</x:f>
      </x:c>
    </x:row>
    <x:row r="33">
      <x:c r="A33" s="76" t="str">
        <x:f>IF(B33="","","ELEC-"&amp;TEXT(ROW()-4,"0000"))</x:f>
      </x:c>
      <x:c r="B33" s="76"/>
      <x:c r="C33" s="76"/>
      <x:c r="D33" s="76"/>
      <x:c r="E33" s="76"/>
      <x:c r="F33" s="81"/>
      <x:c r="G33" s="82"/>
      <x:c r="H33" s="77" t="str">
        <x:f>IF(OR(F33="",G33=""),"",F33*G33/1000)</x:f>
      </x:c>
      <x:c r="I33" s="76"/>
      <x:c r="J33" s="76"/>
      <x:c r="K33" s="76"/>
      <x:c r="L33" s="76"/>
      <x:c r="M33" s="78" t="str">
        <x:f>IF(B33="","",TODAY())</x:f>
      </x:c>
      <x:c r="N33" s="76"/>
      <x:c r="O33" s="76" t="str">
        <x:f>IF(B33="","",IF(OR(C33="",D33="",E33="",F33="",G33="",I33="",J33="",K33&lt;&gt;"Validé humainement"),"ALERTE: données/preuves/statut",IF(OR(AND(ISNUMBER(F33),F33&lt;0),AND(ISNUMBER(G33),G33&lt;0)),"ALERTE: valeur anormale","OK")))</x:f>
      </x:c>
      <x:c r="P33" s="76" t="str">
        <x:f>IF(B33="","",IF(K33="Validé humainement","Oui","Non"))</x:f>
      </x:c>
    </x:row>
    <x:row r="34">
      <x:c r="A34" s="76" t="str">
        <x:f>IF(B34="","","ELEC-"&amp;TEXT(ROW()-4,"0000"))</x:f>
      </x:c>
      <x:c r="B34" s="76"/>
      <x:c r="C34" s="76"/>
      <x:c r="D34" s="76"/>
      <x:c r="E34" s="76"/>
      <x:c r="F34" s="81"/>
      <x:c r="G34" s="82"/>
      <x:c r="H34" s="77" t="str">
        <x:f>IF(OR(F34="",G34=""),"",F34*G34/1000)</x:f>
      </x:c>
      <x:c r="I34" s="76"/>
      <x:c r="J34" s="76"/>
      <x:c r="K34" s="76"/>
      <x:c r="L34" s="76"/>
      <x:c r="M34" s="78" t="str">
        <x:f>IF(B34="","",TODAY())</x:f>
      </x:c>
      <x:c r="N34" s="76"/>
      <x:c r="O34" s="76" t="str">
        <x:f>IF(B34="","",IF(OR(C34="",D34="",E34="",F34="",G34="",I34="",J34="",K34&lt;&gt;"Validé humainement"),"ALERTE: données/preuves/statut",IF(OR(AND(ISNUMBER(F34),F34&lt;0),AND(ISNUMBER(G34),G34&lt;0)),"ALERTE: valeur anormale","OK")))</x:f>
      </x:c>
      <x:c r="P34" s="76" t="str">
        <x:f>IF(B34="","",IF(K34="Validé humainement","Oui","Non"))</x:f>
      </x:c>
    </x:row>
    <x:row r="35">
      <x:c r="A35" s="76" t="str">
        <x:f>IF(B35="","","ELEC-"&amp;TEXT(ROW()-4,"0000"))</x:f>
      </x:c>
      <x:c r="B35" s="76"/>
      <x:c r="C35" s="76"/>
      <x:c r="D35" s="76"/>
      <x:c r="E35" s="76"/>
      <x:c r="F35" s="81"/>
      <x:c r="G35" s="82"/>
      <x:c r="H35" s="77" t="str">
        <x:f>IF(OR(F35="",G35=""),"",F35*G35/1000)</x:f>
      </x:c>
      <x:c r="I35" s="76"/>
      <x:c r="J35" s="76"/>
      <x:c r="K35" s="76"/>
      <x:c r="L35" s="76"/>
      <x:c r="M35" s="78" t="str">
        <x:f>IF(B35="","",TODAY())</x:f>
      </x:c>
      <x:c r="N35" s="76"/>
      <x:c r="O35" s="76" t="str">
        <x:f>IF(B35="","",IF(OR(C35="",D35="",E35="",F35="",G35="",I35="",J35="",K35&lt;&gt;"Validé humainement"),"ALERTE: données/preuves/statut",IF(OR(AND(ISNUMBER(F35),F35&lt;0),AND(ISNUMBER(G35),G35&lt;0)),"ALERTE: valeur anormale","OK")))</x:f>
      </x:c>
      <x:c r="P35" s="76" t="str">
        <x:f>IF(B35="","",IF(K35="Validé humainement","Oui","Non"))</x:f>
      </x:c>
    </x:row>
    <x:row r="36">
      <x:c r="A36" s="76" t="str">
        <x:f>IF(B36="","","ELEC-"&amp;TEXT(ROW()-4,"0000"))</x:f>
      </x:c>
      <x:c r="B36" s="76"/>
      <x:c r="C36" s="76"/>
      <x:c r="D36" s="76"/>
      <x:c r="E36" s="76"/>
      <x:c r="F36" s="81"/>
      <x:c r="G36" s="82"/>
      <x:c r="H36" s="77" t="str">
        <x:f>IF(OR(F36="",G36=""),"",F36*G36/1000)</x:f>
      </x:c>
      <x:c r="I36" s="76"/>
      <x:c r="J36" s="76"/>
      <x:c r="K36" s="76"/>
      <x:c r="L36" s="76"/>
      <x:c r="M36" s="78" t="str">
        <x:f>IF(B36="","",TODAY())</x:f>
      </x:c>
      <x:c r="N36" s="76"/>
      <x:c r="O36" s="76" t="str">
        <x:f>IF(B36="","",IF(OR(C36="",D36="",E36="",F36="",G36="",I36="",J36="",K36&lt;&gt;"Validé humainement"),"ALERTE: données/preuves/statut",IF(OR(AND(ISNUMBER(F36),F36&lt;0),AND(ISNUMBER(G36),G36&lt;0)),"ALERTE: valeur anormale","OK")))</x:f>
      </x:c>
      <x:c r="P36" s="76" t="str">
        <x:f>IF(B36="","",IF(K36="Validé humainement","Oui","Non"))</x:f>
      </x:c>
    </x:row>
    <x:row r="37">
      <x:c r="A37" s="76" t="str">
        <x:f>IF(B37="","","ELEC-"&amp;TEXT(ROW()-4,"0000"))</x:f>
      </x:c>
      <x:c r="B37" s="76"/>
      <x:c r="C37" s="76"/>
      <x:c r="D37" s="76"/>
      <x:c r="E37" s="76"/>
      <x:c r="F37" s="81"/>
      <x:c r="G37" s="82"/>
      <x:c r="H37" s="77" t="str">
        <x:f>IF(OR(F37="",G37=""),"",F37*G37/1000)</x:f>
      </x:c>
      <x:c r="I37" s="76"/>
      <x:c r="J37" s="76"/>
      <x:c r="K37" s="76"/>
      <x:c r="L37" s="76"/>
      <x:c r="M37" s="78" t="str">
        <x:f>IF(B37="","",TODAY())</x:f>
      </x:c>
      <x:c r="N37" s="76"/>
      <x:c r="O37" s="76" t="str">
        <x:f>IF(B37="","",IF(OR(C37="",D37="",E37="",F37="",G37="",I37="",J37="",K37&lt;&gt;"Validé humainement"),"ALERTE: données/preuves/statut",IF(OR(AND(ISNUMBER(F37),F37&lt;0),AND(ISNUMBER(G37),G37&lt;0)),"ALERTE: valeur anormale","OK")))</x:f>
      </x:c>
      <x:c r="P37" s="76" t="str">
        <x:f>IF(B37="","",IF(K37="Validé humainement","Oui","Non"))</x:f>
      </x:c>
    </x:row>
    <x:row r="38">
      <x:c r="A38" s="76" t="str">
        <x:f>IF(B38="","","ELEC-"&amp;TEXT(ROW()-4,"0000"))</x:f>
      </x:c>
      <x:c r="B38" s="76"/>
      <x:c r="C38" s="76"/>
      <x:c r="D38" s="76"/>
      <x:c r="E38" s="76"/>
      <x:c r="F38" s="81"/>
      <x:c r="G38" s="82"/>
      <x:c r="H38" s="77" t="str">
        <x:f>IF(OR(F38="",G38=""),"",F38*G38/1000)</x:f>
      </x:c>
      <x:c r="I38" s="76"/>
      <x:c r="J38" s="76"/>
      <x:c r="K38" s="76"/>
      <x:c r="L38" s="76"/>
      <x:c r="M38" s="78" t="str">
        <x:f>IF(B38="","",TODAY())</x:f>
      </x:c>
      <x:c r="N38" s="76"/>
      <x:c r="O38" s="76" t="str">
        <x:f>IF(B38="","",IF(OR(C38="",D38="",E38="",F38="",G38="",I38="",J38="",K38&lt;&gt;"Validé humainement"),"ALERTE: données/preuves/statut",IF(OR(AND(ISNUMBER(F38),F38&lt;0),AND(ISNUMBER(G38),G38&lt;0)),"ALERTE: valeur anormale","OK")))</x:f>
      </x:c>
      <x:c r="P38" s="76" t="str">
        <x:f>IF(B38="","",IF(K38="Validé humainement","Oui","Non"))</x:f>
      </x:c>
    </x:row>
    <x:row r="39">
      <x:c r="A39" s="76" t="str">
        <x:f>IF(B39="","","ELEC-"&amp;TEXT(ROW()-4,"0000"))</x:f>
      </x:c>
      <x:c r="B39" s="76"/>
      <x:c r="C39" s="76"/>
      <x:c r="D39" s="76"/>
      <x:c r="E39" s="76"/>
      <x:c r="F39" s="81"/>
      <x:c r="G39" s="82"/>
      <x:c r="H39" s="77" t="str">
        <x:f>IF(OR(F39="",G39=""),"",F39*G39/1000)</x:f>
      </x:c>
      <x:c r="I39" s="76"/>
      <x:c r="J39" s="76"/>
      <x:c r="K39" s="76"/>
      <x:c r="L39" s="76"/>
      <x:c r="M39" s="78" t="str">
        <x:f>IF(B39="","",TODAY())</x:f>
      </x:c>
      <x:c r="N39" s="76"/>
      <x:c r="O39" s="76" t="str">
        <x:f>IF(B39="","",IF(OR(C39="",D39="",E39="",F39="",G39="",I39="",J39="",K39&lt;&gt;"Validé humainement"),"ALERTE: données/preuves/statut",IF(OR(AND(ISNUMBER(F39),F39&lt;0),AND(ISNUMBER(G39),G39&lt;0)),"ALERTE: valeur anormale","OK")))</x:f>
      </x:c>
      <x:c r="P39" s="76" t="str">
        <x:f>IF(B39="","",IF(K39="Validé humainement","Oui","Non"))</x:f>
      </x:c>
    </x:row>
    <x:row r="40">
      <x:c r="A40" s="76" t="str">
        <x:f>IF(B40="","","ELEC-"&amp;TEXT(ROW()-4,"0000"))</x:f>
      </x:c>
      <x:c r="B40" s="76"/>
      <x:c r="C40" s="76"/>
      <x:c r="D40" s="76"/>
      <x:c r="E40" s="76"/>
      <x:c r="F40" s="81"/>
      <x:c r="G40" s="82"/>
      <x:c r="H40" s="77" t="str">
        <x:f>IF(OR(F40="",G40=""),"",F40*G40/1000)</x:f>
      </x:c>
      <x:c r="I40" s="76"/>
      <x:c r="J40" s="76"/>
      <x:c r="K40" s="76"/>
      <x:c r="L40" s="76"/>
      <x:c r="M40" s="78" t="str">
        <x:f>IF(B40="","",TODAY())</x:f>
      </x:c>
      <x:c r="N40" s="76"/>
      <x:c r="O40" s="76" t="str">
        <x:f>IF(B40="","",IF(OR(C40="",D40="",E40="",F40="",G40="",I40="",J40="",K40&lt;&gt;"Validé humainement"),"ALERTE: données/preuves/statut",IF(OR(AND(ISNUMBER(F40),F40&lt;0),AND(ISNUMBER(G40),G40&lt;0)),"ALERTE: valeur anormale","OK")))</x:f>
      </x:c>
      <x:c r="P40" s="76" t="str">
        <x:f>IF(B40="","",IF(K40="Validé humainement","Oui","Non"))</x:f>
      </x:c>
    </x:row>
    <x:row r="41">
      <x:c r="A41" s="76" t="str">
        <x:f>IF(B41="","","ELEC-"&amp;TEXT(ROW()-4,"0000"))</x:f>
      </x:c>
      <x:c r="B41" s="76"/>
      <x:c r="C41" s="76"/>
      <x:c r="D41" s="76"/>
      <x:c r="E41" s="76"/>
      <x:c r="F41" s="81"/>
      <x:c r="G41" s="82"/>
      <x:c r="H41" s="77" t="str">
        <x:f>IF(OR(F41="",G41=""),"",F41*G41/1000)</x:f>
      </x:c>
      <x:c r="I41" s="76"/>
      <x:c r="J41" s="76"/>
      <x:c r="K41" s="76"/>
      <x:c r="L41" s="76"/>
      <x:c r="M41" s="78" t="str">
        <x:f>IF(B41="","",TODAY())</x:f>
      </x:c>
      <x:c r="N41" s="76"/>
      <x:c r="O41" s="76" t="str">
        <x:f>IF(B41="","",IF(OR(C41="",D41="",E41="",F41="",G41="",I41="",J41="",K41&lt;&gt;"Validé humainement"),"ALERTE: données/preuves/statut",IF(OR(AND(ISNUMBER(F41),F41&lt;0),AND(ISNUMBER(G41),G41&lt;0)),"ALERTE: valeur anormale","OK")))</x:f>
      </x:c>
      <x:c r="P41" s="76" t="str">
        <x:f>IF(B41="","",IF(K41="Validé humainement","Oui","Non"))</x:f>
      </x:c>
    </x:row>
    <x:row r="42">
      <x:c r="A42" s="76" t="str">
        <x:f>IF(B42="","","ELEC-"&amp;TEXT(ROW()-4,"0000"))</x:f>
      </x:c>
      <x:c r="B42" s="76"/>
      <x:c r="C42" s="76"/>
      <x:c r="D42" s="76"/>
      <x:c r="E42" s="76"/>
      <x:c r="F42" s="81"/>
      <x:c r="G42" s="82"/>
      <x:c r="H42" s="77" t="str">
        <x:f>IF(OR(F42="",G42=""),"",F42*G42/1000)</x:f>
      </x:c>
      <x:c r="I42" s="76"/>
      <x:c r="J42" s="76"/>
      <x:c r="K42" s="76"/>
      <x:c r="L42" s="76"/>
      <x:c r="M42" s="78" t="str">
        <x:f>IF(B42="","",TODAY())</x:f>
      </x:c>
      <x:c r="N42" s="76"/>
      <x:c r="O42" s="76" t="str">
        <x:f>IF(B42="","",IF(OR(C42="",D42="",E42="",F42="",G42="",I42="",J42="",K42&lt;&gt;"Validé humainement"),"ALERTE: données/preuves/statut",IF(OR(AND(ISNUMBER(F42),F42&lt;0),AND(ISNUMBER(G42),G42&lt;0)),"ALERTE: valeur anormale","OK")))</x:f>
      </x:c>
      <x:c r="P42" s="76" t="str">
        <x:f>IF(B42="","",IF(K42="Validé humainement","Oui","Non"))</x:f>
      </x:c>
    </x:row>
    <x:row r="43">
      <x:c r="A43" s="76" t="str">
        <x:f>IF(B43="","","ELEC-"&amp;TEXT(ROW()-4,"0000"))</x:f>
      </x:c>
      <x:c r="B43" s="76"/>
      <x:c r="C43" s="76"/>
      <x:c r="D43" s="76"/>
      <x:c r="E43" s="76"/>
      <x:c r="F43" s="81"/>
      <x:c r="G43" s="82"/>
      <x:c r="H43" s="77" t="str">
        <x:f>IF(OR(F43="",G43=""),"",F43*G43/1000)</x:f>
      </x:c>
      <x:c r="I43" s="76"/>
      <x:c r="J43" s="76"/>
      <x:c r="K43" s="76"/>
      <x:c r="L43" s="76"/>
      <x:c r="M43" s="78" t="str">
        <x:f>IF(B43="","",TODAY())</x:f>
      </x:c>
      <x:c r="N43" s="76"/>
      <x:c r="O43" s="76" t="str">
        <x:f>IF(B43="","",IF(OR(C43="",D43="",E43="",F43="",G43="",I43="",J43="",K43&lt;&gt;"Validé humainement"),"ALERTE: données/preuves/statut",IF(OR(AND(ISNUMBER(F43),F43&lt;0),AND(ISNUMBER(G43),G43&lt;0)),"ALERTE: valeur anormale","OK")))</x:f>
      </x:c>
      <x:c r="P43" s="76" t="str">
        <x:f>IF(B43="","",IF(K43="Validé humainement","Oui","Non"))</x:f>
      </x:c>
    </x:row>
    <x:row r="44">
      <x:c r="A44" s="76" t="str">
        <x:f>IF(B44="","","ELEC-"&amp;TEXT(ROW()-4,"0000"))</x:f>
      </x:c>
      <x:c r="B44" s="76"/>
      <x:c r="C44" s="76"/>
      <x:c r="D44" s="76"/>
      <x:c r="E44" s="76"/>
      <x:c r="F44" s="81"/>
      <x:c r="G44" s="82"/>
      <x:c r="H44" s="77" t="str">
        <x:f>IF(OR(F44="",G44=""),"",F44*G44/1000)</x:f>
      </x:c>
      <x:c r="I44" s="76"/>
      <x:c r="J44" s="76"/>
      <x:c r="K44" s="76"/>
      <x:c r="L44" s="76"/>
      <x:c r="M44" s="78" t="str">
        <x:f>IF(B44="","",TODAY())</x:f>
      </x:c>
      <x:c r="N44" s="76"/>
      <x:c r="O44" s="76" t="str">
        <x:f>IF(B44="","",IF(OR(C44="",D44="",E44="",F44="",G44="",I44="",J44="",K44&lt;&gt;"Validé humainement"),"ALERTE: données/preuves/statut",IF(OR(AND(ISNUMBER(F44),F44&lt;0),AND(ISNUMBER(G44),G44&lt;0)),"ALERTE: valeur anormale","OK")))</x:f>
      </x:c>
      <x:c r="P44" s="76" t="str">
        <x:f>IF(B44="","",IF(K44="Validé humainement","Oui","Non"))</x:f>
      </x:c>
    </x:row>
    <x:row r="45">
      <x:c r="A45" s="76" t="str">
        <x:f>IF(B45="","","ELEC-"&amp;TEXT(ROW()-4,"0000"))</x:f>
      </x:c>
      <x:c r="B45" s="76"/>
      <x:c r="C45" s="76"/>
      <x:c r="D45" s="76"/>
      <x:c r="E45" s="76"/>
      <x:c r="F45" s="81"/>
      <x:c r="G45" s="82"/>
      <x:c r="H45" s="77" t="str">
        <x:f>IF(OR(F45="",G45=""),"",F45*G45/1000)</x:f>
      </x:c>
      <x:c r="I45" s="76"/>
      <x:c r="J45" s="76"/>
      <x:c r="K45" s="76"/>
      <x:c r="L45" s="76"/>
      <x:c r="M45" s="78" t="str">
        <x:f>IF(B45="","",TODAY())</x:f>
      </x:c>
      <x:c r="N45" s="76"/>
      <x:c r="O45" s="76" t="str">
        <x:f>IF(B45="","",IF(OR(C45="",D45="",E45="",F45="",G45="",I45="",J45="",K45&lt;&gt;"Validé humainement"),"ALERTE: données/preuves/statut",IF(OR(AND(ISNUMBER(F45),F45&lt;0),AND(ISNUMBER(G45),G45&lt;0)),"ALERTE: valeur anormale","OK")))</x:f>
      </x:c>
      <x:c r="P45" s="76" t="str">
        <x:f>IF(B45="","",IF(K45="Validé humainement","Oui","Non"))</x:f>
      </x:c>
    </x:row>
    <x:row r="46">
      <x:c r="A46" s="76" t="str">
        <x:f>IF(B46="","","ELEC-"&amp;TEXT(ROW()-4,"0000"))</x:f>
      </x:c>
      <x:c r="B46" s="76"/>
      <x:c r="C46" s="76"/>
      <x:c r="D46" s="76"/>
      <x:c r="E46" s="76"/>
      <x:c r="F46" s="81"/>
      <x:c r="G46" s="82"/>
      <x:c r="H46" s="77" t="str">
        <x:f>IF(OR(F46="",G46=""),"",F46*G46/1000)</x:f>
      </x:c>
      <x:c r="I46" s="76"/>
      <x:c r="J46" s="76"/>
      <x:c r="K46" s="76"/>
      <x:c r="L46" s="76"/>
      <x:c r="M46" s="78" t="str">
        <x:f>IF(B46="","",TODAY())</x:f>
      </x:c>
      <x:c r="N46" s="76"/>
      <x:c r="O46" s="76" t="str">
        <x:f>IF(B46="","",IF(OR(C46="",D46="",E46="",F46="",G46="",I46="",J46="",K46&lt;&gt;"Validé humainement"),"ALERTE: données/preuves/statut",IF(OR(AND(ISNUMBER(F46),F46&lt;0),AND(ISNUMBER(G46),G46&lt;0)),"ALERTE: valeur anormale","OK")))</x:f>
      </x:c>
      <x:c r="P46" s="76" t="str">
        <x:f>IF(B46="","",IF(K46="Validé humainement","Oui","Non"))</x:f>
      </x:c>
    </x:row>
    <x:row r="47">
      <x:c r="A47" s="76" t="str">
        <x:f>IF(B47="","","ELEC-"&amp;TEXT(ROW()-4,"0000"))</x:f>
      </x:c>
      <x:c r="B47" s="76"/>
      <x:c r="C47" s="76"/>
      <x:c r="D47" s="76"/>
      <x:c r="E47" s="76"/>
      <x:c r="F47" s="81"/>
      <x:c r="G47" s="82"/>
      <x:c r="H47" s="77" t="str">
        <x:f>IF(OR(F47="",G47=""),"",F47*G47/1000)</x:f>
      </x:c>
      <x:c r="I47" s="76"/>
      <x:c r="J47" s="76"/>
      <x:c r="K47" s="76"/>
      <x:c r="L47" s="76"/>
      <x:c r="M47" s="78" t="str">
        <x:f>IF(B47="","",TODAY())</x:f>
      </x:c>
      <x:c r="N47" s="76"/>
      <x:c r="O47" s="76" t="str">
        <x:f>IF(B47="","",IF(OR(C47="",D47="",E47="",F47="",G47="",I47="",J47="",K47&lt;&gt;"Validé humainement"),"ALERTE: données/preuves/statut",IF(OR(AND(ISNUMBER(F47),F47&lt;0),AND(ISNUMBER(G47),G47&lt;0)),"ALERTE: valeur anormale","OK")))</x:f>
      </x:c>
      <x:c r="P47" s="76" t="str">
        <x:f>IF(B47="","",IF(K47="Validé humainement","Oui","Non"))</x:f>
      </x:c>
    </x:row>
    <x:row r="48">
      <x:c r="A48" s="76" t="str">
        <x:f>IF(B48="","","ELEC-"&amp;TEXT(ROW()-4,"0000"))</x:f>
      </x:c>
      <x:c r="B48" s="76"/>
      <x:c r="C48" s="76"/>
      <x:c r="D48" s="76"/>
      <x:c r="E48" s="76"/>
      <x:c r="F48" s="81"/>
      <x:c r="G48" s="82"/>
      <x:c r="H48" s="77" t="str">
        <x:f>IF(OR(F48="",G48=""),"",F48*G48/1000)</x:f>
      </x:c>
      <x:c r="I48" s="76"/>
      <x:c r="J48" s="76"/>
      <x:c r="K48" s="76"/>
      <x:c r="L48" s="76"/>
      <x:c r="M48" s="78" t="str">
        <x:f>IF(B48="","",TODAY())</x:f>
      </x:c>
      <x:c r="N48" s="76"/>
      <x:c r="O48" s="76" t="str">
        <x:f>IF(B48="","",IF(OR(C48="",D48="",E48="",F48="",G48="",I48="",J48="",K48&lt;&gt;"Validé humainement"),"ALERTE: données/preuves/statut",IF(OR(AND(ISNUMBER(F48),F48&lt;0),AND(ISNUMBER(G48),G48&lt;0)),"ALERTE: valeur anormale","OK")))</x:f>
      </x:c>
      <x:c r="P48" s="76" t="str">
        <x:f>IF(B48="","",IF(K48="Validé humainement","Oui","Non"))</x:f>
      </x:c>
    </x:row>
    <x:row r="49">
      <x:c r="A49" s="76" t="str">
        <x:f>IF(B49="","","ELEC-"&amp;TEXT(ROW()-4,"0000"))</x:f>
      </x:c>
      <x:c r="B49" s="76"/>
      <x:c r="C49" s="76"/>
      <x:c r="D49" s="76"/>
      <x:c r="E49" s="76"/>
      <x:c r="F49" s="81"/>
      <x:c r="G49" s="82"/>
      <x:c r="H49" s="77" t="str">
        <x:f>IF(OR(F49="",G49=""),"",F49*G49/1000)</x:f>
      </x:c>
      <x:c r="I49" s="76"/>
      <x:c r="J49" s="76"/>
      <x:c r="K49" s="76"/>
      <x:c r="L49" s="76"/>
      <x:c r="M49" s="78" t="str">
        <x:f>IF(B49="","",TODAY())</x:f>
      </x:c>
      <x:c r="N49" s="76"/>
      <x:c r="O49" s="76" t="str">
        <x:f>IF(B49="","",IF(OR(C49="",D49="",E49="",F49="",G49="",I49="",J49="",K49&lt;&gt;"Validé humainement"),"ALERTE: données/preuves/statut",IF(OR(AND(ISNUMBER(F49),F49&lt;0),AND(ISNUMBER(G49),G49&lt;0)),"ALERTE: valeur anormale","OK")))</x:f>
      </x:c>
      <x:c r="P49" s="76" t="str">
        <x:f>IF(B49="","",IF(K49="Validé humainement","Oui","Non"))</x:f>
      </x:c>
    </x:row>
    <x:row r="50">
      <x:c r="A50" s="76" t="str">
        <x:f>IF(B50="","","ELEC-"&amp;TEXT(ROW()-4,"0000"))</x:f>
      </x:c>
      <x:c r="B50" s="76"/>
      <x:c r="C50" s="76"/>
      <x:c r="D50" s="76"/>
      <x:c r="E50" s="76"/>
      <x:c r="F50" s="81"/>
      <x:c r="G50" s="82"/>
      <x:c r="H50" s="77" t="str">
        <x:f>IF(OR(F50="",G50=""),"",F50*G50/1000)</x:f>
      </x:c>
      <x:c r="I50" s="76"/>
      <x:c r="J50" s="76"/>
      <x:c r="K50" s="76"/>
      <x:c r="L50" s="76"/>
      <x:c r="M50" s="78" t="str">
        <x:f>IF(B50="","",TODAY())</x:f>
      </x:c>
      <x:c r="N50" s="76"/>
      <x:c r="O50" s="76" t="str">
        <x:f>IF(B50="","",IF(OR(C50="",D50="",E50="",F50="",G50="",I50="",J50="",K50&lt;&gt;"Validé humainement"),"ALERTE: données/preuves/statut",IF(OR(AND(ISNUMBER(F50),F50&lt;0),AND(ISNUMBER(G50),G50&lt;0)),"ALERTE: valeur anormale","OK")))</x:f>
      </x:c>
      <x:c r="P50" s="76" t="str">
        <x:f>IF(B50="","",IF(K50="Validé humainement","Oui","Non"))</x:f>
      </x:c>
    </x:row>
    <x:row r="51">
      <x:c r="A51" s="76" t="str">
        <x:f>IF(B51="","","ELEC-"&amp;TEXT(ROW()-4,"0000"))</x:f>
      </x:c>
      <x:c r="B51" s="76"/>
      <x:c r="C51" s="76"/>
      <x:c r="D51" s="76"/>
      <x:c r="E51" s="76"/>
      <x:c r="F51" s="81"/>
      <x:c r="G51" s="82"/>
      <x:c r="H51" s="77" t="str">
        <x:f>IF(OR(F51="",G51=""),"",F51*G51/1000)</x:f>
      </x:c>
      <x:c r="I51" s="76"/>
      <x:c r="J51" s="76"/>
      <x:c r="K51" s="76"/>
      <x:c r="L51" s="76"/>
      <x:c r="M51" s="78" t="str">
        <x:f>IF(B51="","",TODAY())</x:f>
      </x:c>
      <x:c r="N51" s="76"/>
      <x:c r="O51" s="76" t="str">
        <x:f>IF(B51="","",IF(OR(C51="",D51="",E51="",F51="",G51="",I51="",J51="",K51&lt;&gt;"Validé humainement"),"ALERTE: données/preuves/statut",IF(OR(AND(ISNUMBER(F51),F51&lt;0),AND(ISNUMBER(G51),G51&lt;0)),"ALERTE: valeur anormale","OK")))</x:f>
      </x:c>
      <x:c r="P51" s="76" t="str">
        <x:f>IF(B51="","",IF(K51="Validé humainement","Oui","Non"))</x:f>
      </x:c>
    </x:row>
    <x:row r="52">
      <x:c r="A52" s="76" t="str">
        <x:f>IF(B52="","","ELEC-"&amp;TEXT(ROW()-4,"0000"))</x:f>
      </x:c>
      <x:c r="B52" s="76"/>
      <x:c r="C52" s="76"/>
      <x:c r="D52" s="76"/>
      <x:c r="E52" s="76"/>
      <x:c r="F52" s="81"/>
      <x:c r="G52" s="82"/>
      <x:c r="H52" s="77" t="str">
        <x:f>IF(OR(F52="",G52=""),"",F52*G52/1000)</x:f>
      </x:c>
      <x:c r="I52" s="76"/>
      <x:c r="J52" s="76"/>
      <x:c r="K52" s="76"/>
      <x:c r="L52" s="76"/>
      <x:c r="M52" s="78" t="str">
        <x:f>IF(B52="","",TODAY())</x:f>
      </x:c>
      <x:c r="N52" s="76"/>
      <x:c r="O52" s="76" t="str">
        <x:f>IF(B52="","",IF(OR(C52="",D52="",E52="",F52="",G52="",I52="",J52="",K52&lt;&gt;"Validé humainement"),"ALERTE: données/preuves/statut",IF(OR(AND(ISNUMBER(F52),F52&lt;0),AND(ISNUMBER(G52),G52&lt;0)),"ALERTE: valeur anormale","OK")))</x:f>
      </x:c>
      <x:c r="P52" s="76" t="str">
        <x:f>IF(B52="","",IF(K52="Validé humainement","Oui","Non"))</x:f>
      </x:c>
    </x:row>
    <x:row r="53">
      <x:c r="A53" s="76" t="str">
        <x:f>IF(B53="","","ELEC-"&amp;TEXT(ROW()-4,"0000"))</x:f>
      </x:c>
      <x:c r="B53" s="76"/>
      <x:c r="C53" s="76"/>
      <x:c r="D53" s="76"/>
      <x:c r="E53" s="76"/>
      <x:c r="F53" s="81"/>
      <x:c r="G53" s="82"/>
      <x:c r="H53" s="77" t="str">
        <x:f>IF(OR(F53="",G53=""),"",F53*G53/1000)</x:f>
      </x:c>
      <x:c r="I53" s="76"/>
      <x:c r="J53" s="76"/>
      <x:c r="K53" s="76"/>
      <x:c r="L53" s="76"/>
      <x:c r="M53" s="78" t="str">
        <x:f>IF(B53="","",TODAY())</x:f>
      </x:c>
      <x:c r="N53" s="76"/>
      <x:c r="O53" s="76" t="str">
        <x:f>IF(B53="","",IF(OR(C53="",D53="",E53="",F53="",G53="",I53="",J53="",K53&lt;&gt;"Validé humainement"),"ALERTE: données/preuves/statut",IF(OR(AND(ISNUMBER(F53),F53&lt;0),AND(ISNUMBER(G53),G53&lt;0)),"ALERTE: valeur anormale","OK")))</x:f>
      </x:c>
      <x:c r="P53" s="76" t="str">
        <x:f>IF(B53="","",IF(K53="Validé humainement","Oui","Non"))</x:f>
      </x:c>
    </x:row>
    <x:row r="54">
      <x:c r="A54" s="76" t="str">
        <x:f>IF(B54="","","ELEC-"&amp;TEXT(ROW()-4,"0000"))</x:f>
      </x:c>
      <x:c r="B54" s="76"/>
      <x:c r="C54" s="76"/>
      <x:c r="D54" s="76"/>
      <x:c r="E54" s="76"/>
      <x:c r="F54" s="81"/>
      <x:c r="G54" s="82"/>
      <x:c r="H54" s="77" t="str">
        <x:f>IF(OR(F54="",G54=""),"",F54*G54/1000)</x:f>
      </x:c>
      <x:c r="I54" s="76"/>
      <x:c r="J54" s="76"/>
      <x:c r="K54" s="76"/>
      <x:c r="L54" s="76"/>
      <x:c r="M54" s="78" t="str">
        <x:f>IF(B54="","",TODAY())</x:f>
      </x:c>
      <x:c r="N54" s="76"/>
      <x:c r="O54" s="76" t="str">
        <x:f>IF(B54="","",IF(OR(C54="",D54="",E54="",F54="",G54="",I54="",J54="",K54&lt;&gt;"Validé humainement"),"ALERTE: données/preuves/statut",IF(OR(AND(ISNUMBER(F54),F54&lt;0),AND(ISNUMBER(G54),G54&lt;0)),"ALERTE: valeur anormale","OK")))</x:f>
      </x:c>
      <x:c r="P54" s="76" t="str">
        <x:f>IF(B54="","",IF(K54="Validé humainement","Oui","Non"))</x:f>
      </x:c>
    </x:row>
    <x:row r="55">
      <x:c r="A55" s="76" t="str">
        <x:f>IF(B55="","","ELEC-"&amp;TEXT(ROW()-4,"0000"))</x:f>
      </x:c>
      <x:c r="B55" s="76"/>
      <x:c r="C55" s="76"/>
      <x:c r="D55" s="76"/>
      <x:c r="E55" s="76"/>
      <x:c r="F55" s="81"/>
      <x:c r="G55" s="82"/>
      <x:c r="H55" s="77" t="str">
        <x:f>IF(OR(F55="",G55=""),"",F55*G55/1000)</x:f>
      </x:c>
      <x:c r="I55" s="76"/>
      <x:c r="J55" s="76"/>
      <x:c r="K55" s="76"/>
      <x:c r="L55" s="76"/>
      <x:c r="M55" s="78" t="str">
        <x:f>IF(B55="","",TODAY())</x:f>
      </x:c>
      <x:c r="N55" s="76"/>
      <x:c r="O55" s="76" t="str">
        <x:f>IF(B55="","",IF(OR(C55="",D55="",E55="",F55="",G55="",I55="",J55="",K55&lt;&gt;"Validé humainement"),"ALERTE: données/preuves/statut",IF(OR(AND(ISNUMBER(F55),F55&lt;0),AND(ISNUMBER(G55),G55&lt;0)),"ALERTE: valeur anormale","OK")))</x:f>
      </x:c>
      <x:c r="P55" s="76" t="str">
        <x:f>IF(B55="","",IF(K55="Validé humainement","Oui","Non"))</x:f>
      </x:c>
    </x:row>
    <x:row r="56">
      <x:c r="A56" s="76" t="str">
        <x:f>IF(B56="","","ELEC-"&amp;TEXT(ROW()-4,"0000"))</x:f>
      </x:c>
      <x:c r="B56" s="76"/>
      <x:c r="C56" s="76"/>
      <x:c r="D56" s="76"/>
      <x:c r="E56" s="76"/>
      <x:c r="F56" s="81"/>
      <x:c r="G56" s="82"/>
      <x:c r="H56" s="77" t="str">
        <x:f>IF(OR(F56="",G56=""),"",F56*G56/1000)</x:f>
      </x:c>
      <x:c r="I56" s="76"/>
      <x:c r="J56" s="76"/>
      <x:c r="K56" s="76"/>
      <x:c r="L56" s="76"/>
      <x:c r="M56" s="78" t="str">
        <x:f>IF(B56="","",TODAY())</x:f>
      </x:c>
      <x:c r="N56" s="76"/>
      <x:c r="O56" s="76" t="str">
        <x:f>IF(B56="","",IF(OR(C56="",D56="",E56="",F56="",G56="",I56="",J56="",K56&lt;&gt;"Validé humainement"),"ALERTE: données/preuves/statut",IF(OR(AND(ISNUMBER(F56),F56&lt;0),AND(ISNUMBER(G56),G56&lt;0)),"ALERTE: valeur anormale","OK")))</x:f>
      </x:c>
      <x:c r="P56" s="76" t="str">
        <x:f>IF(B56="","",IF(K56="Validé humainement","Oui","Non"))</x:f>
      </x:c>
    </x:row>
    <x:row r="57">
      <x:c r="A57" s="76" t="str">
        <x:f>IF(B57="","","ELEC-"&amp;TEXT(ROW()-4,"0000"))</x:f>
      </x:c>
      <x:c r="B57" s="76"/>
      <x:c r="C57" s="76"/>
      <x:c r="D57" s="76"/>
      <x:c r="E57" s="76"/>
      <x:c r="F57" s="81"/>
      <x:c r="G57" s="82"/>
      <x:c r="H57" s="77" t="str">
        <x:f>IF(OR(F57="",G57=""),"",F57*G57/1000)</x:f>
      </x:c>
      <x:c r="I57" s="76"/>
      <x:c r="J57" s="76"/>
      <x:c r="K57" s="76"/>
      <x:c r="L57" s="76"/>
      <x:c r="M57" s="78" t="str">
        <x:f>IF(B57="","",TODAY())</x:f>
      </x:c>
      <x:c r="N57" s="76"/>
      <x:c r="O57" s="76" t="str">
        <x:f>IF(B57="","",IF(OR(C57="",D57="",E57="",F57="",G57="",I57="",J57="",K57&lt;&gt;"Validé humainement"),"ALERTE: données/preuves/statut",IF(OR(AND(ISNUMBER(F57),F57&lt;0),AND(ISNUMBER(G57),G57&lt;0)),"ALERTE: valeur anormale","OK")))</x:f>
      </x:c>
      <x:c r="P57" s="76" t="str">
        <x:f>IF(B57="","",IF(K57="Validé humainement","Oui","Non"))</x:f>
      </x:c>
    </x:row>
    <x:row r="58">
      <x:c r="A58" s="76" t="str">
        <x:f>IF(B58="","","ELEC-"&amp;TEXT(ROW()-4,"0000"))</x:f>
      </x:c>
      <x:c r="B58" s="76"/>
      <x:c r="C58" s="76"/>
      <x:c r="D58" s="76"/>
      <x:c r="E58" s="76"/>
      <x:c r="F58" s="81"/>
      <x:c r="G58" s="82"/>
      <x:c r="H58" s="77" t="str">
        <x:f>IF(OR(F58="",G58=""),"",F58*G58/1000)</x:f>
      </x:c>
      <x:c r="I58" s="76"/>
      <x:c r="J58" s="76"/>
      <x:c r="K58" s="76"/>
      <x:c r="L58" s="76"/>
      <x:c r="M58" s="78" t="str">
        <x:f>IF(B58="","",TODAY())</x:f>
      </x:c>
      <x:c r="N58" s="76"/>
      <x:c r="O58" s="76" t="str">
        <x:f>IF(B58="","",IF(OR(C58="",D58="",E58="",F58="",G58="",I58="",J58="",K58&lt;&gt;"Validé humainement"),"ALERTE: données/preuves/statut",IF(OR(AND(ISNUMBER(F58),F58&lt;0),AND(ISNUMBER(G58),G58&lt;0)),"ALERTE: valeur anormale","OK")))</x:f>
      </x:c>
      <x:c r="P58" s="76" t="str">
        <x:f>IF(B58="","",IF(K58="Validé humainement","Oui","Non"))</x:f>
      </x:c>
    </x:row>
    <x:row r="59">
      <x:c r="A59" s="76" t="str">
        <x:f>IF(B59="","","ELEC-"&amp;TEXT(ROW()-4,"0000"))</x:f>
      </x:c>
      <x:c r="B59" s="76"/>
      <x:c r="C59" s="76"/>
      <x:c r="D59" s="76"/>
      <x:c r="E59" s="76"/>
      <x:c r="F59" s="81"/>
      <x:c r="G59" s="82"/>
      <x:c r="H59" s="77" t="str">
        <x:f>IF(OR(F59="",G59=""),"",F59*G59/1000)</x:f>
      </x:c>
      <x:c r="I59" s="76"/>
      <x:c r="J59" s="76"/>
      <x:c r="K59" s="76"/>
      <x:c r="L59" s="76"/>
      <x:c r="M59" s="78" t="str">
        <x:f>IF(B59="","",TODAY())</x:f>
      </x:c>
      <x:c r="N59" s="76"/>
      <x:c r="O59" s="76" t="str">
        <x:f>IF(B59="","",IF(OR(C59="",D59="",E59="",F59="",G59="",I59="",J59="",K59&lt;&gt;"Validé humainement"),"ALERTE: données/preuves/statut",IF(OR(AND(ISNUMBER(F59),F59&lt;0),AND(ISNUMBER(G59),G59&lt;0)),"ALERTE: valeur anormale","OK")))</x:f>
      </x:c>
      <x:c r="P59" s="76" t="str">
        <x:f>IF(B59="","",IF(K59="Validé humainement","Oui","Non"))</x:f>
      </x:c>
    </x:row>
    <x:row r="60">
      <x:c r="A60" s="76" t="str">
        <x:f>IF(B60="","","ELEC-"&amp;TEXT(ROW()-4,"0000"))</x:f>
      </x:c>
      <x:c r="B60" s="76"/>
      <x:c r="C60" s="76"/>
      <x:c r="D60" s="76"/>
      <x:c r="E60" s="76"/>
      <x:c r="F60" s="81"/>
      <x:c r="G60" s="82"/>
      <x:c r="H60" s="77" t="str">
        <x:f>IF(OR(F60="",G60=""),"",F60*G60/1000)</x:f>
      </x:c>
      <x:c r="I60" s="76"/>
      <x:c r="J60" s="76"/>
      <x:c r="K60" s="76"/>
      <x:c r="L60" s="76"/>
      <x:c r="M60" s="78" t="str">
        <x:f>IF(B60="","",TODAY())</x:f>
      </x:c>
      <x:c r="N60" s="76"/>
      <x:c r="O60" s="76" t="str">
        <x:f>IF(B60="","",IF(OR(C60="",D60="",E60="",F60="",G60="",I60="",J60="",K60&lt;&gt;"Validé humainement"),"ALERTE: données/preuves/statut",IF(OR(AND(ISNUMBER(F60),F60&lt;0),AND(ISNUMBER(G60),G60&lt;0)),"ALERTE: valeur anormale","OK")))</x:f>
      </x:c>
      <x:c r="P60" s="76" t="str">
        <x:f>IF(B60="","",IF(K60="Validé humainement","Oui","Non"))</x:f>
      </x:c>
    </x:row>
    <x:row r="61">
      <x:c r="A61" s="76" t="str">
        <x:f>IF(B61="","","ELEC-"&amp;TEXT(ROW()-4,"0000"))</x:f>
      </x:c>
      <x:c r="B61" s="76"/>
      <x:c r="C61" s="76"/>
      <x:c r="D61" s="76"/>
      <x:c r="E61" s="76"/>
      <x:c r="F61" s="81"/>
      <x:c r="G61" s="82"/>
      <x:c r="H61" s="77" t="str">
        <x:f>IF(OR(F61="",G61=""),"",F61*G61/1000)</x:f>
      </x:c>
      <x:c r="I61" s="76"/>
      <x:c r="J61" s="76"/>
      <x:c r="K61" s="76"/>
      <x:c r="L61" s="76"/>
      <x:c r="M61" s="78" t="str">
        <x:f>IF(B61="","",TODAY())</x:f>
      </x:c>
      <x:c r="N61" s="76"/>
      <x:c r="O61" s="76" t="str">
        <x:f>IF(B61="","",IF(OR(C61="",D61="",E61="",F61="",G61="",I61="",J61="",K61&lt;&gt;"Validé humainement"),"ALERTE: données/preuves/statut",IF(OR(AND(ISNUMBER(F61),F61&lt;0),AND(ISNUMBER(G61),G61&lt;0)),"ALERTE: valeur anormale","OK")))</x:f>
      </x:c>
      <x:c r="P61" s="76" t="str">
        <x:f>IF(B61="","",IF(K61="Validé humainement","Oui","Non"))</x:f>
      </x:c>
    </x:row>
    <x:row r="62">
      <x:c r="A62" s="76" t="str">
        <x:f>IF(B62="","","ELEC-"&amp;TEXT(ROW()-4,"0000"))</x:f>
      </x:c>
      <x:c r="B62" s="76"/>
      <x:c r="C62" s="76"/>
      <x:c r="D62" s="76"/>
      <x:c r="E62" s="76"/>
      <x:c r="F62" s="81"/>
      <x:c r="G62" s="82"/>
      <x:c r="H62" s="77" t="str">
        <x:f>IF(OR(F62="",G62=""),"",F62*G62/1000)</x:f>
      </x:c>
      <x:c r="I62" s="76"/>
      <x:c r="J62" s="76"/>
      <x:c r="K62" s="76"/>
      <x:c r="L62" s="76"/>
      <x:c r="M62" s="78" t="str">
        <x:f>IF(B62="","",TODAY())</x:f>
      </x:c>
      <x:c r="N62" s="76"/>
      <x:c r="O62" s="76" t="str">
        <x:f>IF(B62="","",IF(OR(C62="",D62="",E62="",F62="",G62="",I62="",J62="",K62&lt;&gt;"Validé humainement"),"ALERTE: données/preuves/statut",IF(OR(AND(ISNUMBER(F62),F62&lt;0),AND(ISNUMBER(G62),G62&lt;0)),"ALERTE: valeur anormale","OK")))</x:f>
      </x:c>
      <x:c r="P62" s="76" t="str">
        <x:f>IF(B62="","",IF(K62="Validé humainement","Oui","Non"))</x:f>
      </x:c>
    </x:row>
    <x:row r="63">
      <x:c r="A63" s="76" t="str">
        <x:f>IF(B63="","","ELEC-"&amp;TEXT(ROW()-4,"0000"))</x:f>
      </x:c>
      <x:c r="B63" s="76"/>
      <x:c r="C63" s="76"/>
      <x:c r="D63" s="76"/>
      <x:c r="E63" s="76"/>
      <x:c r="F63" s="81"/>
      <x:c r="G63" s="82"/>
      <x:c r="H63" s="77" t="str">
        <x:f>IF(OR(F63="",G63=""),"",F63*G63/1000)</x:f>
      </x:c>
      <x:c r="I63" s="76"/>
      <x:c r="J63" s="76"/>
      <x:c r="K63" s="76"/>
      <x:c r="L63" s="76"/>
      <x:c r="M63" s="78" t="str">
        <x:f>IF(B63="","",TODAY())</x:f>
      </x:c>
      <x:c r="N63" s="76"/>
      <x:c r="O63" s="76" t="str">
        <x:f>IF(B63="","",IF(OR(C63="",D63="",E63="",F63="",G63="",I63="",J63="",K63&lt;&gt;"Validé humainement"),"ALERTE: données/preuves/statut",IF(OR(AND(ISNUMBER(F63),F63&lt;0),AND(ISNUMBER(G63),G63&lt;0)),"ALERTE: valeur anormale","OK")))</x:f>
      </x:c>
      <x:c r="P63" s="76" t="str">
        <x:f>IF(B63="","",IF(K63="Validé humainement","Oui","Non"))</x:f>
      </x:c>
    </x:row>
    <x:row r="64">
      <x:c r="A64" s="76" t="str">
        <x:f>IF(B64="","","ELEC-"&amp;TEXT(ROW()-4,"0000"))</x:f>
      </x:c>
      <x:c r="B64" s="76"/>
      <x:c r="C64" s="76"/>
      <x:c r="D64" s="76"/>
      <x:c r="E64" s="76"/>
      <x:c r="F64" s="81"/>
      <x:c r="G64" s="82"/>
      <x:c r="H64" s="77" t="str">
        <x:f>IF(OR(F64="",G64=""),"",F64*G64/1000)</x:f>
      </x:c>
      <x:c r="I64" s="76"/>
      <x:c r="J64" s="76"/>
      <x:c r="K64" s="76"/>
      <x:c r="L64" s="76"/>
      <x:c r="M64" s="78" t="str">
        <x:f>IF(B64="","",TODAY())</x:f>
      </x:c>
      <x:c r="N64" s="76"/>
      <x:c r="O64" s="76" t="str">
        <x:f>IF(B64="","",IF(OR(C64="",D64="",E64="",F64="",G64="",I64="",J64="",K64&lt;&gt;"Validé humainement"),"ALERTE: données/preuves/statut",IF(OR(AND(ISNUMBER(F64),F64&lt;0),AND(ISNUMBER(G64),G64&lt;0)),"ALERTE: valeur anormale","OK")))</x:f>
      </x:c>
      <x:c r="P64" s="76" t="str">
        <x:f>IF(B64="","",IF(K64="Validé humainement","Oui","Non"))</x:f>
      </x:c>
    </x:row>
    <x:row r="65">
      <x:c r="A65" s="76" t="str">
        <x:f>IF(B65="","","ELEC-"&amp;TEXT(ROW()-4,"0000"))</x:f>
      </x:c>
      <x:c r="B65" s="76"/>
      <x:c r="C65" s="76"/>
      <x:c r="D65" s="76"/>
      <x:c r="E65" s="76"/>
      <x:c r="F65" s="81"/>
      <x:c r="G65" s="82"/>
      <x:c r="H65" s="77" t="str">
        <x:f>IF(OR(F65="",G65=""),"",F65*G65/1000)</x:f>
      </x:c>
      <x:c r="I65" s="76"/>
      <x:c r="J65" s="76"/>
      <x:c r="K65" s="76"/>
      <x:c r="L65" s="76"/>
      <x:c r="M65" s="78" t="str">
        <x:f>IF(B65="","",TODAY())</x:f>
      </x:c>
      <x:c r="N65" s="76"/>
      <x:c r="O65" s="76" t="str">
        <x:f>IF(B65="","",IF(OR(C65="",D65="",E65="",F65="",G65="",I65="",J65="",K65&lt;&gt;"Validé humainement"),"ALERTE: données/preuves/statut",IF(OR(AND(ISNUMBER(F65),F65&lt;0),AND(ISNUMBER(G65),G65&lt;0)),"ALERTE: valeur anormale","OK")))</x:f>
      </x:c>
      <x:c r="P65" s="76" t="str">
        <x:f>IF(B65="","",IF(K65="Validé humainement","Oui","Non"))</x:f>
      </x:c>
    </x:row>
    <x:row r="66">
      <x:c r="A66" s="76" t="str">
        <x:f>IF(B66="","","ELEC-"&amp;TEXT(ROW()-4,"0000"))</x:f>
      </x:c>
      <x:c r="B66" s="76"/>
      <x:c r="C66" s="76"/>
      <x:c r="D66" s="76"/>
      <x:c r="E66" s="76"/>
      <x:c r="F66" s="81"/>
      <x:c r="G66" s="82"/>
      <x:c r="H66" s="77" t="str">
        <x:f>IF(OR(F66="",G66=""),"",F66*G66/1000)</x:f>
      </x:c>
      <x:c r="I66" s="76"/>
      <x:c r="J66" s="76"/>
      <x:c r="K66" s="76"/>
      <x:c r="L66" s="76"/>
      <x:c r="M66" s="78" t="str">
        <x:f>IF(B66="","",TODAY())</x:f>
      </x:c>
      <x:c r="N66" s="76"/>
      <x:c r="O66" s="76" t="str">
        <x:f>IF(B66="","",IF(OR(C66="",D66="",E66="",F66="",G66="",I66="",J66="",K66&lt;&gt;"Validé humainement"),"ALERTE: données/preuves/statut",IF(OR(AND(ISNUMBER(F66),F66&lt;0),AND(ISNUMBER(G66),G66&lt;0)),"ALERTE: valeur anormale","OK")))</x:f>
      </x:c>
      <x:c r="P66" s="76" t="str">
        <x:f>IF(B66="","",IF(K66="Validé humainement","Oui","Non"))</x:f>
      </x:c>
    </x:row>
    <x:row r="67">
      <x:c r="A67" s="76" t="str">
        <x:f>IF(B67="","","ELEC-"&amp;TEXT(ROW()-4,"0000"))</x:f>
      </x:c>
      <x:c r="B67" s="76"/>
      <x:c r="C67" s="76"/>
      <x:c r="D67" s="76"/>
      <x:c r="E67" s="76"/>
      <x:c r="F67" s="81"/>
      <x:c r="G67" s="82"/>
      <x:c r="H67" s="77" t="str">
        <x:f>IF(OR(F67="",G67=""),"",F67*G67/1000)</x:f>
      </x:c>
      <x:c r="I67" s="76"/>
      <x:c r="J67" s="76"/>
      <x:c r="K67" s="76"/>
      <x:c r="L67" s="76"/>
      <x:c r="M67" s="78" t="str">
        <x:f>IF(B67="","",TODAY())</x:f>
      </x:c>
      <x:c r="N67" s="76"/>
      <x:c r="O67" s="76" t="str">
        <x:f>IF(B67="","",IF(OR(C67="",D67="",E67="",F67="",G67="",I67="",J67="",K67&lt;&gt;"Validé humainement"),"ALERTE: données/preuves/statut",IF(OR(AND(ISNUMBER(F67),F67&lt;0),AND(ISNUMBER(G67),G67&lt;0)),"ALERTE: valeur anormale","OK")))</x:f>
      </x:c>
      <x:c r="P67" s="76" t="str">
        <x:f>IF(B67="","",IF(K67="Validé humainement","Oui","Non"))</x:f>
      </x:c>
    </x:row>
    <x:row r="68">
      <x:c r="A68" s="76" t="str">
        <x:f>IF(B68="","","ELEC-"&amp;TEXT(ROW()-4,"0000"))</x:f>
      </x:c>
      <x:c r="B68" s="76"/>
      <x:c r="C68" s="76"/>
      <x:c r="D68" s="76"/>
      <x:c r="E68" s="76"/>
      <x:c r="F68" s="81"/>
      <x:c r="G68" s="82"/>
      <x:c r="H68" s="77" t="str">
        <x:f>IF(OR(F68="",G68=""),"",F68*G68/1000)</x:f>
      </x:c>
      <x:c r="I68" s="76"/>
      <x:c r="J68" s="76"/>
      <x:c r="K68" s="76"/>
      <x:c r="L68" s="76"/>
      <x:c r="M68" s="78" t="str">
        <x:f>IF(B68="","",TODAY())</x:f>
      </x:c>
      <x:c r="N68" s="76"/>
      <x:c r="O68" s="76" t="str">
        <x:f>IF(B68="","",IF(OR(C68="",D68="",E68="",F68="",G68="",I68="",J68="",K68&lt;&gt;"Validé humainement"),"ALERTE: données/preuves/statut",IF(OR(AND(ISNUMBER(F68),F68&lt;0),AND(ISNUMBER(G68),G68&lt;0)),"ALERTE: valeur anormale","OK")))</x:f>
      </x:c>
      <x:c r="P68" s="76" t="str">
        <x:f>IF(B68="","",IF(K68="Validé humainement","Oui","Non"))</x:f>
      </x:c>
    </x:row>
    <x:row r="69">
      <x:c r="A69" s="76" t="str">
        <x:f>IF(B69="","","ELEC-"&amp;TEXT(ROW()-4,"0000"))</x:f>
      </x:c>
      <x:c r="B69" s="76"/>
      <x:c r="C69" s="76"/>
      <x:c r="D69" s="76"/>
      <x:c r="E69" s="76"/>
      <x:c r="F69" s="81"/>
      <x:c r="G69" s="82"/>
      <x:c r="H69" s="77" t="str">
        <x:f>IF(OR(F69="",G69=""),"",F69*G69/1000)</x:f>
      </x:c>
      <x:c r="I69" s="76"/>
      <x:c r="J69" s="76"/>
      <x:c r="K69" s="76"/>
      <x:c r="L69" s="76"/>
      <x:c r="M69" s="78" t="str">
        <x:f>IF(B69="","",TODAY())</x:f>
      </x:c>
      <x:c r="N69" s="76"/>
      <x:c r="O69" s="76" t="str">
        <x:f>IF(B69="","",IF(OR(C69="",D69="",E69="",F69="",G69="",I69="",J69="",K69&lt;&gt;"Validé humainement"),"ALERTE: données/preuves/statut",IF(OR(AND(ISNUMBER(F69),F69&lt;0),AND(ISNUMBER(G69),G69&lt;0)),"ALERTE: valeur anormale","OK")))</x:f>
      </x:c>
      <x:c r="P69" s="76" t="str">
        <x:f>IF(B69="","",IF(K69="Validé humainement","Oui","Non"))</x:f>
      </x:c>
    </x:row>
    <x:row r="70">
      <x:c r="A70" s="76" t="str">
        <x:f>IF(B70="","","ELEC-"&amp;TEXT(ROW()-4,"0000"))</x:f>
      </x:c>
      <x:c r="B70" s="76"/>
      <x:c r="C70" s="76"/>
      <x:c r="D70" s="76"/>
      <x:c r="E70" s="76"/>
      <x:c r="F70" s="81"/>
      <x:c r="G70" s="82"/>
      <x:c r="H70" s="77" t="str">
        <x:f>IF(OR(F70="",G70=""),"",F70*G70/1000)</x:f>
      </x:c>
      <x:c r="I70" s="76"/>
      <x:c r="J70" s="76"/>
      <x:c r="K70" s="76"/>
      <x:c r="L70" s="76"/>
      <x:c r="M70" s="78" t="str">
        <x:f>IF(B70="","",TODAY())</x:f>
      </x:c>
      <x:c r="N70" s="76"/>
      <x:c r="O70" s="76" t="str">
        <x:f>IF(B70="","",IF(OR(C70="",D70="",E70="",F70="",G70="",I70="",J70="",K70&lt;&gt;"Validé humainement"),"ALERTE: données/preuves/statut",IF(OR(AND(ISNUMBER(F70),F70&lt;0),AND(ISNUMBER(G70),G70&lt;0)),"ALERTE: valeur anormale","OK")))</x:f>
      </x:c>
      <x:c r="P70" s="76" t="str">
        <x:f>IF(B70="","",IF(K70="Validé humainement","Oui","Non"))</x:f>
      </x:c>
    </x:row>
    <x:row r="71">
      <x:c r="A71" s="76" t="str">
        <x:f>IF(B71="","","ELEC-"&amp;TEXT(ROW()-4,"0000"))</x:f>
      </x:c>
      <x:c r="B71" s="76"/>
      <x:c r="C71" s="76"/>
      <x:c r="D71" s="76"/>
      <x:c r="E71" s="76"/>
      <x:c r="F71" s="81"/>
      <x:c r="G71" s="82"/>
      <x:c r="H71" s="77" t="str">
        <x:f>IF(OR(F71="",G71=""),"",F71*G71/1000)</x:f>
      </x:c>
      <x:c r="I71" s="76"/>
      <x:c r="J71" s="76"/>
      <x:c r="K71" s="76"/>
      <x:c r="L71" s="76"/>
      <x:c r="M71" s="78" t="str">
        <x:f>IF(B71="","",TODAY())</x:f>
      </x:c>
      <x:c r="N71" s="76"/>
      <x:c r="O71" s="76" t="str">
        <x:f>IF(B71="","",IF(OR(C71="",D71="",E71="",F71="",G71="",I71="",J71="",K71&lt;&gt;"Validé humainement"),"ALERTE: données/preuves/statut",IF(OR(AND(ISNUMBER(F71),F71&lt;0),AND(ISNUMBER(G71),G71&lt;0)),"ALERTE: valeur anormale","OK")))</x:f>
      </x:c>
      <x:c r="P71" s="76" t="str">
        <x:f>IF(B71="","",IF(K71="Validé humainement","Oui","Non"))</x:f>
      </x:c>
    </x:row>
    <x:row r="72">
      <x:c r="A72" s="76" t="str">
        <x:f>IF(B72="","","ELEC-"&amp;TEXT(ROW()-4,"0000"))</x:f>
      </x:c>
      <x:c r="B72" s="76"/>
      <x:c r="C72" s="76"/>
      <x:c r="D72" s="76"/>
      <x:c r="E72" s="76"/>
      <x:c r="F72" s="81"/>
      <x:c r="G72" s="82"/>
      <x:c r="H72" s="77" t="str">
        <x:f>IF(OR(F72="",G72=""),"",F72*G72/1000)</x:f>
      </x:c>
      <x:c r="I72" s="76"/>
      <x:c r="J72" s="76"/>
      <x:c r="K72" s="76"/>
      <x:c r="L72" s="76"/>
      <x:c r="M72" s="78" t="str">
        <x:f>IF(B72="","",TODAY())</x:f>
      </x:c>
      <x:c r="N72" s="76"/>
      <x:c r="O72" s="76" t="str">
        <x:f>IF(B72="","",IF(OR(C72="",D72="",E72="",F72="",G72="",I72="",J72="",K72&lt;&gt;"Validé humainement"),"ALERTE: données/preuves/statut",IF(OR(AND(ISNUMBER(F72),F72&lt;0),AND(ISNUMBER(G72),G72&lt;0)),"ALERTE: valeur anormale","OK")))</x:f>
      </x:c>
      <x:c r="P72" s="76" t="str">
        <x:f>IF(B72="","",IF(K72="Validé humainement","Oui","Non"))</x:f>
      </x:c>
    </x:row>
    <x:row r="73">
      <x:c r="A73" s="76" t="str">
        <x:f>IF(B73="","","ELEC-"&amp;TEXT(ROW()-4,"0000"))</x:f>
      </x:c>
      <x:c r="B73" s="76"/>
      <x:c r="C73" s="76"/>
      <x:c r="D73" s="76"/>
      <x:c r="E73" s="76"/>
      <x:c r="F73" s="81"/>
      <x:c r="G73" s="82"/>
      <x:c r="H73" s="77" t="str">
        <x:f>IF(OR(F73="",G73=""),"",F73*G73/1000)</x:f>
      </x:c>
      <x:c r="I73" s="76"/>
      <x:c r="J73" s="76"/>
      <x:c r="K73" s="76"/>
      <x:c r="L73" s="76"/>
      <x:c r="M73" s="78" t="str">
        <x:f>IF(B73="","",TODAY())</x:f>
      </x:c>
      <x:c r="N73" s="76"/>
      <x:c r="O73" s="76" t="str">
        <x:f>IF(B73="","",IF(OR(C73="",D73="",E73="",F73="",G73="",I73="",J73="",K73&lt;&gt;"Validé humainement"),"ALERTE: données/preuves/statut",IF(OR(AND(ISNUMBER(F73),F73&lt;0),AND(ISNUMBER(G73),G73&lt;0)),"ALERTE: valeur anormale","OK")))</x:f>
      </x:c>
      <x:c r="P73" s="76" t="str">
        <x:f>IF(B73="","",IF(K73="Validé humainement","Oui","Non"))</x:f>
      </x:c>
    </x:row>
    <x:row r="74">
      <x:c r="A74" s="76" t="str">
        <x:f>IF(B74="","","ELEC-"&amp;TEXT(ROW()-4,"0000"))</x:f>
      </x:c>
      <x:c r="B74" s="76"/>
      <x:c r="C74" s="76"/>
      <x:c r="D74" s="76"/>
      <x:c r="E74" s="76"/>
      <x:c r="F74" s="81"/>
      <x:c r="G74" s="82"/>
      <x:c r="H74" s="77" t="str">
        <x:f>IF(OR(F74="",G74=""),"",F74*G74/1000)</x:f>
      </x:c>
      <x:c r="I74" s="76"/>
      <x:c r="J74" s="76"/>
      <x:c r="K74" s="76"/>
      <x:c r="L74" s="76"/>
      <x:c r="M74" s="78" t="str">
        <x:f>IF(B74="","",TODAY())</x:f>
      </x:c>
      <x:c r="N74" s="76"/>
      <x:c r="O74" s="76" t="str">
        <x:f>IF(B74="","",IF(OR(C74="",D74="",E74="",F74="",G74="",I74="",J74="",K74&lt;&gt;"Validé humainement"),"ALERTE: données/preuves/statut",IF(OR(AND(ISNUMBER(F74),F74&lt;0),AND(ISNUMBER(G74),G74&lt;0)),"ALERTE: valeur anormale","OK")))</x:f>
      </x:c>
      <x:c r="P74" s="76" t="str">
        <x:f>IF(B74="","",IF(K74="Validé humainement","Oui","Non"))</x:f>
      </x:c>
    </x:row>
    <x:row r="75">
      <x:c r="A75" s="76" t="str">
        <x:f>IF(B75="","","ELEC-"&amp;TEXT(ROW()-4,"0000"))</x:f>
      </x:c>
      <x:c r="B75" s="76"/>
      <x:c r="C75" s="76"/>
      <x:c r="D75" s="76"/>
      <x:c r="E75" s="76"/>
      <x:c r="F75" s="81"/>
      <x:c r="G75" s="82"/>
      <x:c r="H75" s="77" t="str">
        <x:f>IF(OR(F75="",G75=""),"",F75*G75/1000)</x:f>
      </x:c>
      <x:c r="I75" s="76"/>
      <x:c r="J75" s="76"/>
      <x:c r="K75" s="76"/>
      <x:c r="L75" s="76"/>
      <x:c r="M75" s="78" t="str">
        <x:f>IF(B75="","",TODAY())</x:f>
      </x:c>
      <x:c r="N75" s="76"/>
      <x:c r="O75" s="76" t="str">
        <x:f>IF(B75="","",IF(OR(C75="",D75="",E75="",F75="",G75="",I75="",J75="",K75&lt;&gt;"Validé humainement"),"ALERTE: données/preuves/statut",IF(OR(AND(ISNUMBER(F75),F75&lt;0),AND(ISNUMBER(G75),G75&lt;0)),"ALERTE: valeur anormale","OK")))</x:f>
      </x:c>
      <x:c r="P75" s="76" t="str">
        <x:f>IF(B75="","",IF(K75="Validé humainement","Oui","Non"))</x:f>
      </x:c>
    </x:row>
    <x:row r="76">
      <x:c r="A76" s="76" t="str">
        <x:f>IF(B76="","","ELEC-"&amp;TEXT(ROW()-4,"0000"))</x:f>
      </x:c>
      <x:c r="B76" s="76"/>
      <x:c r="C76" s="76"/>
      <x:c r="D76" s="76"/>
      <x:c r="E76" s="76"/>
      <x:c r="F76" s="81"/>
      <x:c r="G76" s="82"/>
      <x:c r="H76" s="77" t="str">
        <x:f>IF(OR(F76="",G76=""),"",F76*G76/1000)</x:f>
      </x:c>
      <x:c r="I76" s="76"/>
      <x:c r="J76" s="76"/>
      <x:c r="K76" s="76"/>
      <x:c r="L76" s="76"/>
      <x:c r="M76" s="78" t="str">
        <x:f>IF(B76="","",TODAY())</x:f>
      </x:c>
      <x:c r="N76" s="76"/>
      <x:c r="O76" s="76" t="str">
        <x:f>IF(B76="","",IF(OR(C76="",D76="",E76="",F76="",G76="",I76="",J76="",K76&lt;&gt;"Validé humainement"),"ALERTE: données/preuves/statut",IF(OR(AND(ISNUMBER(F76),F76&lt;0),AND(ISNUMBER(G76),G76&lt;0)),"ALERTE: valeur anormale","OK")))</x:f>
      </x:c>
      <x:c r="P76" s="76" t="str">
        <x:f>IF(B76="","",IF(K76="Validé humainement","Oui","Non"))</x:f>
      </x:c>
    </x:row>
    <x:row r="77">
      <x:c r="A77" s="76" t="str">
        <x:f>IF(B77="","","ELEC-"&amp;TEXT(ROW()-4,"0000"))</x:f>
      </x:c>
      <x:c r="B77" s="76"/>
      <x:c r="C77" s="76"/>
      <x:c r="D77" s="76"/>
      <x:c r="E77" s="76"/>
      <x:c r="F77" s="81"/>
      <x:c r="G77" s="82"/>
      <x:c r="H77" s="77" t="str">
        <x:f>IF(OR(F77="",G77=""),"",F77*G77/1000)</x:f>
      </x:c>
      <x:c r="I77" s="76"/>
      <x:c r="J77" s="76"/>
      <x:c r="K77" s="76"/>
      <x:c r="L77" s="76"/>
      <x:c r="M77" s="78" t="str">
        <x:f>IF(B77="","",TODAY())</x:f>
      </x:c>
      <x:c r="N77" s="76"/>
      <x:c r="O77" s="76" t="str">
        <x:f>IF(B77="","",IF(OR(C77="",D77="",E77="",F77="",G77="",I77="",J77="",K77&lt;&gt;"Validé humainement"),"ALERTE: données/preuves/statut",IF(OR(AND(ISNUMBER(F77),F77&lt;0),AND(ISNUMBER(G77),G77&lt;0)),"ALERTE: valeur anormale","OK")))</x:f>
      </x:c>
      <x:c r="P77" s="76" t="str">
        <x:f>IF(B77="","",IF(K77="Validé humainement","Oui","Non"))</x:f>
      </x:c>
    </x:row>
    <x:row r="78">
      <x:c r="A78" s="76" t="str">
        <x:f>IF(B78="","","ELEC-"&amp;TEXT(ROW()-4,"0000"))</x:f>
      </x:c>
      <x:c r="B78" s="76"/>
      <x:c r="C78" s="76"/>
      <x:c r="D78" s="76"/>
      <x:c r="E78" s="76"/>
      <x:c r="F78" s="81"/>
      <x:c r="G78" s="82"/>
      <x:c r="H78" s="77" t="str">
        <x:f>IF(OR(F78="",G78=""),"",F78*G78/1000)</x:f>
      </x:c>
      <x:c r="I78" s="76"/>
      <x:c r="J78" s="76"/>
      <x:c r="K78" s="76"/>
      <x:c r="L78" s="76"/>
      <x:c r="M78" s="78" t="str">
        <x:f>IF(B78="","",TODAY())</x:f>
      </x:c>
      <x:c r="N78" s="76"/>
      <x:c r="O78" s="76" t="str">
        <x:f>IF(B78="","",IF(OR(C78="",D78="",E78="",F78="",G78="",I78="",J78="",K78&lt;&gt;"Validé humainement"),"ALERTE: données/preuves/statut",IF(OR(AND(ISNUMBER(F78),F78&lt;0),AND(ISNUMBER(G78),G78&lt;0)),"ALERTE: valeur anormale","OK")))</x:f>
      </x:c>
      <x:c r="P78" s="76" t="str">
        <x:f>IF(B78="","",IF(K78="Validé humainement","Oui","Non"))</x:f>
      </x:c>
    </x:row>
    <x:row r="79">
      <x:c r="A79" s="76" t="str">
        <x:f>IF(B79="","","ELEC-"&amp;TEXT(ROW()-4,"0000"))</x:f>
      </x:c>
      <x:c r="B79" s="76"/>
      <x:c r="C79" s="76"/>
      <x:c r="D79" s="76"/>
      <x:c r="E79" s="76"/>
      <x:c r="F79" s="81"/>
      <x:c r="G79" s="82"/>
      <x:c r="H79" s="77" t="str">
        <x:f>IF(OR(F79="",G79=""),"",F79*G79/1000)</x:f>
      </x:c>
      <x:c r="I79" s="76"/>
      <x:c r="J79" s="76"/>
      <x:c r="K79" s="76"/>
      <x:c r="L79" s="76"/>
      <x:c r="M79" s="78" t="str">
        <x:f>IF(B79="","",TODAY())</x:f>
      </x:c>
      <x:c r="N79" s="76"/>
      <x:c r="O79" s="76" t="str">
        <x:f>IF(B79="","",IF(OR(C79="",D79="",E79="",F79="",G79="",I79="",J79="",K79&lt;&gt;"Validé humainement"),"ALERTE: données/preuves/statut",IF(OR(AND(ISNUMBER(F79),F79&lt;0),AND(ISNUMBER(G79),G79&lt;0)),"ALERTE: valeur anormale","OK")))</x:f>
      </x:c>
      <x:c r="P79" s="76" t="str">
        <x:f>IF(B79="","",IF(K79="Validé humainement","Oui","Non"))</x:f>
      </x:c>
    </x:row>
    <x:row r="80">
      <x:c r="A80" s="76" t="str">
        <x:f>IF(B80="","","ELEC-"&amp;TEXT(ROW()-4,"0000"))</x:f>
      </x:c>
      <x:c r="B80" s="76"/>
      <x:c r="C80" s="76"/>
      <x:c r="D80" s="76"/>
      <x:c r="E80" s="76"/>
      <x:c r="F80" s="81"/>
      <x:c r="G80" s="82"/>
      <x:c r="H80" s="77" t="str">
        <x:f>IF(OR(F80="",G80=""),"",F80*G80/1000)</x:f>
      </x:c>
      <x:c r="I80" s="76"/>
      <x:c r="J80" s="76"/>
      <x:c r="K80" s="76"/>
      <x:c r="L80" s="76"/>
      <x:c r="M80" s="78" t="str">
        <x:f>IF(B80="","",TODAY())</x:f>
      </x:c>
      <x:c r="N80" s="76"/>
      <x:c r="O80" s="76" t="str">
        <x:f>IF(B80="","",IF(OR(C80="",D80="",E80="",F80="",G80="",I80="",J80="",K80&lt;&gt;"Validé humainement"),"ALERTE: données/preuves/statut",IF(OR(AND(ISNUMBER(F80),F80&lt;0),AND(ISNUMBER(G80),G80&lt;0)),"ALERTE: valeur anormale","OK")))</x:f>
      </x:c>
      <x:c r="P80" s="76" t="str">
        <x:f>IF(B80="","",IF(K80="Validé humainement","Oui","Non"))</x:f>
      </x:c>
    </x:row>
    <x:row r="81">
      <x:c r="A81" s="76" t="str">
        <x:f>IF(B81="","","ELEC-"&amp;TEXT(ROW()-4,"0000"))</x:f>
      </x:c>
      <x:c r="B81" s="76"/>
      <x:c r="C81" s="76"/>
      <x:c r="D81" s="76"/>
      <x:c r="E81" s="76"/>
      <x:c r="F81" s="81"/>
      <x:c r="G81" s="82"/>
      <x:c r="H81" s="77" t="str">
        <x:f>IF(OR(F81="",G81=""),"",F81*G81/1000)</x:f>
      </x:c>
      <x:c r="I81" s="76"/>
      <x:c r="J81" s="76"/>
      <x:c r="K81" s="76"/>
      <x:c r="L81" s="76"/>
      <x:c r="M81" s="78" t="str">
        <x:f>IF(B81="","",TODAY())</x:f>
      </x:c>
      <x:c r="N81" s="76"/>
      <x:c r="O81" s="76" t="str">
        <x:f>IF(B81="","",IF(OR(C81="",D81="",E81="",F81="",G81="",I81="",J81="",K81&lt;&gt;"Validé humainement"),"ALERTE: données/preuves/statut",IF(OR(AND(ISNUMBER(F81),F81&lt;0),AND(ISNUMBER(G81),G81&lt;0)),"ALERTE: valeur anormale","OK")))</x:f>
      </x:c>
      <x:c r="P81" s="76" t="str">
        <x:f>IF(B81="","",IF(K81="Validé humainement","Oui","Non"))</x:f>
      </x:c>
    </x:row>
    <x:row r="82">
      <x:c r="A82" s="76" t="str">
        <x:f>IF(B82="","","ELEC-"&amp;TEXT(ROW()-4,"0000"))</x:f>
      </x:c>
      <x:c r="B82" s="76"/>
      <x:c r="C82" s="76"/>
      <x:c r="D82" s="76"/>
      <x:c r="E82" s="76"/>
      <x:c r="F82" s="81"/>
      <x:c r="G82" s="82"/>
      <x:c r="H82" s="77" t="str">
        <x:f>IF(OR(F82="",G82=""),"",F82*G82/1000)</x:f>
      </x:c>
      <x:c r="I82" s="76"/>
      <x:c r="J82" s="76"/>
      <x:c r="K82" s="76"/>
      <x:c r="L82" s="76"/>
      <x:c r="M82" s="78" t="str">
        <x:f>IF(B82="","",TODAY())</x:f>
      </x:c>
      <x:c r="N82" s="76"/>
      <x:c r="O82" s="76" t="str">
        <x:f>IF(B82="","",IF(OR(C82="",D82="",E82="",F82="",G82="",I82="",J82="",K82&lt;&gt;"Validé humainement"),"ALERTE: données/preuves/statut",IF(OR(AND(ISNUMBER(F82),F82&lt;0),AND(ISNUMBER(G82),G82&lt;0)),"ALERTE: valeur anormale","OK")))</x:f>
      </x:c>
      <x:c r="P82" s="76" t="str">
        <x:f>IF(B82="","",IF(K82="Validé humainement","Oui","Non"))</x:f>
      </x:c>
    </x:row>
    <x:row r="83">
      <x:c r="A83" s="76" t="str">
        <x:f>IF(B83="","","ELEC-"&amp;TEXT(ROW()-4,"0000"))</x:f>
      </x:c>
      <x:c r="B83" s="76"/>
      <x:c r="C83" s="76"/>
      <x:c r="D83" s="76"/>
      <x:c r="E83" s="76"/>
      <x:c r="F83" s="81"/>
      <x:c r="G83" s="82"/>
      <x:c r="H83" s="77" t="str">
        <x:f>IF(OR(F83="",G83=""),"",F83*G83/1000)</x:f>
      </x:c>
      <x:c r="I83" s="76"/>
      <x:c r="J83" s="76"/>
      <x:c r="K83" s="76"/>
      <x:c r="L83" s="76"/>
      <x:c r="M83" s="78" t="str">
        <x:f>IF(B83="","",TODAY())</x:f>
      </x:c>
      <x:c r="N83" s="76"/>
      <x:c r="O83" s="76" t="str">
        <x:f>IF(B83="","",IF(OR(C83="",D83="",E83="",F83="",G83="",I83="",J83="",K83&lt;&gt;"Validé humainement"),"ALERTE: données/preuves/statut",IF(OR(AND(ISNUMBER(F83),F83&lt;0),AND(ISNUMBER(G83),G83&lt;0)),"ALERTE: valeur anormale","OK")))</x:f>
      </x:c>
      <x:c r="P83" s="76" t="str">
        <x:f>IF(B83="","",IF(K83="Validé humainement","Oui","Non"))</x:f>
      </x:c>
    </x:row>
    <x:row r="84">
      <x:c r="A84" s="76" t="str">
        <x:f>IF(B84="","","ELEC-"&amp;TEXT(ROW()-4,"0000"))</x:f>
      </x:c>
      <x:c r="B84" s="76"/>
      <x:c r="C84" s="76"/>
      <x:c r="D84" s="76"/>
      <x:c r="E84" s="76"/>
      <x:c r="F84" s="81"/>
      <x:c r="G84" s="82"/>
      <x:c r="H84" s="77" t="str">
        <x:f>IF(OR(F84="",G84=""),"",F84*G84/1000)</x:f>
      </x:c>
      <x:c r="I84" s="76"/>
      <x:c r="J84" s="76"/>
      <x:c r="K84" s="76"/>
      <x:c r="L84" s="76"/>
      <x:c r="M84" s="78" t="str">
        <x:f>IF(B84="","",TODAY())</x:f>
      </x:c>
      <x:c r="N84" s="76"/>
      <x:c r="O84" s="76" t="str">
        <x:f>IF(B84="","",IF(OR(C84="",D84="",E84="",F84="",G84="",I84="",J84="",K84&lt;&gt;"Validé humainement"),"ALERTE: données/preuves/statut",IF(OR(AND(ISNUMBER(F84),F84&lt;0),AND(ISNUMBER(G84),G84&lt;0)),"ALERTE: valeur anormale","OK")))</x:f>
      </x:c>
      <x:c r="P84" s="76" t="str">
        <x:f>IF(B84="","",IF(K84="Validé humainement","Oui","Non"))</x:f>
      </x:c>
    </x:row>
    <x:row r="85">
      <x:c r="A85" s="76" t="str">
        <x:f>IF(B85="","","ELEC-"&amp;TEXT(ROW()-4,"0000"))</x:f>
      </x:c>
      <x:c r="B85" s="76"/>
      <x:c r="C85" s="76"/>
      <x:c r="D85" s="76"/>
      <x:c r="E85" s="76"/>
      <x:c r="F85" s="81"/>
      <x:c r="G85" s="82"/>
      <x:c r="H85" s="77" t="str">
        <x:f>IF(OR(F85="",G85=""),"",F85*G85/1000)</x:f>
      </x:c>
      <x:c r="I85" s="76"/>
      <x:c r="J85" s="76"/>
      <x:c r="K85" s="76"/>
      <x:c r="L85" s="76"/>
      <x:c r="M85" s="78" t="str">
        <x:f>IF(B85="","",TODAY())</x:f>
      </x:c>
      <x:c r="N85" s="76"/>
      <x:c r="O85" s="76" t="str">
        <x:f>IF(B85="","",IF(OR(C85="",D85="",E85="",F85="",G85="",I85="",J85="",K85&lt;&gt;"Validé humainement"),"ALERTE: données/preuves/statut",IF(OR(AND(ISNUMBER(F85),F85&lt;0),AND(ISNUMBER(G85),G85&lt;0)),"ALERTE: valeur anormale","OK")))</x:f>
      </x:c>
      <x:c r="P85" s="76" t="str">
        <x:f>IF(B85="","",IF(K85="Validé humainement","Oui","Non"))</x:f>
      </x:c>
    </x:row>
    <x:row r="86">
      <x:c r="A86" s="76" t="str">
        <x:f>IF(B86="","","ELEC-"&amp;TEXT(ROW()-4,"0000"))</x:f>
      </x:c>
      <x:c r="B86" s="76"/>
      <x:c r="C86" s="76"/>
      <x:c r="D86" s="76"/>
      <x:c r="E86" s="76"/>
      <x:c r="F86" s="81"/>
      <x:c r="G86" s="82"/>
      <x:c r="H86" s="77" t="str">
        <x:f>IF(OR(F86="",G86=""),"",F86*G86/1000)</x:f>
      </x:c>
      <x:c r="I86" s="76"/>
      <x:c r="J86" s="76"/>
      <x:c r="K86" s="76"/>
      <x:c r="L86" s="76"/>
      <x:c r="M86" s="78" t="str">
        <x:f>IF(B86="","",TODAY())</x:f>
      </x:c>
      <x:c r="N86" s="76"/>
      <x:c r="O86" s="76" t="str">
        <x:f>IF(B86="","",IF(OR(C86="",D86="",E86="",F86="",G86="",I86="",J86="",K86&lt;&gt;"Validé humainement"),"ALERTE: données/preuves/statut",IF(OR(AND(ISNUMBER(F86),F86&lt;0),AND(ISNUMBER(G86),G86&lt;0)),"ALERTE: valeur anormale","OK")))</x:f>
      </x:c>
      <x:c r="P86" s="76" t="str">
        <x:f>IF(B86="","",IF(K86="Validé humainement","Oui","Non"))</x:f>
      </x:c>
    </x:row>
    <x:row r="87">
      <x:c r="A87" s="76" t="str">
        <x:f>IF(B87="","","ELEC-"&amp;TEXT(ROW()-4,"0000"))</x:f>
      </x:c>
      <x:c r="B87" s="76"/>
      <x:c r="C87" s="76"/>
      <x:c r="D87" s="76"/>
      <x:c r="E87" s="76"/>
      <x:c r="F87" s="81"/>
      <x:c r="G87" s="82"/>
      <x:c r="H87" s="77" t="str">
        <x:f>IF(OR(F87="",G87=""),"",F87*G87/1000)</x:f>
      </x:c>
      <x:c r="I87" s="76"/>
      <x:c r="J87" s="76"/>
      <x:c r="K87" s="76"/>
      <x:c r="L87" s="76"/>
      <x:c r="M87" s="78" t="str">
        <x:f>IF(B87="","",TODAY())</x:f>
      </x:c>
      <x:c r="N87" s="76"/>
      <x:c r="O87" s="76" t="str">
        <x:f>IF(B87="","",IF(OR(C87="",D87="",E87="",F87="",G87="",I87="",J87="",K87&lt;&gt;"Validé humainement"),"ALERTE: données/preuves/statut",IF(OR(AND(ISNUMBER(F87),F87&lt;0),AND(ISNUMBER(G87),G87&lt;0)),"ALERTE: valeur anormale","OK")))</x:f>
      </x:c>
      <x:c r="P87" s="76" t="str">
        <x:f>IF(B87="","",IF(K87="Validé humainement","Oui","Non"))</x:f>
      </x:c>
    </x:row>
    <x:row r="88">
      <x:c r="A88" s="76" t="str">
        <x:f>IF(B88="","","ELEC-"&amp;TEXT(ROW()-4,"0000"))</x:f>
      </x:c>
      <x:c r="B88" s="76"/>
      <x:c r="C88" s="76"/>
      <x:c r="D88" s="76"/>
      <x:c r="E88" s="76"/>
      <x:c r="F88" s="81"/>
      <x:c r="G88" s="82"/>
      <x:c r="H88" s="77" t="str">
        <x:f>IF(OR(F88="",G88=""),"",F88*G88/1000)</x:f>
      </x:c>
      <x:c r="I88" s="76"/>
      <x:c r="J88" s="76"/>
      <x:c r="K88" s="76"/>
      <x:c r="L88" s="76"/>
      <x:c r="M88" s="78" t="str">
        <x:f>IF(B88="","",TODAY())</x:f>
      </x:c>
      <x:c r="N88" s="76"/>
      <x:c r="O88" s="76" t="str">
        <x:f>IF(B88="","",IF(OR(C88="",D88="",E88="",F88="",G88="",I88="",J88="",K88&lt;&gt;"Validé humainement"),"ALERTE: données/preuves/statut",IF(OR(AND(ISNUMBER(F88),F88&lt;0),AND(ISNUMBER(G88),G88&lt;0)),"ALERTE: valeur anormale","OK")))</x:f>
      </x:c>
      <x:c r="P88" s="76" t="str">
        <x:f>IF(B88="","",IF(K88="Validé humainement","Oui","Non"))</x:f>
      </x:c>
    </x:row>
    <x:row r="89">
      <x:c r="A89" s="76" t="str">
        <x:f>IF(B89="","","ELEC-"&amp;TEXT(ROW()-4,"0000"))</x:f>
      </x:c>
      <x:c r="B89" s="76"/>
      <x:c r="C89" s="76"/>
      <x:c r="D89" s="76"/>
      <x:c r="E89" s="76"/>
      <x:c r="F89" s="81"/>
      <x:c r="G89" s="82"/>
      <x:c r="H89" s="77" t="str">
        <x:f>IF(OR(F89="",G89=""),"",F89*G89/1000)</x:f>
      </x:c>
      <x:c r="I89" s="76"/>
      <x:c r="J89" s="76"/>
      <x:c r="K89" s="76"/>
      <x:c r="L89" s="76"/>
      <x:c r="M89" s="78" t="str">
        <x:f>IF(B89="","",TODAY())</x:f>
      </x:c>
      <x:c r="N89" s="76"/>
      <x:c r="O89" s="76" t="str">
        <x:f>IF(B89="","",IF(OR(C89="",D89="",E89="",F89="",G89="",I89="",J89="",K89&lt;&gt;"Validé humainement"),"ALERTE: données/preuves/statut",IF(OR(AND(ISNUMBER(F89),F89&lt;0),AND(ISNUMBER(G89),G89&lt;0)),"ALERTE: valeur anormale","OK")))</x:f>
      </x:c>
      <x:c r="P89" s="76" t="str">
        <x:f>IF(B89="","",IF(K89="Validé humainement","Oui","Non"))</x:f>
      </x:c>
    </x:row>
    <x:row r="90">
      <x:c r="A90" s="76" t="str">
        <x:f>IF(B90="","","ELEC-"&amp;TEXT(ROW()-4,"0000"))</x:f>
      </x:c>
      <x:c r="B90" s="76"/>
      <x:c r="C90" s="76"/>
      <x:c r="D90" s="76"/>
      <x:c r="E90" s="76"/>
      <x:c r="F90" s="81"/>
      <x:c r="G90" s="82"/>
      <x:c r="H90" s="77" t="str">
        <x:f>IF(OR(F90="",G90=""),"",F90*G90/1000)</x:f>
      </x:c>
      <x:c r="I90" s="76"/>
      <x:c r="J90" s="76"/>
      <x:c r="K90" s="76"/>
      <x:c r="L90" s="76"/>
      <x:c r="M90" s="78" t="str">
        <x:f>IF(B90="","",TODAY())</x:f>
      </x:c>
      <x:c r="N90" s="76"/>
      <x:c r="O90" s="76" t="str">
        <x:f>IF(B90="","",IF(OR(C90="",D90="",E90="",F90="",G90="",I90="",J90="",K90&lt;&gt;"Validé humainement"),"ALERTE: données/preuves/statut",IF(OR(AND(ISNUMBER(F90),F90&lt;0),AND(ISNUMBER(G90),G90&lt;0)),"ALERTE: valeur anormale","OK")))</x:f>
      </x:c>
      <x:c r="P90" s="76" t="str">
        <x:f>IF(B90="","",IF(K90="Validé humainement","Oui","Non"))</x:f>
      </x:c>
    </x:row>
    <x:row r="91">
      <x:c r="A91" s="76" t="str">
        <x:f>IF(B91="","","ELEC-"&amp;TEXT(ROW()-4,"0000"))</x:f>
      </x:c>
      <x:c r="B91" s="76"/>
      <x:c r="C91" s="76"/>
      <x:c r="D91" s="76"/>
      <x:c r="E91" s="76"/>
      <x:c r="F91" s="81"/>
      <x:c r="G91" s="82"/>
      <x:c r="H91" s="77" t="str">
        <x:f>IF(OR(F91="",G91=""),"",F91*G91/1000)</x:f>
      </x:c>
      <x:c r="I91" s="76"/>
      <x:c r="J91" s="76"/>
      <x:c r="K91" s="76"/>
      <x:c r="L91" s="76"/>
      <x:c r="M91" s="78" t="str">
        <x:f>IF(B91="","",TODAY())</x:f>
      </x:c>
      <x:c r="N91" s="76"/>
      <x:c r="O91" s="76" t="str">
        <x:f>IF(B91="","",IF(OR(C91="",D91="",E91="",F91="",G91="",I91="",J91="",K91&lt;&gt;"Validé humainement"),"ALERTE: données/preuves/statut",IF(OR(AND(ISNUMBER(F91),F91&lt;0),AND(ISNUMBER(G91),G91&lt;0)),"ALERTE: valeur anormale","OK")))</x:f>
      </x:c>
      <x:c r="P91" s="76" t="str">
        <x:f>IF(B91="","",IF(K91="Validé humainement","Oui","Non"))</x:f>
      </x:c>
    </x:row>
    <x:row r="92">
      <x:c r="A92" s="76" t="str">
        <x:f>IF(B92="","","ELEC-"&amp;TEXT(ROW()-4,"0000"))</x:f>
      </x:c>
      <x:c r="B92" s="76"/>
      <x:c r="C92" s="76"/>
      <x:c r="D92" s="76"/>
      <x:c r="E92" s="76"/>
      <x:c r="F92" s="81"/>
      <x:c r="G92" s="82"/>
      <x:c r="H92" s="77" t="str">
        <x:f>IF(OR(F92="",G92=""),"",F92*G92/1000)</x:f>
      </x:c>
      <x:c r="I92" s="76"/>
      <x:c r="J92" s="76"/>
      <x:c r="K92" s="76"/>
      <x:c r="L92" s="76"/>
      <x:c r="M92" s="78" t="str">
        <x:f>IF(B92="","",TODAY())</x:f>
      </x:c>
      <x:c r="N92" s="76"/>
      <x:c r="O92" s="76" t="str">
        <x:f>IF(B92="","",IF(OR(C92="",D92="",E92="",F92="",G92="",I92="",J92="",K92&lt;&gt;"Validé humainement"),"ALERTE: données/preuves/statut",IF(OR(AND(ISNUMBER(F92),F92&lt;0),AND(ISNUMBER(G92),G92&lt;0)),"ALERTE: valeur anormale","OK")))</x:f>
      </x:c>
      <x:c r="P92" s="76" t="str">
        <x:f>IF(B92="","",IF(K92="Validé humainement","Oui","Non"))</x:f>
      </x:c>
    </x:row>
    <x:row r="93">
      <x:c r="A93" s="76" t="str">
        <x:f>IF(B93="","","ELEC-"&amp;TEXT(ROW()-4,"0000"))</x:f>
      </x:c>
      <x:c r="B93" s="76"/>
      <x:c r="C93" s="76"/>
      <x:c r="D93" s="76"/>
      <x:c r="E93" s="76"/>
      <x:c r="F93" s="81"/>
      <x:c r="G93" s="82"/>
      <x:c r="H93" s="77" t="str">
        <x:f>IF(OR(F93="",G93=""),"",F93*G93/1000)</x:f>
      </x:c>
      <x:c r="I93" s="76"/>
      <x:c r="J93" s="76"/>
      <x:c r="K93" s="76"/>
      <x:c r="L93" s="76"/>
      <x:c r="M93" s="78" t="str">
        <x:f>IF(B93="","",TODAY())</x:f>
      </x:c>
      <x:c r="N93" s="76"/>
      <x:c r="O93" s="76" t="str">
        <x:f>IF(B93="","",IF(OR(C93="",D93="",E93="",F93="",G93="",I93="",J93="",K93&lt;&gt;"Validé humainement"),"ALERTE: données/preuves/statut",IF(OR(AND(ISNUMBER(F93),F93&lt;0),AND(ISNUMBER(G93),G93&lt;0)),"ALERTE: valeur anormale","OK")))</x:f>
      </x:c>
      <x:c r="P93" s="76" t="str">
        <x:f>IF(B93="","",IF(K93="Validé humainement","Oui","Non"))</x:f>
      </x:c>
    </x:row>
    <x:row r="94">
      <x:c r="A94" s="76" t="str">
        <x:f>IF(B94="","","ELEC-"&amp;TEXT(ROW()-4,"0000"))</x:f>
      </x:c>
      <x:c r="B94" s="76"/>
      <x:c r="C94" s="76"/>
      <x:c r="D94" s="76"/>
      <x:c r="E94" s="76"/>
      <x:c r="F94" s="81"/>
      <x:c r="G94" s="82"/>
      <x:c r="H94" s="77" t="str">
        <x:f>IF(OR(F94="",G94=""),"",F94*G94/1000)</x:f>
      </x:c>
      <x:c r="I94" s="76"/>
      <x:c r="J94" s="76"/>
      <x:c r="K94" s="76"/>
      <x:c r="L94" s="76"/>
      <x:c r="M94" s="78" t="str">
        <x:f>IF(B94="","",TODAY())</x:f>
      </x:c>
      <x:c r="N94" s="76"/>
      <x:c r="O94" s="76" t="str">
        <x:f>IF(B94="","",IF(OR(C94="",D94="",E94="",F94="",G94="",I94="",J94="",K94&lt;&gt;"Validé humainement"),"ALERTE: données/preuves/statut",IF(OR(AND(ISNUMBER(F94),F94&lt;0),AND(ISNUMBER(G94),G94&lt;0)),"ALERTE: valeur anormale","OK")))</x:f>
      </x:c>
      <x:c r="P94" s="76" t="str">
        <x:f>IF(B94="","",IF(K94="Validé humainement","Oui","Non"))</x:f>
      </x:c>
    </x:row>
    <x:row r="95">
      <x:c r="A95" s="76" t="str">
        <x:f>IF(B95="","","ELEC-"&amp;TEXT(ROW()-4,"0000"))</x:f>
      </x:c>
      <x:c r="B95" s="76"/>
      <x:c r="C95" s="76"/>
      <x:c r="D95" s="76"/>
      <x:c r="E95" s="76"/>
      <x:c r="F95" s="81"/>
      <x:c r="G95" s="82"/>
      <x:c r="H95" s="77" t="str">
        <x:f>IF(OR(F95="",G95=""),"",F95*G95/1000)</x:f>
      </x:c>
      <x:c r="I95" s="76"/>
      <x:c r="J95" s="76"/>
      <x:c r="K95" s="76"/>
      <x:c r="L95" s="76"/>
      <x:c r="M95" s="78" t="str">
        <x:f>IF(B95="","",TODAY())</x:f>
      </x:c>
      <x:c r="N95" s="76"/>
      <x:c r="O95" s="76" t="str">
        <x:f>IF(B95="","",IF(OR(C95="",D95="",E95="",F95="",G95="",I95="",J95="",K95&lt;&gt;"Validé humainement"),"ALERTE: données/preuves/statut",IF(OR(AND(ISNUMBER(F95),F95&lt;0),AND(ISNUMBER(G95),G95&lt;0)),"ALERTE: valeur anormale","OK")))</x:f>
      </x:c>
      <x:c r="P95" s="76" t="str">
        <x:f>IF(B95="","",IF(K95="Validé humainement","Oui","Non"))</x:f>
      </x:c>
    </x:row>
    <x:row r="96">
      <x:c r="A96" s="76" t="str">
        <x:f>IF(B96="","","ELEC-"&amp;TEXT(ROW()-4,"0000"))</x:f>
      </x:c>
      <x:c r="B96" s="76"/>
      <x:c r="C96" s="76"/>
      <x:c r="D96" s="76"/>
      <x:c r="E96" s="76"/>
      <x:c r="F96" s="81"/>
      <x:c r="G96" s="82"/>
      <x:c r="H96" s="77" t="str">
        <x:f>IF(OR(F96="",G96=""),"",F96*G96/1000)</x:f>
      </x:c>
      <x:c r="I96" s="76"/>
      <x:c r="J96" s="76"/>
      <x:c r="K96" s="76"/>
      <x:c r="L96" s="76"/>
      <x:c r="M96" s="78" t="str">
        <x:f>IF(B96="","",TODAY())</x:f>
      </x:c>
      <x:c r="N96" s="76"/>
      <x:c r="O96" s="76" t="str">
        <x:f>IF(B96="","",IF(OR(C96="",D96="",E96="",F96="",G96="",I96="",J96="",K96&lt;&gt;"Validé humainement"),"ALERTE: données/preuves/statut",IF(OR(AND(ISNUMBER(F96),F96&lt;0),AND(ISNUMBER(G96),G96&lt;0)),"ALERTE: valeur anormale","OK")))</x:f>
      </x:c>
      <x:c r="P96" s="76" t="str">
        <x:f>IF(B96="","",IF(K96="Validé humainement","Oui","Non"))</x:f>
      </x:c>
    </x:row>
    <x:row r="97">
      <x:c r="A97" s="76" t="str">
        <x:f>IF(B97="","","ELEC-"&amp;TEXT(ROW()-4,"0000"))</x:f>
      </x:c>
      <x:c r="B97" s="76"/>
      <x:c r="C97" s="76"/>
      <x:c r="D97" s="76"/>
      <x:c r="E97" s="76"/>
      <x:c r="F97" s="81"/>
      <x:c r="G97" s="82"/>
      <x:c r="H97" s="77" t="str">
        <x:f>IF(OR(F97="",G97=""),"",F97*G97/1000)</x:f>
      </x:c>
      <x:c r="I97" s="76"/>
      <x:c r="J97" s="76"/>
      <x:c r="K97" s="76"/>
      <x:c r="L97" s="76"/>
      <x:c r="M97" s="78" t="str">
        <x:f>IF(B97="","",TODAY())</x:f>
      </x:c>
      <x:c r="N97" s="76"/>
      <x:c r="O97" s="76" t="str">
        <x:f>IF(B97="","",IF(OR(C97="",D97="",E97="",F97="",G97="",I97="",J97="",K97&lt;&gt;"Validé humainement"),"ALERTE: données/preuves/statut",IF(OR(AND(ISNUMBER(F97),F97&lt;0),AND(ISNUMBER(G97),G97&lt;0)),"ALERTE: valeur anormale","OK")))</x:f>
      </x:c>
      <x:c r="P97" s="76" t="str">
        <x:f>IF(B97="","",IF(K97="Validé humainement","Oui","Non"))</x:f>
      </x:c>
    </x:row>
    <x:row r="98">
      <x:c r="A98" s="76" t="str">
        <x:f>IF(B98="","","ELEC-"&amp;TEXT(ROW()-4,"0000"))</x:f>
      </x:c>
      <x:c r="B98" s="76"/>
      <x:c r="C98" s="76"/>
      <x:c r="D98" s="76"/>
      <x:c r="E98" s="76"/>
      <x:c r="F98" s="81"/>
      <x:c r="G98" s="82"/>
      <x:c r="H98" s="77" t="str">
        <x:f>IF(OR(F98="",G98=""),"",F98*G98/1000)</x:f>
      </x:c>
      <x:c r="I98" s="76"/>
      <x:c r="J98" s="76"/>
      <x:c r="K98" s="76"/>
      <x:c r="L98" s="76"/>
      <x:c r="M98" s="78" t="str">
        <x:f>IF(B98="","",TODAY())</x:f>
      </x:c>
      <x:c r="N98" s="76"/>
      <x:c r="O98" s="76" t="str">
        <x:f>IF(B98="","",IF(OR(C98="",D98="",E98="",F98="",G98="",I98="",J98="",K98&lt;&gt;"Validé humainement"),"ALERTE: données/preuves/statut",IF(OR(AND(ISNUMBER(F98),F98&lt;0),AND(ISNUMBER(G98),G98&lt;0)),"ALERTE: valeur anormale","OK")))</x:f>
      </x:c>
      <x:c r="P98" s="76" t="str">
        <x:f>IF(B98="","",IF(K98="Validé humainement","Oui","Non"))</x:f>
      </x:c>
    </x:row>
    <x:row r="99">
      <x:c r="A99" s="76" t="str">
        <x:f>IF(B99="","","ELEC-"&amp;TEXT(ROW()-4,"0000"))</x:f>
      </x:c>
      <x:c r="B99" s="76"/>
      <x:c r="C99" s="76"/>
      <x:c r="D99" s="76"/>
      <x:c r="E99" s="76"/>
      <x:c r="F99" s="81"/>
      <x:c r="G99" s="82"/>
      <x:c r="H99" s="77" t="str">
        <x:f>IF(OR(F99="",G99=""),"",F99*G99/1000)</x:f>
      </x:c>
      <x:c r="I99" s="76"/>
      <x:c r="J99" s="76"/>
      <x:c r="K99" s="76"/>
      <x:c r="L99" s="76"/>
      <x:c r="M99" s="78" t="str">
        <x:f>IF(B99="","",TODAY())</x:f>
      </x:c>
      <x:c r="N99" s="76"/>
      <x:c r="O99" s="76" t="str">
        <x:f>IF(B99="","",IF(OR(C99="",D99="",E99="",F99="",G99="",I99="",J99="",K99&lt;&gt;"Validé humainement"),"ALERTE: données/preuves/statut",IF(OR(AND(ISNUMBER(F99),F99&lt;0),AND(ISNUMBER(G99),G99&lt;0)),"ALERTE: valeur anormale","OK")))</x:f>
      </x:c>
      <x:c r="P99" s="76" t="str">
        <x:f>IF(B99="","",IF(K99="Validé humainement","Oui","Non"))</x:f>
      </x:c>
    </x:row>
    <x:row r="100">
      <x:c r="A100" s="76" t="str">
        <x:f>IF(B100="","","ELEC-"&amp;TEXT(ROW()-4,"0000"))</x:f>
      </x:c>
      <x:c r="B100" s="76"/>
      <x:c r="C100" s="76"/>
      <x:c r="D100" s="76"/>
      <x:c r="E100" s="76"/>
      <x:c r="F100" s="81"/>
      <x:c r="G100" s="82"/>
      <x:c r="H100" s="77" t="str">
        <x:f>IF(OR(F100="",G100=""),"",F100*G100/1000)</x:f>
      </x:c>
      <x:c r="I100" s="76"/>
      <x:c r="J100" s="76"/>
      <x:c r="K100" s="76"/>
      <x:c r="L100" s="76"/>
      <x:c r="M100" s="78" t="str">
        <x:f>IF(B100="","",TODAY())</x:f>
      </x:c>
      <x:c r="N100" s="76"/>
      <x:c r="O100" s="76" t="str">
        <x:f>IF(B100="","",IF(OR(C100="",D100="",E100="",F100="",G100="",I100="",J100="",K100&lt;&gt;"Validé humainement"),"ALERTE: données/preuves/statut",IF(OR(AND(ISNUMBER(F100),F100&lt;0),AND(ISNUMBER(G100),G100&lt;0)),"ALERTE: valeur anormale","OK")))</x:f>
      </x:c>
      <x:c r="P100" s="76" t="str">
        <x:f>IF(B100="","",IF(K100="Validé humainement","Oui","Non"))</x:f>
      </x:c>
    </x:row>
    <x:row r="101">
      <x:c r="A101" s="76" t="str">
        <x:f>IF(B101="","","ELEC-"&amp;TEXT(ROW()-4,"0000"))</x:f>
      </x:c>
      <x:c r="B101" s="76"/>
      <x:c r="C101" s="76"/>
      <x:c r="D101" s="76"/>
      <x:c r="E101" s="76"/>
      <x:c r="F101" s="81"/>
      <x:c r="G101" s="82"/>
      <x:c r="H101" s="77" t="str">
        <x:f>IF(OR(F101="",G101=""),"",F101*G101/1000)</x:f>
      </x:c>
      <x:c r="I101" s="76"/>
      <x:c r="J101" s="76"/>
      <x:c r="K101" s="76"/>
      <x:c r="L101" s="76"/>
      <x:c r="M101" s="78" t="str">
        <x:f>IF(B101="","",TODAY())</x:f>
      </x:c>
      <x:c r="N101" s="76"/>
      <x:c r="O101" s="76" t="str">
        <x:f>IF(B101="","",IF(OR(C101="",D101="",E101="",F101="",G101="",I101="",J101="",K101&lt;&gt;"Validé humainement"),"ALERTE: données/preuves/statut",IF(OR(AND(ISNUMBER(F101),F101&lt;0),AND(ISNUMBER(G101),G101&lt;0)),"ALERTE: valeur anormale","OK")))</x:f>
      </x:c>
      <x:c r="P101" s="76" t="str">
        <x:f>IF(B101="","",IF(K101="Validé humainement","Oui","Non"))</x:f>
      </x:c>
    </x:row>
    <x:row r="102">
      <x:c r="A102" s="76" t="str">
        <x:f>IF(B102="","","ELEC-"&amp;TEXT(ROW()-4,"0000"))</x:f>
      </x:c>
      <x:c r="B102" s="76"/>
      <x:c r="C102" s="76"/>
      <x:c r="D102" s="76"/>
      <x:c r="E102" s="76"/>
      <x:c r="F102" s="81"/>
      <x:c r="G102" s="82"/>
      <x:c r="H102" s="77" t="str">
        <x:f>IF(OR(F102="",G102=""),"",F102*G102/1000)</x:f>
      </x:c>
      <x:c r="I102" s="76"/>
      <x:c r="J102" s="76"/>
      <x:c r="K102" s="76"/>
      <x:c r="L102" s="76"/>
      <x:c r="M102" s="78" t="str">
        <x:f>IF(B102="","",TODAY())</x:f>
      </x:c>
      <x:c r="N102" s="76"/>
      <x:c r="O102" s="76" t="str">
        <x:f>IF(B102="","",IF(OR(C102="",D102="",E102="",F102="",G102="",I102="",J102="",K102&lt;&gt;"Validé humainement"),"ALERTE: données/preuves/statut",IF(OR(AND(ISNUMBER(F102),F102&lt;0),AND(ISNUMBER(G102),G102&lt;0)),"ALERTE: valeur anormale","OK")))</x:f>
      </x:c>
      <x:c r="P102" s="76" t="str">
        <x:f>IF(B102="","",IF(K102="Validé humainement","Oui","Non"))</x:f>
      </x:c>
    </x:row>
    <x:row r="103">
      <x:c r="A103" s="76" t="str">
        <x:f>IF(B103="","","ELEC-"&amp;TEXT(ROW()-4,"0000"))</x:f>
      </x:c>
      <x:c r="B103" s="76"/>
      <x:c r="C103" s="76"/>
      <x:c r="D103" s="76"/>
      <x:c r="E103" s="76"/>
      <x:c r="F103" s="81"/>
      <x:c r="G103" s="82"/>
      <x:c r="H103" s="77" t="str">
        <x:f>IF(OR(F103="",G103=""),"",F103*G103/1000)</x:f>
      </x:c>
      <x:c r="I103" s="76"/>
      <x:c r="J103" s="76"/>
      <x:c r="K103" s="76"/>
      <x:c r="L103" s="76"/>
      <x:c r="M103" s="78" t="str">
        <x:f>IF(B103="","",TODAY())</x:f>
      </x:c>
      <x:c r="N103" s="76"/>
      <x:c r="O103" s="76" t="str">
        <x:f>IF(B103="","",IF(OR(C103="",D103="",E103="",F103="",G103="",I103="",J103="",K103&lt;&gt;"Validé humainement"),"ALERTE: données/preuves/statut",IF(OR(AND(ISNUMBER(F103),F103&lt;0),AND(ISNUMBER(G103),G103&lt;0)),"ALERTE: valeur anormale","OK")))</x:f>
      </x:c>
      <x:c r="P103" s="76" t="str">
        <x:f>IF(B103="","",IF(K103="Validé humainement","Oui","Non"))</x:f>
      </x:c>
    </x:row>
    <x:row r="104">
      <x:c r="A104" s="76" t="str">
        <x:f>IF(B104="","","ELEC-"&amp;TEXT(ROW()-4,"0000"))</x:f>
      </x:c>
      <x:c r="B104" s="76"/>
      <x:c r="C104" s="76"/>
      <x:c r="D104" s="76"/>
      <x:c r="E104" s="76"/>
      <x:c r="F104" s="81"/>
      <x:c r="G104" s="82"/>
      <x:c r="H104" s="77" t="str">
        <x:f>IF(OR(F104="",G104=""),"",F104*G104/1000)</x:f>
      </x:c>
      <x:c r="I104" s="76"/>
      <x:c r="J104" s="76"/>
      <x:c r="K104" s="76"/>
      <x:c r="L104" s="76"/>
      <x:c r="M104" s="78" t="str">
        <x:f>IF(B104="","",TODAY())</x:f>
      </x:c>
      <x:c r="N104" s="76"/>
      <x:c r="O104" s="76" t="str">
        <x:f>IF(B104="","",IF(OR(C104="",D104="",E104="",F104="",G104="",I104="",J104="",K104&lt;&gt;"Validé humainement"),"ALERTE: données/preuves/statut",IF(OR(AND(ISNUMBER(F104),F104&lt;0),AND(ISNUMBER(G104),G104&lt;0)),"ALERTE: valeur anormale","OK")))</x:f>
      </x:c>
      <x:c r="P104" s="76" t="str">
        <x:f>IF(B104="","",IF(K104="Validé humainement","Oui","Non"))</x:f>
      </x:c>
    </x:row>
  </x:sheetData>
  <x:mergeCells>
    <x:mergeCell ref="A1:P1"/>
    <x:mergeCell ref="A2:P2"/>
  </x:mergeCells>
  <x:conditionalFormatting sqref="O5:O104">
    <x:cfRule type="containsText" dxfId="182" priority="1" operator="containsText" text="ALERTE"/>
    <x:cfRule type="containsText" dxfId="183" priority="2" operator="containsText" text="OK"/>
    <x:cfRule type="containsText" dxfId="184" priority="3" operator="containsText" text="Validé"/>
    <x:cfRule type="containsText" dxfId="185" priority="4" operator="containsText" text="À vérifier"/>
    <x:cfRule type="containsText" dxfId="186" priority="5" operator="containsText" text="Rejeté"/>
  </x:conditionalFormatting>
  <x:conditionalFormatting sqref="K5:K104">
    <x:cfRule type="containsText" dxfId="187" priority="6" operator="containsText" text="ALERTE"/>
    <x:cfRule type="containsText" dxfId="188" priority="7" operator="containsText" text="OK"/>
    <x:cfRule type="containsText" dxfId="189" priority="8" operator="containsText" text="Validé"/>
    <x:cfRule type="containsText" dxfId="190" priority="9" operator="containsText" text="À vérifier"/>
    <x:cfRule type="containsText" dxfId="19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I5:I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K5:K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E5:E104">
      <x:formula1>"Bâtiments municipaux,Éclairage public,Marchés,Équipements sportifs,Santé,Éducation,Autre"</x:formula1>
    </x:dataValidation>
  </x:dataValidations>
  <x:pageMargins left="0.7" right="0.7" top="0.75" bottom="0.75" header="0.3" footer="0.3"/>
  <x:tableParts count="1">
    <x:tablePart xmlns:r="http://schemas.openxmlformats.org/officeDocument/2006/relationships" r:id="R9056d4177e0543c7"/>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7.5" hidden="0" customWidth="1"/>
    <x:col min="7" max="7" width="17.5" hidden="0" customWidth="1"/>
    <x:col min="8" max="8" width="18.1299991607666" hidden="0" customWidth="1"/>
    <x:col min="9" max="9" width="20.6299991607666" hidden="0" customWidth="1"/>
    <x:col min="10" max="10" width="11.880000114440918" hidden="0" customWidth="1"/>
    <x:col min="11" max="11" width="22.5" hidden="0" customWidth="1"/>
    <x:col min="12" max="12" width="26.25" hidden="0" customWidth="1"/>
    <x:col min="13" max="13" width="18.1299991607666" hidden="0" customWidth="1"/>
    <x:col min="14" max="14" width="31.25" hidden="0" customWidth="1"/>
    <x:col min="15" max="15" width="20" hidden="0" customWidth="1"/>
    <x:col min="16" max="16" width="15" hidden="0" customWidth="1"/>
    <x:col min="17" max="17" width="18.75" hidden="0" customWidth="1"/>
    <x:col min="18" max="18" width="23.75" hidden="0" customWidth="1"/>
    <x:col min="19" max="19" width="15" hidden="0" customWidth="1"/>
  </x:cols>
  <x:sheetData>
    <x:row r="1" ht="25.5" customHeight="1">
      <x:c r="A1" s="68" t="str">
        <x:v>Formulaire déchets</x:v>
      </x:c>
      <x:c r="B1" s="68"/>
      <x:c r="C1" s="68"/>
      <x:c r="D1" s="68"/>
      <x:c r="E1" s="68"/>
      <x:c r="F1" s="68"/>
      <x:c r="G1" s="68"/>
      <x:c r="H1" s="68"/>
      <x:c r="I1" s="68"/>
      <x:c r="J1" s="68"/>
      <x:c r="K1" s="68"/>
      <x:c r="L1" s="68"/>
      <x:c r="M1" s="68"/>
      <x:c r="N1" s="68"/>
      <x:c r="O1" s="68"/>
      <x:c r="P1" s="68"/>
      <x:c r="Q1" s="68"/>
      <x:c r="R1" s="68"/>
      <x:c r="S1" s="68"/>
    </x:row>
    <x:row r="2" ht="33" customHeight="1">
      <x:c r="A2" s="71" t="str">
        <x:v>Saisie des flux de déchets, valorisation et estimation simplifiée des émissions liées à la mise en décharge.</x:v>
      </x:c>
      <x:c r="B2" s="71"/>
      <x:c r="C2" s="71"/>
      <x:c r="D2" s="71"/>
      <x:c r="E2" s="71"/>
      <x:c r="F2" s="71"/>
      <x:c r="G2" s="71"/>
      <x:c r="H2" s="71"/>
      <x:c r="I2" s="71"/>
      <x:c r="J2" s="71"/>
      <x:c r="K2" s="71"/>
      <x:c r="L2" s="71"/>
      <x:c r="M2" s="71"/>
      <x:c r="N2" s="71"/>
      <x:c r="O2" s="71"/>
      <x:c r="P2" s="71"/>
      <x:c r="Q2" s="71"/>
      <x:c r="R2" s="71"/>
      <x:c r="S2" s="71"/>
    </x:row>
    <x:row r="4">
      <x:c r="A4" s="74" t="str">
        <x:v>ID_Saisie</x:v>
      </x:c>
      <x:c r="B4" s="74" t="str">
        <x:v>Année</x:v>
      </x:c>
      <x:c r="C4" s="74" t="str">
        <x:v>Mois</x:v>
      </x:c>
      <x:c r="D4" s="74" t="str">
        <x:v>Zone</x:v>
      </x:c>
      <x:c r="E4" s="74" t="str">
        <x:v>Type de déchets</x:v>
      </x:c>
      <x:c r="F4" s="74" t="str">
        <x:v>Quantité collectée</x:v>
      </x:c>
      <x:c r="G4" s="74" t="str">
        <x:v>Quantité recyclée</x:v>
      </x:c>
      <x:c r="H4" s="74" t="str">
        <x:v>Quantité compostée</x:v>
      </x:c>
      <x:c r="I4" s="74" t="str">
        <x:v>Quantité mise en décharge</x:v>
      </x:c>
      <x:c r="J4" s="74" t="str">
        <x:v>Unité</x:v>
      </x:c>
      <x:c r="K4" s="74" t="str">
        <x:v>Institution source</x:v>
      </x:c>
      <x:c r="L4" s="74" t="str">
        <x:v>Document source</x:v>
      </x:c>
      <x:c r="M4" s="74" t="str">
        <x:v>Émissions estimées</x:v>
      </x:c>
      <x:c r="N4" s="74" t="str">
        <x:v>Observations</x:v>
      </x:c>
      <x:c r="O4" s="74" t="str">
        <x:v>Statut validation</x:v>
      </x:c>
      <x:c r="P4" s="74" t="str">
        <x:v>Date de saisie</x:v>
      </x:c>
      <x:c r="Q4" s="74" t="str">
        <x:v>Responsable</x:v>
      </x:c>
      <x:c r="R4" s="74" t="str">
        <x:v>Alerte_QC</x:v>
      </x:c>
      <x:c r="S4" s="74" t="str">
        <x:v>Alimente_Rapports</x:v>
      </x:c>
    </x:row>
    <x:row r="5">
      <x:c r="A5" s="76" t="str">
        <x:f>IF(B5="","","DECH-"&amp;TEXT(ROW()-4,"0000"))</x:f>
      </x:c>
      <x:c r="B5" s="76"/>
      <x:c r="C5" s="76"/>
      <x:c r="D5" s="76"/>
      <x:c r="E5" s="76"/>
      <x:c r="F5" s="77"/>
      <x:c r="G5" s="77"/>
      <x:c r="H5" s="77"/>
      <x:c r="I5" s="77"/>
      <x:c r="J5" s="76"/>
      <x:c r="K5" s="76"/>
      <x:c r="L5" s="76"/>
      <x:c r="M5" s="77" t="str">
        <x:f>IF(I5="","",I5*0.586)</x:f>
      </x:c>
      <x:c r="N5" s="76"/>
      <x:c r="O5" s="76"/>
      <x:c r="P5" s="78" t="str">
        <x:f>IF(B5="","",TODAY())</x:f>
      </x:c>
      <x:c r="Q5" s="76"/>
      <x:c r="R5" s="76" t="str">
        <x:f>IF(B5="","",IF(OR(C5="",D5="",E5="",F5="",J5="",K5="",L5="",O5&lt;&gt;"Validé humainement"),"ALERTE: données/preuves/statut",IF(OR(AND(ISNUMBER(F5),F5&lt;0),AND(ISNUMBER(G5),G5&lt;0),AND(ISNUMBER(H5),H5&lt;0),AND(ISNUMBER(I5),I5&lt;0),AND(ISNUMBER(F5),ISNUMBER(G5),ISNUMBER(H5),ISNUMBER(I5),G5+H5+I5&gt;F5)),"ALERTE: valeur anormale","OK")))</x:f>
      </x:c>
      <x:c r="S5" s="76" t="str">
        <x:f>IF(B5="","",IF(O5="Validé humainement","Oui","Non"))</x:f>
      </x:c>
    </x:row>
    <x:row r="6">
      <x:c r="A6" s="76" t="str">
        <x:f>IF(B6="","","DECH-"&amp;TEXT(ROW()-4,"0000"))</x:f>
      </x:c>
      <x:c r="B6" s="76"/>
      <x:c r="C6" s="76"/>
      <x:c r="D6" s="76"/>
      <x:c r="E6" s="76"/>
      <x:c r="F6" s="77"/>
      <x:c r="G6" s="77"/>
      <x:c r="H6" s="77"/>
      <x:c r="I6" s="77"/>
      <x:c r="J6" s="76"/>
      <x:c r="K6" s="76"/>
      <x:c r="L6" s="76"/>
      <x:c r="M6" s="77" t="str">
        <x:f>IF(I6="","",I6*0.586)</x:f>
      </x:c>
      <x:c r="N6" s="76"/>
      <x:c r="O6" s="76"/>
      <x:c r="P6" s="78" t="str">
        <x:f>IF(B6="","",TODAY())</x:f>
      </x:c>
      <x:c r="Q6" s="76"/>
      <x:c r="R6" s="76" t="str">
        <x:f>IF(B6="","",IF(OR(C6="",D6="",E6="",F6="",J6="",K6="",L6="",O6&lt;&gt;"Validé humainement"),"ALERTE: données/preuves/statut",IF(OR(AND(ISNUMBER(F6),F6&lt;0),AND(ISNUMBER(G6),G6&lt;0),AND(ISNUMBER(H6),H6&lt;0),AND(ISNUMBER(I6),I6&lt;0),AND(ISNUMBER(F6),ISNUMBER(G6),ISNUMBER(H6),ISNUMBER(I6),G6+H6+I6&gt;F6)),"ALERTE: valeur anormale","OK")))</x:f>
      </x:c>
      <x:c r="S6" s="76" t="str">
        <x:f>IF(B6="","",IF(O6="Validé humainement","Oui","Non"))</x:f>
      </x:c>
    </x:row>
    <x:row r="7">
      <x:c r="A7" s="76" t="str">
        <x:f>IF(B7="","","DECH-"&amp;TEXT(ROW()-4,"0000"))</x:f>
      </x:c>
      <x:c r="B7" s="76"/>
      <x:c r="C7" s="76"/>
      <x:c r="D7" s="76"/>
      <x:c r="E7" s="76"/>
      <x:c r="F7" s="77"/>
      <x:c r="G7" s="77"/>
      <x:c r="H7" s="77"/>
      <x:c r="I7" s="77"/>
      <x:c r="J7" s="76"/>
      <x:c r="K7" s="76"/>
      <x:c r="L7" s="76"/>
      <x:c r="M7" s="77" t="str">
        <x:f>IF(I7="","",I7*0.586)</x:f>
      </x:c>
      <x:c r="N7" s="76"/>
      <x:c r="O7" s="76"/>
      <x:c r="P7" s="78" t="str">
        <x:f>IF(B7="","",TODAY())</x:f>
      </x:c>
      <x:c r="Q7" s="76"/>
      <x:c r="R7" s="76" t="str">
        <x:f>IF(B7="","",IF(OR(C7="",D7="",E7="",F7="",J7="",K7="",L7="",O7&lt;&gt;"Validé humainement"),"ALERTE: données/preuves/statut",IF(OR(AND(ISNUMBER(F7),F7&lt;0),AND(ISNUMBER(G7),G7&lt;0),AND(ISNUMBER(H7),H7&lt;0),AND(ISNUMBER(I7),I7&lt;0),AND(ISNUMBER(F7),ISNUMBER(G7),ISNUMBER(H7),ISNUMBER(I7),G7+H7+I7&gt;F7)),"ALERTE: valeur anormale","OK")))</x:f>
      </x:c>
      <x:c r="S7" s="76" t="str">
        <x:f>IF(B7="","",IF(O7="Validé humainement","Oui","Non"))</x:f>
      </x:c>
    </x:row>
    <x:row r="8">
      <x:c r="A8" s="76" t="str">
        <x:f>IF(B8="","","DECH-"&amp;TEXT(ROW()-4,"0000"))</x:f>
      </x:c>
      <x:c r="B8" s="76"/>
      <x:c r="C8" s="76"/>
      <x:c r="D8" s="76"/>
      <x:c r="E8" s="76"/>
      <x:c r="F8" s="77"/>
      <x:c r="G8" s="77"/>
      <x:c r="H8" s="77"/>
      <x:c r="I8" s="77"/>
      <x:c r="J8" s="76"/>
      <x:c r="K8" s="76"/>
      <x:c r="L8" s="76"/>
      <x:c r="M8" s="77" t="str">
        <x:f>IF(I8="","",I8*0.586)</x:f>
      </x:c>
      <x:c r="N8" s="76"/>
      <x:c r="O8" s="76"/>
      <x:c r="P8" s="78" t="str">
        <x:f>IF(B8="","",TODAY())</x:f>
      </x:c>
      <x:c r="Q8" s="76"/>
      <x:c r="R8" s="76" t="str">
        <x:f>IF(B8="","",IF(OR(C8="",D8="",E8="",F8="",J8="",K8="",L8="",O8&lt;&gt;"Validé humainement"),"ALERTE: données/preuves/statut",IF(OR(AND(ISNUMBER(F8),F8&lt;0),AND(ISNUMBER(G8),G8&lt;0),AND(ISNUMBER(H8),H8&lt;0),AND(ISNUMBER(I8),I8&lt;0),AND(ISNUMBER(F8),ISNUMBER(G8),ISNUMBER(H8),ISNUMBER(I8),G8+H8+I8&gt;F8)),"ALERTE: valeur anormale","OK")))</x:f>
      </x:c>
      <x:c r="S8" s="76" t="str">
        <x:f>IF(B8="","",IF(O8="Validé humainement","Oui","Non"))</x:f>
      </x:c>
    </x:row>
    <x:row r="9">
      <x:c r="A9" s="76" t="str">
        <x:f>IF(B9="","","DECH-"&amp;TEXT(ROW()-4,"0000"))</x:f>
      </x:c>
      <x:c r="B9" s="76"/>
      <x:c r="C9" s="76"/>
      <x:c r="D9" s="76"/>
      <x:c r="E9" s="76"/>
      <x:c r="F9" s="77"/>
      <x:c r="G9" s="77"/>
      <x:c r="H9" s="77"/>
      <x:c r="I9" s="77"/>
      <x:c r="J9" s="76"/>
      <x:c r="K9" s="76"/>
      <x:c r="L9" s="76"/>
      <x:c r="M9" s="77" t="str">
        <x:f>IF(I9="","",I9*0.586)</x:f>
      </x:c>
      <x:c r="N9" s="76"/>
      <x:c r="O9" s="76"/>
      <x:c r="P9" s="78" t="str">
        <x:f>IF(B9="","",TODAY())</x:f>
      </x:c>
      <x:c r="Q9" s="76"/>
      <x:c r="R9" s="76" t="str">
        <x:f>IF(B9="","",IF(OR(C9="",D9="",E9="",F9="",J9="",K9="",L9="",O9&lt;&gt;"Validé humainement"),"ALERTE: données/preuves/statut",IF(OR(AND(ISNUMBER(F9),F9&lt;0),AND(ISNUMBER(G9),G9&lt;0),AND(ISNUMBER(H9),H9&lt;0),AND(ISNUMBER(I9),I9&lt;0),AND(ISNUMBER(F9),ISNUMBER(G9),ISNUMBER(H9),ISNUMBER(I9),G9+H9+I9&gt;F9)),"ALERTE: valeur anormale","OK")))</x:f>
      </x:c>
      <x:c r="S9" s="76" t="str">
        <x:f>IF(B9="","",IF(O9="Validé humainement","Oui","Non"))</x:f>
      </x:c>
    </x:row>
    <x:row r="10">
      <x:c r="A10" s="76" t="str">
        <x:f>IF(B10="","","DECH-"&amp;TEXT(ROW()-4,"0000"))</x:f>
      </x:c>
      <x:c r="B10" s="76"/>
      <x:c r="C10" s="76"/>
      <x:c r="D10" s="76"/>
      <x:c r="E10" s="76"/>
      <x:c r="F10" s="77"/>
      <x:c r="G10" s="77"/>
      <x:c r="H10" s="77"/>
      <x:c r="I10" s="77"/>
      <x:c r="J10" s="76"/>
      <x:c r="K10" s="76"/>
      <x:c r="L10" s="76"/>
      <x:c r="M10" s="77" t="str">
        <x:f>IF(I10="","",I10*0.586)</x:f>
      </x:c>
      <x:c r="N10" s="76"/>
      <x:c r="O10" s="76"/>
      <x:c r="P10" s="78" t="str">
        <x:f>IF(B10="","",TODAY())</x:f>
      </x:c>
      <x:c r="Q10" s="76"/>
      <x:c r="R10" s="76" t="str">
        <x:f>IF(B10="","",IF(OR(C10="",D10="",E10="",F10="",J10="",K10="",L10="",O10&lt;&gt;"Validé humainement"),"ALERTE: données/preuves/statut",IF(OR(AND(ISNUMBER(F10),F10&lt;0),AND(ISNUMBER(G10),G10&lt;0),AND(ISNUMBER(H10),H10&lt;0),AND(ISNUMBER(I10),I10&lt;0),AND(ISNUMBER(F10),ISNUMBER(G10),ISNUMBER(H10),ISNUMBER(I10),G10+H10+I10&gt;F10)),"ALERTE: valeur anormale","OK")))</x:f>
      </x:c>
      <x:c r="S10" s="76" t="str">
        <x:f>IF(B10="","",IF(O10="Validé humainement","Oui","Non"))</x:f>
      </x:c>
    </x:row>
    <x:row r="11">
      <x:c r="A11" s="76" t="str">
        <x:f>IF(B11="","","DECH-"&amp;TEXT(ROW()-4,"0000"))</x:f>
      </x:c>
      <x:c r="B11" s="76"/>
      <x:c r="C11" s="76"/>
      <x:c r="D11" s="76"/>
      <x:c r="E11" s="76"/>
      <x:c r="F11" s="77"/>
      <x:c r="G11" s="77"/>
      <x:c r="H11" s="77"/>
      <x:c r="I11" s="77"/>
      <x:c r="J11" s="76"/>
      <x:c r="K11" s="76"/>
      <x:c r="L11" s="76"/>
      <x:c r="M11" s="77" t="str">
        <x:f>IF(I11="","",I11*0.586)</x:f>
      </x:c>
      <x:c r="N11" s="76"/>
      <x:c r="O11" s="76"/>
      <x:c r="P11" s="78" t="str">
        <x:f>IF(B11="","",TODAY())</x:f>
      </x:c>
      <x:c r="Q11" s="76"/>
      <x:c r="R11" s="76" t="str">
        <x:f>IF(B11="","",IF(OR(C11="",D11="",E11="",F11="",J11="",K11="",L11="",O11&lt;&gt;"Validé humainement"),"ALERTE: données/preuves/statut",IF(OR(AND(ISNUMBER(F11),F11&lt;0),AND(ISNUMBER(G11),G11&lt;0),AND(ISNUMBER(H11),H11&lt;0),AND(ISNUMBER(I11),I11&lt;0),AND(ISNUMBER(F11),ISNUMBER(G11),ISNUMBER(H11),ISNUMBER(I11),G11+H11+I11&gt;F11)),"ALERTE: valeur anormale","OK")))</x:f>
      </x:c>
      <x:c r="S11" s="76" t="str">
        <x:f>IF(B11="","",IF(O11="Validé humainement","Oui","Non"))</x:f>
      </x:c>
    </x:row>
    <x:row r="12">
      <x:c r="A12" s="76" t="str">
        <x:f>IF(B12="","","DECH-"&amp;TEXT(ROW()-4,"0000"))</x:f>
      </x:c>
      <x:c r="B12" s="76"/>
      <x:c r="C12" s="76"/>
      <x:c r="D12" s="76"/>
      <x:c r="E12" s="76"/>
      <x:c r="F12" s="77"/>
      <x:c r="G12" s="77"/>
      <x:c r="H12" s="77"/>
      <x:c r="I12" s="77"/>
      <x:c r="J12" s="76"/>
      <x:c r="K12" s="76"/>
      <x:c r="L12" s="76"/>
      <x:c r="M12" s="77" t="str">
        <x:f>IF(I12="","",I12*0.586)</x:f>
      </x:c>
      <x:c r="N12" s="76"/>
      <x:c r="O12" s="76"/>
      <x:c r="P12" s="78" t="str">
        <x:f>IF(B12="","",TODAY())</x:f>
      </x:c>
      <x:c r="Q12" s="76"/>
      <x:c r="R12" s="76" t="str">
        <x:f>IF(B12="","",IF(OR(C12="",D12="",E12="",F12="",J12="",K12="",L12="",O12&lt;&gt;"Validé humainement"),"ALERTE: données/preuves/statut",IF(OR(AND(ISNUMBER(F12),F12&lt;0),AND(ISNUMBER(G12),G12&lt;0),AND(ISNUMBER(H12),H12&lt;0),AND(ISNUMBER(I12),I12&lt;0),AND(ISNUMBER(F12),ISNUMBER(G12),ISNUMBER(H12),ISNUMBER(I12),G12+H12+I12&gt;F12)),"ALERTE: valeur anormale","OK")))</x:f>
      </x:c>
      <x:c r="S12" s="76" t="str">
        <x:f>IF(B12="","",IF(O12="Validé humainement","Oui","Non"))</x:f>
      </x:c>
    </x:row>
    <x:row r="13">
      <x:c r="A13" s="76" t="str">
        <x:f>IF(B13="","","DECH-"&amp;TEXT(ROW()-4,"0000"))</x:f>
      </x:c>
      <x:c r="B13" s="76"/>
      <x:c r="C13" s="76"/>
      <x:c r="D13" s="76"/>
      <x:c r="E13" s="76"/>
      <x:c r="F13" s="77"/>
      <x:c r="G13" s="77"/>
      <x:c r="H13" s="77"/>
      <x:c r="I13" s="77"/>
      <x:c r="J13" s="76"/>
      <x:c r="K13" s="76"/>
      <x:c r="L13" s="76"/>
      <x:c r="M13" s="77" t="str">
        <x:f>IF(I13="","",I13*0.586)</x:f>
      </x:c>
      <x:c r="N13" s="76"/>
      <x:c r="O13" s="76"/>
      <x:c r="P13" s="78" t="str">
        <x:f>IF(B13="","",TODAY())</x:f>
      </x:c>
      <x:c r="Q13" s="76"/>
      <x:c r="R13" s="76" t="str">
        <x:f>IF(B13="","",IF(OR(C13="",D13="",E13="",F13="",J13="",K13="",L13="",O13&lt;&gt;"Validé humainement"),"ALERTE: données/preuves/statut",IF(OR(AND(ISNUMBER(F13),F13&lt;0),AND(ISNUMBER(G13),G13&lt;0),AND(ISNUMBER(H13),H13&lt;0),AND(ISNUMBER(I13),I13&lt;0),AND(ISNUMBER(F13),ISNUMBER(G13),ISNUMBER(H13),ISNUMBER(I13),G13+H13+I13&gt;F13)),"ALERTE: valeur anormale","OK")))</x:f>
      </x:c>
      <x:c r="S13" s="76" t="str">
        <x:f>IF(B13="","",IF(O13="Validé humainement","Oui","Non"))</x:f>
      </x:c>
    </x:row>
    <x:row r="14">
      <x:c r="A14" s="76" t="str">
        <x:f>IF(B14="","","DECH-"&amp;TEXT(ROW()-4,"0000"))</x:f>
      </x:c>
      <x:c r="B14" s="76"/>
      <x:c r="C14" s="76"/>
      <x:c r="D14" s="76"/>
      <x:c r="E14" s="76"/>
      <x:c r="F14" s="77"/>
      <x:c r="G14" s="77"/>
      <x:c r="H14" s="77"/>
      <x:c r="I14" s="77"/>
      <x:c r="J14" s="76"/>
      <x:c r="K14" s="76"/>
      <x:c r="L14" s="76"/>
      <x:c r="M14" s="77" t="str">
        <x:f>IF(I14="","",I14*0.586)</x:f>
      </x:c>
      <x:c r="N14" s="76"/>
      <x:c r="O14" s="76"/>
      <x:c r="P14" s="78" t="str">
        <x:f>IF(B14="","",TODAY())</x:f>
      </x:c>
      <x:c r="Q14" s="76"/>
      <x:c r="R14" s="76" t="str">
        <x:f>IF(B14="","",IF(OR(C14="",D14="",E14="",F14="",J14="",K14="",L14="",O14&lt;&gt;"Validé humainement"),"ALERTE: données/preuves/statut",IF(OR(AND(ISNUMBER(F14),F14&lt;0),AND(ISNUMBER(G14),G14&lt;0),AND(ISNUMBER(H14),H14&lt;0),AND(ISNUMBER(I14),I14&lt;0),AND(ISNUMBER(F14),ISNUMBER(G14),ISNUMBER(H14),ISNUMBER(I14),G14+H14+I14&gt;F14)),"ALERTE: valeur anormale","OK")))</x:f>
      </x:c>
      <x:c r="S14" s="76" t="str">
        <x:f>IF(B14="","",IF(O14="Validé humainement","Oui","Non"))</x:f>
      </x:c>
    </x:row>
    <x:row r="15">
      <x:c r="A15" s="76" t="str">
        <x:f>IF(B15="","","DECH-"&amp;TEXT(ROW()-4,"0000"))</x:f>
      </x:c>
      <x:c r="B15" s="76"/>
      <x:c r="C15" s="76"/>
      <x:c r="D15" s="76"/>
      <x:c r="E15" s="76"/>
      <x:c r="F15" s="77"/>
      <x:c r="G15" s="77"/>
      <x:c r="H15" s="77"/>
      <x:c r="I15" s="77"/>
      <x:c r="J15" s="76"/>
      <x:c r="K15" s="76"/>
      <x:c r="L15" s="76"/>
      <x:c r="M15" s="77" t="str">
        <x:f>IF(I15="","",I15*0.586)</x:f>
      </x:c>
      <x:c r="N15" s="76"/>
      <x:c r="O15" s="76"/>
      <x:c r="P15" s="78" t="str">
        <x:f>IF(B15="","",TODAY())</x:f>
      </x:c>
      <x:c r="Q15" s="76"/>
      <x:c r="R15" s="76" t="str">
        <x:f>IF(B15="","",IF(OR(C15="",D15="",E15="",F15="",J15="",K15="",L15="",O15&lt;&gt;"Validé humainement"),"ALERTE: données/preuves/statut",IF(OR(AND(ISNUMBER(F15),F15&lt;0),AND(ISNUMBER(G15),G15&lt;0),AND(ISNUMBER(H15),H15&lt;0),AND(ISNUMBER(I15),I15&lt;0),AND(ISNUMBER(F15),ISNUMBER(G15),ISNUMBER(H15),ISNUMBER(I15),G15+H15+I15&gt;F15)),"ALERTE: valeur anormale","OK")))</x:f>
      </x:c>
      <x:c r="S15" s="76" t="str">
        <x:f>IF(B15="","",IF(O15="Validé humainement","Oui","Non"))</x:f>
      </x:c>
    </x:row>
    <x:row r="16">
      <x:c r="A16" s="76" t="str">
        <x:f>IF(B16="","","DECH-"&amp;TEXT(ROW()-4,"0000"))</x:f>
      </x:c>
      <x:c r="B16" s="76"/>
      <x:c r="C16" s="76"/>
      <x:c r="D16" s="76"/>
      <x:c r="E16" s="76"/>
      <x:c r="F16" s="77"/>
      <x:c r="G16" s="77"/>
      <x:c r="H16" s="77"/>
      <x:c r="I16" s="77"/>
      <x:c r="J16" s="76"/>
      <x:c r="K16" s="76"/>
      <x:c r="L16" s="76"/>
      <x:c r="M16" s="77" t="str">
        <x:f>IF(I16="","",I16*0.586)</x:f>
      </x:c>
      <x:c r="N16" s="76"/>
      <x:c r="O16" s="76"/>
      <x:c r="P16" s="78" t="str">
        <x:f>IF(B16="","",TODAY())</x:f>
      </x:c>
      <x:c r="Q16" s="76"/>
      <x:c r="R16" s="76" t="str">
        <x:f>IF(B16="","",IF(OR(C16="",D16="",E16="",F16="",J16="",K16="",L16="",O16&lt;&gt;"Validé humainement"),"ALERTE: données/preuves/statut",IF(OR(AND(ISNUMBER(F16),F16&lt;0),AND(ISNUMBER(G16),G16&lt;0),AND(ISNUMBER(H16),H16&lt;0),AND(ISNUMBER(I16),I16&lt;0),AND(ISNUMBER(F16),ISNUMBER(G16),ISNUMBER(H16),ISNUMBER(I16),G16+H16+I16&gt;F16)),"ALERTE: valeur anormale","OK")))</x:f>
      </x:c>
      <x:c r="S16" s="76" t="str">
        <x:f>IF(B16="","",IF(O16="Validé humainement","Oui","Non"))</x:f>
      </x:c>
    </x:row>
    <x:row r="17">
      <x:c r="A17" s="76" t="str">
        <x:f>IF(B17="","","DECH-"&amp;TEXT(ROW()-4,"0000"))</x:f>
      </x:c>
      <x:c r="B17" s="76"/>
      <x:c r="C17" s="76"/>
      <x:c r="D17" s="76"/>
      <x:c r="E17" s="76"/>
      <x:c r="F17" s="77"/>
      <x:c r="G17" s="77"/>
      <x:c r="H17" s="77"/>
      <x:c r="I17" s="77"/>
      <x:c r="J17" s="76"/>
      <x:c r="K17" s="76"/>
      <x:c r="L17" s="76"/>
      <x:c r="M17" s="77" t="str">
        <x:f>IF(I17="","",I17*0.586)</x:f>
      </x:c>
      <x:c r="N17" s="76"/>
      <x:c r="O17" s="76"/>
      <x:c r="P17" s="78" t="str">
        <x:f>IF(B17="","",TODAY())</x:f>
      </x:c>
      <x:c r="Q17" s="76"/>
      <x:c r="R17" s="76" t="str">
        <x:f>IF(B17="","",IF(OR(C17="",D17="",E17="",F17="",J17="",K17="",L17="",O17&lt;&gt;"Validé humainement"),"ALERTE: données/preuves/statut",IF(OR(AND(ISNUMBER(F17),F17&lt;0),AND(ISNUMBER(G17),G17&lt;0),AND(ISNUMBER(H17),H17&lt;0),AND(ISNUMBER(I17),I17&lt;0),AND(ISNUMBER(F17),ISNUMBER(G17),ISNUMBER(H17),ISNUMBER(I17),G17+H17+I17&gt;F17)),"ALERTE: valeur anormale","OK")))</x:f>
      </x:c>
      <x:c r="S17" s="76" t="str">
        <x:f>IF(B17="","",IF(O17="Validé humainement","Oui","Non"))</x:f>
      </x:c>
    </x:row>
    <x:row r="18">
      <x:c r="A18" s="76" t="str">
        <x:f>IF(B18="","","DECH-"&amp;TEXT(ROW()-4,"0000"))</x:f>
      </x:c>
      <x:c r="B18" s="76"/>
      <x:c r="C18" s="76"/>
      <x:c r="D18" s="76"/>
      <x:c r="E18" s="76"/>
      <x:c r="F18" s="77"/>
      <x:c r="G18" s="77"/>
      <x:c r="H18" s="77"/>
      <x:c r="I18" s="77"/>
      <x:c r="J18" s="76"/>
      <x:c r="K18" s="76"/>
      <x:c r="L18" s="76"/>
      <x:c r="M18" s="77" t="str">
        <x:f>IF(I18="","",I18*0.586)</x:f>
      </x:c>
      <x:c r="N18" s="76"/>
      <x:c r="O18" s="76"/>
      <x:c r="P18" s="78" t="str">
        <x:f>IF(B18="","",TODAY())</x:f>
      </x:c>
      <x:c r="Q18" s="76"/>
      <x:c r="R18" s="76" t="str">
        <x:f>IF(B18="","",IF(OR(C18="",D18="",E18="",F18="",J18="",K18="",L18="",O18&lt;&gt;"Validé humainement"),"ALERTE: données/preuves/statut",IF(OR(AND(ISNUMBER(F18),F18&lt;0),AND(ISNUMBER(G18),G18&lt;0),AND(ISNUMBER(H18),H18&lt;0),AND(ISNUMBER(I18),I18&lt;0),AND(ISNUMBER(F18),ISNUMBER(G18),ISNUMBER(H18),ISNUMBER(I18),G18+H18+I18&gt;F18)),"ALERTE: valeur anormale","OK")))</x:f>
      </x:c>
      <x:c r="S18" s="76" t="str">
        <x:f>IF(B18="","",IF(O18="Validé humainement","Oui","Non"))</x:f>
      </x:c>
    </x:row>
    <x:row r="19">
      <x:c r="A19" s="76" t="str">
        <x:f>IF(B19="","","DECH-"&amp;TEXT(ROW()-4,"0000"))</x:f>
      </x:c>
      <x:c r="B19" s="76"/>
      <x:c r="C19" s="76"/>
      <x:c r="D19" s="76"/>
      <x:c r="E19" s="76"/>
      <x:c r="F19" s="77"/>
      <x:c r="G19" s="77"/>
      <x:c r="H19" s="77"/>
      <x:c r="I19" s="77"/>
      <x:c r="J19" s="76"/>
      <x:c r="K19" s="76"/>
      <x:c r="L19" s="76"/>
      <x:c r="M19" s="77" t="str">
        <x:f>IF(I19="","",I19*0.586)</x:f>
      </x:c>
      <x:c r="N19" s="76"/>
      <x:c r="O19" s="76"/>
      <x:c r="P19" s="78" t="str">
        <x:f>IF(B19="","",TODAY())</x:f>
      </x:c>
      <x:c r="Q19" s="76"/>
      <x:c r="R19" s="76" t="str">
        <x:f>IF(B19="","",IF(OR(C19="",D19="",E19="",F19="",J19="",K19="",L19="",O19&lt;&gt;"Validé humainement"),"ALERTE: données/preuves/statut",IF(OR(AND(ISNUMBER(F19),F19&lt;0),AND(ISNUMBER(G19),G19&lt;0),AND(ISNUMBER(H19),H19&lt;0),AND(ISNUMBER(I19),I19&lt;0),AND(ISNUMBER(F19),ISNUMBER(G19),ISNUMBER(H19),ISNUMBER(I19),G19+H19+I19&gt;F19)),"ALERTE: valeur anormale","OK")))</x:f>
      </x:c>
      <x:c r="S19" s="76" t="str">
        <x:f>IF(B19="","",IF(O19="Validé humainement","Oui","Non"))</x:f>
      </x:c>
    </x:row>
    <x:row r="20">
      <x:c r="A20" s="76" t="str">
        <x:f>IF(B20="","","DECH-"&amp;TEXT(ROW()-4,"0000"))</x:f>
      </x:c>
      <x:c r="B20" s="76"/>
      <x:c r="C20" s="76"/>
      <x:c r="D20" s="76"/>
      <x:c r="E20" s="76"/>
      <x:c r="F20" s="77"/>
      <x:c r="G20" s="77"/>
      <x:c r="H20" s="77"/>
      <x:c r="I20" s="77"/>
      <x:c r="J20" s="76"/>
      <x:c r="K20" s="76"/>
      <x:c r="L20" s="76"/>
      <x:c r="M20" s="77" t="str">
        <x:f>IF(I20="","",I20*0.586)</x:f>
      </x:c>
      <x:c r="N20" s="76"/>
      <x:c r="O20" s="76"/>
      <x:c r="P20" s="78" t="str">
        <x:f>IF(B20="","",TODAY())</x:f>
      </x:c>
      <x:c r="Q20" s="76"/>
      <x:c r="R20" s="76" t="str">
        <x:f>IF(B20="","",IF(OR(C20="",D20="",E20="",F20="",J20="",K20="",L20="",O20&lt;&gt;"Validé humainement"),"ALERTE: données/preuves/statut",IF(OR(AND(ISNUMBER(F20),F20&lt;0),AND(ISNUMBER(G20),G20&lt;0),AND(ISNUMBER(H20),H20&lt;0),AND(ISNUMBER(I20),I20&lt;0),AND(ISNUMBER(F20),ISNUMBER(G20),ISNUMBER(H20),ISNUMBER(I20),G20+H20+I20&gt;F20)),"ALERTE: valeur anormale","OK")))</x:f>
      </x:c>
      <x:c r="S20" s="76" t="str">
        <x:f>IF(B20="","",IF(O20="Validé humainement","Oui","Non"))</x:f>
      </x:c>
    </x:row>
    <x:row r="21">
      <x:c r="A21" s="76" t="str">
        <x:f>IF(B21="","","DECH-"&amp;TEXT(ROW()-4,"0000"))</x:f>
      </x:c>
      <x:c r="B21" s="76"/>
      <x:c r="C21" s="76"/>
      <x:c r="D21" s="76"/>
      <x:c r="E21" s="76"/>
      <x:c r="F21" s="77"/>
      <x:c r="G21" s="77"/>
      <x:c r="H21" s="77"/>
      <x:c r="I21" s="77"/>
      <x:c r="J21" s="76"/>
      <x:c r="K21" s="76"/>
      <x:c r="L21" s="76"/>
      <x:c r="M21" s="77" t="str">
        <x:f>IF(I21="","",I21*0.586)</x:f>
      </x:c>
      <x:c r="N21" s="76"/>
      <x:c r="O21" s="76"/>
      <x:c r="P21" s="78" t="str">
        <x:f>IF(B21="","",TODAY())</x:f>
      </x:c>
      <x:c r="Q21" s="76"/>
      <x:c r="R21" s="76" t="str">
        <x:f>IF(B21="","",IF(OR(C21="",D21="",E21="",F21="",J21="",K21="",L21="",O21&lt;&gt;"Validé humainement"),"ALERTE: données/preuves/statut",IF(OR(AND(ISNUMBER(F21),F21&lt;0),AND(ISNUMBER(G21),G21&lt;0),AND(ISNUMBER(H21),H21&lt;0),AND(ISNUMBER(I21),I21&lt;0),AND(ISNUMBER(F21),ISNUMBER(G21),ISNUMBER(H21),ISNUMBER(I21),G21+H21+I21&gt;F21)),"ALERTE: valeur anormale","OK")))</x:f>
      </x:c>
      <x:c r="S21" s="76" t="str">
        <x:f>IF(B21="","",IF(O21="Validé humainement","Oui","Non"))</x:f>
      </x:c>
    </x:row>
    <x:row r="22">
      <x:c r="A22" s="76" t="str">
        <x:f>IF(B22="","","DECH-"&amp;TEXT(ROW()-4,"0000"))</x:f>
      </x:c>
      <x:c r="B22" s="76"/>
      <x:c r="C22" s="76"/>
      <x:c r="D22" s="76"/>
      <x:c r="E22" s="76"/>
      <x:c r="F22" s="77"/>
      <x:c r="G22" s="77"/>
      <x:c r="H22" s="77"/>
      <x:c r="I22" s="77"/>
      <x:c r="J22" s="76"/>
      <x:c r="K22" s="76"/>
      <x:c r="L22" s="76"/>
      <x:c r="M22" s="77" t="str">
        <x:f>IF(I22="","",I22*0.586)</x:f>
      </x:c>
      <x:c r="N22" s="76"/>
      <x:c r="O22" s="76"/>
      <x:c r="P22" s="78" t="str">
        <x:f>IF(B22="","",TODAY())</x:f>
      </x:c>
      <x:c r="Q22" s="76"/>
      <x:c r="R22" s="76" t="str">
        <x:f>IF(B22="","",IF(OR(C22="",D22="",E22="",F22="",J22="",K22="",L22="",O22&lt;&gt;"Validé humainement"),"ALERTE: données/preuves/statut",IF(OR(AND(ISNUMBER(F22),F22&lt;0),AND(ISNUMBER(G22),G22&lt;0),AND(ISNUMBER(H22),H22&lt;0),AND(ISNUMBER(I22),I22&lt;0),AND(ISNUMBER(F22),ISNUMBER(G22),ISNUMBER(H22),ISNUMBER(I22),G22+H22+I22&gt;F22)),"ALERTE: valeur anormale","OK")))</x:f>
      </x:c>
      <x:c r="S22" s="76" t="str">
        <x:f>IF(B22="","",IF(O22="Validé humainement","Oui","Non"))</x:f>
      </x:c>
    </x:row>
    <x:row r="23">
      <x:c r="A23" s="76" t="str">
        <x:f>IF(B23="","","DECH-"&amp;TEXT(ROW()-4,"0000"))</x:f>
      </x:c>
      <x:c r="B23" s="76"/>
      <x:c r="C23" s="76"/>
      <x:c r="D23" s="76"/>
      <x:c r="E23" s="76"/>
      <x:c r="F23" s="77"/>
      <x:c r="G23" s="77"/>
      <x:c r="H23" s="77"/>
      <x:c r="I23" s="77"/>
      <x:c r="J23" s="76"/>
      <x:c r="K23" s="76"/>
      <x:c r="L23" s="76"/>
      <x:c r="M23" s="77" t="str">
        <x:f>IF(I23="","",I23*0.586)</x:f>
      </x:c>
      <x:c r="N23" s="76"/>
      <x:c r="O23" s="76"/>
      <x:c r="P23" s="78" t="str">
        <x:f>IF(B23="","",TODAY())</x:f>
      </x:c>
      <x:c r="Q23" s="76"/>
      <x:c r="R23" s="76" t="str">
        <x:f>IF(B23="","",IF(OR(C23="",D23="",E23="",F23="",J23="",K23="",L23="",O23&lt;&gt;"Validé humainement"),"ALERTE: données/preuves/statut",IF(OR(AND(ISNUMBER(F23),F23&lt;0),AND(ISNUMBER(G23),G23&lt;0),AND(ISNUMBER(H23),H23&lt;0),AND(ISNUMBER(I23),I23&lt;0),AND(ISNUMBER(F23),ISNUMBER(G23),ISNUMBER(H23),ISNUMBER(I23),G23+H23+I23&gt;F23)),"ALERTE: valeur anormale","OK")))</x:f>
      </x:c>
      <x:c r="S23" s="76" t="str">
        <x:f>IF(B23="","",IF(O23="Validé humainement","Oui","Non"))</x:f>
      </x:c>
    </x:row>
    <x:row r="24">
      <x:c r="A24" s="76" t="str">
        <x:f>IF(B24="","","DECH-"&amp;TEXT(ROW()-4,"0000"))</x:f>
      </x:c>
      <x:c r="B24" s="76"/>
      <x:c r="C24" s="76"/>
      <x:c r="D24" s="76"/>
      <x:c r="E24" s="76"/>
      <x:c r="F24" s="77"/>
      <x:c r="G24" s="77"/>
      <x:c r="H24" s="77"/>
      <x:c r="I24" s="77"/>
      <x:c r="J24" s="76"/>
      <x:c r="K24" s="76"/>
      <x:c r="L24" s="76"/>
      <x:c r="M24" s="77" t="str">
        <x:f>IF(I24="","",I24*0.586)</x:f>
      </x:c>
      <x:c r="N24" s="76"/>
      <x:c r="O24" s="76"/>
      <x:c r="P24" s="78" t="str">
        <x:f>IF(B24="","",TODAY())</x:f>
      </x:c>
      <x:c r="Q24" s="76"/>
      <x:c r="R24" s="76" t="str">
        <x:f>IF(B24="","",IF(OR(C24="",D24="",E24="",F24="",J24="",K24="",L24="",O24&lt;&gt;"Validé humainement"),"ALERTE: données/preuves/statut",IF(OR(AND(ISNUMBER(F24),F24&lt;0),AND(ISNUMBER(G24),G24&lt;0),AND(ISNUMBER(H24),H24&lt;0),AND(ISNUMBER(I24),I24&lt;0),AND(ISNUMBER(F24),ISNUMBER(G24),ISNUMBER(H24),ISNUMBER(I24),G24+H24+I24&gt;F24)),"ALERTE: valeur anormale","OK")))</x:f>
      </x:c>
      <x:c r="S24" s="76" t="str">
        <x:f>IF(B24="","",IF(O24="Validé humainement","Oui","Non"))</x:f>
      </x:c>
    </x:row>
    <x:row r="25">
      <x:c r="A25" s="76" t="str">
        <x:f>IF(B25="","","DECH-"&amp;TEXT(ROW()-4,"0000"))</x:f>
      </x:c>
      <x:c r="B25" s="76"/>
      <x:c r="C25" s="76"/>
      <x:c r="D25" s="76"/>
      <x:c r="E25" s="76"/>
      <x:c r="F25" s="77"/>
      <x:c r="G25" s="77"/>
      <x:c r="H25" s="77"/>
      <x:c r="I25" s="77"/>
      <x:c r="J25" s="76"/>
      <x:c r="K25" s="76"/>
      <x:c r="L25" s="76"/>
      <x:c r="M25" s="77" t="str">
        <x:f>IF(I25="","",I25*0.586)</x:f>
      </x:c>
      <x:c r="N25" s="76"/>
      <x:c r="O25" s="76"/>
      <x:c r="P25" s="78" t="str">
        <x:f>IF(B25="","",TODAY())</x:f>
      </x:c>
      <x:c r="Q25" s="76"/>
      <x:c r="R25" s="76" t="str">
        <x:f>IF(B25="","",IF(OR(C25="",D25="",E25="",F25="",J25="",K25="",L25="",O25&lt;&gt;"Validé humainement"),"ALERTE: données/preuves/statut",IF(OR(AND(ISNUMBER(F25),F25&lt;0),AND(ISNUMBER(G25),G25&lt;0),AND(ISNUMBER(H25),H25&lt;0),AND(ISNUMBER(I25),I25&lt;0),AND(ISNUMBER(F25),ISNUMBER(G25),ISNUMBER(H25),ISNUMBER(I25),G25+H25+I25&gt;F25)),"ALERTE: valeur anormale","OK")))</x:f>
      </x:c>
      <x:c r="S25" s="76" t="str">
        <x:f>IF(B25="","",IF(O25="Validé humainement","Oui","Non"))</x:f>
      </x:c>
    </x:row>
    <x:row r="26">
      <x:c r="A26" s="76" t="str">
        <x:f>IF(B26="","","DECH-"&amp;TEXT(ROW()-4,"0000"))</x:f>
      </x:c>
      <x:c r="B26" s="76"/>
      <x:c r="C26" s="76"/>
      <x:c r="D26" s="76"/>
      <x:c r="E26" s="76"/>
      <x:c r="F26" s="77"/>
      <x:c r="G26" s="77"/>
      <x:c r="H26" s="77"/>
      <x:c r="I26" s="77"/>
      <x:c r="J26" s="76"/>
      <x:c r="K26" s="76"/>
      <x:c r="L26" s="76"/>
      <x:c r="M26" s="77" t="str">
        <x:f>IF(I26="","",I26*0.586)</x:f>
      </x:c>
      <x:c r="N26" s="76"/>
      <x:c r="O26" s="76"/>
      <x:c r="P26" s="78" t="str">
        <x:f>IF(B26="","",TODAY())</x:f>
      </x:c>
      <x:c r="Q26" s="76"/>
      <x:c r="R26" s="76" t="str">
        <x:f>IF(B26="","",IF(OR(C26="",D26="",E26="",F26="",J26="",K26="",L26="",O26&lt;&gt;"Validé humainement"),"ALERTE: données/preuves/statut",IF(OR(AND(ISNUMBER(F26),F26&lt;0),AND(ISNUMBER(G26),G26&lt;0),AND(ISNUMBER(H26),H26&lt;0),AND(ISNUMBER(I26),I26&lt;0),AND(ISNUMBER(F26),ISNUMBER(G26),ISNUMBER(H26),ISNUMBER(I26),G26+H26+I26&gt;F26)),"ALERTE: valeur anormale","OK")))</x:f>
      </x:c>
      <x:c r="S26" s="76" t="str">
        <x:f>IF(B26="","",IF(O26="Validé humainement","Oui","Non"))</x:f>
      </x:c>
    </x:row>
    <x:row r="27">
      <x:c r="A27" s="76" t="str">
        <x:f>IF(B27="","","DECH-"&amp;TEXT(ROW()-4,"0000"))</x:f>
      </x:c>
      <x:c r="B27" s="76"/>
      <x:c r="C27" s="76"/>
      <x:c r="D27" s="76"/>
      <x:c r="E27" s="76"/>
      <x:c r="F27" s="77"/>
      <x:c r="G27" s="77"/>
      <x:c r="H27" s="77"/>
      <x:c r="I27" s="77"/>
      <x:c r="J27" s="76"/>
      <x:c r="K27" s="76"/>
      <x:c r="L27" s="76"/>
      <x:c r="M27" s="77" t="str">
        <x:f>IF(I27="","",I27*0.586)</x:f>
      </x:c>
      <x:c r="N27" s="76"/>
      <x:c r="O27" s="76"/>
      <x:c r="P27" s="78" t="str">
        <x:f>IF(B27="","",TODAY())</x:f>
      </x:c>
      <x:c r="Q27" s="76"/>
      <x:c r="R27" s="76" t="str">
        <x:f>IF(B27="","",IF(OR(C27="",D27="",E27="",F27="",J27="",K27="",L27="",O27&lt;&gt;"Validé humainement"),"ALERTE: données/preuves/statut",IF(OR(AND(ISNUMBER(F27),F27&lt;0),AND(ISNUMBER(G27),G27&lt;0),AND(ISNUMBER(H27),H27&lt;0),AND(ISNUMBER(I27),I27&lt;0),AND(ISNUMBER(F27),ISNUMBER(G27),ISNUMBER(H27),ISNUMBER(I27),G27+H27+I27&gt;F27)),"ALERTE: valeur anormale","OK")))</x:f>
      </x:c>
      <x:c r="S27" s="76" t="str">
        <x:f>IF(B27="","",IF(O27="Validé humainement","Oui","Non"))</x:f>
      </x:c>
    </x:row>
    <x:row r="28">
      <x:c r="A28" s="76" t="str">
        <x:f>IF(B28="","","DECH-"&amp;TEXT(ROW()-4,"0000"))</x:f>
      </x:c>
      <x:c r="B28" s="76"/>
      <x:c r="C28" s="76"/>
      <x:c r="D28" s="76"/>
      <x:c r="E28" s="76"/>
      <x:c r="F28" s="77"/>
      <x:c r="G28" s="77"/>
      <x:c r="H28" s="77"/>
      <x:c r="I28" s="77"/>
      <x:c r="J28" s="76"/>
      <x:c r="K28" s="76"/>
      <x:c r="L28" s="76"/>
      <x:c r="M28" s="77" t="str">
        <x:f>IF(I28="","",I28*0.586)</x:f>
      </x:c>
      <x:c r="N28" s="76"/>
      <x:c r="O28" s="76"/>
      <x:c r="P28" s="78" t="str">
        <x:f>IF(B28="","",TODAY())</x:f>
      </x:c>
      <x:c r="Q28" s="76"/>
      <x:c r="R28" s="76" t="str">
        <x:f>IF(B28="","",IF(OR(C28="",D28="",E28="",F28="",J28="",K28="",L28="",O28&lt;&gt;"Validé humainement"),"ALERTE: données/preuves/statut",IF(OR(AND(ISNUMBER(F28),F28&lt;0),AND(ISNUMBER(G28),G28&lt;0),AND(ISNUMBER(H28),H28&lt;0),AND(ISNUMBER(I28),I28&lt;0),AND(ISNUMBER(F28),ISNUMBER(G28),ISNUMBER(H28),ISNUMBER(I28),G28+H28+I28&gt;F28)),"ALERTE: valeur anormale","OK")))</x:f>
      </x:c>
      <x:c r="S28" s="76" t="str">
        <x:f>IF(B28="","",IF(O28="Validé humainement","Oui","Non"))</x:f>
      </x:c>
    </x:row>
    <x:row r="29">
      <x:c r="A29" s="76" t="str">
        <x:f>IF(B29="","","DECH-"&amp;TEXT(ROW()-4,"0000"))</x:f>
      </x:c>
      <x:c r="B29" s="76"/>
      <x:c r="C29" s="76"/>
      <x:c r="D29" s="76"/>
      <x:c r="E29" s="76"/>
      <x:c r="F29" s="77"/>
      <x:c r="G29" s="77"/>
      <x:c r="H29" s="77"/>
      <x:c r="I29" s="77"/>
      <x:c r="J29" s="76"/>
      <x:c r="K29" s="76"/>
      <x:c r="L29" s="76"/>
      <x:c r="M29" s="77" t="str">
        <x:f>IF(I29="","",I29*0.586)</x:f>
      </x:c>
      <x:c r="N29" s="76"/>
      <x:c r="O29" s="76"/>
      <x:c r="P29" s="78" t="str">
        <x:f>IF(B29="","",TODAY())</x:f>
      </x:c>
      <x:c r="Q29" s="76"/>
      <x:c r="R29" s="76" t="str">
        <x:f>IF(B29="","",IF(OR(C29="",D29="",E29="",F29="",J29="",K29="",L29="",O29&lt;&gt;"Validé humainement"),"ALERTE: données/preuves/statut",IF(OR(AND(ISNUMBER(F29),F29&lt;0),AND(ISNUMBER(G29),G29&lt;0),AND(ISNUMBER(H29),H29&lt;0),AND(ISNUMBER(I29),I29&lt;0),AND(ISNUMBER(F29),ISNUMBER(G29),ISNUMBER(H29),ISNUMBER(I29),G29+H29+I29&gt;F29)),"ALERTE: valeur anormale","OK")))</x:f>
      </x:c>
      <x:c r="S29" s="76" t="str">
        <x:f>IF(B29="","",IF(O29="Validé humainement","Oui","Non"))</x:f>
      </x:c>
    </x:row>
    <x:row r="30">
      <x:c r="A30" s="76" t="str">
        <x:f>IF(B30="","","DECH-"&amp;TEXT(ROW()-4,"0000"))</x:f>
      </x:c>
      <x:c r="B30" s="76"/>
      <x:c r="C30" s="76"/>
      <x:c r="D30" s="76"/>
      <x:c r="E30" s="76"/>
      <x:c r="F30" s="77"/>
      <x:c r="G30" s="77"/>
      <x:c r="H30" s="77"/>
      <x:c r="I30" s="77"/>
      <x:c r="J30" s="76"/>
      <x:c r="K30" s="76"/>
      <x:c r="L30" s="76"/>
      <x:c r="M30" s="77" t="str">
        <x:f>IF(I30="","",I30*0.586)</x:f>
      </x:c>
      <x:c r="N30" s="76"/>
      <x:c r="O30" s="76"/>
      <x:c r="P30" s="78" t="str">
        <x:f>IF(B30="","",TODAY())</x:f>
      </x:c>
      <x:c r="Q30" s="76"/>
      <x:c r="R30" s="76" t="str">
        <x:f>IF(B30="","",IF(OR(C30="",D30="",E30="",F30="",J30="",K30="",L30="",O30&lt;&gt;"Validé humainement"),"ALERTE: données/preuves/statut",IF(OR(AND(ISNUMBER(F30),F30&lt;0),AND(ISNUMBER(G30),G30&lt;0),AND(ISNUMBER(H30),H30&lt;0),AND(ISNUMBER(I30),I30&lt;0),AND(ISNUMBER(F30),ISNUMBER(G30),ISNUMBER(H30),ISNUMBER(I30),G30+H30+I30&gt;F30)),"ALERTE: valeur anormale","OK")))</x:f>
      </x:c>
      <x:c r="S30" s="76" t="str">
        <x:f>IF(B30="","",IF(O30="Validé humainement","Oui","Non"))</x:f>
      </x:c>
    </x:row>
    <x:row r="31">
      <x:c r="A31" s="76" t="str">
        <x:f>IF(B31="","","DECH-"&amp;TEXT(ROW()-4,"0000"))</x:f>
      </x:c>
      <x:c r="B31" s="76"/>
      <x:c r="C31" s="76"/>
      <x:c r="D31" s="76"/>
      <x:c r="E31" s="76"/>
      <x:c r="F31" s="77"/>
      <x:c r="G31" s="77"/>
      <x:c r="H31" s="77"/>
      <x:c r="I31" s="77"/>
      <x:c r="J31" s="76"/>
      <x:c r="K31" s="76"/>
      <x:c r="L31" s="76"/>
      <x:c r="M31" s="77" t="str">
        <x:f>IF(I31="","",I31*0.586)</x:f>
      </x:c>
      <x:c r="N31" s="76"/>
      <x:c r="O31" s="76"/>
      <x:c r="P31" s="78" t="str">
        <x:f>IF(B31="","",TODAY())</x:f>
      </x:c>
      <x:c r="Q31" s="76"/>
      <x:c r="R31" s="76" t="str">
        <x:f>IF(B31="","",IF(OR(C31="",D31="",E31="",F31="",J31="",K31="",L31="",O31&lt;&gt;"Validé humainement"),"ALERTE: données/preuves/statut",IF(OR(AND(ISNUMBER(F31),F31&lt;0),AND(ISNUMBER(G31),G31&lt;0),AND(ISNUMBER(H31),H31&lt;0),AND(ISNUMBER(I31),I31&lt;0),AND(ISNUMBER(F31),ISNUMBER(G31),ISNUMBER(H31),ISNUMBER(I31),G31+H31+I31&gt;F31)),"ALERTE: valeur anormale","OK")))</x:f>
      </x:c>
      <x:c r="S31" s="76" t="str">
        <x:f>IF(B31="","",IF(O31="Validé humainement","Oui","Non"))</x:f>
      </x:c>
    </x:row>
    <x:row r="32">
      <x:c r="A32" s="76" t="str">
        <x:f>IF(B32="","","DECH-"&amp;TEXT(ROW()-4,"0000"))</x:f>
      </x:c>
      <x:c r="B32" s="76"/>
      <x:c r="C32" s="76"/>
      <x:c r="D32" s="76"/>
      <x:c r="E32" s="76"/>
      <x:c r="F32" s="77"/>
      <x:c r="G32" s="77"/>
      <x:c r="H32" s="77"/>
      <x:c r="I32" s="77"/>
      <x:c r="J32" s="76"/>
      <x:c r="K32" s="76"/>
      <x:c r="L32" s="76"/>
      <x:c r="M32" s="77" t="str">
        <x:f>IF(I32="","",I32*0.586)</x:f>
      </x:c>
      <x:c r="N32" s="76"/>
      <x:c r="O32" s="76"/>
      <x:c r="P32" s="78" t="str">
        <x:f>IF(B32="","",TODAY())</x:f>
      </x:c>
      <x:c r="Q32" s="76"/>
      <x:c r="R32" s="76" t="str">
        <x:f>IF(B32="","",IF(OR(C32="",D32="",E32="",F32="",J32="",K32="",L32="",O32&lt;&gt;"Validé humainement"),"ALERTE: données/preuves/statut",IF(OR(AND(ISNUMBER(F32),F32&lt;0),AND(ISNUMBER(G32),G32&lt;0),AND(ISNUMBER(H32),H32&lt;0),AND(ISNUMBER(I32),I32&lt;0),AND(ISNUMBER(F32),ISNUMBER(G32),ISNUMBER(H32),ISNUMBER(I32),G32+H32+I32&gt;F32)),"ALERTE: valeur anormale","OK")))</x:f>
      </x:c>
      <x:c r="S32" s="76" t="str">
        <x:f>IF(B32="","",IF(O32="Validé humainement","Oui","Non"))</x:f>
      </x:c>
    </x:row>
    <x:row r="33">
      <x:c r="A33" s="76" t="str">
        <x:f>IF(B33="","","DECH-"&amp;TEXT(ROW()-4,"0000"))</x:f>
      </x:c>
      <x:c r="B33" s="76"/>
      <x:c r="C33" s="76"/>
      <x:c r="D33" s="76"/>
      <x:c r="E33" s="76"/>
      <x:c r="F33" s="77"/>
      <x:c r="G33" s="77"/>
      <x:c r="H33" s="77"/>
      <x:c r="I33" s="77"/>
      <x:c r="J33" s="76"/>
      <x:c r="K33" s="76"/>
      <x:c r="L33" s="76"/>
      <x:c r="M33" s="77" t="str">
        <x:f>IF(I33="","",I33*0.586)</x:f>
      </x:c>
      <x:c r="N33" s="76"/>
      <x:c r="O33" s="76"/>
      <x:c r="P33" s="78" t="str">
        <x:f>IF(B33="","",TODAY())</x:f>
      </x:c>
      <x:c r="Q33" s="76"/>
      <x:c r="R33" s="76" t="str">
        <x:f>IF(B33="","",IF(OR(C33="",D33="",E33="",F33="",J33="",K33="",L33="",O33&lt;&gt;"Validé humainement"),"ALERTE: données/preuves/statut",IF(OR(AND(ISNUMBER(F33),F33&lt;0),AND(ISNUMBER(G33),G33&lt;0),AND(ISNUMBER(H33),H33&lt;0),AND(ISNUMBER(I33),I33&lt;0),AND(ISNUMBER(F33),ISNUMBER(G33),ISNUMBER(H33),ISNUMBER(I33),G33+H33+I33&gt;F33)),"ALERTE: valeur anormale","OK")))</x:f>
      </x:c>
      <x:c r="S33" s="76" t="str">
        <x:f>IF(B33="","",IF(O33="Validé humainement","Oui","Non"))</x:f>
      </x:c>
    </x:row>
    <x:row r="34">
      <x:c r="A34" s="76" t="str">
        <x:f>IF(B34="","","DECH-"&amp;TEXT(ROW()-4,"0000"))</x:f>
      </x:c>
      <x:c r="B34" s="76"/>
      <x:c r="C34" s="76"/>
      <x:c r="D34" s="76"/>
      <x:c r="E34" s="76"/>
      <x:c r="F34" s="77"/>
      <x:c r="G34" s="77"/>
      <x:c r="H34" s="77"/>
      <x:c r="I34" s="77"/>
      <x:c r="J34" s="76"/>
      <x:c r="K34" s="76"/>
      <x:c r="L34" s="76"/>
      <x:c r="M34" s="77" t="str">
        <x:f>IF(I34="","",I34*0.586)</x:f>
      </x:c>
      <x:c r="N34" s="76"/>
      <x:c r="O34" s="76"/>
      <x:c r="P34" s="78" t="str">
        <x:f>IF(B34="","",TODAY())</x:f>
      </x:c>
      <x:c r="Q34" s="76"/>
      <x:c r="R34" s="76" t="str">
        <x:f>IF(B34="","",IF(OR(C34="",D34="",E34="",F34="",J34="",K34="",L34="",O34&lt;&gt;"Validé humainement"),"ALERTE: données/preuves/statut",IF(OR(AND(ISNUMBER(F34),F34&lt;0),AND(ISNUMBER(G34),G34&lt;0),AND(ISNUMBER(H34),H34&lt;0),AND(ISNUMBER(I34),I34&lt;0),AND(ISNUMBER(F34),ISNUMBER(G34),ISNUMBER(H34),ISNUMBER(I34),G34+H34+I34&gt;F34)),"ALERTE: valeur anormale","OK")))</x:f>
      </x:c>
      <x:c r="S34" s="76" t="str">
        <x:f>IF(B34="","",IF(O34="Validé humainement","Oui","Non"))</x:f>
      </x:c>
    </x:row>
    <x:row r="35">
      <x:c r="A35" s="76" t="str">
        <x:f>IF(B35="","","DECH-"&amp;TEXT(ROW()-4,"0000"))</x:f>
      </x:c>
      <x:c r="B35" s="76"/>
      <x:c r="C35" s="76"/>
      <x:c r="D35" s="76"/>
      <x:c r="E35" s="76"/>
      <x:c r="F35" s="77"/>
      <x:c r="G35" s="77"/>
      <x:c r="H35" s="77"/>
      <x:c r="I35" s="77"/>
      <x:c r="J35" s="76"/>
      <x:c r="K35" s="76"/>
      <x:c r="L35" s="76"/>
      <x:c r="M35" s="77" t="str">
        <x:f>IF(I35="","",I35*0.586)</x:f>
      </x:c>
      <x:c r="N35" s="76"/>
      <x:c r="O35" s="76"/>
      <x:c r="P35" s="78" t="str">
        <x:f>IF(B35="","",TODAY())</x:f>
      </x:c>
      <x:c r="Q35" s="76"/>
      <x:c r="R35" s="76" t="str">
        <x:f>IF(B35="","",IF(OR(C35="",D35="",E35="",F35="",J35="",K35="",L35="",O35&lt;&gt;"Validé humainement"),"ALERTE: données/preuves/statut",IF(OR(AND(ISNUMBER(F35),F35&lt;0),AND(ISNUMBER(G35),G35&lt;0),AND(ISNUMBER(H35),H35&lt;0),AND(ISNUMBER(I35),I35&lt;0),AND(ISNUMBER(F35),ISNUMBER(G35),ISNUMBER(H35),ISNUMBER(I35),G35+H35+I35&gt;F35)),"ALERTE: valeur anormale","OK")))</x:f>
      </x:c>
      <x:c r="S35" s="76" t="str">
        <x:f>IF(B35="","",IF(O35="Validé humainement","Oui","Non"))</x:f>
      </x:c>
    </x:row>
    <x:row r="36">
      <x:c r="A36" s="76" t="str">
        <x:f>IF(B36="","","DECH-"&amp;TEXT(ROW()-4,"0000"))</x:f>
      </x:c>
      <x:c r="B36" s="76"/>
      <x:c r="C36" s="76"/>
      <x:c r="D36" s="76"/>
      <x:c r="E36" s="76"/>
      <x:c r="F36" s="77"/>
      <x:c r="G36" s="77"/>
      <x:c r="H36" s="77"/>
      <x:c r="I36" s="77"/>
      <x:c r="J36" s="76"/>
      <x:c r="K36" s="76"/>
      <x:c r="L36" s="76"/>
      <x:c r="M36" s="77" t="str">
        <x:f>IF(I36="","",I36*0.586)</x:f>
      </x:c>
      <x:c r="N36" s="76"/>
      <x:c r="O36" s="76"/>
      <x:c r="P36" s="78" t="str">
        <x:f>IF(B36="","",TODAY())</x:f>
      </x:c>
      <x:c r="Q36" s="76"/>
      <x:c r="R36" s="76" t="str">
        <x:f>IF(B36="","",IF(OR(C36="",D36="",E36="",F36="",J36="",K36="",L36="",O36&lt;&gt;"Validé humainement"),"ALERTE: données/preuves/statut",IF(OR(AND(ISNUMBER(F36),F36&lt;0),AND(ISNUMBER(G36),G36&lt;0),AND(ISNUMBER(H36),H36&lt;0),AND(ISNUMBER(I36),I36&lt;0),AND(ISNUMBER(F36),ISNUMBER(G36),ISNUMBER(H36),ISNUMBER(I36),G36+H36+I36&gt;F36)),"ALERTE: valeur anormale","OK")))</x:f>
      </x:c>
      <x:c r="S36" s="76" t="str">
        <x:f>IF(B36="","",IF(O36="Validé humainement","Oui","Non"))</x:f>
      </x:c>
    </x:row>
    <x:row r="37">
      <x:c r="A37" s="76" t="str">
        <x:f>IF(B37="","","DECH-"&amp;TEXT(ROW()-4,"0000"))</x:f>
      </x:c>
      <x:c r="B37" s="76"/>
      <x:c r="C37" s="76"/>
      <x:c r="D37" s="76"/>
      <x:c r="E37" s="76"/>
      <x:c r="F37" s="77"/>
      <x:c r="G37" s="77"/>
      <x:c r="H37" s="77"/>
      <x:c r="I37" s="77"/>
      <x:c r="J37" s="76"/>
      <x:c r="K37" s="76"/>
      <x:c r="L37" s="76"/>
      <x:c r="M37" s="77" t="str">
        <x:f>IF(I37="","",I37*0.586)</x:f>
      </x:c>
      <x:c r="N37" s="76"/>
      <x:c r="O37" s="76"/>
      <x:c r="P37" s="78" t="str">
        <x:f>IF(B37="","",TODAY())</x:f>
      </x:c>
      <x:c r="Q37" s="76"/>
      <x:c r="R37" s="76" t="str">
        <x:f>IF(B37="","",IF(OR(C37="",D37="",E37="",F37="",J37="",K37="",L37="",O37&lt;&gt;"Validé humainement"),"ALERTE: données/preuves/statut",IF(OR(AND(ISNUMBER(F37),F37&lt;0),AND(ISNUMBER(G37),G37&lt;0),AND(ISNUMBER(H37),H37&lt;0),AND(ISNUMBER(I37),I37&lt;0),AND(ISNUMBER(F37),ISNUMBER(G37),ISNUMBER(H37),ISNUMBER(I37),G37+H37+I37&gt;F37)),"ALERTE: valeur anormale","OK")))</x:f>
      </x:c>
      <x:c r="S37" s="76" t="str">
        <x:f>IF(B37="","",IF(O37="Validé humainement","Oui","Non"))</x:f>
      </x:c>
    </x:row>
    <x:row r="38">
      <x:c r="A38" s="76" t="str">
        <x:f>IF(B38="","","DECH-"&amp;TEXT(ROW()-4,"0000"))</x:f>
      </x:c>
      <x:c r="B38" s="76"/>
      <x:c r="C38" s="76"/>
      <x:c r="D38" s="76"/>
      <x:c r="E38" s="76"/>
      <x:c r="F38" s="77"/>
      <x:c r="G38" s="77"/>
      <x:c r="H38" s="77"/>
      <x:c r="I38" s="77"/>
      <x:c r="J38" s="76"/>
      <x:c r="K38" s="76"/>
      <x:c r="L38" s="76"/>
      <x:c r="M38" s="77" t="str">
        <x:f>IF(I38="","",I38*0.586)</x:f>
      </x:c>
      <x:c r="N38" s="76"/>
      <x:c r="O38" s="76"/>
      <x:c r="P38" s="78" t="str">
        <x:f>IF(B38="","",TODAY())</x:f>
      </x:c>
      <x:c r="Q38" s="76"/>
      <x:c r="R38" s="76" t="str">
        <x:f>IF(B38="","",IF(OR(C38="",D38="",E38="",F38="",J38="",K38="",L38="",O38&lt;&gt;"Validé humainement"),"ALERTE: données/preuves/statut",IF(OR(AND(ISNUMBER(F38),F38&lt;0),AND(ISNUMBER(G38),G38&lt;0),AND(ISNUMBER(H38),H38&lt;0),AND(ISNUMBER(I38),I38&lt;0),AND(ISNUMBER(F38),ISNUMBER(G38),ISNUMBER(H38),ISNUMBER(I38),G38+H38+I38&gt;F38)),"ALERTE: valeur anormale","OK")))</x:f>
      </x:c>
      <x:c r="S38" s="76" t="str">
        <x:f>IF(B38="","",IF(O38="Validé humainement","Oui","Non"))</x:f>
      </x:c>
    </x:row>
    <x:row r="39">
      <x:c r="A39" s="76" t="str">
        <x:f>IF(B39="","","DECH-"&amp;TEXT(ROW()-4,"0000"))</x:f>
      </x:c>
      <x:c r="B39" s="76"/>
      <x:c r="C39" s="76"/>
      <x:c r="D39" s="76"/>
      <x:c r="E39" s="76"/>
      <x:c r="F39" s="77"/>
      <x:c r="G39" s="77"/>
      <x:c r="H39" s="77"/>
      <x:c r="I39" s="77"/>
      <x:c r="J39" s="76"/>
      <x:c r="K39" s="76"/>
      <x:c r="L39" s="76"/>
      <x:c r="M39" s="77" t="str">
        <x:f>IF(I39="","",I39*0.586)</x:f>
      </x:c>
      <x:c r="N39" s="76"/>
      <x:c r="O39" s="76"/>
      <x:c r="P39" s="78" t="str">
        <x:f>IF(B39="","",TODAY())</x:f>
      </x:c>
      <x:c r="Q39" s="76"/>
      <x:c r="R39" s="76" t="str">
        <x:f>IF(B39="","",IF(OR(C39="",D39="",E39="",F39="",J39="",K39="",L39="",O39&lt;&gt;"Validé humainement"),"ALERTE: données/preuves/statut",IF(OR(AND(ISNUMBER(F39),F39&lt;0),AND(ISNUMBER(G39),G39&lt;0),AND(ISNUMBER(H39),H39&lt;0),AND(ISNUMBER(I39),I39&lt;0),AND(ISNUMBER(F39),ISNUMBER(G39),ISNUMBER(H39),ISNUMBER(I39),G39+H39+I39&gt;F39)),"ALERTE: valeur anormale","OK")))</x:f>
      </x:c>
      <x:c r="S39" s="76" t="str">
        <x:f>IF(B39="","",IF(O39="Validé humainement","Oui","Non"))</x:f>
      </x:c>
    </x:row>
    <x:row r="40">
      <x:c r="A40" s="76" t="str">
        <x:f>IF(B40="","","DECH-"&amp;TEXT(ROW()-4,"0000"))</x:f>
      </x:c>
      <x:c r="B40" s="76"/>
      <x:c r="C40" s="76"/>
      <x:c r="D40" s="76"/>
      <x:c r="E40" s="76"/>
      <x:c r="F40" s="77"/>
      <x:c r="G40" s="77"/>
      <x:c r="H40" s="77"/>
      <x:c r="I40" s="77"/>
      <x:c r="J40" s="76"/>
      <x:c r="K40" s="76"/>
      <x:c r="L40" s="76"/>
      <x:c r="M40" s="77" t="str">
        <x:f>IF(I40="","",I40*0.586)</x:f>
      </x:c>
      <x:c r="N40" s="76"/>
      <x:c r="O40" s="76"/>
      <x:c r="P40" s="78" t="str">
        <x:f>IF(B40="","",TODAY())</x:f>
      </x:c>
      <x:c r="Q40" s="76"/>
      <x:c r="R40" s="76" t="str">
        <x:f>IF(B40="","",IF(OR(C40="",D40="",E40="",F40="",J40="",K40="",L40="",O40&lt;&gt;"Validé humainement"),"ALERTE: données/preuves/statut",IF(OR(AND(ISNUMBER(F40),F40&lt;0),AND(ISNUMBER(G40),G40&lt;0),AND(ISNUMBER(H40),H40&lt;0),AND(ISNUMBER(I40),I40&lt;0),AND(ISNUMBER(F40),ISNUMBER(G40),ISNUMBER(H40),ISNUMBER(I40),G40+H40+I40&gt;F40)),"ALERTE: valeur anormale","OK")))</x:f>
      </x:c>
      <x:c r="S40" s="76" t="str">
        <x:f>IF(B40="","",IF(O40="Validé humainement","Oui","Non"))</x:f>
      </x:c>
    </x:row>
    <x:row r="41">
      <x:c r="A41" s="76" t="str">
        <x:f>IF(B41="","","DECH-"&amp;TEXT(ROW()-4,"0000"))</x:f>
      </x:c>
      <x:c r="B41" s="76"/>
      <x:c r="C41" s="76"/>
      <x:c r="D41" s="76"/>
      <x:c r="E41" s="76"/>
      <x:c r="F41" s="77"/>
      <x:c r="G41" s="77"/>
      <x:c r="H41" s="77"/>
      <x:c r="I41" s="77"/>
      <x:c r="J41" s="76"/>
      <x:c r="K41" s="76"/>
      <x:c r="L41" s="76"/>
      <x:c r="M41" s="77" t="str">
        <x:f>IF(I41="","",I41*0.586)</x:f>
      </x:c>
      <x:c r="N41" s="76"/>
      <x:c r="O41" s="76"/>
      <x:c r="P41" s="78" t="str">
        <x:f>IF(B41="","",TODAY())</x:f>
      </x:c>
      <x:c r="Q41" s="76"/>
      <x:c r="R41" s="76" t="str">
        <x:f>IF(B41="","",IF(OR(C41="",D41="",E41="",F41="",J41="",K41="",L41="",O41&lt;&gt;"Validé humainement"),"ALERTE: données/preuves/statut",IF(OR(AND(ISNUMBER(F41),F41&lt;0),AND(ISNUMBER(G41),G41&lt;0),AND(ISNUMBER(H41),H41&lt;0),AND(ISNUMBER(I41),I41&lt;0),AND(ISNUMBER(F41),ISNUMBER(G41),ISNUMBER(H41),ISNUMBER(I41),G41+H41+I41&gt;F41)),"ALERTE: valeur anormale","OK")))</x:f>
      </x:c>
      <x:c r="S41" s="76" t="str">
        <x:f>IF(B41="","",IF(O41="Validé humainement","Oui","Non"))</x:f>
      </x:c>
    </x:row>
    <x:row r="42">
      <x:c r="A42" s="76" t="str">
        <x:f>IF(B42="","","DECH-"&amp;TEXT(ROW()-4,"0000"))</x:f>
      </x:c>
      <x:c r="B42" s="76"/>
      <x:c r="C42" s="76"/>
      <x:c r="D42" s="76"/>
      <x:c r="E42" s="76"/>
      <x:c r="F42" s="77"/>
      <x:c r="G42" s="77"/>
      <x:c r="H42" s="77"/>
      <x:c r="I42" s="77"/>
      <x:c r="J42" s="76"/>
      <x:c r="K42" s="76"/>
      <x:c r="L42" s="76"/>
      <x:c r="M42" s="77" t="str">
        <x:f>IF(I42="","",I42*0.586)</x:f>
      </x:c>
      <x:c r="N42" s="76"/>
      <x:c r="O42" s="76"/>
      <x:c r="P42" s="78" t="str">
        <x:f>IF(B42="","",TODAY())</x:f>
      </x:c>
      <x:c r="Q42" s="76"/>
      <x:c r="R42" s="76" t="str">
        <x:f>IF(B42="","",IF(OR(C42="",D42="",E42="",F42="",J42="",K42="",L42="",O42&lt;&gt;"Validé humainement"),"ALERTE: données/preuves/statut",IF(OR(AND(ISNUMBER(F42),F42&lt;0),AND(ISNUMBER(G42),G42&lt;0),AND(ISNUMBER(H42),H42&lt;0),AND(ISNUMBER(I42),I42&lt;0),AND(ISNUMBER(F42),ISNUMBER(G42),ISNUMBER(H42),ISNUMBER(I42),G42+H42+I42&gt;F42)),"ALERTE: valeur anormale","OK")))</x:f>
      </x:c>
      <x:c r="S42" s="76" t="str">
        <x:f>IF(B42="","",IF(O42="Validé humainement","Oui","Non"))</x:f>
      </x:c>
    </x:row>
    <x:row r="43">
      <x:c r="A43" s="76" t="str">
        <x:f>IF(B43="","","DECH-"&amp;TEXT(ROW()-4,"0000"))</x:f>
      </x:c>
      <x:c r="B43" s="76"/>
      <x:c r="C43" s="76"/>
      <x:c r="D43" s="76"/>
      <x:c r="E43" s="76"/>
      <x:c r="F43" s="77"/>
      <x:c r="G43" s="77"/>
      <x:c r="H43" s="77"/>
      <x:c r="I43" s="77"/>
      <x:c r="J43" s="76"/>
      <x:c r="K43" s="76"/>
      <x:c r="L43" s="76"/>
      <x:c r="M43" s="77" t="str">
        <x:f>IF(I43="","",I43*0.586)</x:f>
      </x:c>
      <x:c r="N43" s="76"/>
      <x:c r="O43" s="76"/>
      <x:c r="P43" s="78" t="str">
        <x:f>IF(B43="","",TODAY())</x:f>
      </x:c>
      <x:c r="Q43" s="76"/>
      <x:c r="R43" s="76" t="str">
        <x:f>IF(B43="","",IF(OR(C43="",D43="",E43="",F43="",J43="",K43="",L43="",O43&lt;&gt;"Validé humainement"),"ALERTE: données/preuves/statut",IF(OR(AND(ISNUMBER(F43),F43&lt;0),AND(ISNUMBER(G43),G43&lt;0),AND(ISNUMBER(H43),H43&lt;0),AND(ISNUMBER(I43),I43&lt;0),AND(ISNUMBER(F43),ISNUMBER(G43),ISNUMBER(H43),ISNUMBER(I43),G43+H43+I43&gt;F43)),"ALERTE: valeur anormale","OK")))</x:f>
      </x:c>
      <x:c r="S43" s="76" t="str">
        <x:f>IF(B43="","",IF(O43="Validé humainement","Oui","Non"))</x:f>
      </x:c>
    </x:row>
    <x:row r="44">
      <x:c r="A44" s="76" t="str">
        <x:f>IF(B44="","","DECH-"&amp;TEXT(ROW()-4,"0000"))</x:f>
      </x:c>
      <x:c r="B44" s="76"/>
      <x:c r="C44" s="76"/>
      <x:c r="D44" s="76"/>
      <x:c r="E44" s="76"/>
      <x:c r="F44" s="77"/>
      <x:c r="G44" s="77"/>
      <x:c r="H44" s="77"/>
      <x:c r="I44" s="77"/>
      <x:c r="J44" s="76"/>
      <x:c r="K44" s="76"/>
      <x:c r="L44" s="76"/>
      <x:c r="M44" s="77" t="str">
        <x:f>IF(I44="","",I44*0.586)</x:f>
      </x:c>
      <x:c r="N44" s="76"/>
      <x:c r="O44" s="76"/>
      <x:c r="P44" s="78" t="str">
        <x:f>IF(B44="","",TODAY())</x:f>
      </x:c>
      <x:c r="Q44" s="76"/>
      <x:c r="R44" s="76" t="str">
        <x:f>IF(B44="","",IF(OR(C44="",D44="",E44="",F44="",J44="",K44="",L44="",O44&lt;&gt;"Validé humainement"),"ALERTE: données/preuves/statut",IF(OR(AND(ISNUMBER(F44),F44&lt;0),AND(ISNUMBER(G44),G44&lt;0),AND(ISNUMBER(H44),H44&lt;0),AND(ISNUMBER(I44),I44&lt;0),AND(ISNUMBER(F44),ISNUMBER(G44),ISNUMBER(H44),ISNUMBER(I44),G44+H44+I44&gt;F44)),"ALERTE: valeur anormale","OK")))</x:f>
      </x:c>
      <x:c r="S44" s="76" t="str">
        <x:f>IF(B44="","",IF(O44="Validé humainement","Oui","Non"))</x:f>
      </x:c>
    </x:row>
    <x:row r="45">
      <x:c r="A45" s="76" t="str">
        <x:f>IF(B45="","","DECH-"&amp;TEXT(ROW()-4,"0000"))</x:f>
      </x:c>
      <x:c r="B45" s="76"/>
      <x:c r="C45" s="76"/>
      <x:c r="D45" s="76"/>
      <x:c r="E45" s="76"/>
      <x:c r="F45" s="77"/>
      <x:c r="G45" s="77"/>
      <x:c r="H45" s="77"/>
      <x:c r="I45" s="77"/>
      <x:c r="J45" s="76"/>
      <x:c r="K45" s="76"/>
      <x:c r="L45" s="76"/>
      <x:c r="M45" s="77" t="str">
        <x:f>IF(I45="","",I45*0.586)</x:f>
      </x:c>
      <x:c r="N45" s="76"/>
      <x:c r="O45" s="76"/>
      <x:c r="P45" s="78" t="str">
        <x:f>IF(B45="","",TODAY())</x:f>
      </x:c>
      <x:c r="Q45" s="76"/>
      <x:c r="R45" s="76" t="str">
        <x:f>IF(B45="","",IF(OR(C45="",D45="",E45="",F45="",J45="",K45="",L45="",O45&lt;&gt;"Validé humainement"),"ALERTE: données/preuves/statut",IF(OR(AND(ISNUMBER(F45),F45&lt;0),AND(ISNUMBER(G45),G45&lt;0),AND(ISNUMBER(H45),H45&lt;0),AND(ISNUMBER(I45),I45&lt;0),AND(ISNUMBER(F45),ISNUMBER(G45),ISNUMBER(H45),ISNUMBER(I45),G45+H45+I45&gt;F45)),"ALERTE: valeur anormale","OK")))</x:f>
      </x:c>
      <x:c r="S45" s="76" t="str">
        <x:f>IF(B45="","",IF(O45="Validé humainement","Oui","Non"))</x:f>
      </x:c>
    </x:row>
    <x:row r="46">
      <x:c r="A46" s="76" t="str">
        <x:f>IF(B46="","","DECH-"&amp;TEXT(ROW()-4,"0000"))</x:f>
      </x:c>
      <x:c r="B46" s="76"/>
      <x:c r="C46" s="76"/>
      <x:c r="D46" s="76"/>
      <x:c r="E46" s="76"/>
      <x:c r="F46" s="77"/>
      <x:c r="G46" s="77"/>
      <x:c r="H46" s="77"/>
      <x:c r="I46" s="77"/>
      <x:c r="J46" s="76"/>
      <x:c r="K46" s="76"/>
      <x:c r="L46" s="76"/>
      <x:c r="M46" s="77" t="str">
        <x:f>IF(I46="","",I46*0.586)</x:f>
      </x:c>
      <x:c r="N46" s="76"/>
      <x:c r="O46" s="76"/>
      <x:c r="P46" s="78" t="str">
        <x:f>IF(B46="","",TODAY())</x:f>
      </x:c>
      <x:c r="Q46" s="76"/>
      <x:c r="R46" s="76" t="str">
        <x:f>IF(B46="","",IF(OR(C46="",D46="",E46="",F46="",J46="",K46="",L46="",O46&lt;&gt;"Validé humainement"),"ALERTE: données/preuves/statut",IF(OR(AND(ISNUMBER(F46),F46&lt;0),AND(ISNUMBER(G46),G46&lt;0),AND(ISNUMBER(H46),H46&lt;0),AND(ISNUMBER(I46),I46&lt;0),AND(ISNUMBER(F46),ISNUMBER(G46),ISNUMBER(H46),ISNUMBER(I46),G46+H46+I46&gt;F46)),"ALERTE: valeur anormale","OK")))</x:f>
      </x:c>
      <x:c r="S46" s="76" t="str">
        <x:f>IF(B46="","",IF(O46="Validé humainement","Oui","Non"))</x:f>
      </x:c>
    </x:row>
    <x:row r="47">
      <x:c r="A47" s="76" t="str">
        <x:f>IF(B47="","","DECH-"&amp;TEXT(ROW()-4,"0000"))</x:f>
      </x:c>
      <x:c r="B47" s="76"/>
      <x:c r="C47" s="76"/>
      <x:c r="D47" s="76"/>
      <x:c r="E47" s="76"/>
      <x:c r="F47" s="77"/>
      <x:c r="G47" s="77"/>
      <x:c r="H47" s="77"/>
      <x:c r="I47" s="77"/>
      <x:c r="J47" s="76"/>
      <x:c r="K47" s="76"/>
      <x:c r="L47" s="76"/>
      <x:c r="M47" s="77" t="str">
        <x:f>IF(I47="","",I47*0.586)</x:f>
      </x:c>
      <x:c r="N47" s="76"/>
      <x:c r="O47" s="76"/>
      <x:c r="P47" s="78" t="str">
        <x:f>IF(B47="","",TODAY())</x:f>
      </x:c>
      <x:c r="Q47" s="76"/>
      <x:c r="R47" s="76" t="str">
        <x:f>IF(B47="","",IF(OR(C47="",D47="",E47="",F47="",J47="",K47="",L47="",O47&lt;&gt;"Validé humainement"),"ALERTE: données/preuves/statut",IF(OR(AND(ISNUMBER(F47),F47&lt;0),AND(ISNUMBER(G47),G47&lt;0),AND(ISNUMBER(H47),H47&lt;0),AND(ISNUMBER(I47),I47&lt;0),AND(ISNUMBER(F47),ISNUMBER(G47),ISNUMBER(H47),ISNUMBER(I47),G47+H47+I47&gt;F47)),"ALERTE: valeur anormale","OK")))</x:f>
      </x:c>
      <x:c r="S47" s="76" t="str">
        <x:f>IF(B47="","",IF(O47="Validé humainement","Oui","Non"))</x:f>
      </x:c>
    </x:row>
    <x:row r="48">
      <x:c r="A48" s="76" t="str">
        <x:f>IF(B48="","","DECH-"&amp;TEXT(ROW()-4,"0000"))</x:f>
      </x:c>
      <x:c r="B48" s="76"/>
      <x:c r="C48" s="76"/>
      <x:c r="D48" s="76"/>
      <x:c r="E48" s="76"/>
      <x:c r="F48" s="77"/>
      <x:c r="G48" s="77"/>
      <x:c r="H48" s="77"/>
      <x:c r="I48" s="77"/>
      <x:c r="J48" s="76"/>
      <x:c r="K48" s="76"/>
      <x:c r="L48" s="76"/>
      <x:c r="M48" s="77" t="str">
        <x:f>IF(I48="","",I48*0.586)</x:f>
      </x:c>
      <x:c r="N48" s="76"/>
      <x:c r="O48" s="76"/>
      <x:c r="P48" s="78" t="str">
        <x:f>IF(B48="","",TODAY())</x:f>
      </x:c>
      <x:c r="Q48" s="76"/>
      <x:c r="R48" s="76" t="str">
        <x:f>IF(B48="","",IF(OR(C48="",D48="",E48="",F48="",J48="",K48="",L48="",O48&lt;&gt;"Validé humainement"),"ALERTE: données/preuves/statut",IF(OR(AND(ISNUMBER(F48),F48&lt;0),AND(ISNUMBER(G48),G48&lt;0),AND(ISNUMBER(H48),H48&lt;0),AND(ISNUMBER(I48),I48&lt;0),AND(ISNUMBER(F48),ISNUMBER(G48),ISNUMBER(H48),ISNUMBER(I48),G48+H48+I48&gt;F48)),"ALERTE: valeur anormale","OK")))</x:f>
      </x:c>
      <x:c r="S48" s="76" t="str">
        <x:f>IF(B48="","",IF(O48="Validé humainement","Oui","Non"))</x:f>
      </x:c>
    </x:row>
    <x:row r="49">
      <x:c r="A49" s="76" t="str">
        <x:f>IF(B49="","","DECH-"&amp;TEXT(ROW()-4,"0000"))</x:f>
      </x:c>
      <x:c r="B49" s="76"/>
      <x:c r="C49" s="76"/>
      <x:c r="D49" s="76"/>
      <x:c r="E49" s="76"/>
      <x:c r="F49" s="77"/>
      <x:c r="G49" s="77"/>
      <x:c r="H49" s="77"/>
      <x:c r="I49" s="77"/>
      <x:c r="J49" s="76"/>
      <x:c r="K49" s="76"/>
      <x:c r="L49" s="76"/>
      <x:c r="M49" s="77" t="str">
        <x:f>IF(I49="","",I49*0.586)</x:f>
      </x:c>
      <x:c r="N49" s="76"/>
      <x:c r="O49" s="76"/>
      <x:c r="P49" s="78" t="str">
        <x:f>IF(B49="","",TODAY())</x:f>
      </x:c>
      <x:c r="Q49" s="76"/>
      <x:c r="R49" s="76" t="str">
        <x:f>IF(B49="","",IF(OR(C49="",D49="",E49="",F49="",J49="",K49="",L49="",O49&lt;&gt;"Validé humainement"),"ALERTE: données/preuves/statut",IF(OR(AND(ISNUMBER(F49),F49&lt;0),AND(ISNUMBER(G49),G49&lt;0),AND(ISNUMBER(H49),H49&lt;0),AND(ISNUMBER(I49),I49&lt;0),AND(ISNUMBER(F49),ISNUMBER(G49),ISNUMBER(H49),ISNUMBER(I49),G49+H49+I49&gt;F49)),"ALERTE: valeur anormale","OK")))</x:f>
      </x:c>
      <x:c r="S49" s="76" t="str">
        <x:f>IF(B49="","",IF(O49="Validé humainement","Oui","Non"))</x:f>
      </x:c>
    </x:row>
    <x:row r="50">
      <x:c r="A50" s="76" t="str">
        <x:f>IF(B50="","","DECH-"&amp;TEXT(ROW()-4,"0000"))</x:f>
      </x:c>
      <x:c r="B50" s="76"/>
      <x:c r="C50" s="76"/>
      <x:c r="D50" s="76"/>
      <x:c r="E50" s="76"/>
      <x:c r="F50" s="77"/>
      <x:c r="G50" s="77"/>
      <x:c r="H50" s="77"/>
      <x:c r="I50" s="77"/>
      <x:c r="J50" s="76"/>
      <x:c r="K50" s="76"/>
      <x:c r="L50" s="76"/>
      <x:c r="M50" s="77" t="str">
        <x:f>IF(I50="","",I50*0.586)</x:f>
      </x:c>
      <x:c r="N50" s="76"/>
      <x:c r="O50" s="76"/>
      <x:c r="P50" s="78" t="str">
        <x:f>IF(B50="","",TODAY())</x:f>
      </x:c>
      <x:c r="Q50" s="76"/>
      <x:c r="R50" s="76" t="str">
        <x:f>IF(B50="","",IF(OR(C50="",D50="",E50="",F50="",J50="",K50="",L50="",O50&lt;&gt;"Validé humainement"),"ALERTE: données/preuves/statut",IF(OR(AND(ISNUMBER(F50),F50&lt;0),AND(ISNUMBER(G50),G50&lt;0),AND(ISNUMBER(H50),H50&lt;0),AND(ISNUMBER(I50),I50&lt;0),AND(ISNUMBER(F50),ISNUMBER(G50),ISNUMBER(H50),ISNUMBER(I50),G50+H50+I50&gt;F50)),"ALERTE: valeur anormale","OK")))</x:f>
      </x:c>
      <x:c r="S50" s="76" t="str">
        <x:f>IF(B50="","",IF(O50="Validé humainement","Oui","Non"))</x:f>
      </x:c>
    </x:row>
    <x:row r="51">
      <x:c r="A51" s="76" t="str">
        <x:f>IF(B51="","","DECH-"&amp;TEXT(ROW()-4,"0000"))</x:f>
      </x:c>
      <x:c r="B51" s="76"/>
      <x:c r="C51" s="76"/>
      <x:c r="D51" s="76"/>
      <x:c r="E51" s="76"/>
      <x:c r="F51" s="77"/>
      <x:c r="G51" s="77"/>
      <x:c r="H51" s="77"/>
      <x:c r="I51" s="77"/>
      <x:c r="J51" s="76"/>
      <x:c r="K51" s="76"/>
      <x:c r="L51" s="76"/>
      <x:c r="M51" s="77" t="str">
        <x:f>IF(I51="","",I51*0.586)</x:f>
      </x:c>
      <x:c r="N51" s="76"/>
      <x:c r="O51" s="76"/>
      <x:c r="P51" s="78" t="str">
        <x:f>IF(B51="","",TODAY())</x:f>
      </x:c>
      <x:c r="Q51" s="76"/>
      <x:c r="R51" s="76" t="str">
        <x:f>IF(B51="","",IF(OR(C51="",D51="",E51="",F51="",J51="",K51="",L51="",O51&lt;&gt;"Validé humainement"),"ALERTE: données/preuves/statut",IF(OR(AND(ISNUMBER(F51),F51&lt;0),AND(ISNUMBER(G51),G51&lt;0),AND(ISNUMBER(H51),H51&lt;0),AND(ISNUMBER(I51),I51&lt;0),AND(ISNUMBER(F51),ISNUMBER(G51),ISNUMBER(H51),ISNUMBER(I51),G51+H51+I51&gt;F51)),"ALERTE: valeur anormale","OK")))</x:f>
      </x:c>
      <x:c r="S51" s="76" t="str">
        <x:f>IF(B51="","",IF(O51="Validé humainement","Oui","Non"))</x:f>
      </x:c>
    </x:row>
    <x:row r="52">
      <x:c r="A52" s="76" t="str">
        <x:f>IF(B52="","","DECH-"&amp;TEXT(ROW()-4,"0000"))</x:f>
      </x:c>
      <x:c r="B52" s="76"/>
      <x:c r="C52" s="76"/>
      <x:c r="D52" s="76"/>
      <x:c r="E52" s="76"/>
      <x:c r="F52" s="77"/>
      <x:c r="G52" s="77"/>
      <x:c r="H52" s="77"/>
      <x:c r="I52" s="77"/>
      <x:c r="J52" s="76"/>
      <x:c r="K52" s="76"/>
      <x:c r="L52" s="76"/>
      <x:c r="M52" s="77" t="str">
        <x:f>IF(I52="","",I52*0.586)</x:f>
      </x:c>
      <x:c r="N52" s="76"/>
      <x:c r="O52" s="76"/>
      <x:c r="P52" s="78" t="str">
        <x:f>IF(B52="","",TODAY())</x:f>
      </x:c>
      <x:c r="Q52" s="76"/>
      <x:c r="R52" s="76" t="str">
        <x:f>IF(B52="","",IF(OR(C52="",D52="",E52="",F52="",J52="",K52="",L52="",O52&lt;&gt;"Validé humainement"),"ALERTE: données/preuves/statut",IF(OR(AND(ISNUMBER(F52),F52&lt;0),AND(ISNUMBER(G52),G52&lt;0),AND(ISNUMBER(H52),H52&lt;0),AND(ISNUMBER(I52),I52&lt;0),AND(ISNUMBER(F52),ISNUMBER(G52),ISNUMBER(H52),ISNUMBER(I52),G52+H52+I52&gt;F52)),"ALERTE: valeur anormale","OK")))</x:f>
      </x:c>
      <x:c r="S52" s="76" t="str">
        <x:f>IF(B52="","",IF(O52="Validé humainement","Oui","Non"))</x:f>
      </x:c>
    </x:row>
    <x:row r="53">
      <x:c r="A53" s="76" t="str">
        <x:f>IF(B53="","","DECH-"&amp;TEXT(ROW()-4,"0000"))</x:f>
      </x:c>
      <x:c r="B53" s="76"/>
      <x:c r="C53" s="76"/>
      <x:c r="D53" s="76"/>
      <x:c r="E53" s="76"/>
      <x:c r="F53" s="77"/>
      <x:c r="G53" s="77"/>
      <x:c r="H53" s="77"/>
      <x:c r="I53" s="77"/>
      <x:c r="J53" s="76"/>
      <x:c r="K53" s="76"/>
      <x:c r="L53" s="76"/>
      <x:c r="M53" s="77" t="str">
        <x:f>IF(I53="","",I53*0.586)</x:f>
      </x:c>
      <x:c r="N53" s="76"/>
      <x:c r="O53" s="76"/>
      <x:c r="P53" s="78" t="str">
        <x:f>IF(B53="","",TODAY())</x:f>
      </x:c>
      <x:c r="Q53" s="76"/>
      <x:c r="R53" s="76" t="str">
        <x:f>IF(B53="","",IF(OR(C53="",D53="",E53="",F53="",J53="",K53="",L53="",O53&lt;&gt;"Validé humainement"),"ALERTE: données/preuves/statut",IF(OR(AND(ISNUMBER(F53),F53&lt;0),AND(ISNUMBER(G53),G53&lt;0),AND(ISNUMBER(H53),H53&lt;0),AND(ISNUMBER(I53),I53&lt;0),AND(ISNUMBER(F53),ISNUMBER(G53),ISNUMBER(H53),ISNUMBER(I53),G53+H53+I53&gt;F53)),"ALERTE: valeur anormale","OK")))</x:f>
      </x:c>
      <x:c r="S53" s="76" t="str">
        <x:f>IF(B53="","",IF(O53="Validé humainement","Oui","Non"))</x:f>
      </x:c>
    </x:row>
    <x:row r="54">
      <x:c r="A54" s="76" t="str">
        <x:f>IF(B54="","","DECH-"&amp;TEXT(ROW()-4,"0000"))</x:f>
      </x:c>
      <x:c r="B54" s="76"/>
      <x:c r="C54" s="76"/>
      <x:c r="D54" s="76"/>
      <x:c r="E54" s="76"/>
      <x:c r="F54" s="77"/>
      <x:c r="G54" s="77"/>
      <x:c r="H54" s="77"/>
      <x:c r="I54" s="77"/>
      <x:c r="J54" s="76"/>
      <x:c r="K54" s="76"/>
      <x:c r="L54" s="76"/>
      <x:c r="M54" s="77" t="str">
        <x:f>IF(I54="","",I54*0.586)</x:f>
      </x:c>
      <x:c r="N54" s="76"/>
      <x:c r="O54" s="76"/>
      <x:c r="P54" s="78" t="str">
        <x:f>IF(B54="","",TODAY())</x:f>
      </x:c>
      <x:c r="Q54" s="76"/>
      <x:c r="R54" s="76" t="str">
        <x:f>IF(B54="","",IF(OR(C54="",D54="",E54="",F54="",J54="",K54="",L54="",O54&lt;&gt;"Validé humainement"),"ALERTE: données/preuves/statut",IF(OR(AND(ISNUMBER(F54),F54&lt;0),AND(ISNUMBER(G54),G54&lt;0),AND(ISNUMBER(H54),H54&lt;0),AND(ISNUMBER(I54),I54&lt;0),AND(ISNUMBER(F54),ISNUMBER(G54),ISNUMBER(H54),ISNUMBER(I54),G54+H54+I54&gt;F54)),"ALERTE: valeur anormale","OK")))</x:f>
      </x:c>
      <x:c r="S54" s="76" t="str">
        <x:f>IF(B54="","",IF(O54="Validé humainement","Oui","Non"))</x:f>
      </x:c>
    </x:row>
    <x:row r="55">
      <x:c r="A55" s="76" t="str">
        <x:f>IF(B55="","","DECH-"&amp;TEXT(ROW()-4,"0000"))</x:f>
      </x:c>
      <x:c r="B55" s="76"/>
      <x:c r="C55" s="76"/>
      <x:c r="D55" s="76"/>
      <x:c r="E55" s="76"/>
      <x:c r="F55" s="77"/>
      <x:c r="G55" s="77"/>
      <x:c r="H55" s="77"/>
      <x:c r="I55" s="77"/>
      <x:c r="J55" s="76"/>
      <x:c r="K55" s="76"/>
      <x:c r="L55" s="76"/>
      <x:c r="M55" s="77" t="str">
        <x:f>IF(I55="","",I55*0.586)</x:f>
      </x:c>
      <x:c r="N55" s="76"/>
      <x:c r="O55" s="76"/>
      <x:c r="P55" s="78" t="str">
        <x:f>IF(B55="","",TODAY())</x:f>
      </x:c>
      <x:c r="Q55" s="76"/>
      <x:c r="R55" s="76" t="str">
        <x:f>IF(B55="","",IF(OR(C55="",D55="",E55="",F55="",J55="",K55="",L55="",O55&lt;&gt;"Validé humainement"),"ALERTE: données/preuves/statut",IF(OR(AND(ISNUMBER(F55),F55&lt;0),AND(ISNUMBER(G55),G55&lt;0),AND(ISNUMBER(H55),H55&lt;0),AND(ISNUMBER(I55),I55&lt;0),AND(ISNUMBER(F55),ISNUMBER(G55),ISNUMBER(H55),ISNUMBER(I55),G55+H55+I55&gt;F55)),"ALERTE: valeur anormale","OK")))</x:f>
      </x:c>
      <x:c r="S55" s="76" t="str">
        <x:f>IF(B55="","",IF(O55="Validé humainement","Oui","Non"))</x:f>
      </x:c>
    </x:row>
    <x:row r="56">
      <x:c r="A56" s="76" t="str">
        <x:f>IF(B56="","","DECH-"&amp;TEXT(ROW()-4,"0000"))</x:f>
      </x:c>
      <x:c r="B56" s="76"/>
      <x:c r="C56" s="76"/>
      <x:c r="D56" s="76"/>
      <x:c r="E56" s="76"/>
      <x:c r="F56" s="77"/>
      <x:c r="G56" s="77"/>
      <x:c r="H56" s="77"/>
      <x:c r="I56" s="77"/>
      <x:c r="J56" s="76"/>
      <x:c r="K56" s="76"/>
      <x:c r="L56" s="76"/>
      <x:c r="M56" s="77" t="str">
        <x:f>IF(I56="","",I56*0.586)</x:f>
      </x:c>
      <x:c r="N56" s="76"/>
      <x:c r="O56" s="76"/>
      <x:c r="P56" s="78" t="str">
        <x:f>IF(B56="","",TODAY())</x:f>
      </x:c>
      <x:c r="Q56" s="76"/>
      <x:c r="R56" s="76" t="str">
        <x:f>IF(B56="","",IF(OR(C56="",D56="",E56="",F56="",J56="",K56="",L56="",O56&lt;&gt;"Validé humainement"),"ALERTE: données/preuves/statut",IF(OR(AND(ISNUMBER(F56),F56&lt;0),AND(ISNUMBER(G56),G56&lt;0),AND(ISNUMBER(H56),H56&lt;0),AND(ISNUMBER(I56),I56&lt;0),AND(ISNUMBER(F56),ISNUMBER(G56),ISNUMBER(H56),ISNUMBER(I56),G56+H56+I56&gt;F56)),"ALERTE: valeur anormale","OK")))</x:f>
      </x:c>
      <x:c r="S56" s="76" t="str">
        <x:f>IF(B56="","",IF(O56="Validé humainement","Oui","Non"))</x:f>
      </x:c>
    </x:row>
    <x:row r="57">
      <x:c r="A57" s="76" t="str">
        <x:f>IF(B57="","","DECH-"&amp;TEXT(ROW()-4,"0000"))</x:f>
      </x:c>
      <x:c r="B57" s="76"/>
      <x:c r="C57" s="76"/>
      <x:c r="D57" s="76"/>
      <x:c r="E57" s="76"/>
      <x:c r="F57" s="77"/>
      <x:c r="G57" s="77"/>
      <x:c r="H57" s="77"/>
      <x:c r="I57" s="77"/>
      <x:c r="J57" s="76"/>
      <x:c r="K57" s="76"/>
      <x:c r="L57" s="76"/>
      <x:c r="M57" s="77" t="str">
        <x:f>IF(I57="","",I57*0.586)</x:f>
      </x:c>
      <x:c r="N57" s="76"/>
      <x:c r="O57" s="76"/>
      <x:c r="P57" s="78" t="str">
        <x:f>IF(B57="","",TODAY())</x:f>
      </x:c>
      <x:c r="Q57" s="76"/>
      <x:c r="R57" s="76" t="str">
        <x:f>IF(B57="","",IF(OR(C57="",D57="",E57="",F57="",J57="",K57="",L57="",O57&lt;&gt;"Validé humainement"),"ALERTE: données/preuves/statut",IF(OR(AND(ISNUMBER(F57),F57&lt;0),AND(ISNUMBER(G57),G57&lt;0),AND(ISNUMBER(H57),H57&lt;0),AND(ISNUMBER(I57),I57&lt;0),AND(ISNUMBER(F57),ISNUMBER(G57),ISNUMBER(H57),ISNUMBER(I57),G57+H57+I57&gt;F57)),"ALERTE: valeur anormale","OK")))</x:f>
      </x:c>
      <x:c r="S57" s="76" t="str">
        <x:f>IF(B57="","",IF(O57="Validé humainement","Oui","Non"))</x:f>
      </x:c>
    </x:row>
    <x:row r="58">
      <x:c r="A58" s="76" t="str">
        <x:f>IF(B58="","","DECH-"&amp;TEXT(ROW()-4,"0000"))</x:f>
      </x:c>
      <x:c r="B58" s="76"/>
      <x:c r="C58" s="76"/>
      <x:c r="D58" s="76"/>
      <x:c r="E58" s="76"/>
      <x:c r="F58" s="77"/>
      <x:c r="G58" s="77"/>
      <x:c r="H58" s="77"/>
      <x:c r="I58" s="77"/>
      <x:c r="J58" s="76"/>
      <x:c r="K58" s="76"/>
      <x:c r="L58" s="76"/>
      <x:c r="M58" s="77" t="str">
        <x:f>IF(I58="","",I58*0.586)</x:f>
      </x:c>
      <x:c r="N58" s="76"/>
      <x:c r="O58" s="76"/>
      <x:c r="P58" s="78" t="str">
        <x:f>IF(B58="","",TODAY())</x:f>
      </x:c>
      <x:c r="Q58" s="76"/>
      <x:c r="R58" s="76" t="str">
        <x:f>IF(B58="","",IF(OR(C58="",D58="",E58="",F58="",J58="",K58="",L58="",O58&lt;&gt;"Validé humainement"),"ALERTE: données/preuves/statut",IF(OR(AND(ISNUMBER(F58),F58&lt;0),AND(ISNUMBER(G58),G58&lt;0),AND(ISNUMBER(H58),H58&lt;0),AND(ISNUMBER(I58),I58&lt;0),AND(ISNUMBER(F58),ISNUMBER(G58),ISNUMBER(H58),ISNUMBER(I58),G58+H58+I58&gt;F58)),"ALERTE: valeur anormale","OK")))</x:f>
      </x:c>
      <x:c r="S58" s="76" t="str">
        <x:f>IF(B58="","",IF(O58="Validé humainement","Oui","Non"))</x:f>
      </x:c>
    </x:row>
    <x:row r="59">
      <x:c r="A59" s="76" t="str">
        <x:f>IF(B59="","","DECH-"&amp;TEXT(ROW()-4,"0000"))</x:f>
      </x:c>
      <x:c r="B59" s="76"/>
      <x:c r="C59" s="76"/>
      <x:c r="D59" s="76"/>
      <x:c r="E59" s="76"/>
      <x:c r="F59" s="77"/>
      <x:c r="G59" s="77"/>
      <x:c r="H59" s="77"/>
      <x:c r="I59" s="77"/>
      <x:c r="J59" s="76"/>
      <x:c r="K59" s="76"/>
      <x:c r="L59" s="76"/>
      <x:c r="M59" s="77" t="str">
        <x:f>IF(I59="","",I59*0.586)</x:f>
      </x:c>
      <x:c r="N59" s="76"/>
      <x:c r="O59" s="76"/>
      <x:c r="P59" s="78" t="str">
        <x:f>IF(B59="","",TODAY())</x:f>
      </x:c>
      <x:c r="Q59" s="76"/>
      <x:c r="R59" s="76" t="str">
        <x:f>IF(B59="","",IF(OR(C59="",D59="",E59="",F59="",J59="",K59="",L59="",O59&lt;&gt;"Validé humainement"),"ALERTE: données/preuves/statut",IF(OR(AND(ISNUMBER(F59),F59&lt;0),AND(ISNUMBER(G59),G59&lt;0),AND(ISNUMBER(H59),H59&lt;0),AND(ISNUMBER(I59),I59&lt;0),AND(ISNUMBER(F59),ISNUMBER(G59),ISNUMBER(H59),ISNUMBER(I59),G59+H59+I59&gt;F59)),"ALERTE: valeur anormale","OK")))</x:f>
      </x:c>
      <x:c r="S59" s="76" t="str">
        <x:f>IF(B59="","",IF(O59="Validé humainement","Oui","Non"))</x:f>
      </x:c>
    </x:row>
    <x:row r="60">
      <x:c r="A60" s="76" t="str">
        <x:f>IF(B60="","","DECH-"&amp;TEXT(ROW()-4,"0000"))</x:f>
      </x:c>
      <x:c r="B60" s="76"/>
      <x:c r="C60" s="76"/>
      <x:c r="D60" s="76"/>
      <x:c r="E60" s="76"/>
      <x:c r="F60" s="77"/>
      <x:c r="G60" s="77"/>
      <x:c r="H60" s="77"/>
      <x:c r="I60" s="77"/>
      <x:c r="J60" s="76"/>
      <x:c r="K60" s="76"/>
      <x:c r="L60" s="76"/>
      <x:c r="M60" s="77" t="str">
        <x:f>IF(I60="","",I60*0.586)</x:f>
      </x:c>
      <x:c r="N60" s="76"/>
      <x:c r="O60" s="76"/>
      <x:c r="P60" s="78" t="str">
        <x:f>IF(B60="","",TODAY())</x:f>
      </x:c>
      <x:c r="Q60" s="76"/>
      <x:c r="R60" s="76" t="str">
        <x:f>IF(B60="","",IF(OR(C60="",D60="",E60="",F60="",J60="",K60="",L60="",O60&lt;&gt;"Validé humainement"),"ALERTE: données/preuves/statut",IF(OR(AND(ISNUMBER(F60),F60&lt;0),AND(ISNUMBER(G60),G60&lt;0),AND(ISNUMBER(H60),H60&lt;0),AND(ISNUMBER(I60),I60&lt;0),AND(ISNUMBER(F60),ISNUMBER(G60),ISNUMBER(H60),ISNUMBER(I60),G60+H60+I60&gt;F60)),"ALERTE: valeur anormale","OK")))</x:f>
      </x:c>
      <x:c r="S60" s="76" t="str">
        <x:f>IF(B60="","",IF(O60="Validé humainement","Oui","Non"))</x:f>
      </x:c>
    </x:row>
    <x:row r="61">
      <x:c r="A61" s="76" t="str">
        <x:f>IF(B61="","","DECH-"&amp;TEXT(ROW()-4,"0000"))</x:f>
      </x:c>
      <x:c r="B61" s="76"/>
      <x:c r="C61" s="76"/>
      <x:c r="D61" s="76"/>
      <x:c r="E61" s="76"/>
      <x:c r="F61" s="77"/>
      <x:c r="G61" s="77"/>
      <x:c r="H61" s="77"/>
      <x:c r="I61" s="77"/>
      <x:c r="J61" s="76"/>
      <x:c r="K61" s="76"/>
      <x:c r="L61" s="76"/>
      <x:c r="M61" s="77" t="str">
        <x:f>IF(I61="","",I61*0.586)</x:f>
      </x:c>
      <x:c r="N61" s="76"/>
      <x:c r="O61" s="76"/>
      <x:c r="P61" s="78" t="str">
        <x:f>IF(B61="","",TODAY())</x:f>
      </x:c>
      <x:c r="Q61" s="76"/>
      <x:c r="R61" s="76" t="str">
        <x:f>IF(B61="","",IF(OR(C61="",D61="",E61="",F61="",J61="",K61="",L61="",O61&lt;&gt;"Validé humainement"),"ALERTE: données/preuves/statut",IF(OR(AND(ISNUMBER(F61),F61&lt;0),AND(ISNUMBER(G61),G61&lt;0),AND(ISNUMBER(H61),H61&lt;0),AND(ISNUMBER(I61),I61&lt;0),AND(ISNUMBER(F61),ISNUMBER(G61),ISNUMBER(H61),ISNUMBER(I61),G61+H61+I61&gt;F61)),"ALERTE: valeur anormale","OK")))</x:f>
      </x:c>
      <x:c r="S61" s="76" t="str">
        <x:f>IF(B61="","",IF(O61="Validé humainement","Oui","Non"))</x:f>
      </x:c>
    </x:row>
    <x:row r="62">
      <x:c r="A62" s="76" t="str">
        <x:f>IF(B62="","","DECH-"&amp;TEXT(ROW()-4,"0000"))</x:f>
      </x:c>
      <x:c r="B62" s="76"/>
      <x:c r="C62" s="76"/>
      <x:c r="D62" s="76"/>
      <x:c r="E62" s="76"/>
      <x:c r="F62" s="77"/>
      <x:c r="G62" s="77"/>
      <x:c r="H62" s="77"/>
      <x:c r="I62" s="77"/>
      <x:c r="J62" s="76"/>
      <x:c r="K62" s="76"/>
      <x:c r="L62" s="76"/>
      <x:c r="M62" s="77" t="str">
        <x:f>IF(I62="","",I62*0.586)</x:f>
      </x:c>
      <x:c r="N62" s="76"/>
      <x:c r="O62" s="76"/>
      <x:c r="P62" s="78" t="str">
        <x:f>IF(B62="","",TODAY())</x:f>
      </x:c>
      <x:c r="Q62" s="76"/>
      <x:c r="R62" s="76" t="str">
        <x:f>IF(B62="","",IF(OR(C62="",D62="",E62="",F62="",J62="",K62="",L62="",O62&lt;&gt;"Validé humainement"),"ALERTE: données/preuves/statut",IF(OR(AND(ISNUMBER(F62),F62&lt;0),AND(ISNUMBER(G62),G62&lt;0),AND(ISNUMBER(H62),H62&lt;0),AND(ISNUMBER(I62),I62&lt;0),AND(ISNUMBER(F62),ISNUMBER(G62),ISNUMBER(H62),ISNUMBER(I62),G62+H62+I62&gt;F62)),"ALERTE: valeur anormale","OK")))</x:f>
      </x:c>
      <x:c r="S62" s="76" t="str">
        <x:f>IF(B62="","",IF(O62="Validé humainement","Oui","Non"))</x:f>
      </x:c>
    </x:row>
    <x:row r="63">
      <x:c r="A63" s="76" t="str">
        <x:f>IF(B63="","","DECH-"&amp;TEXT(ROW()-4,"0000"))</x:f>
      </x:c>
      <x:c r="B63" s="76"/>
      <x:c r="C63" s="76"/>
      <x:c r="D63" s="76"/>
      <x:c r="E63" s="76"/>
      <x:c r="F63" s="77"/>
      <x:c r="G63" s="77"/>
      <x:c r="H63" s="77"/>
      <x:c r="I63" s="77"/>
      <x:c r="J63" s="76"/>
      <x:c r="K63" s="76"/>
      <x:c r="L63" s="76"/>
      <x:c r="M63" s="77" t="str">
        <x:f>IF(I63="","",I63*0.586)</x:f>
      </x:c>
      <x:c r="N63" s="76"/>
      <x:c r="O63" s="76"/>
      <x:c r="P63" s="78" t="str">
        <x:f>IF(B63="","",TODAY())</x:f>
      </x:c>
      <x:c r="Q63" s="76"/>
      <x:c r="R63" s="76" t="str">
        <x:f>IF(B63="","",IF(OR(C63="",D63="",E63="",F63="",J63="",K63="",L63="",O63&lt;&gt;"Validé humainement"),"ALERTE: données/preuves/statut",IF(OR(AND(ISNUMBER(F63),F63&lt;0),AND(ISNUMBER(G63),G63&lt;0),AND(ISNUMBER(H63),H63&lt;0),AND(ISNUMBER(I63),I63&lt;0),AND(ISNUMBER(F63),ISNUMBER(G63),ISNUMBER(H63),ISNUMBER(I63),G63+H63+I63&gt;F63)),"ALERTE: valeur anormale","OK")))</x:f>
      </x:c>
      <x:c r="S63" s="76" t="str">
        <x:f>IF(B63="","",IF(O63="Validé humainement","Oui","Non"))</x:f>
      </x:c>
    </x:row>
    <x:row r="64">
      <x:c r="A64" s="76" t="str">
        <x:f>IF(B64="","","DECH-"&amp;TEXT(ROW()-4,"0000"))</x:f>
      </x:c>
      <x:c r="B64" s="76"/>
      <x:c r="C64" s="76"/>
      <x:c r="D64" s="76"/>
      <x:c r="E64" s="76"/>
      <x:c r="F64" s="77"/>
      <x:c r="G64" s="77"/>
      <x:c r="H64" s="77"/>
      <x:c r="I64" s="77"/>
      <x:c r="J64" s="76"/>
      <x:c r="K64" s="76"/>
      <x:c r="L64" s="76"/>
      <x:c r="M64" s="77" t="str">
        <x:f>IF(I64="","",I64*0.586)</x:f>
      </x:c>
      <x:c r="N64" s="76"/>
      <x:c r="O64" s="76"/>
      <x:c r="P64" s="78" t="str">
        <x:f>IF(B64="","",TODAY())</x:f>
      </x:c>
      <x:c r="Q64" s="76"/>
      <x:c r="R64" s="76" t="str">
        <x:f>IF(B64="","",IF(OR(C64="",D64="",E64="",F64="",J64="",K64="",L64="",O64&lt;&gt;"Validé humainement"),"ALERTE: données/preuves/statut",IF(OR(AND(ISNUMBER(F64),F64&lt;0),AND(ISNUMBER(G64),G64&lt;0),AND(ISNUMBER(H64),H64&lt;0),AND(ISNUMBER(I64),I64&lt;0),AND(ISNUMBER(F64),ISNUMBER(G64),ISNUMBER(H64),ISNUMBER(I64),G64+H64+I64&gt;F64)),"ALERTE: valeur anormale","OK")))</x:f>
      </x:c>
      <x:c r="S64" s="76" t="str">
        <x:f>IF(B64="","",IF(O64="Validé humainement","Oui","Non"))</x:f>
      </x:c>
    </x:row>
    <x:row r="65">
      <x:c r="A65" s="76" t="str">
        <x:f>IF(B65="","","DECH-"&amp;TEXT(ROW()-4,"0000"))</x:f>
      </x:c>
      <x:c r="B65" s="76"/>
      <x:c r="C65" s="76"/>
      <x:c r="D65" s="76"/>
      <x:c r="E65" s="76"/>
      <x:c r="F65" s="77"/>
      <x:c r="G65" s="77"/>
      <x:c r="H65" s="77"/>
      <x:c r="I65" s="77"/>
      <x:c r="J65" s="76"/>
      <x:c r="K65" s="76"/>
      <x:c r="L65" s="76"/>
      <x:c r="M65" s="77" t="str">
        <x:f>IF(I65="","",I65*0.586)</x:f>
      </x:c>
      <x:c r="N65" s="76"/>
      <x:c r="O65" s="76"/>
      <x:c r="P65" s="78" t="str">
        <x:f>IF(B65="","",TODAY())</x:f>
      </x:c>
      <x:c r="Q65" s="76"/>
      <x:c r="R65" s="76" t="str">
        <x:f>IF(B65="","",IF(OR(C65="",D65="",E65="",F65="",J65="",K65="",L65="",O65&lt;&gt;"Validé humainement"),"ALERTE: données/preuves/statut",IF(OR(AND(ISNUMBER(F65),F65&lt;0),AND(ISNUMBER(G65),G65&lt;0),AND(ISNUMBER(H65),H65&lt;0),AND(ISNUMBER(I65),I65&lt;0),AND(ISNUMBER(F65),ISNUMBER(G65),ISNUMBER(H65),ISNUMBER(I65),G65+H65+I65&gt;F65)),"ALERTE: valeur anormale","OK")))</x:f>
      </x:c>
      <x:c r="S65" s="76" t="str">
        <x:f>IF(B65="","",IF(O65="Validé humainement","Oui","Non"))</x:f>
      </x:c>
    </x:row>
    <x:row r="66">
      <x:c r="A66" s="76" t="str">
        <x:f>IF(B66="","","DECH-"&amp;TEXT(ROW()-4,"0000"))</x:f>
      </x:c>
      <x:c r="B66" s="76"/>
      <x:c r="C66" s="76"/>
      <x:c r="D66" s="76"/>
      <x:c r="E66" s="76"/>
      <x:c r="F66" s="77"/>
      <x:c r="G66" s="77"/>
      <x:c r="H66" s="77"/>
      <x:c r="I66" s="77"/>
      <x:c r="J66" s="76"/>
      <x:c r="K66" s="76"/>
      <x:c r="L66" s="76"/>
      <x:c r="M66" s="77" t="str">
        <x:f>IF(I66="","",I66*0.586)</x:f>
      </x:c>
      <x:c r="N66" s="76"/>
      <x:c r="O66" s="76"/>
      <x:c r="P66" s="78" t="str">
        <x:f>IF(B66="","",TODAY())</x:f>
      </x:c>
      <x:c r="Q66" s="76"/>
      <x:c r="R66" s="76" t="str">
        <x:f>IF(B66="","",IF(OR(C66="",D66="",E66="",F66="",J66="",K66="",L66="",O66&lt;&gt;"Validé humainement"),"ALERTE: données/preuves/statut",IF(OR(AND(ISNUMBER(F66),F66&lt;0),AND(ISNUMBER(G66),G66&lt;0),AND(ISNUMBER(H66),H66&lt;0),AND(ISNUMBER(I66),I66&lt;0),AND(ISNUMBER(F66),ISNUMBER(G66),ISNUMBER(H66),ISNUMBER(I66),G66+H66+I66&gt;F66)),"ALERTE: valeur anormale","OK")))</x:f>
      </x:c>
      <x:c r="S66" s="76" t="str">
        <x:f>IF(B66="","",IF(O66="Validé humainement","Oui","Non"))</x:f>
      </x:c>
    </x:row>
    <x:row r="67">
      <x:c r="A67" s="76" t="str">
        <x:f>IF(B67="","","DECH-"&amp;TEXT(ROW()-4,"0000"))</x:f>
      </x:c>
      <x:c r="B67" s="76"/>
      <x:c r="C67" s="76"/>
      <x:c r="D67" s="76"/>
      <x:c r="E67" s="76"/>
      <x:c r="F67" s="77"/>
      <x:c r="G67" s="77"/>
      <x:c r="H67" s="77"/>
      <x:c r="I67" s="77"/>
      <x:c r="J67" s="76"/>
      <x:c r="K67" s="76"/>
      <x:c r="L67" s="76"/>
      <x:c r="M67" s="77" t="str">
        <x:f>IF(I67="","",I67*0.586)</x:f>
      </x:c>
      <x:c r="N67" s="76"/>
      <x:c r="O67" s="76"/>
      <x:c r="P67" s="78" t="str">
        <x:f>IF(B67="","",TODAY())</x:f>
      </x:c>
      <x:c r="Q67" s="76"/>
      <x:c r="R67" s="76" t="str">
        <x:f>IF(B67="","",IF(OR(C67="",D67="",E67="",F67="",J67="",K67="",L67="",O67&lt;&gt;"Validé humainement"),"ALERTE: données/preuves/statut",IF(OR(AND(ISNUMBER(F67),F67&lt;0),AND(ISNUMBER(G67),G67&lt;0),AND(ISNUMBER(H67),H67&lt;0),AND(ISNUMBER(I67),I67&lt;0),AND(ISNUMBER(F67),ISNUMBER(G67),ISNUMBER(H67),ISNUMBER(I67),G67+H67+I67&gt;F67)),"ALERTE: valeur anormale","OK")))</x:f>
      </x:c>
      <x:c r="S67" s="76" t="str">
        <x:f>IF(B67="","",IF(O67="Validé humainement","Oui","Non"))</x:f>
      </x:c>
    </x:row>
    <x:row r="68">
      <x:c r="A68" s="76" t="str">
        <x:f>IF(B68="","","DECH-"&amp;TEXT(ROW()-4,"0000"))</x:f>
      </x:c>
      <x:c r="B68" s="76"/>
      <x:c r="C68" s="76"/>
      <x:c r="D68" s="76"/>
      <x:c r="E68" s="76"/>
      <x:c r="F68" s="77"/>
      <x:c r="G68" s="77"/>
      <x:c r="H68" s="77"/>
      <x:c r="I68" s="77"/>
      <x:c r="J68" s="76"/>
      <x:c r="K68" s="76"/>
      <x:c r="L68" s="76"/>
      <x:c r="M68" s="77" t="str">
        <x:f>IF(I68="","",I68*0.586)</x:f>
      </x:c>
      <x:c r="N68" s="76"/>
      <x:c r="O68" s="76"/>
      <x:c r="P68" s="78" t="str">
        <x:f>IF(B68="","",TODAY())</x:f>
      </x:c>
      <x:c r="Q68" s="76"/>
      <x:c r="R68" s="76" t="str">
        <x:f>IF(B68="","",IF(OR(C68="",D68="",E68="",F68="",J68="",K68="",L68="",O68&lt;&gt;"Validé humainement"),"ALERTE: données/preuves/statut",IF(OR(AND(ISNUMBER(F68),F68&lt;0),AND(ISNUMBER(G68),G68&lt;0),AND(ISNUMBER(H68),H68&lt;0),AND(ISNUMBER(I68),I68&lt;0),AND(ISNUMBER(F68),ISNUMBER(G68),ISNUMBER(H68),ISNUMBER(I68),G68+H68+I68&gt;F68)),"ALERTE: valeur anormale","OK")))</x:f>
      </x:c>
      <x:c r="S68" s="76" t="str">
        <x:f>IF(B68="","",IF(O68="Validé humainement","Oui","Non"))</x:f>
      </x:c>
    </x:row>
    <x:row r="69">
      <x:c r="A69" s="76" t="str">
        <x:f>IF(B69="","","DECH-"&amp;TEXT(ROW()-4,"0000"))</x:f>
      </x:c>
      <x:c r="B69" s="76"/>
      <x:c r="C69" s="76"/>
      <x:c r="D69" s="76"/>
      <x:c r="E69" s="76"/>
      <x:c r="F69" s="77"/>
      <x:c r="G69" s="77"/>
      <x:c r="H69" s="77"/>
      <x:c r="I69" s="77"/>
      <x:c r="J69" s="76"/>
      <x:c r="K69" s="76"/>
      <x:c r="L69" s="76"/>
      <x:c r="M69" s="77" t="str">
        <x:f>IF(I69="","",I69*0.586)</x:f>
      </x:c>
      <x:c r="N69" s="76"/>
      <x:c r="O69" s="76"/>
      <x:c r="P69" s="78" t="str">
        <x:f>IF(B69="","",TODAY())</x:f>
      </x:c>
      <x:c r="Q69" s="76"/>
      <x:c r="R69" s="76" t="str">
        <x:f>IF(B69="","",IF(OR(C69="",D69="",E69="",F69="",J69="",K69="",L69="",O69&lt;&gt;"Validé humainement"),"ALERTE: données/preuves/statut",IF(OR(AND(ISNUMBER(F69),F69&lt;0),AND(ISNUMBER(G69),G69&lt;0),AND(ISNUMBER(H69),H69&lt;0),AND(ISNUMBER(I69),I69&lt;0),AND(ISNUMBER(F69),ISNUMBER(G69),ISNUMBER(H69),ISNUMBER(I69),G69+H69+I69&gt;F69)),"ALERTE: valeur anormale","OK")))</x:f>
      </x:c>
      <x:c r="S69" s="76" t="str">
        <x:f>IF(B69="","",IF(O69="Validé humainement","Oui","Non"))</x:f>
      </x:c>
    </x:row>
    <x:row r="70">
      <x:c r="A70" s="76" t="str">
        <x:f>IF(B70="","","DECH-"&amp;TEXT(ROW()-4,"0000"))</x:f>
      </x:c>
      <x:c r="B70" s="76"/>
      <x:c r="C70" s="76"/>
      <x:c r="D70" s="76"/>
      <x:c r="E70" s="76"/>
      <x:c r="F70" s="77"/>
      <x:c r="G70" s="77"/>
      <x:c r="H70" s="77"/>
      <x:c r="I70" s="77"/>
      <x:c r="J70" s="76"/>
      <x:c r="K70" s="76"/>
      <x:c r="L70" s="76"/>
      <x:c r="M70" s="77" t="str">
        <x:f>IF(I70="","",I70*0.586)</x:f>
      </x:c>
      <x:c r="N70" s="76"/>
      <x:c r="O70" s="76"/>
      <x:c r="P70" s="78" t="str">
        <x:f>IF(B70="","",TODAY())</x:f>
      </x:c>
      <x:c r="Q70" s="76"/>
      <x:c r="R70" s="76" t="str">
        <x:f>IF(B70="","",IF(OR(C70="",D70="",E70="",F70="",J70="",K70="",L70="",O70&lt;&gt;"Validé humainement"),"ALERTE: données/preuves/statut",IF(OR(AND(ISNUMBER(F70),F70&lt;0),AND(ISNUMBER(G70),G70&lt;0),AND(ISNUMBER(H70),H70&lt;0),AND(ISNUMBER(I70),I70&lt;0),AND(ISNUMBER(F70),ISNUMBER(G70),ISNUMBER(H70),ISNUMBER(I70),G70+H70+I70&gt;F70)),"ALERTE: valeur anormale","OK")))</x:f>
      </x:c>
      <x:c r="S70" s="76" t="str">
        <x:f>IF(B70="","",IF(O70="Validé humainement","Oui","Non"))</x:f>
      </x:c>
    </x:row>
    <x:row r="71">
      <x:c r="A71" s="76" t="str">
        <x:f>IF(B71="","","DECH-"&amp;TEXT(ROW()-4,"0000"))</x:f>
      </x:c>
      <x:c r="B71" s="76"/>
      <x:c r="C71" s="76"/>
      <x:c r="D71" s="76"/>
      <x:c r="E71" s="76"/>
      <x:c r="F71" s="77"/>
      <x:c r="G71" s="77"/>
      <x:c r="H71" s="77"/>
      <x:c r="I71" s="77"/>
      <x:c r="J71" s="76"/>
      <x:c r="K71" s="76"/>
      <x:c r="L71" s="76"/>
      <x:c r="M71" s="77" t="str">
        <x:f>IF(I71="","",I71*0.586)</x:f>
      </x:c>
      <x:c r="N71" s="76"/>
      <x:c r="O71" s="76"/>
      <x:c r="P71" s="78" t="str">
        <x:f>IF(B71="","",TODAY())</x:f>
      </x:c>
      <x:c r="Q71" s="76"/>
      <x:c r="R71" s="76" t="str">
        <x:f>IF(B71="","",IF(OR(C71="",D71="",E71="",F71="",J71="",K71="",L71="",O71&lt;&gt;"Validé humainement"),"ALERTE: données/preuves/statut",IF(OR(AND(ISNUMBER(F71),F71&lt;0),AND(ISNUMBER(G71),G71&lt;0),AND(ISNUMBER(H71),H71&lt;0),AND(ISNUMBER(I71),I71&lt;0),AND(ISNUMBER(F71),ISNUMBER(G71),ISNUMBER(H71),ISNUMBER(I71),G71+H71+I71&gt;F71)),"ALERTE: valeur anormale","OK")))</x:f>
      </x:c>
      <x:c r="S71" s="76" t="str">
        <x:f>IF(B71="","",IF(O71="Validé humainement","Oui","Non"))</x:f>
      </x:c>
    </x:row>
    <x:row r="72">
      <x:c r="A72" s="76" t="str">
        <x:f>IF(B72="","","DECH-"&amp;TEXT(ROW()-4,"0000"))</x:f>
      </x:c>
      <x:c r="B72" s="76"/>
      <x:c r="C72" s="76"/>
      <x:c r="D72" s="76"/>
      <x:c r="E72" s="76"/>
      <x:c r="F72" s="77"/>
      <x:c r="G72" s="77"/>
      <x:c r="H72" s="77"/>
      <x:c r="I72" s="77"/>
      <x:c r="J72" s="76"/>
      <x:c r="K72" s="76"/>
      <x:c r="L72" s="76"/>
      <x:c r="M72" s="77" t="str">
        <x:f>IF(I72="","",I72*0.586)</x:f>
      </x:c>
      <x:c r="N72" s="76"/>
      <x:c r="O72" s="76"/>
      <x:c r="P72" s="78" t="str">
        <x:f>IF(B72="","",TODAY())</x:f>
      </x:c>
      <x:c r="Q72" s="76"/>
      <x:c r="R72" s="76" t="str">
        <x:f>IF(B72="","",IF(OR(C72="",D72="",E72="",F72="",J72="",K72="",L72="",O72&lt;&gt;"Validé humainement"),"ALERTE: données/preuves/statut",IF(OR(AND(ISNUMBER(F72),F72&lt;0),AND(ISNUMBER(G72),G72&lt;0),AND(ISNUMBER(H72),H72&lt;0),AND(ISNUMBER(I72),I72&lt;0),AND(ISNUMBER(F72),ISNUMBER(G72),ISNUMBER(H72),ISNUMBER(I72),G72+H72+I72&gt;F72)),"ALERTE: valeur anormale","OK")))</x:f>
      </x:c>
      <x:c r="S72" s="76" t="str">
        <x:f>IF(B72="","",IF(O72="Validé humainement","Oui","Non"))</x:f>
      </x:c>
    </x:row>
    <x:row r="73">
      <x:c r="A73" s="76" t="str">
        <x:f>IF(B73="","","DECH-"&amp;TEXT(ROW()-4,"0000"))</x:f>
      </x:c>
      <x:c r="B73" s="76"/>
      <x:c r="C73" s="76"/>
      <x:c r="D73" s="76"/>
      <x:c r="E73" s="76"/>
      <x:c r="F73" s="77"/>
      <x:c r="G73" s="77"/>
      <x:c r="H73" s="77"/>
      <x:c r="I73" s="77"/>
      <x:c r="J73" s="76"/>
      <x:c r="K73" s="76"/>
      <x:c r="L73" s="76"/>
      <x:c r="M73" s="77" t="str">
        <x:f>IF(I73="","",I73*0.586)</x:f>
      </x:c>
      <x:c r="N73" s="76"/>
      <x:c r="O73" s="76"/>
      <x:c r="P73" s="78" t="str">
        <x:f>IF(B73="","",TODAY())</x:f>
      </x:c>
      <x:c r="Q73" s="76"/>
      <x:c r="R73" s="76" t="str">
        <x:f>IF(B73="","",IF(OR(C73="",D73="",E73="",F73="",J73="",K73="",L73="",O73&lt;&gt;"Validé humainement"),"ALERTE: données/preuves/statut",IF(OR(AND(ISNUMBER(F73),F73&lt;0),AND(ISNUMBER(G73),G73&lt;0),AND(ISNUMBER(H73),H73&lt;0),AND(ISNUMBER(I73),I73&lt;0),AND(ISNUMBER(F73),ISNUMBER(G73),ISNUMBER(H73),ISNUMBER(I73),G73+H73+I73&gt;F73)),"ALERTE: valeur anormale","OK")))</x:f>
      </x:c>
      <x:c r="S73" s="76" t="str">
        <x:f>IF(B73="","",IF(O73="Validé humainement","Oui","Non"))</x:f>
      </x:c>
    </x:row>
    <x:row r="74">
      <x:c r="A74" s="76" t="str">
        <x:f>IF(B74="","","DECH-"&amp;TEXT(ROW()-4,"0000"))</x:f>
      </x:c>
      <x:c r="B74" s="76"/>
      <x:c r="C74" s="76"/>
      <x:c r="D74" s="76"/>
      <x:c r="E74" s="76"/>
      <x:c r="F74" s="77"/>
      <x:c r="G74" s="77"/>
      <x:c r="H74" s="77"/>
      <x:c r="I74" s="77"/>
      <x:c r="J74" s="76"/>
      <x:c r="K74" s="76"/>
      <x:c r="L74" s="76"/>
      <x:c r="M74" s="77" t="str">
        <x:f>IF(I74="","",I74*0.586)</x:f>
      </x:c>
      <x:c r="N74" s="76"/>
      <x:c r="O74" s="76"/>
      <x:c r="P74" s="78" t="str">
        <x:f>IF(B74="","",TODAY())</x:f>
      </x:c>
      <x:c r="Q74" s="76"/>
      <x:c r="R74" s="76" t="str">
        <x:f>IF(B74="","",IF(OR(C74="",D74="",E74="",F74="",J74="",K74="",L74="",O74&lt;&gt;"Validé humainement"),"ALERTE: données/preuves/statut",IF(OR(AND(ISNUMBER(F74),F74&lt;0),AND(ISNUMBER(G74),G74&lt;0),AND(ISNUMBER(H74),H74&lt;0),AND(ISNUMBER(I74),I74&lt;0),AND(ISNUMBER(F74),ISNUMBER(G74),ISNUMBER(H74),ISNUMBER(I74),G74+H74+I74&gt;F74)),"ALERTE: valeur anormale","OK")))</x:f>
      </x:c>
      <x:c r="S74" s="76" t="str">
        <x:f>IF(B74="","",IF(O74="Validé humainement","Oui","Non"))</x:f>
      </x:c>
    </x:row>
    <x:row r="75">
      <x:c r="A75" s="76" t="str">
        <x:f>IF(B75="","","DECH-"&amp;TEXT(ROW()-4,"0000"))</x:f>
      </x:c>
      <x:c r="B75" s="76"/>
      <x:c r="C75" s="76"/>
      <x:c r="D75" s="76"/>
      <x:c r="E75" s="76"/>
      <x:c r="F75" s="77"/>
      <x:c r="G75" s="77"/>
      <x:c r="H75" s="77"/>
      <x:c r="I75" s="77"/>
      <x:c r="J75" s="76"/>
      <x:c r="K75" s="76"/>
      <x:c r="L75" s="76"/>
      <x:c r="M75" s="77" t="str">
        <x:f>IF(I75="","",I75*0.586)</x:f>
      </x:c>
      <x:c r="N75" s="76"/>
      <x:c r="O75" s="76"/>
      <x:c r="P75" s="78" t="str">
        <x:f>IF(B75="","",TODAY())</x:f>
      </x:c>
      <x:c r="Q75" s="76"/>
      <x:c r="R75" s="76" t="str">
        <x:f>IF(B75="","",IF(OR(C75="",D75="",E75="",F75="",J75="",K75="",L75="",O75&lt;&gt;"Validé humainement"),"ALERTE: données/preuves/statut",IF(OR(AND(ISNUMBER(F75),F75&lt;0),AND(ISNUMBER(G75),G75&lt;0),AND(ISNUMBER(H75),H75&lt;0),AND(ISNUMBER(I75),I75&lt;0),AND(ISNUMBER(F75),ISNUMBER(G75),ISNUMBER(H75),ISNUMBER(I75),G75+H75+I75&gt;F75)),"ALERTE: valeur anormale","OK")))</x:f>
      </x:c>
      <x:c r="S75" s="76" t="str">
        <x:f>IF(B75="","",IF(O75="Validé humainement","Oui","Non"))</x:f>
      </x:c>
    </x:row>
    <x:row r="76">
      <x:c r="A76" s="76" t="str">
        <x:f>IF(B76="","","DECH-"&amp;TEXT(ROW()-4,"0000"))</x:f>
      </x:c>
      <x:c r="B76" s="76"/>
      <x:c r="C76" s="76"/>
      <x:c r="D76" s="76"/>
      <x:c r="E76" s="76"/>
      <x:c r="F76" s="77"/>
      <x:c r="G76" s="77"/>
      <x:c r="H76" s="77"/>
      <x:c r="I76" s="77"/>
      <x:c r="J76" s="76"/>
      <x:c r="K76" s="76"/>
      <x:c r="L76" s="76"/>
      <x:c r="M76" s="77" t="str">
        <x:f>IF(I76="","",I76*0.586)</x:f>
      </x:c>
      <x:c r="N76" s="76"/>
      <x:c r="O76" s="76"/>
      <x:c r="P76" s="78" t="str">
        <x:f>IF(B76="","",TODAY())</x:f>
      </x:c>
      <x:c r="Q76" s="76"/>
      <x:c r="R76" s="76" t="str">
        <x:f>IF(B76="","",IF(OR(C76="",D76="",E76="",F76="",J76="",K76="",L76="",O76&lt;&gt;"Validé humainement"),"ALERTE: données/preuves/statut",IF(OR(AND(ISNUMBER(F76),F76&lt;0),AND(ISNUMBER(G76),G76&lt;0),AND(ISNUMBER(H76),H76&lt;0),AND(ISNUMBER(I76),I76&lt;0),AND(ISNUMBER(F76),ISNUMBER(G76),ISNUMBER(H76),ISNUMBER(I76),G76+H76+I76&gt;F76)),"ALERTE: valeur anormale","OK")))</x:f>
      </x:c>
      <x:c r="S76" s="76" t="str">
        <x:f>IF(B76="","",IF(O76="Validé humainement","Oui","Non"))</x:f>
      </x:c>
    </x:row>
    <x:row r="77">
      <x:c r="A77" s="76" t="str">
        <x:f>IF(B77="","","DECH-"&amp;TEXT(ROW()-4,"0000"))</x:f>
      </x:c>
      <x:c r="B77" s="76"/>
      <x:c r="C77" s="76"/>
      <x:c r="D77" s="76"/>
      <x:c r="E77" s="76"/>
      <x:c r="F77" s="77"/>
      <x:c r="G77" s="77"/>
      <x:c r="H77" s="77"/>
      <x:c r="I77" s="77"/>
      <x:c r="J77" s="76"/>
      <x:c r="K77" s="76"/>
      <x:c r="L77" s="76"/>
      <x:c r="M77" s="77" t="str">
        <x:f>IF(I77="","",I77*0.586)</x:f>
      </x:c>
      <x:c r="N77" s="76"/>
      <x:c r="O77" s="76"/>
      <x:c r="P77" s="78" t="str">
        <x:f>IF(B77="","",TODAY())</x:f>
      </x:c>
      <x:c r="Q77" s="76"/>
      <x:c r="R77" s="76" t="str">
        <x:f>IF(B77="","",IF(OR(C77="",D77="",E77="",F77="",J77="",K77="",L77="",O77&lt;&gt;"Validé humainement"),"ALERTE: données/preuves/statut",IF(OR(AND(ISNUMBER(F77),F77&lt;0),AND(ISNUMBER(G77),G77&lt;0),AND(ISNUMBER(H77),H77&lt;0),AND(ISNUMBER(I77),I77&lt;0),AND(ISNUMBER(F77),ISNUMBER(G77),ISNUMBER(H77),ISNUMBER(I77),G77+H77+I77&gt;F77)),"ALERTE: valeur anormale","OK")))</x:f>
      </x:c>
      <x:c r="S77" s="76" t="str">
        <x:f>IF(B77="","",IF(O77="Validé humainement","Oui","Non"))</x:f>
      </x:c>
    </x:row>
    <x:row r="78">
      <x:c r="A78" s="76" t="str">
        <x:f>IF(B78="","","DECH-"&amp;TEXT(ROW()-4,"0000"))</x:f>
      </x:c>
      <x:c r="B78" s="76"/>
      <x:c r="C78" s="76"/>
      <x:c r="D78" s="76"/>
      <x:c r="E78" s="76"/>
      <x:c r="F78" s="77"/>
      <x:c r="G78" s="77"/>
      <x:c r="H78" s="77"/>
      <x:c r="I78" s="77"/>
      <x:c r="J78" s="76"/>
      <x:c r="K78" s="76"/>
      <x:c r="L78" s="76"/>
      <x:c r="M78" s="77" t="str">
        <x:f>IF(I78="","",I78*0.586)</x:f>
      </x:c>
      <x:c r="N78" s="76"/>
      <x:c r="O78" s="76"/>
      <x:c r="P78" s="78" t="str">
        <x:f>IF(B78="","",TODAY())</x:f>
      </x:c>
      <x:c r="Q78" s="76"/>
      <x:c r="R78" s="76" t="str">
        <x:f>IF(B78="","",IF(OR(C78="",D78="",E78="",F78="",J78="",K78="",L78="",O78&lt;&gt;"Validé humainement"),"ALERTE: données/preuves/statut",IF(OR(AND(ISNUMBER(F78),F78&lt;0),AND(ISNUMBER(G78),G78&lt;0),AND(ISNUMBER(H78),H78&lt;0),AND(ISNUMBER(I78),I78&lt;0),AND(ISNUMBER(F78),ISNUMBER(G78),ISNUMBER(H78),ISNUMBER(I78),G78+H78+I78&gt;F78)),"ALERTE: valeur anormale","OK")))</x:f>
      </x:c>
      <x:c r="S78" s="76" t="str">
        <x:f>IF(B78="","",IF(O78="Validé humainement","Oui","Non"))</x:f>
      </x:c>
    </x:row>
    <x:row r="79">
      <x:c r="A79" s="76" t="str">
        <x:f>IF(B79="","","DECH-"&amp;TEXT(ROW()-4,"0000"))</x:f>
      </x:c>
      <x:c r="B79" s="76"/>
      <x:c r="C79" s="76"/>
      <x:c r="D79" s="76"/>
      <x:c r="E79" s="76"/>
      <x:c r="F79" s="77"/>
      <x:c r="G79" s="77"/>
      <x:c r="H79" s="77"/>
      <x:c r="I79" s="77"/>
      <x:c r="J79" s="76"/>
      <x:c r="K79" s="76"/>
      <x:c r="L79" s="76"/>
      <x:c r="M79" s="77" t="str">
        <x:f>IF(I79="","",I79*0.586)</x:f>
      </x:c>
      <x:c r="N79" s="76"/>
      <x:c r="O79" s="76"/>
      <x:c r="P79" s="78" t="str">
        <x:f>IF(B79="","",TODAY())</x:f>
      </x:c>
      <x:c r="Q79" s="76"/>
      <x:c r="R79" s="76" t="str">
        <x:f>IF(B79="","",IF(OR(C79="",D79="",E79="",F79="",J79="",K79="",L79="",O79&lt;&gt;"Validé humainement"),"ALERTE: données/preuves/statut",IF(OR(AND(ISNUMBER(F79),F79&lt;0),AND(ISNUMBER(G79),G79&lt;0),AND(ISNUMBER(H79),H79&lt;0),AND(ISNUMBER(I79),I79&lt;0),AND(ISNUMBER(F79),ISNUMBER(G79),ISNUMBER(H79),ISNUMBER(I79),G79+H79+I79&gt;F79)),"ALERTE: valeur anormale","OK")))</x:f>
      </x:c>
      <x:c r="S79" s="76" t="str">
        <x:f>IF(B79="","",IF(O79="Validé humainement","Oui","Non"))</x:f>
      </x:c>
    </x:row>
    <x:row r="80">
      <x:c r="A80" s="76" t="str">
        <x:f>IF(B80="","","DECH-"&amp;TEXT(ROW()-4,"0000"))</x:f>
      </x:c>
      <x:c r="B80" s="76"/>
      <x:c r="C80" s="76"/>
      <x:c r="D80" s="76"/>
      <x:c r="E80" s="76"/>
      <x:c r="F80" s="77"/>
      <x:c r="G80" s="77"/>
      <x:c r="H80" s="77"/>
      <x:c r="I80" s="77"/>
      <x:c r="J80" s="76"/>
      <x:c r="K80" s="76"/>
      <x:c r="L80" s="76"/>
      <x:c r="M80" s="77" t="str">
        <x:f>IF(I80="","",I80*0.586)</x:f>
      </x:c>
      <x:c r="N80" s="76"/>
      <x:c r="O80" s="76"/>
      <x:c r="P80" s="78" t="str">
        <x:f>IF(B80="","",TODAY())</x:f>
      </x:c>
      <x:c r="Q80" s="76"/>
      <x:c r="R80" s="76" t="str">
        <x:f>IF(B80="","",IF(OR(C80="",D80="",E80="",F80="",J80="",K80="",L80="",O80&lt;&gt;"Validé humainement"),"ALERTE: données/preuves/statut",IF(OR(AND(ISNUMBER(F80),F80&lt;0),AND(ISNUMBER(G80),G80&lt;0),AND(ISNUMBER(H80),H80&lt;0),AND(ISNUMBER(I80),I80&lt;0),AND(ISNUMBER(F80),ISNUMBER(G80),ISNUMBER(H80),ISNUMBER(I80),G80+H80+I80&gt;F80)),"ALERTE: valeur anormale","OK")))</x:f>
      </x:c>
      <x:c r="S80" s="76" t="str">
        <x:f>IF(B80="","",IF(O80="Validé humainement","Oui","Non"))</x:f>
      </x:c>
    </x:row>
    <x:row r="81">
      <x:c r="A81" s="76" t="str">
        <x:f>IF(B81="","","DECH-"&amp;TEXT(ROW()-4,"0000"))</x:f>
      </x:c>
      <x:c r="B81" s="76"/>
      <x:c r="C81" s="76"/>
      <x:c r="D81" s="76"/>
      <x:c r="E81" s="76"/>
      <x:c r="F81" s="77"/>
      <x:c r="G81" s="77"/>
      <x:c r="H81" s="77"/>
      <x:c r="I81" s="77"/>
      <x:c r="J81" s="76"/>
      <x:c r="K81" s="76"/>
      <x:c r="L81" s="76"/>
      <x:c r="M81" s="77" t="str">
        <x:f>IF(I81="","",I81*0.586)</x:f>
      </x:c>
      <x:c r="N81" s="76"/>
      <x:c r="O81" s="76"/>
      <x:c r="P81" s="78" t="str">
        <x:f>IF(B81="","",TODAY())</x:f>
      </x:c>
      <x:c r="Q81" s="76"/>
      <x:c r="R81" s="76" t="str">
        <x:f>IF(B81="","",IF(OR(C81="",D81="",E81="",F81="",J81="",K81="",L81="",O81&lt;&gt;"Validé humainement"),"ALERTE: données/preuves/statut",IF(OR(AND(ISNUMBER(F81),F81&lt;0),AND(ISNUMBER(G81),G81&lt;0),AND(ISNUMBER(H81),H81&lt;0),AND(ISNUMBER(I81),I81&lt;0),AND(ISNUMBER(F81),ISNUMBER(G81),ISNUMBER(H81),ISNUMBER(I81),G81+H81+I81&gt;F81)),"ALERTE: valeur anormale","OK")))</x:f>
      </x:c>
      <x:c r="S81" s="76" t="str">
        <x:f>IF(B81="","",IF(O81="Validé humainement","Oui","Non"))</x:f>
      </x:c>
    </x:row>
    <x:row r="82">
      <x:c r="A82" s="76" t="str">
        <x:f>IF(B82="","","DECH-"&amp;TEXT(ROW()-4,"0000"))</x:f>
      </x:c>
      <x:c r="B82" s="76"/>
      <x:c r="C82" s="76"/>
      <x:c r="D82" s="76"/>
      <x:c r="E82" s="76"/>
      <x:c r="F82" s="77"/>
      <x:c r="G82" s="77"/>
      <x:c r="H82" s="77"/>
      <x:c r="I82" s="77"/>
      <x:c r="J82" s="76"/>
      <x:c r="K82" s="76"/>
      <x:c r="L82" s="76"/>
      <x:c r="M82" s="77" t="str">
        <x:f>IF(I82="","",I82*0.586)</x:f>
      </x:c>
      <x:c r="N82" s="76"/>
      <x:c r="O82" s="76"/>
      <x:c r="P82" s="78" t="str">
        <x:f>IF(B82="","",TODAY())</x:f>
      </x:c>
      <x:c r="Q82" s="76"/>
      <x:c r="R82" s="76" t="str">
        <x:f>IF(B82="","",IF(OR(C82="",D82="",E82="",F82="",J82="",K82="",L82="",O82&lt;&gt;"Validé humainement"),"ALERTE: données/preuves/statut",IF(OR(AND(ISNUMBER(F82),F82&lt;0),AND(ISNUMBER(G82),G82&lt;0),AND(ISNUMBER(H82),H82&lt;0),AND(ISNUMBER(I82),I82&lt;0),AND(ISNUMBER(F82),ISNUMBER(G82),ISNUMBER(H82),ISNUMBER(I82),G82+H82+I82&gt;F82)),"ALERTE: valeur anormale","OK")))</x:f>
      </x:c>
      <x:c r="S82" s="76" t="str">
        <x:f>IF(B82="","",IF(O82="Validé humainement","Oui","Non"))</x:f>
      </x:c>
    </x:row>
    <x:row r="83">
      <x:c r="A83" s="76" t="str">
        <x:f>IF(B83="","","DECH-"&amp;TEXT(ROW()-4,"0000"))</x:f>
      </x:c>
      <x:c r="B83" s="76"/>
      <x:c r="C83" s="76"/>
      <x:c r="D83" s="76"/>
      <x:c r="E83" s="76"/>
      <x:c r="F83" s="77"/>
      <x:c r="G83" s="77"/>
      <x:c r="H83" s="77"/>
      <x:c r="I83" s="77"/>
      <x:c r="J83" s="76"/>
      <x:c r="K83" s="76"/>
      <x:c r="L83" s="76"/>
      <x:c r="M83" s="77" t="str">
        <x:f>IF(I83="","",I83*0.586)</x:f>
      </x:c>
      <x:c r="N83" s="76"/>
      <x:c r="O83" s="76"/>
      <x:c r="P83" s="78" t="str">
        <x:f>IF(B83="","",TODAY())</x:f>
      </x:c>
      <x:c r="Q83" s="76"/>
      <x:c r="R83" s="76" t="str">
        <x:f>IF(B83="","",IF(OR(C83="",D83="",E83="",F83="",J83="",K83="",L83="",O83&lt;&gt;"Validé humainement"),"ALERTE: données/preuves/statut",IF(OR(AND(ISNUMBER(F83),F83&lt;0),AND(ISNUMBER(G83),G83&lt;0),AND(ISNUMBER(H83),H83&lt;0),AND(ISNUMBER(I83),I83&lt;0),AND(ISNUMBER(F83),ISNUMBER(G83),ISNUMBER(H83),ISNUMBER(I83),G83+H83+I83&gt;F83)),"ALERTE: valeur anormale","OK")))</x:f>
      </x:c>
      <x:c r="S83" s="76" t="str">
        <x:f>IF(B83="","",IF(O83="Validé humainement","Oui","Non"))</x:f>
      </x:c>
    </x:row>
    <x:row r="84">
      <x:c r="A84" s="76" t="str">
        <x:f>IF(B84="","","DECH-"&amp;TEXT(ROW()-4,"0000"))</x:f>
      </x:c>
      <x:c r="B84" s="76"/>
      <x:c r="C84" s="76"/>
      <x:c r="D84" s="76"/>
      <x:c r="E84" s="76"/>
      <x:c r="F84" s="77"/>
      <x:c r="G84" s="77"/>
      <x:c r="H84" s="77"/>
      <x:c r="I84" s="77"/>
      <x:c r="J84" s="76"/>
      <x:c r="K84" s="76"/>
      <x:c r="L84" s="76"/>
      <x:c r="M84" s="77" t="str">
        <x:f>IF(I84="","",I84*0.586)</x:f>
      </x:c>
      <x:c r="N84" s="76"/>
      <x:c r="O84" s="76"/>
      <x:c r="P84" s="78" t="str">
        <x:f>IF(B84="","",TODAY())</x:f>
      </x:c>
      <x:c r="Q84" s="76"/>
      <x:c r="R84" s="76" t="str">
        <x:f>IF(B84="","",IF(OR(C84="",D84="",E84="",F84="",J84="",K84="",L84="",O84&lt;&gt;"Validé humainement"),"ALERTE: données/preuves/statut",IF(OR(AND(ISNUMBER(F84),F84&lt;0),AND(ISNUMBER(G84),G84&lt;0),AND(ISNUMBER(H84),H84&lt;0),AND(ISNUMBER(I84),I84&lt;0),AND(ISNUMBER(F84),ISNUMBER(G84),ISNUMBER(H84),ISNUMBER(I84),G84+H84+I84&gt;F84)),"ALERTE: valeur anormale","OK")))</x:f>
      </x:c>
      <x:c r="S84" s="76" t="str">
        <x:f>IF(B84="","",IF(O84="Validé humainement","Oui","Non"))</x:f>
      </x:c>
    </x:row>
    <x:row r="85">
      <x:c r="A85" s="76" t="str">
        <x:f>IF(B85="","","DECH-"&amp;TEXT(ROW()-4,"0000"))</x:f>
      </x:c>
      <x:c r="B85" s="76"/>
      <x:c r="C85" s="76"/>
      <x:c r="D85" s="76"/>
      <x:c r="E85" s="76"/>
      <x:c r="F85" s="77"/>
      <x:c r="G85" s="77"/>
      <x:c r="H85" s="77"/>
      <x:c r="I85" s="77"/>
      <x:c r="J85" s="76"/>
      <x:c r="K85" s="76"/>
      <x:c r="L85" s="76"/>
      <x:c r="M85" s="77" t="str">
        <x:f>IF(I85="","",I85*0.586)</x:f>
      </x:c>
      <x:c r="N85" s="76"/>
      <x:c r="O85" s="76"/>
      <x:c r="P85" s="78" t="str">
        <x:f>IF(B85="","",TODAY())</x:f>
      </x:c>
      <x:c r="Q85" s="76"/>
      <x:c r="R85" s="76" t="str">
        <x:f>IF(B85="","",IF(OR(C85="",D85="",E85="",F85="",J85="",K85="",L85="",O85&lt;&gt;"Validé humainement"),"ALERTE: données/preuves/statut",IF(OR(AND(ISNUMBER(F85),F85&lt;0),AND(ISNUMBER(G85),G85&lt;0),AND(ISNUMBER(H85),H85&lt;0),AND(ISNUMBER(I85),I85&lt;0),AND(ISNUMBER(F85),ISNUMBER(G85),ISNUMBER(H85),ISNUMBER(I85),G85+H85+I85&gt;F85)),"ALERTE: valeur anormale","OK")))</x:f>
      </x:c>
      <x:c r="S85" s="76" t="str">
        <x:f>IF(B85="","",IF(O85="Validé humainement","Oui","Non"))</x:f>
      </x:c>
    </x:row>
    <x:row r="86">
      <x:c r="A86" s="76" t="str">
        <x:f>IF(B86="","","DECH-"&amp;TEXT(ROW()-4,"0000"))</x:f>
      </x:c>
      <x:c r="B86" s="76"/>
      <x:c r="C86" s="76"/>
      <x:c r="D86" s="76"/>
      <x:c r="E86" s="76"/>
      <x:c r="F86" s="77"/>
      <x:c r="G86" s="77"/>
      <x:c r="H86" s="77"/>
      <x:c r="I86" s="77"/>
      <x:c r="J86" s="76"/>
      <x:c r="K86" s="76"/>
      <x:c r="L86" s="76"/>
      <x:c r="M86" s="77" t="str">
        <x:f>IF(I86="","",I86*0.586)</x:f>
      </x:c>
      <x:c r="N86" s="76"/>
      <x:c r="O86" s="76"/>
      <x:c r="P86" s="78" t="str">
        <x:f>IF(B86="","",TODAY())</x:f>
      </x:c>
      <x:c r="Q86" s="76"/>
      <x:c r="R86" s="76" t="str">
        <x:f>IF(B86="","",IF(OR(C86="",D86="",E86="",F86="",J86="",K86="",L86="",O86&lt;&gt;"Validé humainement"),"ALERTE: données/preuves/statut",IF(OR(AND(ISNUMBER(F86),F86&lt;0),AND(ISNUMBER(G86),G86&lt;0),AND(ISNUMBER(H86),H86&lt;0),AND(ISNUMBER(I86),I86&lt;0),AND(ISNUMBER(F86),ISNUMBER(G86),ISNUMBER(H86),ISNUMBER(I86),G86+H86+I86&gt;F86)),"ALERTE: valeur anormale","OK")))</x:f>
      </x:c>
      <x:c r="S86" s="76" t="str">
        <x:f>IF(B86="","",IF(O86="Validé humainement","Oui","Non"))</x:f>
      </x:c>
    </x:row>
    <x:row r="87">
      <x:c r="A87" s="76" t="str">
        <x:f>IF(B87="","","DECH-"&amp;TEXT(ROW()-4,"0000"))</x:f>
      </x:c>
      <x:c r="B87" s="76"/>
      <x:c r="C87" s="76"/>
      <x:c r="D87" s="76"/>
      <x:c r="E87" s="76"/>
      <x:c r="F87" s="77"/>
      <x:c r="G87" s="77"/>
      <x:c r="H87" s="77"/>
      <x:c r="I87" s="77"/>
      <x:c r="J87" s="76"/>
      <x:c r="K87" s="76"/>
      <x:c r="L87" s="76"/>
      <x:c r="M87" s="77" t="str">
        <x:f>IF(I87="","",I87*0.586)</x:f>
      </x:c>
      <x:c r="N87" s="76"/>
      <x:c r="O87" s="76"/>
      <x:c r="P87" s="78" t="str">
        <x:f>IF(B87="","",TODAY())</x:f>
      </x:c>
      <x:c r="Q87" s="76"/>
      <x:c r="R87" s="76" t="str">
        <x:f>IF(B87="","",IF(OR(C87="",D87="",E87="",F87="",J87="",K87="",L87="",O87&lt;&gt;"Validé humainement"),"ALERTE: données/preuves/statut",IF(OR(AND(ISNUMBER(F87),F87&lt;0),AND(ISNUMBER(G87),G87&lt;0),AND(ISNUMBER(H87),H87&lt;0),AND(ISNUMBER(I87),I87&lt;0),AND(ISNUMBER(F87),ISNUMBER(G87),ISNUMBER(H87),ISNUMBER(I87),G87+H87+I87&gt;F87)),"ALERTE: valeur anormale","OK")))</x:f>
      </x:c>
      <x:c r="S87" s="76" t="str">
        <x:f>IF(B87="","",IF(O87="Validé humainement","Oui","Non"))</x:f>
      </x:c>
    </x:row>
    <x:row r="88">
      <x:c r="A88" s="76" t="str">
        <x:f>IF(B88="","","DECH-"&amp;TEXT(ROW()-4,"0000"))</x:f>
      </x:c>
      <x:c r="B88" s="76"/>
      <x:c r="C88" s="76"/>
      <x:c r="D88" s="76"/>
      <x:c r="E88" s="76"/>
      <x:c r="F88" s="77"/>
      <x:c r="G88" s="77"/>
      <x:c r="H88" s="77"/>
      <x:c r="I88" s="77"/>
      <x:c r="J88" s="76"/>
      <x:c r="K88" s="76"/>
      <x:c r="L88" s="76"/>
      <x:c r="M88" s="77" t="str">
        <x:f>IF(I88="","",I88*0.586)</x:f>
      </x:c>
      <x:c r="N88" s="76"/>
      <x:c r="O88" s="76"/>
      <x:c r="P88" s="78" t="str">
        <x:f>IF(B88="","",TODAY())</x:f>
      </x:c>
      <x:c r="Q88" s="76"/>
      <x:c r="R88" s="76" t="str">
        <x:f>IF(B88="","",IF(OR(C88="",D88="",E88="",F88="",J88="",K88="",L88="",O88&lt;&gt;"Validé humainement"),"ALERTE: données/preuves/statut",IF(OR(AND(ISNUMBER(F88),F88&lt;0),AND(ISNUMBER(G88),G88&lt;0),AND(ISNUMBER(H88),H88&lt;0),AND(ISNUMBER(I88),I88&lt;0),AND(ISNUMBER(F88),ISNUMBER(G88),ISNUMBER(H88),ISNUMBER(I88),G88+H88+I88&gt;F88)),"ALERTE: valeur anormale","OK")))</x:f>
      </x:c>
      <x:c r="S88" s="76" t="str">
        <x:f>IF(B88="","",IF(O88="Validé humainement","Oui","Non"))</x:f>
      </x:c>
    </x:row>
    <x:row r="89">
      <x:c r="A89" s="76" t="str">
        <x:f>IF(B89="","","DECH-"&amp;TEXT(ROW()-4,"0000"))</x:f>
      </x:c>
      <x:c r="B89" s="76"/>
      <x:c r="C89" s="76"/>
      <x:c r="D89" s="76"/>
      <x:c r="E89" s="76"/>
      <x:c r="F89" s="77"/>
      <x:c r="G89" s="77"/>
      <x:c r="H89" s="77"/>
      <x:c r="I89" s="77"/>
      <x:c r="J89" s="76"/>
      <x:c r="K89" s="76"/>
      <x:c r="L89" s="76"/>
      <x:c r="M89" s="77" t="str">
        <x:f>IF(I89="","",I89*0.586)</x:f>
      </x:c>
      <x:c r="N89" s="76"/>
      <x:c r="O89" s="76"/>
      <x:c r="P89" s="78" t="str">
        <x:f>IF(B89="","",TODAY())</x:f>
      </x:c>
      <x:c r="Q89" s="76"/>
      <x:c r="R89" s="76" t="str">
        <x:f>IF(B89="","",IF(OR(C89="",D89="",E89="",F89="",J89="",K89="",L89="",O89&lt;&gt;"Validé humainement"),"ALERTE: données/preuves/statut",IF(OR(AND(ISNUMBER(F89),F89&lt;0),AND(ISNUMBER(G89),G89&lt;0),AND(ISNUMBER(H89),H89&lt;0),AND(ISNUMBER(I89),I89&lt;0),AND(ISNUMBER(F89),ISNUMBER(G89),ISNUMBER(H89),ISNUMBER(I89),G89+H89+I89&gt;F89)),"ALERTE: valeur anormale","OK")))</x:f>
      </x:c>
      <x:c r="S89" s="76" t="str">
        <x:f>IF(B89="","",IF(O89="Validé humainement","Oui","Non"))</x:f>
      </x:c>
    </x:row>
    <x:row r="90">
      <x:c r="A90" s="76" t="str">
        <x:f>IF(B90="","","DECH-"&amp;TEXT(ROW()-4,"0000"))</x:f>
      </x:c>
      <x:c r="B90" s="76"/>
      <x:c r="C90" s="76"/>
      <x:c r="D90" s="76"/>
      <x:c r="E90" s="76"/>
      <x:c r="F90" s="77"/>
      <x:c r="G90" s="77"/>
      <x:c r="H90" s="77"/>
      <x:c r="I90" s="77"/>
      <x:c r="J90" s="76"/>
      <x:c r="K90" s="76"/>
      <x:c r="L90" s="76"/>
      <x:c r="M90" s="77" t="str">
        <x:f>IF(I90="","",I90*0.586)</x:f>
      </x:c>
      <x:c r="N90" s="76"/>
      <x:c r="O90" s="76"/>
      <x:c r="P90" s="78" t="str">
        <x:f>IF(B90="","",TODAY())</x:f>
      </x:c>
      <x:c r="Q90" s="76"/>
      <x:c r="R90" s="76" t="str">
        <x:f>IF(B90="","",IF(OR(C90="",D90="",E90="",F90="",J90="",K90="",L90="",O90&lt;&gt;"Validé humainement"),"ALERTE: données/preuves/statut",IF(OR(AND(ISNUMBER(F90),F90&lt;0),AND(ISNUMBER(G90),G90&lt;0),AND(ISNUMBER(H90),H90&lt;0),AND(ISNUMBER(I90),I90&lt;0),AND(ISNUMBER(F90),ISNUMBER(G90),ISNUMBER(H90),ISNUMBER(I90),G90+H90+I90&gt;F90)),"ALERTE: valeur anormale","OK")))</x:f>
      </x:c>
      <x:c r="S90" s="76" t="str">
        <x:f>IF(B90="","",IF(O90="Validé humainement","Oui","Non"))</x:f>
      </x:c>
    </x:row>
    <x:row r="91">
      <x:c r="A91" s="76" t="str">
        <x:f>IF(B91="","","DECH-"&amp;TEXT(ROW()-4,"0000"))</x:f>
      </x:c>
      <x:c r="B91" s="76"/>
      <x:c r="C91" s="76"/>
      <x:c r="D91" s="76"/>
      <x:c r="E91" s="76"/>
      <x:c r="F91" s="77"/>
      <x:c r="G91" s="77"/>
      <x:c r="H91" s="77"/>
      <x:c r="I91" s="77"/>
      <x:c r="J91" s="76"/>
      <x:c r="K91" s="76"/>
      <x:c r="L91" s="76"/>
      <x:c r="M91" s="77" t="str">
        <x:f>IF(I91="","",I91*0.586)</x:f>
      </x:c>
      <x:c r="N91" s="76"/>
      <x:c r="O91" s="76"/>
      <x:c r="P91" s="78" t="str">
        <x:f>IF(B91="","",TODAY())</x:f>
      </x:c>
      <x:c r="Q91" s="76"/>
      <x:c r="R91" s="76" t="str">
        <x:f>IF(B91="","",IF(OR(C91="",D91="",E91="",F91="",J91="",K91="",L91="",O91&lt;&gt;"Validé humainement"),"ALERTE: données/preuves/statut",IF(OR(AND(ISNUMBER(F91),F91&lt;0),AND(ISNUMBER(G91),G91&lt;0),AND(ISNUMBER(H91),H91&lt;0),AND(ISNUMBER(I91),I91&lt;0),AND(ISNUMBER(F91),ISNUMBER(G91),ISNUMBER(H91),ISNUMBER(I91),G91+H91+I91&gt;F91)),"ALERTE: valeur anormale","OK")))</x:f>
      </x:c>
      <x:c r="S91" s="76" t="str">
        <x:f>IF(B91="","",IF(O91="Validé humainement","Oui","Non"))</x:f>
      </x:c>
    </x:row>
    <x:row r="92">
      <x:c r="A92" s="76" t="str">
        <x:f>IF(B92="","","DECH-"&amp;TEXT(ROW()-4,"0000"))</x:f>
      </x:c>
      <x:c r="B92" s="76"/>
      <x:c r="C92" s="76"/>
      <x:c r="D92" s="76"/>
      <x:c r="E92" s="76"/>
      <x:c r="F92" s="77"/>
      <x:c r="G92" s="77"/>
      <x:c r="H92" s="77"/>
      <x:c r="I92" s="77"/>
      <x:c r="J92" s="76"/>
      <x:c r="K92" s="76"/>
      <x:c r="L92" s="76"/>
      <x:c r="M92" s="77" t="str">
        <x:f>IF(I92="","",I92*0.586)</x:f>
      </x:c>
      <x:c r="N92" s="76"/>
      <x:c r="O92" s="76"/>
      <x:c r="P92" s="78" t="str">
        <x:f>IF(B92="","",TODAY())</x:f>
      </x:c>
      <x:c r="Q92" s="76"/>
      <x:c r="R92" s="76" t="str">
        <x:f>IF(B92="","",IF(OR(C92="",D92="",E92="",F92="",J92="",K92="",L92="",O92&lt;&gt;"Validé humainement"),"ALERTE: données/preuves/statut",IF(OR(AND(ISNUMBER(F92),F92&lt;0),AND(ISNUMBER(G92),G92&lt;0),AND(ISNUMBER(H92),H92&lt;0),AND(ISNUMBER(I92),I92&lt;0),AND(ISNUMBER(F92),ISNUMBER(G92),ISNUMBER(H92),ISNUMBER(I92),G92+H92+I92&gt;F92)),"ALERTE: valeur anormale","OK")))</x:f>
      </x:c>
      <x:c r="S92" s="76" t="str">
        <x:f>IF(B92="","",IF(O92="Validé humainement","Oui","Non"))</x:f>
      </x:c>
    </x:row>
    <x:row r="93">
      <x:c r="A93" s="76" t="str">
        <x:f>IF(B93="","","DECH-"&amp;TEXT(ROW()-4,"0000"))</x:f>
      </x:c>
      <x:c r="B93" s="76"/>
      <x:c r="C93" s="76"/>
      <x:c r="D93" s="76"/>
      <x:c r="E93" s="76"/>
      <x:c r="F93" s="77"/>
      <x:c r="G93" s="77"/>
      <x:c r="H93" s="77"/>
      <x:c r="I93" s="77"/>
      <x:c r="J93" s="76"/>
      <x:c r="K93" s="76"/>
      <x:c r="L93" s="76"/>
      <x:c r="M93" s="77" t="str">
        <x:f>IF(I93="","",I93*0.586)</x:f>
      </x:c>
      <x:c r="N93" s="76"/>
      <x:c r="O93" s="76"/>
      <x:c r="P93" s="78" t="str">
        <x:f>IF(B93="","",TODAY())</x:f>
      </x:c>
      <x:c r="Q93" s="76"/>
      <x:c r="R93" s="76" t="str">
        <x:f>IF(B93="","",IF(OR(C93="",D93="",E93="",F93="",J93="",K93="",L93="",O93&lt;&gt;"Validé humainement"),"ALERTE: données/preuves/statut",IF(OR(AND(ISNUMBER(F93),F93&lt;0),AND(ISNUMBER(G93),G93&lt;0),AND(ISNUMBER(H93),H93&lt;0),AND(ISNUMBER(I93),I93&lt;0),AND(ISNUMBER(F93),ISNUMBER(G93),ISNUMBER(H93),ISNUMBER(I93),G93+H93+I93&gt;F93)),"ALERTE: valeur anormale","OK")))</x:f>
      </x:c>
      <x:c r="S93" s="76" t="str">
        <x:f>IF(B93="","",IF(O93="Validé humainement","Oui","Non"))</x:f>
      </x:c>
    </x:row>
    <x:row r="94">
      <x:c r="A94" s="76" t="str">
        <x:f>IF(B94="","","DECH-"&amp;TEXT(ROW()-4,"0000"))</x:f>
      </x:c>
      <x:c r="B94" s="76"/>
      <x:c r="C94" s="76"/>
      <x:c r="D94" s="76"/>
      <x:c r="E94" s="76"/>
      <x:c r="F94" s="77"/>
      <x:c r="G94" s="77"/>
      <x:c r="H94" s="77"/>
      <x:c r="I94" s="77"/>
      <x:c r="J94" s="76"/>
      <x:c r="K94" s="76"/>
      <x:c r="L94" s="76"/>
      <x:c r="M94" s="77" t="str">
        <x:f>IF(I94="","",I94*0.586)</x:f>
      </x:c>
      <x:c r="N94" s="76"/>
      <x:c r="O94" s="76"/>
      <x:c r="P94" s="78" t="str">
        <x:f>IF(B94="","",TODAY())</x:f>
      </x:c>
      <x:c r="Q94" s="76"/>
      <x:c r="R94" s="76" t="str">
        <x:f>IF(B94="","",IF(OR(C94="",D94="",E94="",F94="",J94="",K94="",L94="",O94&lt;&gt;"Validé humainement"),"ALERTE: données/preuves/statut",IF(OR(AND(ISNUMBER(F94),F94&lt;0),AND(ISNUMBER(G94),G94&lt;0),AND(ISNUMBER(H94),H94&lt;0),AND(ISNUMBER(I94),I94&lt;0),AND(ISNUMBER(F94),ISNUMBER(G94),ISNUMBER(H94),ISNUMBER(I94),G94+H94+I94&gt;F94)),"ALERTE: valeur anormale","OK")))</x:f>
      </x:c>
      <x:c r="S94" s="76" t="str">
        <x:f>IF(B94="","",IF(O94="Validé humainement","Oui","Non"))</x:f>
      </x:c>
    </x:row>
    <x:row r="95">
      <x:c r="A95" s="76" t="str">
        <x:f>IF(B95="","","DECH-"&amp;TEXT(ROW()-4,"0000"))</x:f>
      </x:c>
      <x:c r="B95" s="76"/>
      <x:c r="C95" s="76"/>
      <x:c r="D95" s="76"/>
      <x:c r="E95" s="76"/>
      <x:c r="F95" s="77"/>
      <x:c r="G95" s="77"/>
      <x:c r="H95" s="77"/>
      <x:c r="I95" s="77"/>
      <x:c r="J95" s="76"/>
      <x:c r="K95" s="76"/>
      <x:c r="L95" s="76"/>
      <x:c r="M95" s="77" t="str">
        <x:f>IF(I95="","",I95*0.586)</x:f>
      </x:c>
      <x:c r="N95" s="76"/>
      <x:c r="O95" s="76"/>
      <x:c r="P95" s="78" t="str">
        <x:f>IF(B95="","",TODAY())</x:f>
      </x:c>
      <x:c r="Q95" s="76"/>
      <x:c r="R95" s="76" t="str">
        <x:f>IF(B95="","",IF(OR(C95="",D95="",E95="",F95="",J95="",K95="",L95="",O95&lt;&gt;"Validé humainement"),"ALERTE: données/preuves/statut",IF(OR(AND(ISNUMBER(F95),F95&lt;0),AND(ISNUMBER(G95),G95&lt;0),AND(ISNUMBER(H95),H95&lt;0),AND(ISNUMBER(I95),I95&lt;0),AND(ISNUMBER(F95),ISNUMBER(G95),ISNUMBER(H95),ISNUMBER(I95),G95+H95+I95&gt;F95)),"ALERTE: valeur anormale","OK")))</x:f>
      </x:c>
      <x:c r="S95" s="76" t="str">
        <x:f>IF(B95="","",IF(O95="Validé humainement","Oui","Non"))</x:f>
      </x:c>
    </x:row>
    <x:row r="96">
      <x:c r="A96" s="76" t="str">
        <x:f>IF(B96="","","DECH-"&amp;TEXT(ROW()-4,"0000"))</x:f>
      </x:c>
      <x:c r="B96" s="76"/>
      <x:c r="C96" s="76"/>
      <x:c r="D96" s="76"/>
      <x:c r="E96" s="76"/>
      <x:c r="F96" s="77"/>
      <x:c r="G96" s="77"/>
      <x:c r="H96" s="77"/>
      <x:c r="I96" s="77"/>
      <x:c r="J96" s="76"/>
      <x:c r="K96" s="76"/>
      <x:c r="L96" s="76"/>
      <x:c r="M96" s="77" t="str">
        <x:f>IF(I96="","",I96*0.586)</x:f>
      </x:c>
      <x:c r="N96" s="76"/>
      <x:c r="O96" s="76"/>
      <x:c r="P96" s="78" t="str">
        <x:f>IF(B96="","",TODAY())</x:f>
      </x:c>
      <x:c r="Q96" s="76"/>
      <x:c r="R96" s="76" t="str">
        <x:f>IF(B96="","",IF(OR(C96="",D96="",E96="",F96="",J96="",K96="",L96="",O96&lt;&gt;"Validé humainement"),"ALERTE: données/preuves/statut",IF(OR(AND(ISNUMBER(F96),F96&lt;0),AND(ISNUMBER(G96),G96&lt;0),AND(ISNUMBER(H96),H96&lt;0),AND(ISNUMBER(I96),I96&lt;0),AND(ISNUMBER(F96),ISNUMBER(G96),ISNUMBER(H96),ISNUMBER(I96),G96+H96+I96&gt;F96)),"ALERTE: valeur anormale","OK")))</x:f>
      </x:c>
      <x:c r="S96" s="76" t="str">
        <x:f>IF(B96="","",IF(O96="Validé humainement","Oui","Non"))</x:f>
      </x:c>
    </x:row>
    <x:row r="97">
      <x:c r="A97" s="76" t="str">
        <x:f>IF(B97="","","DECH-"&amp;TEXT(ROW()-4,"0000"))</x:f>
      </x:c>
      <x:c r="B97" s="76"/>
      <x:c r="C97" s="76"/>
      <x:c r="D97" s="76"/>
      <x:c r="E97" s="76"/>
      <x:c r="F97" s="77"/>
      <x:c r="G97" s="77"/>
      <x:c r="H97" s="77"/>
      <x:c r="I97" s="77"/>
      <x:c r="J97" s="76"/>
      <x:c r="K97" s="76"/>
      <x:c r="L97" s="76"/>
      <x:c r="M97" s="77" t="str">
        <x:f>IF(I97="","",I97*0.586)</x:f>
      </x:c>
      <x:c r="N97" s="76"/>
      <x:c r="O97" s="76"/>
      <x:c r="P97" s="78" t="str">
        <x:f>IF(B97="","",TODAY())</x:f>
      </x:c>
      <x:c r="Q97" s="76"/>
      <x:c r="R97" s="76" t="str">
        <x:f>IF(B97="","",IF(OR(C97="",D97="",E97="",F97="",J97="",K97="",L97="",O97&lt;&gt;"Validé humainement"),"ALERTE: données/preuves/statut",IF(OR(AND(ISNUMBER(F97),F97&lt;0),AND(ISNUMBER(G97),G97&lt;0),AND(ISNUMBER(H97),H97&lt;0),AND(ISNUMBER(I97),I97&lt;0),AND(ISNUMBER(F97),ISNUMBER(G97),ISNUMBER(H97),ISNUMBER(I97),G97+H97+I97&gt;F97)),"ALERTE: valeur anormale","OK")))</x:f>
      </x:c>
      <x:c r="S97" s="76" t="str">
        <x:f>IF(B97="","",IF(O97="Validé humainement","Oui","Non"))</x:f>
      </x:c>
    </x:row>
    <x:row r="98">
      <x:c r="A98" s="76" t="str">
        <x:f>IF(B98="","","DECH-"&amp;TEXT(ROW()-4,"0000"))</x:f>
      </x:c>
      <x:c r="B98" s="76"/>
      <x:c r="C98" s="76"/>
      <x:c r="D98" s="76"/>
      <x:c r="E98" s="76"/>
      <x:c r="F98" s="77"/>
      <x:c r="G98" s="77"/>
      <x:c r="H98" s="77"/>
      <x:c r="I98" s="77"/>
      <x:c r="J98" s="76"/>
      <x:c r="K98" s="76"/>
      <x:c r="L98" s="76"/>
      <x:c r="M98" s="77" t="str">
        <x:f>IF(I98="","",I98*0.586)</x:f>
      </x:c>
      <x:c r="N98" s="76"/>
      <x:c r="O98" s="76"/>
      <x:c r="P98" s="78" t="str">
        <x:f>IF(B98="","",TODAY())</x:f>
      </x:c>
      <x:c r="Q98" s="76"/>
      <x:c r="R98" s="76" t="str">
        <x:f>IF(B98="","",IF(OR(C98="",D98="",E98="",F98="",J98="",K98="",L98="",O98&lt;&gt;"Validé humainement"),"ALERTE: données/preuves/statut",IF(OR(AND(ISNUMBER(F98),F98&lt;0),AND(ISNUMBER(G98),G98&lt;0),AND(ISNUMBER(H98),H98&lt;0),AND(ISNUMBER(I98),I98&lt;0),AND(ISNUMBER(F98),ISNUMBER(G98),ISNUMBER(H98),ISNUMBER(I98),G98+H98+I98&gt;F98)),"ALERTE: valeur anormale","OK")))</x:f>
      </x:c>
      <x:c r="S98" s="76" t="str">
        <x:f>IF(B98="","",IF(O98="Validé humainement","Oui","Non"))</x:f>
      </x:c>
    </x:row>
    <x:row r="99">
      <x:c r="A99" s="76" t="str">
        <x:f>IF(B99="","","DECH-"&amp;TEXT(ROW()-4,"0000"))</x:f>
      </x:c>
      <x:c r="B99" s="76"/>
      <x:c r="C99" s="76"/>
      <x:c r="D99" s="76"/>
      <x:c r="E99" s="76"/>
      <x:c r="F99" s="77"/>
      <x:c r="G99" s="77"/>
      <x:c r="H99" s="77"/>
      <x:c r="I99" s="77"/>
      <x:c r="J99" s="76"/>
      <x:c r="K99" s="76"/>
      <x:c r="L99" s="76"/>
      <x:c r="M99" s="77" t="str">
        <x:f>IF(I99="","",I99*0.586)</x:f>
      </x:c>
      <x:c r="N99" s="76"/>
      <x:c r="O99" s="76"/>
      <x:c r="P99" s="78" t="str">
        <x:f>IF(B99="","",TODAY())</x:f>
      </x:c>
      <x:c r="Q99" s="76"/>
      <x:c r="R99" s="76" t="str">
        <x:f>IF(B99="","",IF(OR(C99="",D99="",E99="",F99="",J99="",K99="",L99="",O99&lt;&gt;"Validé humainement"),"ALERTE: données/preuves/statut",IF(OR(AND(ISNUMBER(F99),F99&lt;0),AND(ISNUMBER(G99),G99&lt;0),AND(ISNUMBER(H99),H99&lt;0),AND(ISNUMBER(I99),I99&lt;0),AND(ISNUMBER(F99),ISNUMBER(G99),ISNUMBER(H99),ISNUMBER(I99),G99+H99+I99&gt;F99)),"ALERTE: valeur anormale","OK")))</x:f>
      </x:c>
      <x:c r="S99" s="76" t="str">
        <x:f>IF(B99="","",IF(O99="Validé humainement","Oui","Non"))</x:f>
      </x:c>
    </x:row>
    <x:row r="100">
      <x:c r="A100" s="76" t="str">
        <x:f>IF(B100="","","DECH-"&amp;TEXT(ROW()-4,"0000"))</x:f>
      </x:c>
      <x:c r="B100" s="76"/>
      <x:c r="C100" s="76"/>
      <x:c r="D100" s="76"/>
      <x:c r="E100" s="76"/>
      <x:c r="F100" s="77"/>
      <x:c r="G100" s="77"/>
      <x:c r="H100" s="77"/>
      <x:c r="I100" s="77"/>
      <x:c r="J100" s="76"/>
      <x:c r="K100" s="76"/>
      <x:c r="L100" s="76"/>
      <x:c r="M100" s="77" t="str">
        <x:f>IF(I100="","",I100*0.586)</x:f>
      </x:c>
      <x:c r="N100" s="76"/>
      <x:c r="O100" s="76"/>
      <x:c r="P100" s="78" t="str">
        <x:f>IF(B100="","",TODAY())</x:f>
      </x:c>
      <x:c r="Q100" s="76"/>
      <x:c r="R100" s="76" t="str">
        <x:f>IF(B100="","",IF(OR(C100="",D100="",E100="",F100="",J100="",K100="",L100="",O100&lt;&gt;"Validé humainement"),"ALERTE: données/preuves/statut",IF(OR(AND(ISNUMBER(F100),F100&lt;0),AND(ISNUMBER(G100),G100&lt;0),AND(ISNUMBER(H100),H100&lt;0),AND(ISNUMBER(I100),I100&lt;0),AND(ISNUMBER(F100),ISNUMBER(G100),ISNUMBER(H100),ISNUMBER(I100),G100+H100+I100&gt;F100)),"ALERTE: valeur anormale","OK")))</x:f>
      </x:c>
      <x:c r="S100" s="76" t="str">
        <x:f>IF(B100="","",IF(O100="Validé humainement","Oui","Non"))</x:f>
      </x:c>
    </x:row>
    <x:row r="101">
      <x:c r="A101" s="76" t="str">
        <x:f>IF(B101="","","DECH-"&amp;TEXT(ROW()-4,"0000"))</x:f>
      </x:c>
      <x:c r="B101" s="76"/>
      <x:c r="C101" s="76"/>
      <x:c r="D101" s="76"/>
      <x:c r="E101" s="76"/>
      <x:c r="F101" s="77"/>
      <x:c r="G101" s="77"/>
      <x:c r="H101" s="77"/>
      <x:c r="I101" s="77"/>
      <x:c r="J101" s="76"/>
      <x:c r="K101" s="76"/>
      <x:c r="L101" s="76"/>
      <x:c r="M101" s="77" t="str">
        <x:f>IF(I101="","",I101*0.586)</x:f>
      </x:c>
      <x:c r="N101" s="76"/>
      <x:c r="O101" s="76"/>
      <x:c r="P101" s="78" t="str">
        <x:f>IF(B101="","",TODAY())</x:f>
      </x:c>
      <x:c r="Q101" s="76"/>
      <x:c r="R101" s="76" t="str">
        <x:f>IF(B101="","",IF(OR(C101="",D101="",E101="",F101="",J101="",K101="",L101="",O101&lt;&gt;"Validé humainement"),"ALERTE: données/preuves/statut",IF(OR(AND(ISNUMBER(F101),F101&lt;0),AND(ISNUMBER(G101),G101&lt;0),AND(ISNUMBER(H101),H101&lt;0),AND(ISNUMBER(I101),I101&lt;0),AND(ISNUMBER(F101),ISNUMBER(G101),ISNUMBER(H101),ISNUMBER(I101),G101+H101+I101&gt;F101)),"ALERTE: valeur anormale","OK")))</x:f>
      </x:c>
      <x:c r="S101" s="76" t="str">
        <x:f>IF(B101="","",IF(O101="Validé humainement","Oui","Non"))</x:f>
      </x:c>
    </x:row>
    <x:row r="102">
      <x:c r="A102" s="76" t="str">
        <x:f>IF(B102="","","DECH-"&amp;TEXT(ROW()-4,"0000"))</x:f>
      </x:c>
      <x:c r="B102" s="76"/>
      <x:c r="C102" s="76"/>
      <x:c r="D102" s="76"/>
      <x:c r="E102" s="76"/>
      <x:c r="F102" s="77"/>
      <x:c r="G102" s="77"/>
      <x:c r="H102" s="77"/>
      <x:c r="I102" s="77"/>
      <x:c r="J102" s="76"/>
      <x:c r="K102" s="76"/>
      <x:c r="L102" s="76"/>
      <x:c r="M102" s="77" t="str">
        <x:f>IF(I102="","",I102*0.586)</x:f>
      </x:c>
      <x:c r="N102" s="76"/>
      <x:c r="O102" s="76"/>
      <x:c r="P102" s="78" t="str">
        <x:f>IF(B102="","",TODAY())</x:f>
      </x:c>
      <x:c r="Q102" s="76"/>
      <x:c r="R102" s="76" t="str">
        <x:f>IF(B102="","",IF(OR(C102="",D102="",E102="",F102="",J102="",K102="",L102="",O102&lt;&gt;"Validé humainement"),"ALERTE: données/preuves/statut",IF(OR(AND(ISNUMBER(F102),F102&lt;0),AND(ISNUMBER(G102),G102&lt;0),AND(ISNUMBER(H102),H102&lt;0),AND(ISNUMBER(I102),I102&lt;0),AND(ISNUMBER(F102),ISNUMBER(G102),ISNUMBER(H102),ISNUMBER(I102),G102+H102+I102&gt;F102)),"ALERTE: valeur anormale","OK")))</x:f>
      </x:c>
      <x:c r="S102" s="76" t="str">
        <x:f>IF(B102="","",IF(O102="Validé humainement","Oui","Non"))</x:f>
      </x:c>
    </x:row>
    <x:row r="103">
      <x:c r="A103" s="76" t="str">
        <x:f>IF(B103="","","DECH-"&amp;TEXT(ROW()-4,"0000"))</x:f>
      </x:c>
      <x:c r="B103" s="76"/>
      <x:c r="C103" s="76"/>
      <x:c r="D103" s="76"/>
      <x:c r="E103" s="76"/>
      <x:c r="F103" s="77"/>
      <x:c r="G103" s="77"/>
      <x:c r="H103" s="77"/>
      <x:c r="I103" s="77"/>
      <x:c r="J103" s="76"/>
      <x:c r="K103" s="76"/>
      <x:c r="L103" s="76"/>
      <x:c r="M103" s="77" t="str">
        <x:f>IF(I103="","",I103*0.586)</x:f>
      </x:c>
      <x:c r="N103" s="76"/>
      <x:c r="O103" s="76"/>
      <x:c r="P103" s="78" t="str">
        <x:f>IF(B103="","",TODAY())</x:f>
      </x:c>
      <x:c r="Q103" s="76"/>
      <x:c r="R103" s="76" t="str">
        <x:f>IF(B103="","",IF(OR(C103="",D103="",E103="",F103="",J103="",K103="",L103="",O103&lt;&gt;"Validé humainement"),"ALERTE: données/preuves/statut",IF(OR(AND(ISNUMBER(F103),F103&lt;0),AND(ISNUMBER(G103),G103&lt;0),AND(ISNUMBER(H103),H103&lt;0),AND(ISNUMBER(I103),I103&lt;0),AND(ISNUMBER(F103),ISNUMBER(G103),ISNUMBER(H103),ISNUMBER(I103),G103+H103+I103&gt;F103)),"ALERTE: valeur anormale","OK")))</x:f>
      </x:c>
      <x:c r="S103" s="76" t="str">
        <x:f>IF(B103="","",IF(O103="Validé humainement","Oui","Non"))</x:f>
      </x:c>
    </x:row>
    <x:row r="104">
      <x:c r="A104" s="76" t="str">
        <x:f>IF(B104="","","DECH-"&amp;TEXT(ROW()-4,"0000"))</x:f>
      </x:c>
      <x:c r="B104" s="76"/>
      <x:c r="C104" s="76"/>
      <x:c r="D104" s="76"/>
      <x:c r="E104" s="76"/>
      <x:c r="F104" s="77"/>
      <x:c r="G104" s="77"/>
      <x:c r="H104" s="77"/>
      <x:c r="I104" s="77"/>
      <x:c r="J104" s="76"/>
      <x:c r="K104" s="76"/>
      <x:c r="L104" s="76"/>
      <x:c r="M104" s="77" t="str">
        <x:f>IF(I104="","",I104*0.586)</x:f>
      </x:c>
      <x:c r="N104" s="76"/>
      <x:c r="O104" s="76"/>
      <x:c r="P104" s="78" t="str">
        <x:f>IF(B104="","",TODAY())</x:f>
      </x:c>
      <x:c r="Q104" s="76"/>
      <x:c r="R104" s="76" t="str">
        <x:f>IF(B104="","",IF(OR(C104="",D104="",E104="",F104="",J104="",K104="",L104="",O104&lt;&gt;"Validé humainement"),"ALERTE: données/preuves/statut",IF(OR(AND(ISNUMBER(F104),F104&lt;0),AND(ISNUMBER(G104),G104&lt;0),AND(ISNUMBER(H104),H104&lt;0),AND(ISNUMBER(I104),I104&lt;0),AND(ISNUMBER(F104),ISNUMBER(G104),ISNUMBER(H104),ISNUMBER(I104),G104+H104+I104&gt;F104)),"ALERTE: valeur anormale","OK")))</x:f>
      </x:c>
      <x:c r="S104" s="76" t="str">
        <x:f>IF(B104="","",IF(O104="Validé humainement","Oui","Non"))</x:f>
      </x:c>
    </x:row>
  </x:sheetData>
  <x:mergeCells>
    <x:mergeCell ref="A1:S1"/>
    <x:mergeCell ref="A2:S2"/>
  </x:mergeCells>
  <x:conditionalFormatting sqref="R5:R104">
    <x:cfRule type="containsText" dxfId="192" priority="1" operator="containsText" text="ALERTE"/>
    <x:cfRule type="containsText" dxfId="193" priority="2" operator="containsText" text="OK"/>
    <x:cfRule type="containsText" dxfId="194" priority="3" operator="containsText" text="Validé"/>
    <x:cfRule type="containsText" dxfId="195" priority="4" operator="containsText" text="À vérifier"/>
    <x:cfRule type="containsText" dxfId="196" priority="5" operator="containsText" text="Rejeté"/>
  </x:conditionalFormatting>
  <x:conditionalFormatting sqref="O5:O104">
    <x:cfRule type="containsText" dxfId="197" priority="6" operator="containsText" text="ALERTE"/>
    <x:cfRule type="containsText" dxfId="198" priority="7" operator="containsText" text="OK"/>
    <x:cfRule type="containsText" dxfId="199" priority="8" operator="containsText" text="Validé"/>
    <x:cfRule type="containsText" dxfId="200" priority="9" operator="containsText" text="À vérifier"/>
    <x:cfRule type="containsText" dxfId="201" priority="10" operator="containsText" text="Rejeté"/>
  </x:conditionalFormatting>
  <x:dataValidations count="7">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K5:K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J5:J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E5:E104">
      <x:formula1>"Ordures ménagères,Plastiques,Papier/carton,Organique,Déchets verts,Déchets dangereux,Autre"</x:formula1>
    </x:dataValidation>
  </x:dataValidations>
  <x:pageMargins left="0.7" right="0.7" top="0.75" bottom="0.75" header="0.3" footer="0.3"/>
  <x:tableParts count="1">
    <x:tablePart xmlns:r="http://schemas.openxmlformats.org/officeDocument/2006/relationships" r:id="R13c953ac80564a9a"/>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1.880000114440918" hidden="0" customWidth="1"/>
    <x:col min="6" max="6" width="11.880000114440918" hidden="0" customWidth="1"/>
    <x:col min="7" max="7" width="11.880000114440918" hidden="0" customWidth="1"/>
    <x:col min="8" max="8" width="11.880000114440918" hidden="0" customWidth="1"/>
    <x:col min="9" max="9" width="11.880000114440918" hidden="0" customWidth="1"/>
    <x:col min="10" max="10" width="11.880000114440918" hidden="0" customWidth="1"/>
    <x:col min="11" max="11" width="16.8799991607666" hidden="0" customWidth="1"/>
    <x:col min="12" max="12" width="18.75" hidden="0" customWidth="1"/>
    <x:col min="13" max="13" width="18.1299991607666" hidden="0" customWidth="1"/>
    <x:col min="14" max="14" width="26.25" hidden="0" customWidth="1"/>
    <x:col min="15" max="15" width="31.25" hidden="0" customWidth="1"/>
    <x:col min="16" max="16" width="20"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qualité de l'air</x:v>
      </x:c>
      <x:c r="B1" s="68"/>
      <x:c r="C1" s="68"/>
      <x:c r="D1" s="68"/>
      <x:c r="E1" s="68"/>
      <x:c r="F1" s="68"/>
      <x:c r="G1" s="68"/>
      <x:c r="H1" s="68"/>
      <x:c r="I1" s="68"/>
      <x:c r="J1" s="68"/>
      <x:c r="K1" s="68"/>
      <x:c r="L1" s="68"/>
      <x:c r="M1" s="68"/>
      <x:c r="N1" s="68"/>
      <x:c r="O1" s="68"/>
      <x:c r="P1" s="68"/>
      <x:c r="Q1" s="68"/>
      <x:c r="R1" s="68"/>
      <x:c r="S1" s="68"/>
      <x:c r="T1" s="68"/>
    </x:row>
    <x:row r="2" ht="33" customHeight="1">
      <x:c r="A2" s="71" t="str">
        <x:v>Saisie des polluants atmosphériques et alerte automatique de dépassement des seuils OMS indicatifs.</x:v>
      </x:c>
      <x:c r="B2" s="71"/>
      <x:c r="C2" s="71"/>
      <x:c r="D2" s="71"/>
      <x:c r="E2" s="71"/>
      <x:c r="F2" s="71"/>
      <x:c r="G2" s="71"/>
      <x:c r="H2" s="71"/>
      <x:c r="I2" s="71"/>
      <x:c r="J2" s="71"/>
      <x:c r="K2" s="71"/>
      <x:c r="L2" s="71"/>
      <x:c r="M2" s="71"/>
      <x:c r="N2" s="71"/>
      <x:c r="O2" s="71"/>
      <x:c r="P2" s="71"/>
      <x:c r="Q2" s="71"/>
      <x:c r="R2" s="71"/>
      <x:c r="S2" s="71"/>
      <x:c r="T2" s="71"/>
    </x:row>
    <x:row r="4">
      <x:c r="A4" s="74" t="str">
        <x:v>ID_Saisie</x:v>
      </x:c>
      <x:c r="B4" s="74" t="str">
        <x:v>Année</x:v>
      </x:c>
      <x:c r="C4" s="74" t="str">
        <x:v>Mois</x:v>
      </x:c>
      <x:c r="D4" s="74" t="str">
        <x:v>Station / zone</x:v>
      </x:c>
      <x:c r="E4" s="74" t="str">
        <x:v>PM2.5</x:v>
      </x:c>
      <x:c r="F4" s="74" t="str">
        <x:v>PM10</x:v>
      </x:c>
      <x:c r="G4" s="74" t="str">
        <x:v>NO2</x:v>
      </x:c>
      <x:c r="H4" s="74" t="str">
        <x:v>SO2</x:v>
      </x:c>
      <x:c r="I4" s="74" t="str">
        <x:v>CO</x:v>
      </x:c>
      <x:c r="J4" s="74" t="str">
        <x:v>O3</x:v>
      </x:c>
      <x:c r="K4" s="74" t="str">
        <x:v>Indice qualité air</x:v>
      </x:c>
      <x:c r="L4" s="74" t="str">
        <x:v>Dépassement seuil OMS</x:v>
      </x:c>
      <x:c r="M4" s="74" t="str">
        <x:v>Source</x:v>
      </x:c>
      <x:c r="N4" s="74" t="str">
        <x:v>Document source</x:v>
      </x:c>
      <x:c r="O4" s="74" t="str">
        <x:v>Observations</x:v>
      </x:c>
      <x:c r="P4" s="74" t="str">
        <x:v>Statut validation</x:v>
      </x:c>
      <x:c r="Q4" s="74" t="str">
        <x:v>Date de saisie</x:v>
      </x:c>
      <x:c r="R4" s="74" t="str">
        <x:v>Responsable</x:v>
      </x:c>
      <x:c r="S4" s="74" t="str">
        <x:v>Alerte_QC</x:v>
      </x:c>
      <x:c r="T4" s="74" t="str">
        <x:v>Alimente_Rapports</x:v>
      </x:c>
    </x:row>
    <x:row r="5">
      <x:c r="A5" s="76" t="str">
        <x:f>IF(B5="","","AIR-"&amp;TEXT(ROW()-4,"0000"))</x:f>
      </x:c>
      <x:c r="B5" s="76"/>
      <x:c r="C5" s="76"/>
      <x:c r="D5" s="76"/>
      <x:c r="E5" s="80"/>
      <x:c r="F5" s="80"/>
      <x:c r="G5" s="80"/>
      <x:c r="H5" s="80"/>
      <x:c r="I5" s="80"/>
      <x:c r="J5" s="80"/>
      <x:c r="K5" s="80" t="str">
        <x:f>IF(COUNTA(E5:J5)=0,"",MAX(E5:J5))</x:f>
      </x:c>
      <x:c r="L5" s="76" t="str">
        <x:f>IF(COUNTA(E5:J5)=0,"",IF(OR(E5&gt;15,F5&gt;45,G5&gt;25,H5&gt;40,I5&gt;4000,J5&gt;100),"Oui","Non"))</x:f>
      </x:c>
      <x:c r="M5" s="76"/>
      <x:c r="N5" s="76"/>
      <x:c r="O5" s="76"/>
      <x:c r="P5" s="76"/>
      <x:c r="Q5" s="78" t="str">
        <x:f>IF(B5="","",TODAY())</x:f>
      </x:c>
      <x:c r="R5" s="76"/>
      <x:c r="S5" s="76" t="str">
        <x:f>IF(B5="","",IF(OR(C5="",D5="",E5="",M5="",N5="",P5&lt;&gt;"Validé humainement"),"ALERTE: données/preuves/statut",IF(OR(E5&lt;0,F5&lt;0,G5&lt;0,H5&lt;0,I5&lt;0,J5&lt;0),"ALERTE: valeur anormale","OK")))</x:f>
      </x:c>
      <x:c r="T5" s="76" t="str">
        <x:f>IF(B5="","",IF(P5="Validé humainement","Oui","Non"))</x:f>
      </x:c>
    </x:row>
    <x:row r="6">
      <x:c r="A6" s="76" t="str">
        <x:f>IF(B6="","","AIR-"&amp;TEXT(ROW()-4,"0000"))</x:f>
      </x:c>
      <x:c r="B6" s="76"/>
      <x:c r="C6" s="76"/>
      <x:c r="D6" s="76"/>
      <x:c r="E6" s="80"/>
      <x:c r="F6" s="80"/>
      <x:c r="G6" s="80"/>
      <x:c r="H6" s="80"/>
      <x:c r="I6" s="80"/>
      <x:c r="J6" s="80"/>
      <x:c r="K6" s="80" t="str">
        <x:f>IF(COUNTA(E6:J6)=0,"",MAX(E6:J6))</x:f>
      </x:c>
      <x:c r="L6" s="76" t="str">
        <x:f>IF(COUNTA(E6:J6)=0,"",IF(OR(E6&gt;15,F6&gt;45,G6&gt;25,H6&gt;40,I6&gt;4000,J6&gt;100),"Oui","Non"))</x:f>
      </x:c>
      <x:c r="M6" s="76"/>
      <x:c r="N6" s="76"/>
      <x:c r="O6" s="76"/>
      <x:c r="P6" s="76"/>
      <x:c r="Q6" s="78" t="str">
        <x:f>IF(B6="","",TODAY())</x:f>
      </x:c>
      <x:c r="R6" s="76"/>
      <x:c r="S6" s="76" t="str">
        <x:f>IF(B6="","",IF(OR(C6="",D6="",E6="",M6="",N6="",P6&lt;&gt;"Validé humainement"),"ALERTE: données/preuves/statut",IF(OR(E6&lt;0,F6&lt;0,G6&lt;0,H6&lt;0,I6&lt;0,J6&lt;0),"ALERTE: valeur anormale","OK")))</x:f>
      </x:c>
      <x:c r="T6" s="76" t="str">
        <x:f>IF(B6="","",IF(P6="Validé humainement","Oui","Non"))</x:f>
      </x:c>
    </x:row>
    <x:row r="7">
      <x:c r="A7" s="76" t="str">
        <x:f>IF(B7="","","AIR-"&amp;TEXT(ROW()-4,"0000"))</x:f>
      </x:c>
      <x:c r="B7" s="76"/>
      <x:c r="C7" s="76"/>
      <x:c r="D7" s="76"/>
      <x:c r="E7" s="80"/>
      <x:c r="F7" s="80"/>
      <x:c r="G7" s="80"/>
      <x:c r="H7" s="80"/>
      <x:c r="I7" s="80"/>
      <x:c r="J7" s="80"/>
      <x:c r="K7" s="80" t="str">
        <x:f>IF(COUNTA(E7:J7)=0,"",MAX(E7:J7))</x:f>
      </x:c>
      <x:c r="L7" s="76" t="str">
        <x:f>IF(COUNTA(E7:J7)=0,"",IF(OR(E7&gt;15,F7&gt;45,G7&gt;25,H7&gt;40,I7&gt;4000,J7&gt;100),"Oui","Non"))</x:f>
      </x:c>
      <x:c r="M7" s="76"/>
      <x:c r="N7" s="76"/>
      <x:c r="O7" s="76"/>
      <x:c r="P7" s="76"/>
      <x:c r="Q7" s="78" t="str">
        <x:f>IF(B7="","",TODAY())</x:f>
      </x:c>
      <x:c r="R7" s="76"/>
      <x:c r="S7" s="76" t="str">
        <x:f>IF(B7="","",IF(OR(C7="",D7="",E7="",M7="",N7="",P7&lt;&gt;"Validé humainement"),"ALERTE: données/preuves/statut",IF(OR(E7&lt;0,F7&lt;0,G7&lt;0,H7&lt;0,I7&lt;0,J7&lt;0),"ALERTE: valeur anormale","OK")))</x:f>
      </x:c>
      <x:c r="T7" s="76" t="str">
        <x:f>IF(B7="","",IF(P7="Validé humainement","Oui","Non"))</x:f>
      </x:c>
    </x:row>
    <x:row r="8">
      <x:c r="A8" s="76" t="str">
        <x:f>IF(B8="","","AIR-"&amp;TEXT(ROW()-4,"0000"))</x:f>
      </x:c>
      <x:c r="B8" s="76"/>
      <x:c r="C8" s="76"/>
      <x:c r="D8" s="76"/>
      <x:c r="E8" s="80"/>
      <x:c r="F8" s="80"/>
      <x:c r="G8" s="80"/>
      <x:c r="H8" s="80"/>
      <x:c r="I8" s="80"/>
      <x:c r="J8" s="80"/>
      <x:c r="K8" s="80" t="str">
        <x:f>IF(COUNTA(E8:J8)=0,"",MAX(E8:J8))</x:f>
      </x:c>
      <x:c r="L8" s="76" t="str">
        <x:f>IF(COUNTA(E8:J8)=0,"",IF(OR(E8&gt;15,F8&gt;45,G8&gt;25,H8&gt;40,I8&gt;4000,J8&gt;100),"Oui","Non"))</x:f>
      </x:c>
      <x:c r="M8" s="76"/>
      <x:c r="N8" s="76"/>
      <x:c r="O8" s="76"/>
      <x:c r="P8" s="76"/>
      <x:c r="Q8" s="78" t="str">
        <x:f>IF(B8="","",TODAY())</x:f>
      </x:c>
      <x:c r="R8" s="76"/>
      <x:c r="S8" s="76" t="str">
        <x:f>IF(B8="","",IF(OR(C8="",D8="",E8="",M8="",N8="",P8&lt;&gt;"Validé humainement"),"ALERTE: données/preuves/statut",IF(OR(E8&lt;0,F8&lt;0,G8&lt;0,H8&lt;0,I8&lt;0,J8&lt;0),"ALERTE: valeur anormale","OK")))</x:f>
      </x:c>
      <x:c r="T8" s="76" t="str">
        <x:f>IF(B8="","",IF(P8="Validé humainement","Oui","Non"))</x:f>
      </x:c>
    </x:row>
    <x:row r="9">
      <x:c r="A9" s="76" t="str">
        <x:f>IF(B9="","","AIR-"&amp;TEXT(ROW()-4,"0000"))</x:f>
      </x:c>
      <x:c r="B9" s="76"/>
      <x:c r="C9" s="76"/>
      <x:c r="D9" s="76"/>
      <x:c r="E9" s="80"/>
      <x:c r="F9" s="80"/>
      <x:c r="G9" s="80"/>
      <x:c r="H9" s="80"/>
      <x:c r="I9" s="80"/>
      <x:c r="J9" s="80"/>
      <x:c r="K9" s="80" t="str">
        <x:f>IF(COUNTA(E9:J9)=0,"",MAX(E9:J9))</x:f>
      </x:c>
      <x:c r="L9" s="76" t="str">
        <x:f>IF(COUNTA(E9:J9)=0,"",IF(OR(E9&gt;15,F9&gt;45,G9&gt;25,H9&gt;40,I9&gt;4000,J9&gt;100),"Oui","Non"))</x:f>
      </x:c>
      <x:c r="M9" s="76"/>
      <x:c r="N9" s="76"/>
      <x:c r="O9" s="76"/>
      <x:c r="P9" s="76"/>
      <x:c r="Q9" s="78" t="str">
        <x:f>IF(B9="","",TODAY())</x:f>
      </x:c>
      <x:c r="R9" s="76"/>
      <x:c r="S9" s="76" t="str">
        <x:f>IF(B9="","",IF(OR(C9="",D9="",E9="",M9="",N9="",P9&lt;&gt;"Validé humainement"),"ALERTE: données/preuves/statut",IF(OR(E9&lt;0,F9&lt;0,G9&lt;0,H9&lt;0,I9&lt;0,J9&lt;0),"ALERTE: valeur anormale","OK")))</x:f>
      </x:c>
      <x:c r="T9" s="76" t="str">
        <x:f>IF(B9="","",IF(P9="Validé humainement","Oui","Non"))</x:f>
      </x:c>
    </x:row>
    <x:row r="10">
      <x:c r="A10" s="76" t="str">
        <x:f>IF(B10="","","AIR-"&amp;TEXT(ROW()-4,"0000"))</x:f>
      </x:c>
      <x:c r="B10" s="76"/>
      <x:c r="C10" s="76"/>
      <x:c r="D10" s="76"/>
      <x:c r="E10" s="80"/>
      <x:c r="F10" s="80"/>
      <x:c r="G10" s="80"/>
      <x:c r="H10" s="80"/>
      <x:c r="I10" s="80"/>
      <x:c r="J10" s="80"/>
      <x:c r="K10" s="80" t="str">
        <x:f>IF(COUNTA(E10:J10)=0,"",MAX(E10:J10))</x:f>
      </x:c>
      <x:c r="L10" s="76" t="str">
        <x:f>IF(COUNTA(E10:J10)=0,"",IF(OR(E10&gt;15,F10&gt;45,G10&gt;25,H10&gt;40,I10&gt;4000,J10&gt;100),"Oui","Non"))</x:f>
      </x:c>
      <x:c r="M10" s="76"/>
      <x:c r="N10" s="76"/>
      <x:c r="O10" s="76"/>
      <x:c r="P10" s="76"/>
      <x:c r="Q10" s="78" t="str">
        <x:f>IF(B10="","",TODAY())</x:f>
      </x:c>
      <x:c r="R10" s="76"/>
      <x:c r="S10" s="76" t="str">
        <x:f>IF(B10="","",IF(OR(C10="",D10="",E10="",M10="",N10="",P10&lt;&gt;"Validé humainement"),"ALERTE: données/preuves/statut",IF(OR(E10&lt;0,F10&lt;0,G10&lt;0,H10&lt;0,I10&lt;0,J10&lt;0),"ALERTE: valeur anormale","OK")))</x:f>
      </x:c>
      <x:c r="T10" s="76" t="str">
        <x:f>IF(B10="","",IF(P10="Validé humainement","Oui","Non"))</x:f>
      </x:c>
    </x:row>
    <x:row r="11">
      <x:c r="A11" s="76" t="str">
        <x:f>IF(B11="","","AIR-"&amp;TEXT(ROW()-4,"0000"))</x:f>
      </x:c>
      <x:c r="B11" s="76"/>
      <x:c r="C11" s="76"/>
      <x:c r="D11" s="76"/>
      <x:c r="E11" s="80"/>
      <x:c r="F11" s="80"/>
      <x:c r="G11" s="80"/>
      <x:c r="H11" s="80"/>
      <x:c r="I11" s="80"/>
      <x:c r="J11" s="80"/>
      <x:c r="K11" s="80" t="str">
        <x:f>IF(COUNTA(E11:J11)=0,"",MAX(E11:J11))</x:f>
      </x:c>
      <x:c r="L11" s="76" t="str">
        <x:f>IF(COUNTA(E11:J11)=0,"",IF(OR(E11&gt;15,F11&gt;45,G11&gt;25,H11&gt;40,I11&gt;4000,J11&gt;100),"Oui","Non"))</x:f>
      </x:c>
      <x:c r="M11" s="76"/>
      <x:c r="N11" s="76"/>
      <x:c r="O11" s="76"/>
      <x:c r="P11" s="76"/>
      <x:c r="Q11" s="78" t="str">
        <x:f>IF(B11="","",TODAY())</x:f>
      </x:c>
      <x:c r="R11" s="76"/>
      <x:c r="S11" s="76" t="str">
        <x:f>IF(B11="","",IF(OR(C11="",D11="",E11="",M11="",N11="",P11&lt;&gt;"Validé humainement"),"ALERTE: données/preuves/statut",IF(OR(E11&lt;0,F11&lt;0,G11&lt;0,H11&lt;0,I11&lt;0,J11&lt;0),"ALERTE: valeur anormale","OK")))</x:f>
      </x:c>
      <x:c r="T11" s="76" t="str">
        <x:f>IF(B11="","",IF(P11="Validé humainement","Oui","Non"))</x:f>
      </x:c>
    </x:row>
    <x:row r="12">
      <x:c r="A12" s="76" t="str">
        <x:f>IF(B12="","","AIR-"&amp;TEXT(ROW()-4,"0000"))</x:f>
      </x:c>
      <x:c r="B12" s="76"/>
      <x:c r="C12" s="76"/>
      <x:c r="D12" s="76"/>
      <x:c r="E12" s="80"/>
      <x:c r="F12" s="80"/>
      <x:c r="G12" s="80"/>
      <x:c r="H12" s="80"/>
      <x:c r="I12" s="80"/>
      <x:c r="J12" s="80"/>
      <x:c r="K12" s="80" t="str">
        <x:f>IF(COUNTA(E12:J12)=0,"",MAX(E12:J12))</x:f>
      </x:c>
      <x:c r="L12" s="76" t="str">
        <x:f>IF(COUNTA(E12:J12)=0,"",IF(OR(E12&gt;15,F12&gt;45,G12&gt;25,H12&gt;40,I12&gt;4000,J12&gt;100),"Oui","Non"))</x:f>
      </x:c>
      <x:c r="M12" s="76"/>
      <x:c r="N12" s="76"/>
      <x:c r="O12" s="76"/>
      <x:c r="P12" s="76"/>
      <x:c r="Q12" s="78" t="str">
        <x:f>IF(B12="","",TODAY())</x:f>
      </x:c>
      <x:c r="R12" s="76"/>
      <x:c r="S12" s="76" t="str">
        <x:f>IF(B12="","",IF(OR(C12="",D12="",E12="",M12="",N12="",P12&lt;&gt;"Validé humainement"),"ALERTE: données/preuves/statut",IF(OR(E12&lt;0,F12&lt;0,G12&lt;0,H12&lt;0,I12&lt;0,J12&lt;0),"ALERTE: valeur anormale","OK")))</x:f>
      </x:c>
      <x:c r="T12" s="76" t="str">
        <x:f>IF(B12="","",IF(P12="Validé humainement","Oui","Non"))</x:f>
      </x:c>
    </x:row>
    <x:row r="13">
      <x:c r="A13" s="76" t="str">
        <x:f>IF(B13="","","AIR-"&amp;TEXT(ROW()-4,"0000"))</x:f>
      </x:c>
      <x:c r="B13" s="76"/>
      <x:c r="C13" s="76"/>
      <x:c r="D13" s="76"/>
      <x:c r="E13" s="80"/>
      <x:c r="F13" s="80"/>
      <x:c r="G13" s="80"/>
      <x:c r="H13" s="80"/>
      <x:c r="I13" s="80"/>
      <x:c r="J13" s="80"/>
      <x:c r="K13" s="80" t="str">
        <x:f>IF(COUNTA(E13:J13)=0,"",MAX(E13:J13))</x:f>
      </x:c>
      <x:c r="L13" s="76" t="str">
        <x:f>IF(COUNTA(E13:J13)=0,"",IF(OR(E13&gt;15,F13&gt;45,G13&gt;25,H13&gt;40,I13&gt;4000,J13&gt;100),"Oui","Non"))</x:f>
      </x:c>
      <x:c r="M13" s="76"/>
      <x:c r="N13" s="76"/>
      <x:c r="O13" s="76"/>
      <x:c r="P13" s="76"/>
      <x:c r="Q13" s="78" t="str">
        <x:f>IF(B13="","",TODAY())</x:f>
      </x:c>
      <x:c r="R13" s="76"/>
      <x:c r="S13" s="76" t="str">
        <x:f>IF(B13="","",IF(OR(C13="",D13="",E13="",M13="",N13="",P13&lt;&gt;"Validé humainement"),"ALERTE: données/preuves/statut",IF(OR(E13&lt;0,F13&lt;0,G13&lt;0,H13&lt;0,I13&lt;0,J13&lt;0),"ALERTE: valeur anormale","OK")))</x:f>
      </x:c>
      <x:c r="T13" s="76" t="str">
        <x:f>IF(B13="","",IF(P13="Validé humainement","Oui","Non"))</x:f>
      </x:c>
    </x:row>
    <x:row r="14">
      <x:c r="A14" s="76" t="str">
        <x:f>IF(B14="","","AIR-"&amp;TEXT(ROW()-4,"0000"))</x:f>
      </x:c>
      <x:c r="B14" s="76"/>
      <x:c r="C14" s="76"/>
      <x:c r="D14" s="76"/>
      <x:c r="E14" s="80"/>
      <x:c r="F14" s="80"/>
      <x:c r="G14" s="80"/>
      <x:c r="H14" s="80"/>
      <x:c r="I14" s="80"/>
      <x:c r="J14" s="80"/>
      <x:c r="K14" s="80" t="str">
        <x:f>IF(COUNTA(E14:J14)=0,"",MAX(E14:J14))</x:f>
      </x:c>
      <x:c r="L14" s="76" t="str">
        <x:f>IF(COUNTA(E14:J14)=0,"",IF(OR(E14&gt;15,F14&gt;45,G14&gt;25,H14&gt;40,I14&gt;4000,J14&gt;100),"Oui","Non"))</x:f>
      </x:c>
      <x:c r="M14" s="76"/>
      <x:c r="N14" s="76"/>
      <x:c r="O14" s="76"/>
      <x:c r="P14" s="76"/>
      <x:c r="Q14" s="78" t="str">
        <x:f>IF(B14="","",TODAY())</x:f>
      </x:c>
      <x:c r="R14" s="76"/>
      <x:c r="S14" s="76" t="str">
        <x:f>IF(B14="","",IF(OR(C14="",D14="",E14="",M14="",N14="",P14&lt;&gt;"Validé humainement"),"ALERTE: données/preuves/statut",IF(OR(E14&lt;0,F14&lt;0,G14&lt;0,H14&lt;0,I14&lt;0,J14&lt;0),"ALERTE: valeur anormale","OK")))</x:f>
      </x:c>
      <x:c r="T14" s="76" t="str">
        <x:f>IF(B14="","",IF(P14="Validé humainement","Oui","Non"))</x:f>
      </x:c>
    </x:row>
    <x:row r="15">
      <x:c r="A15" s="76" t="str">
        <x:f>IF(B15="","","AIR-"&amp;TEXT(ROW()-4,"0000"))</x:f>
      </x:c>
      <x:c r="B15" s="76"/>
      <x:c r="C15" s="76"/>
      <x:c r="D15" s="76"/>
      <x:c r="E15" s="80"/>
      <x:c r="F15" s="80"/>
      <x:c r="G15" s="80"/>
      <x:c r="H15" s="80"/>
      <x:c r="I15" s="80"/>
      <x:c r="J15" s="80"/>
      <x:c r="K15" s="80" t="str">
        <x:f>IF(COUNTA(E15:J15)=0,"",MAX(E15:J15))</x:f>
      </x:c>
      <x:c r="L15" s="76" t="str">
        <x:f>IF(COUNTA(E15:J15)=0,"",IF(OR(E15&gt;15,F15&gt;45,G15&gt;25,H15&gt;40,I15&gt;4000,J15&gt;100),"Oui","Non"))</x:f>
      </x:c>
      <x:c r="M15" s="76"/>
      <x:c r="N15" s="76"/>
      <x:c r="O15" s="76"/>
      <x:c r="P15" s="76"/>
      <x:c r="Q15" s="78" t="str">
        <x:f>IF(B15="","",TODAY())</x:f>
      </x:c>
      <x:c r="R15" s="76"/>
      <x:c r="S15" s="76" t="str">
        <x:f>IF(B15="","",IF(OR(C15="",D15="",E15="",M15="",N15="",P15&lt;&gt;"Validé humainement"),"ALERTE: données/preuves/statut",IF(OR(E15&lt;0,F15&lt;0,G15&lt;0,H15&lt;0,I15&lt;0,J15&lt;0),"ALERTE: valeur anormale","OK")))</x:f>
      </x:c>
      <x:c r="T15" s="76" t="str">
        <x:f>IF(B15="","",IF(P15="Validé humainement","Oui","Non"))</x:f>
      </x:c>
    </x:row>
    <x:row r="16">
      <x:c r="A16" s="76" t="str">
        <x:f>IF(B16="","","AIR-"&amp;TEXT(ROW()-4,"0000"))</x:f>
      </x:c>
      <x:c r="B16" s="76"/>
      <x:c r="C16" s="76"/>
      <x:c r="D16" s="76"/>
      <x:c r="E16" s="80"/>
      <x:c r="F16" s="80"/>
      <x:c r="G16" s="80"/>
      <x:c r="H16" s="80"/>
      <x:c r="I16" s="80"/>
      <x:c r="J16" s="80"/>
      <x:c r="K16" s="80" t="str">
        <x:f>IF(COUNTA(E16:J16)=0,"",MAX(E16:J16))</x:f>
      </x:c>
      <x:c r="L16" s="76" t="str">
        <x:f>IF(COUNTA(E16:J16)=0,"",IF(OR(E16&gt;15,F16&gt;45,G16&gt;25,H16&gt;40,I16&gt;4000,J16&gt;100),"Oui","Non"))</x:f>
      </x:c>
      <x:c r="M16" s="76"/>
      <x:c r="N16" s="76"/>
      <x:c r="O16" s="76"/>
      <x:c r="P16" s="76"/>
      <x:c r="Q16" s="78" t="str">
        <x:f>IF(B16="","",TODAY())</x:f>
      </x:c>
      <x:c r="R16" s="76"/>
      <x:c r="S16" s="76" t="str">
        <x:f>IF(B16="","",IF(OR(C16="",D16="",E16="",M16="",N16="",P16&lt;&gt;"Validé humainement"),"ALERTE: données/preuves/statut",IF(OR(E16&lt;0,F16&lt;0,G16&lt;0,H16&lt;0,I16&lt;0,J16&lt;0),"ALERTE: valeur anormale","OK")))</x:f>
      </x:c>
      <x:c r="T16" s="76" t="str">
        <x:f>IF(B16="","",IF(P16="Validé humainement","Oui","Non"))</x:f>
      </x:c>
    </x:row>
    <x:row r="17">
      <x:c r="A17" s="76" t="str">
        <x:f>IF(B17="","","AIR-"&amp;TEXT(ROW()-4,"0000"))</x:f>
      </x:c>
      <x:c r="B17" s="76"/>
      <x:c r="C17" s="76"/>
      <x:c r="D17" s="76"/>
      <x:c r="E17" s="80"/>
      <x:c r="F17" s="80"/>
      <x:c r="G17" s="80"/>
      <x:c r="H17" s="80"/>
      <x:c r="I17" s="80"/>
      <x:c r="J17" s="80"/>
      <x:c r="K17" s="80" t="str">
        <x:f>IF(COUNTA(E17:J17)=0,"",MAX(E17:J17))</x:f>
      </x:c>
      <x:c r="L17" s="76" t="str">
        <x:f>IF(COUNTA(E17:J17)=0,"",IF(OR(E17&gt;15,F17&gt;45,G17&gt;25,H17&gt;40,I17&gt;4000,J17&gt;100),"Oui","Non"))</x:f>
      </x:c>
      <x:c r="M17" s="76"/>
      <x:c r="N17" s="76"/>
      <x:c r="O17" s="76"/>
      <x:c r="P17" s="76"/>
      <x:c r="Q17" s="78" t="str">
        <x:f>IF(B17="","",TODAY())</x:f>
      </x:c>
      <x:c r="R17" s="76"/>
      <x:c r="S17" s="76" t="str">
        <x:f>IF(B17="","",IF(OR(C17="",D17="",E17="",M17="",N17="",P17&lt;&gt;"Validé humainement"),"ALERTE: données/preuves/statut",IF(OR(E17&lt;0,F17&lt;0,G17&lt;0,H17&lt;0,I17&lt;0,J17&lt;0),"ALERTE: valeur anormale","OK")))</x:f>
      </x:c>
      <x:c r="T17" s="76" t="str">
        <x:f>IF(B17="","",IF(P17="Validé humainement","Oui","Non"))</x:f>
      </x:c>
    </x:row>
    <x:row r="18">
      <x:c r="A18" s="76" t="str">
        <x:f>IF(B18="","","AIR-"&amp;TEXT(ROW()-4,"0000"))</x:f>
      </x:c>
      <x:c r="B18" s="76"/>
      <x:c r="C18" s="76"/>
      <x:c r="D18" s="76"/>
      <x:c r="E18" s="80"/>
      <x:c r="F18" s="80"/>
      <x:c r="G18" s="80"/>
      <x:c r="H18" s="80"/>
      <x:c r="I18" s="80"/>
      <x:c r="J18" s="80"/>
      <x:c r="K18" s="80" t="str">
        <x:f>IF(COUNTA(E18:J18)=0,"",MAX(E18:J18))</x:f>
      </x:c>
      <x:c r="L18" s="76" t="str">
        <x:f>IF(COUNTA(E18:J18)=0,"",IF(OR(E18&gt;15,F18&gt;45,G18&gt;25,H18&gt;40,I18&gt;4000,J18&gt;100),"Oui","Non"))</x:f>
      </x:c>
      <x:c r="M18" s="76"/>
      <x:c r="N18" s="76"/>
      <x:c r="O18" s="76"/>
      <x:c r="P18" s="76"/>
      <x:c r="Q18" s="78" t="str">
        <x:f>IF(B18="","",TODAY())</x:f>
      </x:c>
      <x:c r="R18" s="76"/>
      <x:c r="S18" s="76" t="str">
        <x:f>IF(B18="","",IF(OR(C18="",D18="",E18="",M18="",N18="",P18&lt;&gt;"Validé humainement"),"ALERTE: données/preuves/statut",IF(OR(E18&lt;0,F18&lt;0,G18&lt;0,H18&lt;0,I18&lt;0,J18&lt;0),"ALERTE: valeur anormale","OK")))</x:f>
      </x:c>
      <x:c r="T18" s="76" t="str">
        <x:f>IF(B18="","",IF(P18="Validé humainement","Oui","Non"))</x:f>
      </x:c>
    </x:row>
    <x:row r="19">
      <x:c r="A19" s="76" t="str">
        <x:f>IF(B19="","","AIR-"&amp;TEXT(ROW()-4,"0000"))</x:f>
      </x:c>
      <x:c r="B19" s="76"/>
      <x:c r="C19" s="76"/>
      <x:c r="D19" s="76"/>
      <x:c r="E19" s="80"/>
      <x:c r="F19" s="80"/>
      <x:c r="G19" s="80"/>
      <x:c r="H19" s="80"/>
      <x:c r="I19" s="80"/>
      <x:c r="J19" s="80"/>
      <x:c r="K19" s="80" t="str">
        <x:f>IF(COUNTA(E19:J19)=0,"",MAX(E19:J19))</x:f>
      </x:c>
      <x:c r="L19" s="76" t="str">
        <x:f>IF(COUNTA(E19:J19)=0,"",IF(OR(E19&gt;15,F19&gt;45,G19&gt;25,H19&gt;40,I19&gt;4000,J19&gt;100),"Oui","Non"))</x:f>
      </x:c>
      <x:c r="M19" s="76"/>
      <x:c r="N19" s="76"/>
      <x:c r="O19" s="76"/>
      <x:c r="P19" s="76"/>
      <x:c r="Q19" s="78" t="str">
        <x:f>IF(B19="","",TODAY())</x:f>
      </x:c>
      <x:c r="R19" s="76"/>
      <x:c r="S19" s="76" t="str">
        <x:f>IF(B19="","",IF(OR(C19="",D19="",E19="",M19="",N19="",P19&lt;&gt;"Validé humainement"),"ALERTE: données/preuves/statut",IF(OR(E19&lt;0,F19&lt;0,G19&lt;0,H19&lt;0,I19&lt;0,J19&lt;0),"ALERTE: valeur anormale","OK")))</x:f>
      </x:c>
      <x:c r="T19" s="76" t="str">
        <x:f>IF(B19="","",IF(P19="Validé humainement","Oui","Non"))</x:f>
      </x:c>
    </x:row>
    <x:row r="20">
      <x:c r="A20" s="76" t="str">
        <x:f>IF(B20="","","AIR-"&amp;TEXT(ROW()-4,"0000"))</x:f>
      </x:c>
      <x:c r="B20" s="76"/>
      <x:c r="C20" s="76"/>
      <x:c r="D20" s="76"/>
      <x:c r="E20" s="80"/>
      <x:c r="F20" s="80"/>
      <x:c r="G20" s="80"/>
      <x:c r="H20" s="80"/>
      <x:c r="I20" s="80"/>
      <x:c r="J20" s="80"/>
      <x:c r="K20" s="80" t="str">
        <x:f>IF(COUNTA(E20:J20)=0,"",MAX(E20:J20))</x:f>
      </x:c>
      <x:c r="L20" s="76" t="str">
        <x:f>IF(COUNTA(E20:J20)=0,"",IF(OR(E20&gt;15,F20&gt;45,G20&gt;25,H20&gt;40,I20&gt;4000,J20&gt;100),"Oui","Non"))</x:f>
      </x:c>
      <x:c r="M20" s="76"/>
      <x:c r="N20" s="76"/>
      <x:c r="O20" s="76"/>
      <x:c r="P20" s="76"/>
      <x:c r="Q20" s="78" t="str">
        <x:f>IF(B20="","",TODAY())</x:f>
      </x:c>
      <x:c r="R20" s="76"/>
      <x:c r="S20" s="76" t="str">
        <x:f>IF(B20="","",IF(OR(C20="",D20="",E20="",M20="",N20="",P20&lt;&gt;"Validé humainement"),"ALERTE: données/preuves/statut",IF(OR(E20&lt;0,F20&lt;0,G20&lt;0,H20&lt;0,I20&lt;0,J20&lt;0),"ALERTE: valeur anormale","OK")))</x:f>
      </x:c>
      <x:c r="T20" s="76" t="str">
        <x:f>IF(B20="","",IF(P20="Validé humainement","Oui","Non"))</x:f>
      </x:c>
    </x:row>
    <x:row r="21">
      <x:c r="A21" s="76" t="str">
        <x:f>IF(B21="","","AIR-"&amp;TEXT(ROW()-4,"0000"))</x:f>
      </x:c>
      <x:c r="B21" s="76"/>
      <x:c r="C21" s="76"/>
      <x:c r="D21" s="76"/>
      <x:c r="E21" s="80"/>
      <x:c r="F21" s="80"/>
      <x:c r="G21" s="80"/>
      <x:c r="H21" s="80"/>
      <x:c r="I21" s="80"/>
      <x:c r="J21" s="80"/>
      <x:c r="K21" s="80" t="str">
        <x:f>IF(COUNTA(E21:J21)=0,"",MAX(E21:J21))</x:f>
      </x:c>
      <x:c r="L21" s="76" t="str">
        <x:f>IF(COUNTA(E21:J21)=0,"",IF(OR(E21&gt;15,F21&gt;45,G21&gt;25,H21&gt;40,I21&gt;4000,J21&gt;100),"Oui","Non"))</x:f>
      </x:c>
      <x:c r="M21" s="76"/>
      <x:c r="N21" s="76"/>
      <x:c r="O21" s="76"/>
      <x:c r="P21" s="76"/>
      <x:c r="Q21" s="78" t="str">
        <x:f>IF(B21="","",TODAY())</x:f>
      </x:c>
      <x:c r="R21" s="76"/>
      <x:c r="S21" s="76" t="str">
        <x:f>IF(B21="","",IF(OR(C21="",D21="",E21="",M21="",N21="",P21&lt;&gt;"Validé humainement"),"ALERTE: données/preuves/statut",IF(OR(E21&lt;0,F21&lt;0,G21&lt;0,H21&lt;0,I21&lt;0,J21&lt;0),"ALERTE: valeur anormale","OK")))</x:f>
      </x:c>
      <x:c r="T21" s="76" t="str">
        <x:f>IF(B21="","",IF(P21="Validé humainement","Oui","Non"))</x:f>
      </x:c>
    </x:row>
    <x:row r="22">
      <x:c r="A22" s="76" t="str">
        <x:f>IF(B22="","","AIR-"&amp;TEXT(ROW()-4,"0000"))</x:f>
      </x:c>
      <x:c r="B22" s="76"/>
      <x:c r="C22" s="76"/>
      <x:c r="D22" s="76"/>
      <x:c r="E22" s="80"/>
      <x:c r="F22" s="80"/>
      <x:c r="G22" s="80"/>
      <x:c r="H22" s="80"/>
      <x:c r="I22" s="80"/>
      <x:c r="J22" s="80"/>
      <x:c r="K22" s="80" t="str">
        <x:f>IF(COUNTA(E22:J22)=0,"",MAX(E22:J22))</x:f>
      </x:c>
      <x:c r="L22" s="76" t="str">
        <x:f>IF(COUNTA(E22:J22)=0,"",IF(OR(E22&gt;15,F22&gt;45,G22&gt;25,H22&gt;40,I22&gt;4000,J22&gt;100),"Oui","Non"))</x:f>
      </x:c>
      <x:c r="M22" s="76"/>
      <x:c r="N22" s="76"/>
      <x:c r="O22" s="76"/>
      <x:c r="P22" s="76"/>
      <x:c r="Q22" s="78" t="str">
        <x:f>IF(B22="","",TODAY())</x:f>
      </x:c>
      <x:c r="R22" s="76"/>
      <x:c r="S22" s="76" t="str">
        <x:f>IF(B22="","",IF(OR(C22="",D22="",E22="",M22="",N22="",P22&lt;&gt;"Validé humainement"),"ALERTE: données/preuves/statut",IF(OR(E22&lt;0,F22&lt;0,G22&lt;0,H22&lt;0,I22&lt;0,J22&lt;0),"ALERTE: valeur anormale","OK")))</x:f>
      </x:c>
      <x:c r="T22" s="76" t="str">
        <x:f>IF(B22="","",IF(P22="Validé humainement","Oui","Non"))</x:f>
      </x:c>
    </x:row>
    <x:row r="23">
      <x:c r="A23" s="76" t="str">
        <x:f>IF(B23="","","AIR-"&amp;TEXT(ROW()-4,"0000"))</x:f>
      </x:c>
      <x:c r="B23" s="76"/>
      <x:c r="C23" s="76"/>
      <x:c r="D23" s="76"/>
      <x:c r="E23" s="80"/>
      <x:c r="F23" s="80"/>
      <x:c r="G23" s="80"/>
      <x:c r="H23" s="80"/>
      <x:c r="I23" s="80"/>
      <x:c r="J23" s="80"/>
      <x:c r="K23" s="80" t="str">
        <x:f>IF(COUNTA(E23:J23)=0,"",MAX(E23:J23))</x:f>
      </x:c>
      <x:c r="L23" s="76" t="str">
        <x:f>IF(COUNTA(E23:J23)=0,"",IF(OR(E23&gt;15,F23&gt;45,G23&gt;25,H23&gt;40,I23&gt;4000,J23&gt;100),"Oui","Non"))</x:f>
      </x:c>
      <x:c r="M23" s="76"/>
      <x:c r="N23" s="76"/>
      <x:c r="O23" s="76"/>
      <x:c r="P23" s="76"/>
      <x:c r="Q23" s="78" t="str">
        <x:f>IF(B23="","",TODAY())</x:f>
      </x:c>
      <x:c r="R23" s="76"/>
      <x:c r="S23" s="76" t="str">
        <x:f>IF(B23="","",IF(OR(C23="",D23="",E23="",M23="",N23="",P23&lt;&gt;"Validé humainement"),"ALERTE: données/preuves/statut",IF(OR(E23&lt;0,F23&lt;0,G23&lt;0,H23&lt;0,I23&lt;0,J23&lt;0),"ALERTE: valeur anormale","OK")))</x:f>
      </x:c>
      <x:c r="T23" s="76" t="str">
        <x:f>IF(B23="","",IF(P23="Validé humainement","Oui","Non"))</x:f>
      </x:c>
    </x:row>
    <x:row r="24">
      <x:c r="A24" s="76" t="str">
        <x:f>IF(B24="","","AIR-"&amp;TEXT(ROW()-4,"0000"))</x:f>
      </x:c>
      <x:c r="B24" s="76"/>
      <x:c r="C24" s="76"/>
      <x:c r="D24" s="76"/>
      <x:c r="E24" s="80"/>
      <x:c r="F24" s="80"/>
      <x:c r="G24" s="80"/>
      <x:c r="H24" s="80"/>
      <x:c r="I24" s="80"/>
      <x:c r="J24" s="80"/>
      <x:c r="K24" s="80" t="str">
        <x:f>IF(COUNTA(E24:J24)=0,"",MAX(E24:J24))</x:f>
      </x:c>
      <x:c r="L24" s="76" t="str">
        <x:f>IF(COUNTA(E24:J24)=0,"",IF(OR(E24&gt;15,F24&gt;45,G24&gt;25,H24&gt;40,I24&gt;4000,J24&gt;100),"Oui","Non"))</x:f>
      </x:c>
      <x:c r="M24" s="76"/>
      <x:c r="N24" s="76"/>
      <x:c r="O24" s="76"/>
      <x:c r="P24" s="76"/>
      <x:c r="Q24" s="78" t="str">
        <x:f>IF(B24="","",TODAY())</x:f>
      </x:c>
      <x:c r="R24" s="76"/>
      <x:c r="S24" s="76" t="str">
        <x:f>IF(B24="","",IF(OR(C24="",D24="",E24="",M24="",N24="",P24&lt;&gt;"Validé humainement"),"ALERTE: données/preuves/statut",IF(OR(E24&lt;0,F24&lt;0,G24&lt;0,H24&lt;0,I24&lt;0,J24&lt;0),"ALERTE: valeur anormale","OK")))</x:f>
      </x:c>
      <x:c r="T24" s="76" t="str">
        <x:f>IF(B24="","",IF(P24="Validé humainement","Oui","Non"))</x:f>
      </x:c>
    </x:row>
    <x:row r="25">
      <x:c r="A25" s="76" t="str">
        <x:f>IF(B25="","","AIR-"&amp;TEXT(ROW()-4,"0000"))</x:f>
      </x:c>
      <x:c r="B25" s="76"/>
      <x:c r="C25" s="76"/>
      <x:c r="D25" s="76"/>
      <x:c r="E25" s="80"/>
      <x:c r="F25" s="80"/>
      <x:c r="G25" s="80"/>
      <x:c r="H25" s="80"/>
      <x:c r="I25" s="80"/>
      <x:c r="J25" s="80"/>
      <x:c r="K25" s="80" t="str">
        <x:f>IF(COUNTA(E25:J25)=0,"",MAX(E25:J25))</x:f>
      </x:c>
      <x:c r="L25" s="76" t="str">
        <x:f>IF(COUNTA(E25:J25)=0,"",IF(OR(E25&gt;15,F25&gt;45,G25&gt;25,H25&gt;40,I25&gt;4000,J25&gt;100),"Oui","Non"))</x:f>
      </x:c>
      <x:c r="M25" s="76"/>
      <x:c r="N25" s="76"/>
      <x:c r="O25" s="76"/>
      <x:c r="P25" s="76"/>
      <x:c r="Q25" s="78" t="str">
        <x:f>IF(B25="","",TODAY())</x:f>
      </x:c>
      <x:c r="R25" s="76"/>
      <x:c r="S25" s="76" t="str">
        <x:f>IF(B25="","",IF(OR(C25="",D25="",E25="",M25="",N25="",P25&lt;&gt;"Validé humainement"),"ALERTE: données/preuves/statut",IF(OR(E25&lt;0,F25&lt;0,G25&lt;0,H25&lt;0,I25&lt;0,J25&lt;0),"ALERTE: valeur anormale","OK")))</x:f>
      </x:c>
      <x:c r="T25" s="76" t="str">
        <x:f>IF(B25="","",IF(P25="Validé humainement","Oui","Non"))</x:f>
      </x:c>
    </x:row>
    <x:row r="26">
      <x:c r="A26" s="76" t="str">
        <x:f>IF(B26="","","AIR-"&amp;TEXT(ROW()-4,"0000"))</x:f>
      </x:c>
      <x:c r="B26" s="76"/>
      <x:c r="C26" s="76"/>
      <x:c r="D26" s="76"/>
      <x:c r="E26" s="80"/>
      <x:c r="F26" s="80"/>
      <x:c r="G26" s="80"/>
      <x:c r="H26" s="80"/>
      <x:c r="I26" s="80"/>
      <x:c r="J26" s="80"/>
      <x:c r="K26" s="80" t="str">
        <x:f>IF(COUNTA(E26:J26)=0,"",MAX(E26:J26))</x:f>
      </x:c>
      <x:c r="L26" s="76" t="str">
        <x:f>IF(COUNTA(E26:J26)=0,"",IF(OR(E26&gt;15,F26&gt;45,G26&gt;25,H26&gt;40,I26&gt;4000,J26&gt;100),"Oui","Non"))</x:f>
      </x:c>
      <x:c r="M26" s="76"/>
      <x:c r="N26" s="76"/>
      <x:c r="O26" s="76"/>
      <x:c r="P26" s="76"/>
      <x:c r="Q26" s="78" t="str">
        <x:f>IF(B26="","",TODAY())</x:f>
      </x:c>
      <x:c r="R26" s="76"/>
      <x:c r="S26" s="76" t="str">
        <x:f>IF(B26="","",IF(OR(C26="",D26="",E26="",M26="",N26="",P26&lt;&gt;"Validé humainement"),"ALERTE: données/preuves/statut",IF(OR(E26&lt;0,F26&lt;0,G26&lt;0,H26&lt;0,I26&lt;0,J26&lt;0),"ALERTE: valeur anormale","OK")))</x:f>
      </x:c>
      <x:c r="T26" s="76" t="str">
        <x:f>IF(B26="","",IF(P26="Validé humainement","Oui","Non"))</x:f>
      </x:c>
    </x:row>
    <x:row r="27">
      <x:c r="A27" s="76" t="str">
        <x:f>IF(B27="","","AIR-"&amp;TEXT(ROW()-4,"0000"))</x:f>
      </x:c>
      <x:c r="B27" s="76"/>
      <x:c r="C27" s="76"/>
      <x:c r="D27" s="76"/>
      <x:c r="E27" s="80"/>
      <x:c r="F27" s="80"/>
      <x:c r="G27" s="80"/>
      <x:c r="H27" s="80"/>
      <x:c r="I27" s="80"/>
      <x:c r="J27" s="80"/>
      <x:c r="K27" s="80" t="str">
        <x:f>IF(COUNTA(E27:J27)=0,"",MAX(E27:J27))</x:f>
      </x:c>
      <x:c r="L27" s="76" t="str">
        <x:f>IF(COUNTA(E27:J27)=0,"",IF(OR(E27&gt;15,F27&gt;45,G27&gt;25,H27&gt;40,I27&gt;4000,J27&gt;100),"Oui","Non"))</x:f>
      </x:c>
      <x:c r="M27" s="76"/>
      <x:c r="N27" s="76"/>
      <x:c r="O27" s="76"/>
      <x:c r="P27" s="76"/>
      <x:c r="Q27" s="78" t="str">
        <x:f>IF(B27="","",TODAY())</x:f>
      </x:c>
      <x:c r="R27" s="76"/>
      <x:c r="S27" s="76" t="str">
        <x:f>IF(B27="","",IF(OR(C27="",D27="",E27="",M27="",N27="",P27&lt;&gt;"Validé humainement"),"ALERTE: données/preuves/statut",IF(OR(E27&lt;0,F27&lt;0,G27&lt;0,H27&lt;0,I27&lt;0,J27&lt;0),"ALERTE: valeur anormale","OK")))</x:f>
      </x:c>
      <x:c r="T27" s="76" t="str">
        <x:f>IF(B27="","",IF(P27="Validé humainement","Oui","Non"))</x:f>
      </x:c>
    </x:row>
    <x:row r="28">
      <x:c r="A28" s="76" t="str">
        <x:f>IF(B28="","","AIR-"&amp;TEXT(ROW()-4,"0000"))</x:f>
      </x:c>
      <x:c r="B28" s="76"/>
      <x:c r="C28" s="76"/>
      <x:c r="D28" s="76"/>
      <x:c r="E28" s="80"/>
      <x:c r="F28" s="80"/>
      <x:c r="G28" s="80"/>
      <x:c r="H28" s="80"/>
      <x:c r="I28" s="80"/>
      <x:c r="J28" s="80"/>
      <x:c r="K28" s="80" t="str">
        <x:f>IF(COUNTA(E28:J28)=0,"",MAX(E28:J28))</x:f>
      </x:c>
      <x:c r="L28" s="76" t="str">
        <x:f>IF(COUNTA(E28:J28)=0,"",IF(OR(E28&gt;15,F28&gt;45,G28&gt;25,H28&gt;40,I28&gt;4000,J28&gt;100),"Oui","Non"))</x:f>
      </x:c>
      <x:c r="M28" s="76"/>
      <x:c r="N28" s="76"/>
      <x:c r="O28" s="76"/>
      <x:c r="P28" s="76"/>
      <x:c r="Q28" s="78" t="str">
        <x:f>IF(B28="","",TODAY())</x:f>
      </x:c>
      <x:c r="R28" s="76"/>
      <x:c r="S28" s="76" t="str">
        <x:f>IF(B28="","",IF(OR(C28="",D28="",E28="",M28="",N28="",P28&lt;&gt;"Validé humainement"),"ALERTE: données/preuves/statut",IF(OR(E28&lt;0,F28&lt;0,G28&lt;0,H28&lt;0,I28&lt;0,J28&lt;0),"ALERTE: valeur anormale","OK")))</x:f>
      </x:c>
      <x:c r="T28" s="76" t="str">
        <x:f>IF(B28="","",IF(P28="Validé humainement","Oui","Non"))</x:f>
      </x:c>
    </x:row>
    <x:row r="29">
      <x:c r="A29" s="76" t="str">
        <x:f>IF(B29="","","AIR-"&amp;TEXT(ROW()-4,"0000"))</x:f>
      </x:c>
      <x:c r="B29" s="76"/>
      <x:c r="C29" s="76"/>
      <x:c r="D29" s="76"/>
      <x:c r="E29" s="80"/>
      <x:c r="F29" s="80"/>
      <x:c r="G29" s="80"/>
      <x:c r="H29" s="80"/>
      <x:c r="I29" s="80"/>
      <x:c r="J29" s="80"/>
      <x:c r="K29" s="80" t="str">
        <x:f>IF(COUNTA(E29:J29)=0,"",MAX(E29:J29))</x:f>
      </x:c>
      <x:c r="L29" s="76" t="str">
        <x:f>IF(COUNTA(E29:J29)=0,"",IF(OR(E29&gt;15,F29&gt;45,G29&gt;25,H29&gt;40,I29&gt;4000,J29&gt;100),"Oui","Non"))</x:f>
      </x:c>
      <x:c r="M29" s="76"/>
      <x:c r="N29" s="76"/>
      <x:c r="O29" s="76"/>
      <x:c r="P29" s="76"/>
      <x:c r="Q29" s="78" t="str">
        <x:f>IF(B29="","",TODAY())</x:f>
      </x:c>
      <x:c r="R29" s="76"/>
      <x:c r="S29" s="76" t="str">
        <x:f>IF(B29="","",IF(OR(C29="",D29="",E29="",M29="",N29="",P29&lt;&gt;"Validé humainement"),"ALERTE: données/preuves/statut",IF(OR(E29&lt;0,F29&lt;0,G29&lt;0,H29&lt;0,I29&lt;0,J29&lt;0),"ALERTE: valeur anormale","OK")))</x:f>
      </x:c>
      <x:c r="T29" s="76" t="str">
        <x:f>IF(B29="","",IF(P29="Validé humainement","Oui","Non"))</x:f>
      </x:c>
    </x:row>
    <x:row r="30">
      <x:c r="A30" s="76" t="str">
        <x:f>IF(B30="","","AIR-"&amp;TEXT(ROW()-4,"0000"))</x:f>
      </x:c>
      <x:c r="B30" s="76"/>
      <x:c r="C30" s="76"/>
      <x:c r="D30" s="76"/>
      <x:c r="E30" s="80"/>
      <x:c r="F30" s="80"/>
      <x:c r="G30" s="80"/>
      <x:c r="H30" s="80"/>
      <x:c r="I30" s="80"/>
      <x:c r="J30" s="80"/>
      <x:c r="K30" s="80" t="str">
        <x:f>IF(COUNTA(E30:J30)=0,"",MAX(E30:J30))</x:f>
      </x:c>
      <x:c r="L30" s="76" t="str">
        <x:f>IF(COUNTA(E30:J30)=0,"",IF(OR(E30&gt;15,F30&gt;45,G30&gt;25,H30&gt;40,I30&gt;4000,J30&gt;100),"Oui","Non"))</x:f>
      </x:c>
      <x:c r="M30" s="76"/>
      <x:c r="N30" s="76"/>
      <x:c r="O30" s="76"/>
      <x:c r="P30" s="76"/>
      <x:c r="Q30" s="78" t="str">
        <x:f>IF(B30="","",TODAY())</x:f>
      </x:c>
      <x:c r="R30" s="76"/>
      <x:c r="S30" s="76" t="str">
        <x:f>IF(B30="","",IF(OR(C30="",D30="",E30="",M30="",N30="",P30&lt;&gt;"Validé humainement"),"ALERTE: données/preuves/statut",IF(OR(E30&lt;0,F30&lt;0,G30&lt;0,H30&lt;0,I30&lt;0,J30&lt;0),"ALERTE: valeur anormale","OK")))</x:f>
      </x:c>
      <x:c r="T30" s="76" t="str">
        <x:f>IF(B30="","",IF(P30="Validé humainement","Oui","Non"))</x:f>
      </x:c>
    </x:row>
    <x:row r="31">
      <x:c r="A31" s="76" t="str">
        <x:f>IF(B31="","","AIR-"&amp;TEXT(ROW()-4,"0000"))</x:f>
      </x:c>
      <x:c r="B31" s="76"/>
      <x:c r="C31" s="76"/>
      <x:c r="D31" s="76"/>
      <x:c r="E31" s="80"/>
      <x:c r="F31" s="80"/>
      <x:c r="G31" s="80"/>
      <x:c r="H31" s="80"/>
      <x:c r="I31" s="80"/>
      <x:c r="J31" s="80"/>
      <x:c r="K31" s="80" t="str">
        <x:f>IF(COUNTA(E31:J31)=0,"",MAX(E31:J31))</x:f>
      </x:c>
      <x:c r="L31" s="76" t="str">
        <x:f>IF(COUNTA(E31:J31)=0,"",IF(OR(E31&gt;15,F31&gt;45,G31&gt;25,H31&gt;40,I31&gt;4000,J31&gt;100),"Oui","Non"))</x:f>
      </x:c>
      <x:c r="M31" s="76"/>
      <x:c r="N31" s="76"/>
      <x:c r="O31" s="76"/>
      <x:c r="P31" s="76"/>
      <x:c r="Q31" s="78" t="str">
        <x:f>IF(B31="","",TODAY())</x:f>
      </x:c>
      <x:c r="R31" s="76"/>
      <x:c r="S31" s="76" t="str">
        <x:f>IF(B31="","",IF(OR(C31="",D31="",E31="",M31="",N31="",P31&lt;&gt;"Validé humainement"),"ALERTE: données/preuves/statut",IF(OR(E31&lt;0,F31&lt;0,G31&lt;0,H31&lt;0,I31&lt;0,J31&lt;0),"ALERTE: valeur anormale","OK")))</x:f>
      </x:c>
      <x:c r="T31" s="76" t="str">
        <x:f>IF(B31="","",IF(P31="Validé humainement","Oui","Non"))</x:f>
      </x:c>
    </x:row>
    <x:row r="32">
      <x:c r="A32" s="76" t="str">
        <x:f>IF(B32="","","AIR-"&amp;TEXT(ROW()-4,"0000"))</x:f>
      </x:c>
      <x:c r="B32" s="76"/>
      <x:c r="C32" s="76"/>
      <x:c r="D32" s="76"/>
      <x:c r="E32" s="80"/>
      <x:c r="F32" s="80"/>
      <x:c r="G32" s="80"/>
      <x:c r="H32" s="80"/>
      <x:c r="I32" s="80"/>
      <x:c r="J32" s="80"/>
      <x:c r="K32" s="80" t="str">
        <x:f>IF(COUNTA(E32:J32)=0,"",MAX(E32:J32))</x:f>
      </x:c>
      <x:c r="L32" s="76" t="str">
        <x:f>IF(COUNTA(E32:J32)=0,"",IF(OR(E32&gt;15,F32&gt;45,G32&gt;25,H32&gt;40,I32&gt;4000,J32&gt;100),"Oui","Non"))</x:f>
      </x:c>
      <x:c r="M32" s="76"/>
      <x:c r="N32" s="76"/>
      <x:c r="O32" s="76"/>
      <x:c r="P32" s="76"/>
      <x:c r="Q32" s="78" t="str">
        <x:f>IF(B32="","",TODAY())</x:f>
      </x:c>
      <x:c r="R32" s="76"/>
      <x:c r="S32" s="76" t="str">
        <x:f>IF(B32="","",IF(OR(C32="",D32="",E32="",M32="",N32="",P32&lt;&gt;"Validé humainement"),"ALERTE: données/preuves/statut",IF(OR(E32&lt;0,F32&lt;0,G32&lt;0,H32&lt;0,I32&lt;0,J32&lt;0),"ALERTE: valeur anormale","OK")))</x:f>
      </x:c>
      <x:c r="T32" s="76" t="str">
        <x:f>IF(B32="","",IF(P32="Validé humainement","Oui","Non"))</x:f>
      </x:c>
    </x:row>
    <x:row r="33">
      <x:c r="A33" s="76" t="str">
        <x:f>IF(B33="","","AIR-"&amp;TEXT(ROW()-4,"0000"))</x:f>
      </x:c>
      <x:c r="B33" s="76"/>
      <x:c r="C33" s="76"/>
      <x:c r="D33" s="76"/>
      <x:c r="E33" s="80"/>
      <x:c r="F33" s="80"/>
      <x:c r="G33" s="80"/>
      <x:c r="H33" s="80"/>
      <x:c r="I33" s="80"/>
      <x:c r="J33" s="80"/>
      <x:c r="K33" s="80" t="str">
        <x:f>IF(COUNTA(E33:J33)=0,"",MAX(E33:J33))</x:f>
      </x:c>
      <x:c r="L33" s="76" t="str">
        <x:f>IF(COUNTA(E33:J33)=0,"",IF(OR(E33&gt;15,F33&gt;45,G33&gt;25,H33&gt;40,I33&gt;4000,J33&gt;100),"Oui","Non"))</x:f>
      </x:c>
      <x:c r="M33" s="76"/>
      <x:c r="N33" s="76"/>
      <x:c r="O33" s="76"/>
      <x:c r="P33" s="76"/>
      <x:c r="Q33" s="78" t="str">
        <x:f>IF(B33="","",TODAY())</x:f>
      </x:c>
      <x:c r="R33" s="76"/>
      <x:c r="S33" s="76" t="str">
        <x:f>IF(B33="","",IF(OR(C33="",D33="",E33="",M33="",N33="",P33&lt;&gt;"Validé humainement"),"ALERTE: données/preuves/statut",IF(OR(E33&lt;0,F33&lt;0,G33&lt;0,H33&lt;0,I33&lt;0,J33&lt;0),"ALERTE: valeur anormale","OK")))</x:f>
      </x:c>
      <x:c r="T33" s="76" t="str">
        <x:f>IF(B33="","",IF(P33="Validé humainement","Oui","Non"))</x:f>
      </x:c>
    </x:row>
    <x:row r="34">
      <x:c r="A34" s="76" t="str">
        <x:f>IF(B34="","","AIR-"&amp;TEXT(ROW()-4,"0000"))</x:f>
      </x:c>
      <x:c r="B34" s="76"/>
      <x:c r="C34" s="76"/>
      <x:c r="D34" s="76"/>
      <x:c r="E34" s="80"/>
      <x:c r="F34" s="80"/>
      <x:c r="G34" s="80"/>
      <x:c r="H34" s="80"/>
      <x:c r="I34" s="80"/>
      <x:c r="J34" s="80"/>
      <x:c r="K34" s="80" t="str">
        <x:f>IF(COUNTA(E34:J34)=0,"",MAX(E34:J34))</x:f>
      </x:c>
      <x:c r="L34" s="76" t="str">
        <x:f>IF(COUNTA(E34:J34)=0,"",IF(OR(E34&gt;15,F34&gt;45,G34&gt;25,H34&gt;40,I34&gt;4000,J34&gt;100),"Oui","Non"))</x:f>
      </x:c>
      <x:c r="M34" s="76"/>
      <x:c r="N34" s="76"/>
      <x:c r="O34" s="76"/>
      <x:c r="P34" s="76"/>
      <x:c r="Q34" s="78" t="str">
        <x:f>IF(B34="","",TODAY())</x:f>
      </x:c>
      <x:c r="R34" s="76"/>
      <x:c r="S34" s="76" t="str">
        <x:f>IF(B34="","",IF(OR(C34="",D34="",E34="",M34="",N34="",P34&lt;&gt;"Validé humainement"),"ALERTE: données/preuves/statut",IF(OR(E34&lt;0,F34&lt;0,G34&lt;0,H34&lt;0,I34&lt;0,J34&lt;0),"ALERTE: valeur anormale","OK")))</x:f>
      </x:c>
      <x:c r="T34" s="76" t="str">
        <x:f>IF(B34="","",IF(P34="Validé humainement","Oui","Non"))</x:f>
      </x:c>
    </x:row>
    <x:row r="35">
      <x:c r="A35" s="76" t="str">
        <x:f>IF(B35="","","AIR-"&amp;TEXT(ROW()-4,"0000"))</x:f>
      </x:c>
      <x:c r="B35" s="76"/>
      <x:c r="C35" s="76"/>
      <x:c r="D35" s="76"/>
      <x:c r="E35" s="80"/>
      <x:c r="F35" s="80"/>
      <x:c r="G35" s="80"/>
      <x:c r="H35" s="80"/>
      <x:c r="I35" s="80"/>
      <x:c r="J35" s="80"/>
      <x:c r="K35" s="80" t="str">
        <x:f>IF(COUNTA(E35:J35)=0,"",MAX(E35:J35))</x:f>
      </x:c>
      <x:c r="L35" s="76" t="str">
        <x:f>IF(COUNTA(E35:J35)=0,"",IF(OR(E35&gt;15,F35&gt;45,G35&gt;25,H35&gt;40,I35&gt;4000,J35&gt;100),"Oui","Non"))</x:f>
      </x:c>
      <x:c r="M35" s="76"/>
      <x:c r="N35" s="76"/>
      <x:c r="O35" s="76"/>
      <x:c r="P35" s="76"/>
      <x:c r="Q35" s="78" t="str">
        <x:f>IF(B35="","",TODAY())</x:f>
      </x:c>
      <x:c r="R35" s="76"/>
      <x:c r="S35" s="76" t="str">
        <x:f>IF(B35="","",IF(OR(C35="",D35="",E35="",M35="",N35="",P35&lt;&gt;"Validé humainement"),"ALERTE: données/preuves/statut",IF(OR(E35&lt;0,F35&lt;0,G35&lt;0,H35&lt;0,I35&lt;0,J35&lt;0),"ALERTE: valeur anormale","OK")))</x:f>
      </x:c>
      <x:c r="T35" s="76" t="str">
        <x:f>IF(B35="","",IF(P35="Validé humainement","Oui","Non"))</x:f>
      </x:c>
    </x:row>
    <x:row r="36">
      <x:c r="A36" s="76" t="str">
        <x:f>IF(B36="","","AIR-"&amp;TEXT(ROW()-4,"0000"))</x:f>
      </x:c>
      <x:c r="B36" s="76"/>
      <x:c r="C36" s="76"/>
      <x:c r="D36" s="76"/>
      <x:c r="E36" s="80"/>
      <x:c r="F36" s="80"/>
      <x:c r="G36" s="80"/>
      <x:c r="H36" s="80"/>
      <x:c r="I36" s="80"/>
      <x:c r="J36" s="80"/>
      <x:c r="K36" s="80" t="str">
        <x:f>IF(COUNTA(E36:J36)=0,"",MAX(E36:J36))</x:f>
      </x:c>
      <x:c r="L36" s="76" t="str">
        <x:f>IF(COUNTA(E36:J36)=0,"",IF(OR(E36&gt;15,F36&gt;45,G36&gt;25,H36&gt;40,I36&gt;4000,J36&gt;100),"Oui","Non"))</x:f>
      </x:c>
      <x:c r="M36" s="76"/>
      <x:c r="N36" s="76"/>
      <x:c r="O36" s="76"/>
      <x:c r="P36" s="76"/>
      <x:c r="Q36" s="78" t="str">
        <x:f>IF(B36="","",TODAY())</x:f>
      </x:c>
      <x:c r="R36" s="76"/>
      <x:c r="S36" s="76" t="str">
        <x:f>IF(B36="","",IF(OR(C36="",D36="",E36="",M36="",N36="",P36&lt;&gt;"Validé humainement"),"ALERTE: données/preuves/statut",IF(OR(E36&lt;0,F36&lt;0,G36&lt;0,H36&lt;0,I36&lt;0,J36&lt;0),"ALERTE: valeur anormale","OK")))</x:f>
      </x:c>
      <x:c r="T36" s="76" t="str">
        <x:f>IF(B36="","",IF(P36="Validé humainement","Oui","Non"))</x:f>
      </x:c>
    </x:row>
    <x:row r="37">
      <x:c r="A37" s="76" t="str">
        <x:f>IF(B37="","","AIR-"&amp;TEXT(ROW()-4,"0000"))</x:f>
      </x:c>
      <x:c r="B37" s="76"/>
      <x:c r="C37" s="76"/>
      <x:c r="D37" s="76"/>
      <x:c r="E37" s="80"/>
      <x:c r="F37" s="80"/>
      <x:c r="G37" s="80"/>
      <x:c r="H37" s="80"/>
      <x:c r="I37" s="80"/>
      <x:c r="J37" s="80"/>
      <x:c r="K37" s="80" t="str">
        <x:f>IF(COUNTA(E37:J37)=0,"",MAX(E37:J37))</x:f>
      </x:c>
      <x:c r="L37" s="76" t="str">
        <x:f>IF(COUNTA(E37:J37)=0,"",IF(OR(E37&gt;15,F37&gt;45,G37&gt;25,H37&gt;40,I37&gt;4000,J37&gt;100),"Oui","Non"))</x:f>
      </x:c>
      <x:c r="M37" s="76"/>
      <x:c r="N37" s="76"/>
      <x:c r="O37" s="76"/>
      <x:c r="P37" s="76"/>
      <x:c r="Q37" s="78" t="str">
        <x:f>IF(B37="","",TODAY())</x:f>
      </x:c>
      <x:c r="R37" s="76"/>
      <x:c r="S37" s="76" t="str">
        <x:f>IF(B37="","",IF(OR(C37="",D37="",E37="",M37="",N37="",P37&lt;&gt;"Validé humainement"),"ALERTE: données/preuves/statut",IF(OR(E37&lt;0,F37&lt;0,G37&lt;0,H37&lt;0,I37&lt;0,J37&lt;0),"ALERTE: valeur anormale","OK")))</x:f>
      </x:c>
      <x:c r="T37" s="76" t="str">
        <x:f>IF(B37="","",IF(P37="Validé humainement","Oui","Non"))</x:f>
      </x:c>
    </x:row>
    <x:row r="38">
      <x:c r="A38" s="76" t="str">
        <x:f>IF(B38="","","AIR-"&amp;TEXT(ROW()-4,"0000"))</x:f>
      </x:c>
      <x:c r="B38" s="76"/>
      <x:c r="C38" s="76"/>
      <x:c r="D38" s="76"/>
      <x:c r="E38" s="80"/>
      <x:c r="F38" s="80"/>
      <x:c r="G38" s="80"/>
      <x:c r="H38" s="80"/>
      <x:c r="I38" s="80"/>
      <x:c r="J38" s="80"/>
      <x:c r="K38" s="80" t="str">
        <x:f>IF(COUNTA(E38:J38)=0,"",MAX(E38:J38))</x:f>
      </x:c>
      <x:c r="L38" s="76" t="str">
        <x:f>IF(COUNTA(E38:J38)=0,"",IF(OR(E38&gt;15,F38&gt;45,G38&gt;25,H38&gt;40,I38&gt;4000,J38&gt;100),"Oui","Non"))</x:f>
      </x:c>
      <x:c r="M38" s="76"/>
      <x:c r="N38" s="76"/>
      <x:c r="O38" s="76"/>
      <x:c r="P38" s="76"/>
      <x:c r="Q38" s="78" t="str">
        <x:f>IF(B38="","",TODAY())</x:f>
      </x:c>
      <x:c r="R38" s="76"/>
      <x:c r="S38" s="76" t="str">
        <x:f>IF(B38="","",IF(OR(C38="",D38="",E38="",M38="",N38="",P38&lt;&gt;"Validé humainement"),"ALERTE: données/preuves/statut",IF(OR(E38&lt;0,F38&lt;0,G38&lt;0,H38&lt;0,I38&lt;0,J38&lt;0),"ALERTE: valeur anormale","OK")))</x:f>
      </x:c>
      <x:c r="T38" s="76" t="str">
        <x:f>IF(B38="","",IF(P38="Validé humainement","Oui","Non"))</x:f>
      </x:c>
    </x:row>
    <x:row r="39">
      <x:c r="A39" s="76" t="str">
        <x:f>IF(B39="","","AIR-"&amp;TEXT(ROW()-4,"0000"))</x:f>
      </x:c>
      <x:c r="B39" s="76"/>
      <x:c r="C39" s="76"/>
      <x:c r="D39" s="76"/>
      <x:c r="E39" s="80"/>
      <x:c r="F39" s="80"/>
      <x:c r="G39" s="80"/>
      <x:c r="H39" s="80"/>
      <x:c r="I39" s="80"/>
      <x:c r="J39" s="80"/>
      <x:c r="K39" s="80" t="str">
        <x:f>IF(COUNTA(E39:J39)=0,"",MAX(E39:J39))</x:f>
      </x:c>
      <x:c r="L39" s="76" t="str">
        <x:f>IF(COUNTA(E39:J39)=0,"",IF(OR(E39&gt;15,F39&gt;45,G39&gt;25,H39&gt;40,I39&gt;4000,J39&gt;100),"Oui","Non"))</x:f>
      </x:c>
      <x:c r="M39" s="76"/>
      <x:c r="N39" s="76"/>
      <x:c r="O39" s="76"/>
      <x:c r="P39" s="76"/>
      <x:c r="Q39" s="78" t="str">
        <x:f>IF(B39="","",TODAY())</x:f>
      </x:c>
      <x:c r="R39" s="76"/>
      <x:c r="S39" s="76" t="str">
        <x:f>IF(B39="","",IF(OR(C39="",D39="",E39="",M39="",N39="",P39&lt;&gt;"Validé humainement"),"ALERTE: données/preuves/statut",IF(OR(E39&lt;0,F39&lt;0,G39&lt;0,H39&lt;0,I39&lt;0,J39&lt;0),"ALERTE: valeur anormale","OK")))</x:f>
      </x:c>
      <x:c r="T39" s="76" t="str">
        <x:f>IF(B39="","",IF(P39="Validé humainement","Oui","Non"))</x:f>
      </x:c>
    </x:row>
    <x:row r="40">
      <x:c r="A40" s="76" t="str">
        <x:f>IF(B40="","","AIR-"&amp;TEXT(ROW()-4,"0000"))</x:f>
      </x:c>
      <x:c r="B40" s="76"/>
      <x:c r="C40" s="76"/>
      <x:c r="D40" s="76"/>
      <x:c r="E40" s="80"/>
      <x:c r="F40" s="80"/>
      <x:c r="G40" s="80"/>
      <x:c r="H40" s="80"/>
      <x:c r="I40" s="80"/>
      <x:c r="J40" s="80"/>
      <x:c r="K40" s="80" t="str">
        <x:f>IF(COUNTA(E40:J40)=0,"",MAX(E40:J40))</x:f>
      </x:c>
      <x:c r="L40" s="76" t="str">
        <x:f>IF(COUNTA(E40:J40)=0,"",IF(OR(E40&gt;15,F40&gt;45,G40&gt;25,H40&gt;40,I40&gt;4000,J40&gt;100),"Oui","Non"))</x:f>
      </x:c>
      <x:c r="M40" s="76"/>
      <x:c r="N40" s="76"/>
      <x:c r="O40" s="76"/>
      <x:c r="P40" s="76"/>
      <x:c r="Q40" s="78" t="str">
        <x:f>IF(B40="","",TODAY())</x:f>
      </x:c>
      <x:c r="R40" s="76"/>
      <x:c r="S40" s="76" t="str">
        <x:f>IF(B40="","",IF(OR(C40="",D40="",E40="",M40="",N40="",P40&lt;&gt;"Validé humainement"),"ALERTE: données/preuves/statut",IF(OR(E40&lt;0,F40&lt;0,G40&lt;0,H40&lt;0,I40&lt;0,J40&lt;0),"ALERTE: valeur anormale","OK")))</x:f>
      </x:c>
      <x:c r="T40" s="76" t="str">
        <x:f>IF(B40="","",IF(P40="Validé humainement","Oui","Non"))</x:f>
      </x:c>
    </x:row>
    <x:row r="41">
      <x:c r="A41" s="76" t="str">
        <x:f>IF(B41="","","AIR-"&amp;TEXT(ROW()-4,"0000"))</x:f>
      </x:c>
      <x:c r="B41" s="76"/>
      <x:c r="C41" s="76"/>
      <x:c r="D41" s="76"/>
      <x:c r="E41" s="80"/>
      <x:c r="F41" s="80"/>
      <x:c r="G41" s="80"/>
      <x:c r="H41" s="80"/>
      <x:c r="I41" s="80"/>
      <x:c r="J41" s="80"/>
      <x:c r="K41" s="80" t="str">
        <x:f>IF(COUNTA(E41:J41)=0,"",MAX(E41:J41))</x:f>
      </x:c>
      <x:c r="L41" s="76" t="str">
        <x:f>IF(COUNTA(E41:J41)=0,"",IF(OR(E41&gt;15,F41&gt;45,G41&gt;25,H41&gt;40,I41&gt;4000,J41&gt;100),"Oui","Non"))</x:f>
      </x:c>
      <x:c r="M41" s="76"/>
      <x:c r="N41" s="76"/>
      <x:c r="O41" s="76"/>
      <x:c r="P41" s="76"/>
      <x:c r="Q41" s="78" t="str">
        <x:f>IF(B41="","",TODAY())</x:f>
      </x:c>
      <x:c r="R41" s="76"/>
      <x:c r="S41" s="76" t="str">
        <x:f>IF(B41="","",IF(OR(C41="",D41="",E41="",M41="",N41="",P41&lt;&gt;"Validé humainement"),"ALERTE: données/preuves/statut",IF(OR(E41&lt;0,F41&lt;0,G41&lt;0,H41&lt;0,I41&lt;0,J41&lt;0),"ALERTE: valeur anormale","OK")))</x:f>
      </x:c>
      <x:c r="T41" s="76" t="str">
        <x:f>IF(B41="","",IF(P41="Validé humainement","Oui","Non"))</x:f>
      </x:c>
    </x:row>
    <x:row r="42">
      <x:c r="A42" s="76" t="str">
        <x:f>IF(B42="","","AIR-"&amp;TEXT(ROW()-4,"0000"))</x:f>
      </x:c>
      <x:c r="B42" s="76"/>
      <x:c r="C42" s="76"/>
      <x:c r="D42" s="76"/>
      <x:c r="E42" s="80"/>
      <x:c r="F42" s="80"/>
      <x:c r="G42" s="80"/>
      <x:c r="H42" s="80"/>
      <x:c r="I42" s="80"/>
      <x:c r="J42" s="80"/>
      <x:c r="K42" s="80" t="str">
        <x:f>IF(COUNTA(E42:J42)=0,"",MAX(E42:J42))</x:f>
      </x:c>
      <x:c r="L42" s="76" t="str">
        <x:f>IF(COUNTA(E42:J42)=0,"",IF(OR(E42&gt;15,F42&gt;45,G42&gt;25,H42&gt;40,I42&gt;4000,J42&gt;100),"Oui","Non"))</x:f>
      </x:c>
      <x:c r="M42" s="76"/>
      <x:c r="N42" s="76"/>
      <x:c r="O42" s="76"/>
      <x:c r="P42" s="76"/>
      <x:c r="Q42" s="78" t="str">
        <x:f>IF(B42="","",TODAY())</x:f>
      </x:c>
      <x:c r="R42" s="76"/>
      <x:c r="S42" s="76" t="str">
        <x:f>IF(B42="","",IF(OR(C42="",D42="",E42="",M42="",N42="",P42&lt;&gt;"Validé humainement"),"ALERTE: données/preuves/statut",IF(OR(E42&lt;0,F42&lt;0,G42&lt;0,H42&lt;0,I42&lt;0,J42&lt;0),"ALERTE: valeur anormale","OK")))</x:f>
      </x:c>
      <x:c r="T42" s="76" t="str">
        <x:f>IF(B42="","",IF(P42="Validé humainement","Oui","Non"))</x:f>
      </x:c>
    </x:row>
    <x:row r="43">
      <x:c r="A43" s="76" t="str">
        <x:f>IF(B43="","","AIR-"&amp;TEXT(ROW()-4,"0000"))</x:f>
      </x:c>
      <x:c r="B43" s="76"/>
      <x:c r="C43" s="76"/>
      <x:c r="D43" s="76"/>
      <x:c r="E43" s="80"/>
      <x:c r="F43" s="80"/>
      <x:c r="G43" s="80"/>
      <x:c r="H43" s="80"/>
      <x:c r="I43" s="80"/>
      <x:c r="J43" s="80"/>
      <x:c r="K43" s="80" t="str">
        <x:f>IF(COUNTA(E43:J43)=0,"",MAX(E43:J43))</x:f>
      </x:c>
      <x:c r="L43" s="76" t="str">
        <x:f>IF(COUNTA(E43:J43)=0,"",IF(OR(E43&gt;15,F43&gt;45,G43&gt;25,H43&gt;40,I43&gt;4000,J43&gt;100),"Oui","Non"))</x:f>
      </x:c>
      <x:c r="M43" s="76"/>
      <x:c r="N43" s="76"/>
      <x:c r="O43" s="76"/>
      <x:c r="P43" s="76"/>
      <x:c r="Q43" s="78" t="str">
        <x:f>IF(B43="","",TODAY())</x:f>
      </x:c>
      <x:c r="R43" s="76"/>
      <x:c r="S43" s="76" t="str">
        <x:f>IF(B43="","",IF(OR(C43="",D43="",E43="",M43="",N43="",P43&lt;&gt;"Validé humainement"),"ALERTE: données/preuves/statut",IF(OR(E43&lt;0,F43&lt;0,G43&lt;0,H43&lt;0,I43&lt;0,J43&lt;0),"ALERTE: valeur anormale","OK")))</x:f>
      </x:c>
      <x:c r="T43" s="76" t="str">
        <x:f>IF(B43="","",IF(P43="Validé humainement","Oui","Non"))</x:f>
      </x:c>
    </x:row>
    <x:row r="44">
      <x:c r="A44" s="76" t="str">
        <x:f>IF(B44="","","AIR-"&amp;TEXT(ROW()-4,"0000"))</x:f>
      </x:c>
      <x:c r="B44" s="76"/>
      <x:c r="C44" s="76"/>
      <x:c r="D44" s="76"/>
      <x:c r="E44" s="80"/>
      <x:c r="F44" s="80"/>
      <x:c r="G44" s="80"/>
      <x:c r="H44" s="80"/>
      <x:c r="I44" s="80"/>
      <x:c r="J44" s="80"/>
      <x:c r="K44" s="80" t="str">
        <x:f>IF(COUNTA(E44:J44)=0,"",MAX(E44:J44))</x:f>
      </x:c>
      <x:c r="L44" s="76" t="str">
        <x:f>IF(COUNTA(E44:J44)=0,"",IF(OR(E44&gt;15,F44&gt;45,G44&gt;25,H44&gt;40,I44&gt;4000,J44&gt;100),"Oui","Non"))</x:f>
      </x:c>
      <x:c r="M44" s="76"/>
      <x:c r="N44" s="76"/>
      <x:c r="O44" s="76"/>
      <x:c r="P44" s="76"/>
      <x:c r="Q44" s="78" t="str">
        <x:f>IF(B44="","",TODAY())</x:f>
      </x:c>
      <x:c r="R44" s="76"/>
      <x:c r="S44" s="76" t="str">
        <x:f>IF(B44="","",IF(OR(C44="",D44="",E44="",M44="",N44="",P44&lt;&gt;"Validé humainement"),"ALERTE: données/preuves/statut",IF(OR(E44&lt;0,F44&lt;0,G44&lt;0,H44&lt;0,I44&lt;0,J44&lt;0),"ALERTE: valeur anormale","OK")))</x:f>
      </x:c>
      <x:c r="T44" s="76" t="str">
        <x:f>IF(B44="","",IF(P44="Validé humainement","Oui","Non"))</x:f>
      </x:c>
    </x:row>
    <x:row r="45">
      <x:c r="A45" s="76" t="str">
        <x:f>IF(B45="","","AIR-"&amp;TEXT(ROW()-4,"0000"))</x:f>
      </x:c>
      <x:c r="B45" s="76"/>
      <x:c r="C45" s="76"/>
      <x:c r="D45" s="76"/>
      <x:c r="E45" s="80"/>
      <x:c r="F45" s="80"/>
      <x:c r="G45" s="80"/>
      <x:c r="H45" s="80"/>
      <x:c r="I45" s="80"/>
      <x:c r="J45" s="80"/>
      <x:c r="K45" s="80" t="str">
        <x:f>IF(COUNTA(E45:J45)=0,"",MAX(E45:J45))</x:f>
      </x:c>
      <x:c r="L45" s="76" t="str">
        <x:f>IF(COUNTA(E45:J45)=0,"",IF(OR(E45&gt;15,F45&gt;45,G45&gt;25,H45&gt;40,I45&gt;4000,J45&gt;100),"Oui","Non"))</x:f>
      </x:c>
      <x:c r="M45" s="76"/>
      <x:c r="N45" s="76"/>
      <x:c r="O45" s="76"/>
      <x:c r="P45" s="76"/>
      <x:c r="Q45" s="78" t="str">
        <x:f>IF(B45="","",TODAY())</x:f>
      </x:c>
      <x:c r="R45" s="76"/>
      <x:c r="S45" s="76" t="str">
        <x:f>IF(B45="","",IF(OR(C45="",D45="",E45="",M45="",N45="",P45&lt;&gt;"Validé humainement"),"ALERTE: données/preuves/statut",IF(OR(E45&lt;0,F45&lt;0,G45&lt;0,H45&lt;0,I45&lt;0,J45&lt;0),"ALERTE: valeur anormale","OK")))</x:f>
      </x:c>
      <x:c r="T45" s="76" t="str">
        <x:f>IF(B45="","",IF(P45="Validé humainement","Oui","Non"))</x:f>
      </x:c>
    </x:row>
    <x:row r="46">
      <x:c r="A46" s="76" t="str">
        <x:f>IF(B46="","","AIR-"&amp;TEXT(ROW()-4,"0000"))</x:f>
      </x:c>
      <x:c r="B46" s="76"/>
      <x:c r="C46" s="76"/>
      <x:c r="D46" s="76"/>
      <x:c r="E46" s="80"/>
      <x:c r="F46" s="80"/>
      <x:c r="G46" s="80"/>
      <x:c r="H46" s="80"/>
      <x:c r="I46" s="80"/>
      <x:c r="J46" s="80"/>
      <x:c r="K46" s="80" t="str">
        <x:f>IF(COUNTA(E46:J46)=0,"",MAX(E46:J46))</x:f>
      </x:c>
      <x:c r="L46" s="76" t="str">
        <x:f>IF(COUNTA(E46:J46)=0,"",IF(OR(E46&gt;15,F46&gt;45,G46&gt;25,H46&gt;40,I46&gt;4000,J46&gt;100),"Oui","Non"))</x:f>
      </x:c>
      <x:c r="M46" s="76"/>
      <x:c r="N46" s="76"/>
      <x:c r="O46" s="76"/>
      <x:c r="P46" s="76"/>
      <x:c r="Q46" s="78" t="str">
        <x:f>IF(B46="","",TODAY())</x:f>
      </x:c>
      <x:c r="R46" s="76"/>
      <x:c r="S46" s="76" t="str">
        <x:f>IF(B46="","",IF(OR(C46="",D46="",E46="",M46="",N46="",P46&lt;&gt;"Validé humainement"),"ALERTE: données/preuves/statut",IF(OR(E46&lt;0,F46&lt;0,G46&lt;0,H46&lt;0,I46&lt;0,J46&lt;0),"ALERTE: valeur anormale","OK")))</x:f>
      </x:c>
      <x:c r="T46" s="76" t="str">
        <x:f>IF(B46="","",IF(P46="Validé humainement","Oui","Non"))</x:f>
      </x:c>
    </x:row>
    <x:row r="47">
      <x:c r="A47" s="76" t="str">
        <x:f>IF(B47="","","AIR-"&amp;TEXT(ROW()-4,"0000"))</x:f>
      </x:c>
      <x:c r="B47" s="76"/>
      <x:c r="C47" s="76"/>
      <x:c r="D47" s="76"/>
      <x:c r="E47" s="80"/>
      <x:c r="F47" s="80"/>
      <x:c r="G47" s="80"/>
      <x:c r="H47" s="80"/>
      <x:c r="I47" s="80"/>
      <x:c r="J47" s="80"/>
      <x:c r="K47" s="80" t="str">
        <x:f>IF(COUNTA(E47:J47)=0,"",MAX(E47:J47))</x:f>
      </x:c>
      <x:c r="L47" s="76" t="str">
        <x:f>IF(COUNTA(E47:J47)=0,"",IF(OR(E47&gt;15,F47&gt;45,G47&gt;25,H47&gt;40,I47&gt;4000,J47&gt;100),"Oui","Non"))</x:f>
      </x:c>
      <x:c r="M47" s="76"/>
      <x:c r="N47" s="76"/>
      <x:c r="O47" s="76"/>
      <x:c r="P47" s="76"/>
      <x:c r="Q47" s="78" t="str">
        <x:f>IF(B47="","",TODAY())</x:f>
      </x:c>
      <x:c r="R47" s="76"/>
      <x:c r="S47" s="76" t="str">
        <x:f>IF(B47="","",IF(OR(C47="",D47="",E47="",M47="",N47="",P47&lt;&gt;"Validé humainement"),"ALERTE: données/preuves/statut",IF(OR(E47&lt;0,F47&lt;0,G47&lt;0,H47&lt;0,I47&lt;0,J47&lt;0),"ALERTE: valeur anormale","OK")))</x:f>
      </x:c>
      <x:c r="T47" s="76" t="str">
        <x:f>IF(B47="","",IF(P47="Validé humainement","Oui","Non"))</x:f>
      </x:c>
    </x:row>
    <x:row r="48">
      <x:c r="A48" s="76" t="str">
        <x:f>IF(B48="","","AIR-"&amp;TEXT(ROW()-4,"0000"))</x:f>
      </x:c>
      <x:c r="B48" s="76"/>
      <x:c r="C48" s="76"/>
      <x:c r="D48" s="76"/>
      <x:c r="E48" s="80"/>
      <x:c r="F48" s="80"/>
      <x:c r="G48" s="80"/>
      <x:c r="H48" s="80"/>
      <x:c r="I48" s="80"/>
      <x:c r="J48" s="80"/>
      <x:c r="K48" s="80" t="str">
        <x:f>IF(COUNTA(E48:J48)=0,"",MAX(E48:J48))</x:f>
      </x:c>
      <x:c r="L48" s="76" t="str">
        <x:f>IF(COUNTA(E48:J48)=0,"",IF(OR(E48&gt;15,F48&gt;45,G48&gt;25,H48&gt;40,I48&gt;4000,J48&gt;100),"Oui","Non"))</x:f>
      </x:c>
      <x:c r="M48" s="76"/>
      <x:c r="N48" s="76"/>
      <x:c r="O48" s="76"/>
      <x:c r="P48" s="76"/>
      <x:c r="Q48" s="78" t="str">
        <x:f>IF(B48="","",TODAY())</x:f>
      </x:c>
      <x:c r="R48" s="76"/>
      <x:c r="S48" s="76" t="str">
        <x:f>IF(B48="","",IF(OR(C48="",D48="",E48="",M48="",N48="",P48&lt;&gt;"Validé humainement"),"ALERTE: données/preuves/statut",IF(OR(E48&lt;0,F48&lt;0,G48&lt;0,H48&lt;0,I48&lt;0,J48&lt;0),"ALERTE: valeur anormale","OK")))</x:f>
      </x:c>
      <x:c r="T48" s="76" t="str">
        <x:f>IF(B48="","",IF(P48="Validé humainement","Oui","Non"))</x:f>
      </x:c>
    </x:row>
    <x:row r="49">
      <x:c r="A49" s="76" t="str">
        <x:f>IF(B49="","","AIR-"&amp;TEXT(ROW()-4,"0000"))</x:f>
      </x:c>
      <x:c r="B49" s="76"/>
      <x:c r="C49" s="76"/>
      <x:c r="D49" s="76"/>
      <x:c r="E49" s="80"/>
      <x:c r="F49" s="80"/>
      <x:c r="G49" s="80"/>
      <x:c r="H49" s="80"/>
      <x:c r="I49" s="80"/>
      <x:c r="J49" s="80"/>
      <x:c r="K49" s="80" t="str">
        <x:f>IF(COUNTA(E49:J49)=0,"",MAX(E49:J49))</x:f>
      </x:c>
      <x:c r="L49" s="76" t="str">
        <x:f>IF(COUNTA(E49:J49)=0,"",IF(OR(E49&gt;15,F49&gt;45,G49&gt;25,H49&gt;40,I49&gt;4000,J49&gt;100),"Oui","Non"))</x:f>
      </x:c>
      <x:c r="M49" s="76"/>
      <x:c r="N49" s="76"/>
      <x:c r="O49" s="76"/>
      <x:c r="P49" s="76"/>
      <x:c r="Q49" s="78" t="str">
        <x:f>IF(B49="","",TODAY())</x:f>
      </x:c>
      <x:c r="R49" s="76"/>
      <x:c r="S49" s="76" t="str">
        <x:f>IF(B49="","",IF(OR(C49="",D49="",E49="",M49="",N49="",P49&lt;&gt;"Validé humainement"),"ALERTE: données/preuves/statut",IF(OR(E49&lt;0,F49&lt;0,G49&lt;0,H49&lt;0,I49&lt;0,J49&lt;0),"ALERTE: valeur anormale","OK")))</x:f>
      </x:c>
      <x:c r="T49" s="76" t="str">
        <x:f>IF(B49="","",IF(P49="Validé humainement","Oui","Non"))</x:f>
      </x:c>
    </x:row>
    <x:row r="50">
      <x:c r="A50" s="76" t="str">
        <x:f>IF(B50="","","AIR-"&amp;TEXT(ROW()-4,"0000"))</x:f>
      </x:c>
      <x:c r="B50" s="76"/>
      <x:c r="C50" s="76"/>
      <x:c r="D50" s="76"/>
      <x:c r="E50" s="80"/>
      <x:c r="F50" s="80"/>
      <x:c r="G50" s="80"/>
      <x:c r="H50" s="80"/>
      <x:c r="I50" s="80"/>
      <x:c r="J50" s="80"/>
      <x:c r="K50" s="80" t="str">
        <x:f>IF(COUNTA(E50:J50)=0,"",MAX(E50:J50))</x:f>
      </x:c>
      <x:c r="L50" s="76" t="str">
        <x:f>IF(COUNTA(E50:J50)=0,"",IF(OR(E50&gt;15,F50&gt;45,G50&gt;25,H50&gt;40,I50&gt;4000,J50&gt;100),"Oui","Non"))</x:f>
      </x:c>
      <x:c r="M50" s="76"/>
      <x:c r="N50" s="76"/>
      <x:c r="O50" s="76"/>
      <x:c r="P50" s="76"/>
      <x:c r="Q50" s="78" t="str">
        <x:f>IF(B50="","",TODAY())</x:f>
      </x:c>
      <x:c r="R50" s="76"/>
      <x:c r="S50" s="76" t="str">
        <x:f>IF(B50="","",IF(OR(C50="",D50="",E50="",M50="",N50="",P50&lt;&gt;"Validé humainement"),"ALERTE: données/preuves/statut",IF(OR(E50&lt;0,F50&lt;0,G50&lt;0,H50&lt;0,I50&lt;0,J50&lt;0),"ALERTE: valeur anormale","OK")))</x:f>
      </x:c>
      <x:c r="T50" s="76" t="str">
        <x:f>IF(B50="","",IF(P50="Validé humainement","Oui","Non"))</x:f>
      </x:c>
    </x:row>
    <x:row r="51">
      <x:c r="A51" s="76" t="str">
        <x:f>IF(B51="","","AIR-"&amp;TEXT(ROW()-4,"0000"))</x:f>
      </x:c>
      <x:c r="B51" s="76"/>
      <x:c r="C51" s="76"/>
      <x:c r="D51" s="76"/>
      <x:c r="E51" s="80"/>
      <x:c r="F51" s="80"/>
      <x:c r="G51" s="80"/>
      <x:c r="H51" s="80"/>
      <x:c r="I51" s="80"/>
      <x:c r="J51" s="80"/>
      <x:c r="K51" s="80" t="str">
        <x:f>IF(COUNTA(E51:J51)=0,"",MAX(E51:J51))</x:f>
      </x:c>
      <x:c r="L51" s="76" t="str">
        <x:f>IF(COUNTA(E51:J51)=0,"",IF(OR(E51&gt;15,F51&gt;45,G51&gt;25,H51&gt;40,I51&gt;4000,J51&gt;100),"Oui","Non"))</x:f>
      </x:c>
      <x:c r="M51" s="76"/>
      <x:c r="N51" s="76"/>
      <x:c r="O51" s="76"/>
      <x:c r="P51" s="76"/>
      <x:c r="Q51" s="78" t="str">
        <x:f>IF(B51="","",TODAY())</x:f>
      </x:c>
      <x:c r="R51" s="76"/>
      <x:c r="S51" s="76" t="str">
        <x:f>IF(B51="","",IF(OR(C51="",D51="",E51="",M51="",N51="",P51&lt;&gt;"Validé humainement"),"ALERTE: données/preuves/statut",IF(OR(E51&lt;0,F51&lt;0,G51&lt;0,H51&lt;0,I51&lt;0,J51&lt;0),"ALERTE: valeur anormale","OK")))</x:f>
      </x:c>
      <x:c r="T51" s="76" t="str">
        <x:f>IF(B51="","",IF(P51="Validé humainement","Oui","Non"))</x:f>
      </x:c>
    </x:row>
    <x:row r="52">
      <x:c r="A52" s="76" t="str">
        <x:f>IF(B52="","","AIR-"&amp;TEXT(ROW()-4,"0000"))</x:f>
      </x:c>
      <x:c r="B52" s="76"/>
      <x:c r="C52" s="76"/>
      <x:c r="D52" s="76"/>
      <x:c r="E52" s="80"/>
      <x:c r="F52" s="80"/>
      <x:c r="G52" s="80"/>
      <x:c r="H52" s="80"/>
      <x:c r="I52" s="80"/>
      <x:c r="J52" s="80"/>
      <x:c r="K52" s="80" t="str">
        <x:f>IF(COUNTA(E52:J52)=0,"",MAX(E52:J52))</x:f>
      </x:c>
      <x:c r="L52" s="76" t="str">
        <x:f>IF(COUNTA(E52:J52)=0,"",IF(OR(E52&gt;15,F52&gt;45,G52&gt;25,H52&gt;40,I52&gt;4000,J52&gt;100),"Oui","Non"))</x:f>
      </x:c>
      <x:c r="M52" s="76"/>
      <x:c r="N52" s="76"/>
      <x:c r="O52" s="76"/>
      <x:c r="P52" s="76"/>
      <x:c r="Q52" s="78" t="str">
        <x:f>IF(B52="","",TODAY())</x:f>
      </x:c>
      <x:c r="R52" s="76"/>
      <x:c r="S52" s="76" t="str">
        <x:f>IF(B52="","",IF(OR(C52="",D52="",E52="",M52="",N52="",P52&lt;&gt;"Validé humainement"),"ALERTE: données/preuves/statut",IF(OR(E52&lt;0,F52&lt;0,G52&lt;0,H52&lt;0,I52&lt;0,J52&lt;0),"ALERTE: valeur anormale","OK")))</x:f>
      </x:c>
      <x:c r="T52" s="76" t="str">
        <x:f>IF(B52="","",IF(P52="Validé humainement","Oui","Non"))</x:f>
      </x:c>
    </x:row>
    <x:row r="53">
      <x:c r="A53" s="76" t="str">
        <x:f>IF(B53="","","AIR-"&amp;TEXT(ROW()-4,"0000"))</x:f>
      </x:c>
      <x:c r="B53" s="76"/>
      <x:c r="C53" s="76"/>
      <x:c r="D53" s="76"/>
      <x:c r="E53" s="80"/>
      <x:c r="F53" s="80"/>
      <x:c r="G53" s="80"/>
      <x:c r="H53" s="80"/>
      <x:c r="I53" s="80"/>
      <x:c r="J53" s="80"/>
      <x:c r="K53" s="80" t="str">
        <x:f>IF(COUNTA(E53:J53)=0,"",MAX(E53:J53))</x:f>
      </x:c>
      <x:c r="L53" s="76" t="str">
        <x:f>IF(COUNTA(E53:J53)=0,"",IF(OR(E53&gt;15,F53&gt;45,G53&gt;25,H53&gt;40,I53&gt;4000,J53&gt;100),"Oui","Non"))</x:f>
      </x:c>
      <x:c r="M53" s="76"/>
      <x:c r="N53" s="76"/>
      <x:c r="O53" s="76"/>
      <x:c r="P53" s="76"/>
      <x:c r="Q53" s="78" t="str">
        <x:f>IF(B53="","",TODAY())</x:f>
      </x:c>
      <x:c r="R53" s="76"/>
      <x:c r="S53" s="76" t="str">
        <x:f>IF(B53="","",IF(OR(C53="",D53="",E53="",M53="",N53="",P53&lt;&gt;"Validé humainement"),"ALERTE: données/preuves/statut",IF(OR(E53&lt;0,F53&lt;0,G53&lt;0,H53&lt;0,I53&lt;0,J53&lt;0),"ALERTE: valeur anormale","OK")))</x:f>
      </x:c>
      <x:c r="T53" s="76" t="str">
        <x:f>IF(B53="","",IF(P53="Validé humainement","Oui","Non"))</x:f>
      </x:c>
    </x:row>
    <x:row r="54">
      <x:c r="A54" s="76" t="str">
        <x:f>IF(B54="","","AIR-"&amp;TEXT(ROW()-4,"0000"))</x:f>
      </x:c>
      <x:c r="B54" s="76"/>
      <x:c r="C54" s="76"/>
      <x:c r="D54" s="76"/>
      <x:c r="E54" s="80"/>
      <x:c r="F54" s="80"/>
      <x:c r="G54" s="80"/>
      <x:c r="H54" s="80"/>
      <x:c r="I54" s="80"/>
      <x:c r="J54" s="80"/>
      <x:c r="K54" s="80" t="str">
        <x:f>IF(COUNTA(E54:J54)=0,"",MAX(E54:J54))</x:f>
      </x:c>
      <x:c r="L54" s="76" t="str">
        <x:f>IF(COUNTA(E54:J54)=0,"",IF(OR(E54&gt;15,F54&gt;45,G54&gt;25,H54&gt;40,I54&gt;4000,J54&gt;100),"Oui","Non"))</x:f>
      </x:c>
      <x:c r="M54" s="76"/>
      <x:c r="N54" s="76"/>
      <x:c r="O54" s="76"/>
      <x:c r="P54" s="76"/>
      <x:c r="Q54" s="78" t="str">
        <x:f>IF(B54="","",TODAY())</x:f>
      </x:c>
      <x:c r="R54" s="76"/>
      <x:c r="S54" s="76" t="str">
        <x:f>IF(B54="","",IF(OR(C54="",D54="",E54="",M54="",N54="",P54&lt;&gt;"Validé humainement"),"ALERTE: données/preuves/statut",IF(OR(E54&lt;0,F54&lt;0,G54&lt;0,H54&lt;0,I54&lt;0,J54&lt;0),"ALERTE: valeur anormale","OK")))</x:f>
      </x:c>
      <x:c r="T54" s="76" t="str">
        <x:f>IF(B54="","",IF(P54="Validé humainement","Oui","Non"))</x:f>
      </x:c>
    </x:row>
    <x:row r="55">
      <x:c r="A55" s="76" t="str">
        <x:f>IF(B55="","","AIR-"&amp;TEXT(ROW()-4,"0000"))</x:f>
      </x:c>
      <x:c r="B55" s="76"/>
      <x:c r="C55" s="76"/>
      <x:c r="D55" s="76"/>
      <x:c r="E55" s="80"/>
      <x:c r="F55" s="80"/>
      <x:c r="G55" s="80"/>
      <x:c r="H55" s="80"/>
      <x:c r="I55" s="80"/>
      <x:c r="J55" s="80"/>
      <x:c r="K55" s="80" t="str">
        <x:f>IF(COUNTA(E55:J55)=0,"",MAX(E55:J55))</x:f>
      </x:c>
      <x:c r="L55" s="76" t="str">
        <x:f>IF(COUNTA(E55:J55)=0,"",IF(OR(E55&gt;15,F55&gt;45,G55&gt;25,H55&gt;40,I55&gt;4000,J55&gt;100),"Oui","Non"))</x:f>
      </x:c>
      <x:c r="M55" s="76"/>
      <x:c r="N55" s="76"/>
      <x:c r="O55" s="76"/>
      <x:c r="P55" s="76"/>
      <x:c r="Q55" s="78" t="str">
        <x:f>IF(B55="","",TODAY())</x:f>
      </x:c>
      <x:c r="R55" s="76"/>
      <x:c r="S55" s="76" t="str">
        <x:f>IF(B55="","",IF(OR(C55="",D55="",E55="",M55="",N55="",P55&lt;&gt;"Validé humainement"),"ALERTE: données/preuves/statut",IF(OR(E55&lt;0,F55&lt;0,G55&lt;0,H55&lt;0,I55&lt;0,J55&lt;0),"ALERTE: valeur anormale","OK")))</x:f>
      </x:c>
      <x:c r="T55" s="76" t="str">
        <x:f>IF(B55="","",IF(P55="Validé humainement","Oui","Non"))</x:f>
      </x:c>
    </x:row>
    <x:row r="56">
      <x:c r="A56" s="76" t="str">
        <x:f>IF(B56="","","AIR-"&amp;TEXT(ROW()-4,"0000"))</x:f>
      </x:c>
      <x:c r="B56" s="76"/>
      <x:c r="C56" s="76"/>
      <x:c r="D56" s="76"/>
      <x:c r="E56" s="80"/>
      <x:c r="F56" s="80"/>
      <x:c r="G56" s="80"/>
      <x:c r="H56" s="80"/>
      <x:c r="I56" s="80"/>
      <x:c r="J56" s="80"/>
      <x:c r="K56" s="80" t="str">
        <x:f>IF(COUNTA(E56:J56)=0,"",MAX(E56:J56))</x:f>
      </x:c>
      <x:c r="L56" s="76" t="str">
        <x:f>IF(COUNTA(E56:J56)=0,"",IF(OR(E56&gt;15,F56&gt;45,G56&gt;25,H56&gt;40,I56&gt;4000,J56&gt;100),"Oui","Non"))</x:f>
      </x:c>
      <x:c r="M56" s="76"/>
      <x:c r="N56" s="76"/>
      <x:c r="O56" s="76"/>
      <x:c r="P56" s="76"/>
      <x:c r="Q56" s="78" t="str">
        <x:f>IF(B56="","",TODAY())</x:f>
      </x:c>
      <x:c r="R56" s="76"/>
      <x:c r="S56" s="76" t="str">
        <x:f>IF(B56="","",IF(OR(C56="",D56="",E56="",M56="",N56="",P56&lt;&gt;"Validé humainement"),"ALERTE: données/preuves/statut",IF(OR(E56&lt;0,F56&lt;0,G56&lt;0,H56&lt;0,I56&lt;0,J56&lt;0),"ALERTE: valeur anormale","OK")))</x:f>
      </x:c>
      <x:c r="T56" s="76" t="str">
        <x:f>IF(B56="","",IF(P56="Validé humainement","Oui","Non"))</x:f>
      </x:c>
    </x:row>
    <x:row r="57">
      <x:c r="A57" s="76" t="str">
        <x:f>IF(B57="","","AIR-"&amp;TEXT(ROW()-4,"0000"))</x:f>
      </x:c>
      <x:c r="B57" s="76"/>
      <x:c r="C57" s="76"/>
      <x:c r="D57" s="76"/>
      <x:c r="E57" s="80"/>
      <x:c r="F57" s="80"/>
      <x:c r="G57" s="80"/>
      <x:c r="H57" s="80"/>
      <x:c r="I57" s="80"/>
      <x:c r="J57" s="80"/>
      <x:c r="K57" s="80" t="str">
        <x:f>IF(COUNTA(E57:J57)=0,"",MAX(E57:J57))</x:f>
      </x:c>
      <x:c r="L57" s="76" t="str">
        <x:f>IF(COUNTA(E57:J57)=0,"",IF(OR(E57&gt;15,F57&gt;45,G57&gt;25,H57&gt;40,I57&gt;4000,J57&gt;100),"Oui","Non"))</x:f>
      </x:c>
      <x:c r="M57" s="76"/>
      <x:c r="N57" s="76"/>
      <x:c r="O57" s="76"/>
      <x:c r="P57" s="76"/>
      <x:c r="Q57" s="78" t="str">
        <x:f>IF(B57="","",TODAY())</x:f>
      </x:c>
      <x:c r="R57" s="76"/>
      <x:c r="S57" s="76" t="str">
        <x:f>IF(B57="","",IF(OR(C57="",D57="",E57="",M57="",N57="",P57&lt;&gt;"Validé humainement"),"ALERTE: données/preuves/statut",IF(OR(E57&lt;0,F57&lt;0,G57&lt;0,H57&lt;0,I57&lt;0,J57&lt;0),"ALERTE: valeur anormale","OK")))</x:f>
      </x:c>
      <x:c r="T57" s="76" t="str">
        <x:f>IF(B57="","",IF(P57="Validé humainement","Oui","Non"))</x:f>
      </x:c>
    </x:row>
    <x:row r="58">
      <x:c r="A58" s="76" t="str">
        <x:f>IF(B58="","","AIR-"&amp;TEXT(ROW()-4,"0000"))</x:f>
      </x:c>
      <x:c r="B58" s="76"/>
      <x:c r="C58" s="76"/>
      <x:c r="D58" s="76"/>
      <x:c r="E58" s="80"/>
      <x:c r="F58" s="80"/>
      <x:c r="G58" s="80"/>
      <x:c r="H58" s="80"/>
      <x:c r="I58" s="80"/>
      <x:c r="J58" s="80"/>
      <x:c r="K58" s="80" t="str">
        <x:f>IF(COUNTA(E58:J58)=0,"",MAX(E58:J58))</x:f>
      </x:c>
      <x:c r="L58" s="76" t="str">
        <x:f>IF(COUNTA(E58:J58)=0,"",IF(OR(E58&gt;15,F58&gt;45,G58&gt;25,H58&gt;40,I58&gt;4000,J58&gt;100),"Oui","Non"))</x:f>
      </x:c>
      <x:c r="M58" s="76"/>
      <x:c r="N58" s="76"/>
      <x:c r="O58" s="76"/>
      <x:c r="P58" s="76"/>
      <x:c r="Q58" s="78" t="str">
        <x:f>IF(B58="","",TODAY())</x:f>
      </x:c>
      <x:c r="R58" s="76"/>
      <x:c r="S58" s="76" t="str">
        <x:f>IF(B58="","",IF(OR(C58="",D58="",E58="",M58="",N58="",P58&lt;&gt;"Validé humainement"),"ALERTE: données/preuves/statut",IF(OR(E58&lt;0,F58&lt;0,G58&lt;0,H58&lt;0,I58&lt;0,J58&lt;0),"ALERTE: valeur anormale","OK")))</x:f>
      </x:c>
      <x:c r="T58" s="76" t="str">
        <x:f>IF(B58="","",IF(P58="Validé humainement","Oui","Non"))</x:f>
      </x:c>
    </x:row>
    <x:row r="59">
      <x:c r="A59" s="76" t="str">
        <x:f>IF(B59="","","AIR-"&amp;TEXT(ROW()-4,"0000"))</x:f>
      </x:c>
      <x:c r="B59" s="76"/>
      <x:c r="C59" s="76"/>
      <x:c r="D59" s="76"/>
      <x:c r="E59" s="80"/>
      <x:c r="F59" s="80"/>
      <x:c r="G59" s="80"/>
      <x:c r="H59" s="80"/>
      <x:c r="I59" s="80"/>
      <x:c r="J59" s="80"/>
      <x:c r="K59" s="80" t="str">
        <x:f>IF(COUNTA(E59:J59)=0,"",MAX(E59:J59))</x:f>
      </x:c>
      <x:c r="L59" s="76" t="str">
        <x:f>IF(COUNTA(E59:J59)=0,"",IF(OR(E59&gt;15,F59&gt;45,G59&gt;25,H59&gt;40,I59&gt;4000,J59&gt;100),"Oui","Non"))</x:f>
      </x:c>
      <x:c r="M59" s="76"/>
      <x:c r="N59" s="76"/>
      <x:c r="O59" s="76"/>
      <x:c r="P59" s="76"/>
      <x:c r="Q59" s="78" t="str">
        <x:f>IF(B59="","",TODAY())</x:f>
      </x:c>
      <x:c r="R59" s="76"/>
      <x:c r="S59" s="76" t="str">
        <x:f>IF(B59="","",IF(OR(C59="",D59="",E59="",M59="",N59="",P59&lt;&gt;"Validé humainement"),"ALERTE: données/preuves/statut",IF(OR(E59&lt;0,F59&lt;0,G59&lt;0,H59&lt;0,I59&lt;0,J59&lt;0),"ALERTE: valeur anormale","OK")))</x:f>
      </x:c>
      <x:c r="T59" s="76" t="str">
        <x:f>IF(B59="","",IF(P59="Validé humainement","Oui","Non"))</x:f>
      </x:c>
    </x:row>
    <x:row r="60">
      <x:c r="A60" s="76" t="str">
        <x:f>IF(B60="","","AIR-"&amp;TEXT(ROW()-4,"0000"))</x:f>
      </x:c>
      <x:c r="B60" s="76"/>
      <x:c r="C60" s="76"/>
      <x:c r="D60" s="76"/>
      <x:c r="E60" s="80"/>
      <x:c r="F60" s="80"/>
      <x:c r="G60" s="80"/>
      <x:c r="H60" s="80"/>
      <x:c r="I60" s="80"/>
      <x:c r="J60" s="80"/>
      <x:c r="K60" s="80" t="str">
        <x:f>IF(COUNTA(E60:J60)=0,"",MAX(E60:J60))</x:f>
      </x:c>
      <x:c r="L60" s="76" t="str">
        <x:f>IF(COUNTA(E60:J60)=0,"",IF(OR(E60&gt;15,F60&gt;45,G60&gt;25,H60&gt;40,I60&gt;4000,J60&gt;100),"Oui","Non"))</x:f>
      </x:c>
      <x:c r="M60" s="76"/>
      <x:c r="N60" s="76"/>
      <x:c r="O60" s="76"/>
      <x:c r="P60" s="76"/>
      <x:c r="Q60" s="78" t="str">
        <x:f>IF(B60="","",TODAY())</x:f>
      </x:c>
      <x:c r="R60" s="76"/>
      <x:c r="S60" s="76" t="str">
        <x:f>IF(B60="","",IF(OR(C60="",D60="",E60="",M60="",N60="",P60&lt;&gt;"Validé humainement"),"ALERTE: données/preuves/statut",IF(OR(E60&lt;0,F60&lt;0,G60&lt;0,H60&lt;0,I60&lt;0,J60&lt;0),"ALERTE: valeur anormale","OK")))</x:f>
      </x:c>
      <x:c r="T60" s="76" t="str">
        <x:f>IF(B60="","",IF(P60="Validé humainement","Oui","Non"))</x:f>
      </x:c>
    </x:row>
    <x:row r="61">
      <x:c r="A61" s="76" t="str">
        <x:f>IF(B61="","","AIR-"&amp;TEXT(ROW()-4,"0000"))</x:f>
      </x:c>
      <x:c r="B61" s="76"/>
      <x:c r="C61" s="76"/>
      <x:c r="D61" s="76"/>
      <x:c r="E61" s="80"/>
      <x:c r="F61" s="80"/>
      <x:c r="G61" s="80"/>
      <x:c r="H61" s="80"/>
      <x:c r="I61" s="80"/>
      <x:c r="J61" s="80"/>
      <x:c r="K61" s="80" t="str">
        <x:f>IF(COUNTA(E61:J61)=0,"",MAX(E61:J61))</x:f>
      </x:c>
      <x:c r="L61" s="76" t="str">
        <x:f>IF(COUNTA(E61:J61)=0,"",IF(OR(E61&gt;15,F61&gt;45,G61&gt;25,H61&gt;40,I61&gt;4000,J61&gt;100),"Oui","Non"))</x:f>
      </x:c>
      <x:c r="M61" s="76"/>
      <x:c r="N61" s="76"/>
      <x:c r="O61" s="76"/>
      <x:c r="P61" s="76"/>
      <x:c r="Q61" s="78" t="str">
        <x:f>IF(B61="","",TODAY())</x:f>
      </x:c>
      <x:c r="R61" s="76"/>
      <x:c r="S61" s="76" t="str">
        <x:f>IF(B61="","",IF(OR(C61="",D61="",E61="",M61="",N61="",P61&lt;&gt;"Validé humainement"),"ALERTE: données/preuves/statut",IF(OR(E61&lt;0,F61&lt;0,G61&lt;0,H61&lt;0,I61&lt;0,J61&lt;0),"ALERTE: valeur anormale","OK")))</x:f>
      </x:c>
      <x:c r="T61" s="76" t="str">
        <x:f>IF(B61="","",IF(P61="Validé humainement","Oui","Non"))</x:f>
      </x:c>
    </x:row>
    <x:row r="62">
      <x:c r="A62" s="76" t="str">
        <x:f>IF(B62="","","AIR-"&amp;TEXT(ROW()-4,"0000"))</x:f>
      </x:c>
      <x:c r="B62" s="76"/>
      <x:c r="C62" s="76"/>
      <x:c r="D62" s="76"/>
      <x:c r="E62" s="80"/>
      <x:c r="F62" s="80"/>
      <x:c r="G62" s="80"/>
      <x:c r="H62" s="80"/>
      <x:c r="I62" s="80"/>
      <x:c r="J62" s="80"/>
      <x:c r="K62" s="80" t="str">
        <x:f>IF(COUNTA(E62:J62)=0,"",MAX(E62:J62))</x:f>
      </x:c>
      <x:c r="L62" s="76" t="str">
        <x:f>IF(COUNTA(E62:J62)=0,"",IF(OR(E62&gt;15,F62&gt;45,G62&gt;25,H62&gt;40,I62&gt;4000,J62&gt;100),"Oui","Non"))</x:f>
      </x:c>
      <x:c r="M62" s="76"/>
      <x:c r="N62" s="76"/>
      <x:c r="O62" s="76"/>
      <x:c r="P62" s="76"/>
      <x:c r="Q62" s="78" t="str">
        <x:f>IF(B62="","",TODAY())</x:f>
      </x:c>
      <x:c r="R62" s="76"/>
      <x:c r="S62" s="76" t="str">
        <x:f>IF(B62="","",IF(OR(C62="",D62="",E62="",M62="",N62="",P62&lt;&gt;"Validé humainement"),"ALERTE: données/preuves/statut",IF(OR(E62&lt;0,F62&lt;0,G62&lt;0,H62&lt;0,I62&lt;0,J62&lt;0),"ALERTE: valeur anormale","OK")))</x:f>
      </x:c>
      <x:c r="T62" s="76" t="str">
        <x:f>IF(B62="","",IF(P62="Validé humainement","Oui","Non"))</x:f>
      </x:c>
    </x:row>
    <x:row r="63">
      <x:c r="A63" s="76" t="str">
        <x:f>IF(B63="","","AIR-"&amp;TEXT(ROW()-4,"0000"))</x:f>
      </x:c>
      <x:c r="B63" s="76"/>
      <x:c r="C63" s="76"/>
      <x:c r="D63" s="76"/>
      <x:c r="E63" s="80"/>
      <x:c r="F63" s="80"/>
      <x:c r="G63" s="80"/>
      <x:c r="H63" s="80"/>
      <x:c r="I63" s="80"/>
      <x:c r="J63" s="80"/>
      <x:c r="K63" s="80" t="str">
        <x:f>IF(COUNTA(E63:J63)=0,"",MAX(E63:J63))</x:f>
      </x:c>
      <x:c r="L63" s="76" t="str">
        <x:f>IF(COUNTA(E63:J63)=0,"",IF(OR(E63&gt;15,F63&gt;45,G63&gt;25,H63&gt;40,I63&gt;4000,J63&gt;100),"Oui","Non"))</x:f>
      </x:c>
      <x:c r="M63" s="76"/>
      <x:c r="N63" s="76"/>
      <x:c r="O63" s="76"/>
      <x:c r="P63" s="76"/>
      <x:c r="Q63" s="78" t="str">
        <x:f>IF(B63="","",TODAY())</x:f>
      </x:c>
      <x:c r="R63" s="76"/>
      <x:c r="S63" s="76" t="str">
        <x:f>IF(B63="","",IF(OR(C63="",D63="",E63="",M63="",N63="",P63&lt;&gt;"Validé humainement"),"ALERTE: données/preuves/statut",IF(OR(E63&lt;0,F63&lt;0,G63&lt;0,H63&lt;0,I63&lt;0,J63&lt;0),"ALERTE: valeur anormale","OK")))</x:f>
      </x:c>
      <x:c r="T63" s="76" t="str">
        <x:f>IF(B63="","",IF(P63="Validé humainement","Oui","Non"))</x:f>
      </x:c>
    </x:row>
    <x:row r="64">
      <x:c r="A64" s="76" t="str">
        <x:f>IF(B64="","","AIR-"&amp;TEXT(ROW()-4,"0000"))</x:f>
      </x:c>
      <x:c r="B64" s="76"/>
      <x:c r="C64" s="76"/>
      <x:c r="D64" s="76"/>
      <x:c r="E64" s="80"/>
      <x:c r="F64" s="80"/>
      <x:c r="G64" s="80"/>
      <x:c r="H64" s="80"/>
      <x:c r="I64" s="80"/>
      <x:c r="J64" s="80"/>
      <x:c r="K64" s="80" t="str">
        <x:f>IF(COUNTA(E64:J64)=0,"",MAX(E64:J64))</x:f>
      </x:c>
      <x:c r="L64" s="76" t="str">
        <x:f>IF(COUNTA(E64:J64)=0,"",IF(OR(E64&gt;15,F64&gt;45,G64&gt;25,H64&gt;40,I64&gt;4000,J64&gt;100),"Oui","Non"))</x:f>
      </x:c>
      <x:c r="M64" s="76"/>
      <x:c r="N64" s="76"/>
      <x:c r="O64" s="76"/>
      <x:c r="P64" s="76"/>
      <x:c r="Q64" s="78" t="str">
        <x:f>IF(B64="","",TODAY())</x:f>
      </x:c>
      <x:c r="R64" s="76"/>
      <x:c r="S64" s="76" t="str">
        <x:f>IF(B64="","",IF(OR(C64="",D64="",E64="",M64="",N64="",P64&lt;&gt;"Validé humainement"),"ALERTE: données/preuves/statut",IF(OR(E64&lt;0,F64&lt;0,G64&lt;0,H64&lt;0,I64&lt;0,J64&lt;0),"ALERTE: valeur anormale","OK")))</x:f>
      </x:c>
      <x:c r="T64" s="76" t="str">
        <x:f>IF(B64="","",IF(P64="Validé humainement","Oui","Non"))</x:f>
      </x:c>
    </x:row>
    <x:row r="65">
      <x:c r="A65" s="76" t="str">
        <x:f>IF(B65="","","AIR-"&amp;TEXT(ROW()-4,"0000"))</x:f>
      </x:c>
      <x:c r="B65" s="76"/>
      <x:c r="C65" s="76"/>
      <x:c r="D65" s="76"/>
      <x:c r="E65" s="80"/>
      <x:c r="F65" s="80"/>
      <x:c r="G65" s="80"/>
      <x:c r="H65" s="80"/>
      <x:c r="I65" s="80"/>
      <x:c r="J65" s="80"/>
      <x:c r="K65" s="80" t="str">
        <x:f>IF(COUNTA(E65:J65)=0,"",MAX(E65:J65))</x:f>
      </x:c>
      <x:c r="L65" s="76" t="str">
        <x:f>IF(COUNTA(E65:J65)=0,"",IF(OR(E65&gt;15,F65&gt;45,G65&gt;25,H65&gt;40,I65&gt;4000,J65&gt;100),"Oui","Non"))</x:f>
      </x:c>
      <x:c r="M65" s="76"/>
      <x:c r="N65" s="76"/>
      <x:c r="O65" s="76"/>
      <x:c r="P65" s="76"/>
      <x:c r="Q65" s="78" t="str">
        <x:f>IF(B65="","",TODAY())</x:f>
      </x:c>
      <x:c r="R65" s="76"/>
      <x:c r="S65" s="76" t="str">
        <x:f>IF(B65="","",IF(OR(C65="",D65="",E65="",M65="",N65="",P65&lt;&gt;"Validé humainement"),"ALERTE: données/preuves/statut",IF(OR(E65&lt;0,F65&lt;0,G65&lt;0,H65&lt;0,I65&lt;0,J65&lt;0),"ALERTE: valeur anormale","OK")))</x:f>
      </x:c>
      <x:c r="T65" s="76" t="str">
        <x:f>IF(B65="","",IF(P65="Validé humainement","Oui","Non"))</x:f>
      </x:c>
    </x:row>
    <x:row r="66">
      <x:c r="A66" s="76" t="str">
        <x:f>IF(B66="","","AIR-"&amp;TEXT(ROW()-4,"0000"))</x:f>
      </x:c>
      <x:c r="B66" s="76"/>
      <x:c r="C66" s="76"/>
      <x:c r="D66" s="76"/>
      <x:c r="E66" s="80"/>
      <x:c r="F66" s="80"/>
      <x:c r="G66" s="80"/>
      <x:c r="H66" s="80"/>
      <x:c r="I66" s="80"/>
      <x:c r="J66" s="80"/>
      <x:c r="K66" s="80" t="str">
        <x:f>IF(COUNTA(E66:J66)=0,"",MAX(E66:J66))</x:f>
      </x:c>
      <x:c r="L66" s="76" t="str">
        <x:f>IF(COUNTA(E66:J66)=0,"",IF(OR(E66&gt;15,F66&gt;45,G66&gt;25,H66&gt;40,I66&gt;4000,J66&gt;100),"Oui","Non"))</x:f>
      </x:c>
      <x:c r="M66" s="76"/>
      <x:c r="N66" s="76"/>
      <x:c r="O66" s="76"/>
      <x:c r="P66" s="76"/>
      <x:c r="Q66" s="78" t="str">
        <x:f>IF(B66="","",TODAY())</x:f>
      </x:c>
      <x:c r="R66" s="76"/>
      <x:c r="S66" s="76" t="str">
        <x:f>IF(B66="","",IF(OR(C66="",D66="",E66="",M66="",N66="",P66&lt;&gt;"Validé humainement"),"ALERTE: données/preuves/statut",IF(OR(E66&lt;0,F66&lt;0,G66&lt;0,H66&lt;0,I66&lt;0,J66&lt;0),"ALERTE: valeur anormale","OK")))</x:f>
      </x:c>
      <x:c r="T66" s="76" t="str">
        <x:f>IF(B66="","",IF(P66="Validé humainement","Oui","Non"))</x:f>
      </x:c>
    </x:row>
    <x:row r="67">
      <x:c r="A67" s="76" t="str">
        <x:f>IF(B67="","","AIR-"&amp;TEXT(ROW()-4,"0000"))</x:f>
      </x:c>
      <x:c r="B67" s="76"/>
      <x:c r="C67" s="76"/>
      <x:c r="D67" s="76"/>
      <x:c r="E67" s="80"/>
      <x:c r="F67" s="80"/>
      <x:c r="G67" s="80"/>
      <x:c r="H67" s="80"/>
      <x:c r="I67" s="80"/>
      <x:c r="J67" s="80"/>
      <x:c r="K67" s="80" t="str">
        <x:f>IF(COUNTA(E67:J67)=0,"",MAX(E67:J67))</x:f>
      </x:c>
      <x:c r="L67" s="76" t="str">
        <x:f>IF(COUNTA(E67:J67)=0,"",IF(OR(E67&gt;15,F67&gt;45,G67&gt;25,H67&gt;40,I67&gt;4000,J67&gt;100),"Oui","Non"))</x:f>
      </x:c>
      <x:c r="M67" s="76"/>
      <x:c r="N67" s="76"/>
      <x:c r="O67" s="76"/>
      <x:c r="P67" s="76"/>
      <x:c r="Q67" s="78" t="str">
        <x:f>IF(B67="","",TODAY())</x:f>
      </x:c>
      <x:c r="R67" s="76"/>
      <x:c r="S67" s="76" t="str">
        <x:f>IF(B67="","",IF(OR(C67="",D67="",E67="",M67="",N67="",P67&lt;&gt;"Validé humainement"),"ALERTE: données/preuves/statut",IF(OR(E67&lt;0,F67&lt;0,G67&lt;0,H67&lt;0,I67&lt;0,J67&lt;0),"ALERTE: valeur anormale","OK")))</x:f>
      </x:c>
      <x:c r="T67" s="76" t="str">
        <x:f>IF(B67="","",IF(P67="Validé humainement","Oui","Non"))</x:f>
      </x:c>
    </x:row>
    <x:row r="68">
      <x:c r="A68" s="76" t="str">
        <x:f>IF(B68="","","AIR-"&amp;TEXT(ROW()-4,"0000"))</x:f>
      </x:c>
      <x:c r="B68" s="76"/>
      <x:c r="C68" s="76"/>
      <x:c r="D68" s="76"/>
      <x:c r="E68" s="80"/>
      <x:c r="F68" s="80"/>
      <x:c r="G68" s="80"/>
      <x:c r="H68" s="80"/>
      <x:c r="I68" s="80"/>
      <x:c r="J68" s="80"/>
      <x:c r="K68" s="80" t="str">
        <x:f>IF(COUNTA(E68:J68)=0,"",MAX(E68:J68))</x:f>
      </x:c>
      <x:c r="L68" s="76" t="str">
        <x:f>IF(COUNTA(E68:J68)=0,"",IF(OR(E68&gt;15,F68&gt;45,G68&gt;25,H68&gt;40,I68&gt;4000,J68&gt;100),"Oui","Non"))</x:f>
      </x:c>
      <x:c r="M68" s="76"/>
      <x:c r="N68" s="76"/>
      <x:c r="O68" s="76"/>
      <x:c r="P68" s="76"/>
      <x:c r="Q68" s="78" t="str">
        <x:f>IF(B68="","",TODAY())</x:f>
      </x:c>
      <x:c r="R68" s="76"/>
      <x:c r="S68" s="76" t="str">
        <x:f>IF(B68="","",IF(OR(C68="",D68="",E68="",M68="",N68="",P68&lt;&gt;"Validé humainement"),"ALERTE: données/preuves/statut",IF(OR(E68&lt;0,F68&lt;0,G68&lt;0,H68&lt;0,I68&lt;0,J68&lt;0),"ALERTE: valeur anormale","OK")))</x:f>
      </x:c>
      <x:c r="T68" s="76" t="str">
        <x:f>IF(B68="","",IF(P68="Validé humainement","Oui","Non"))</x:f>
      </x:c>
    </x:row>
    <x:row r="69">
      <x:c r="A69" s="76" t="str">
        <x:f>IF(B69="","","AIR-"&amp;TEXT(ROW()-4,"0000"))</x:f>
      </x:c>
      <x:c r="B69" s="76"/>
      <x:c r="C69" s="76"/>
      <x:c r="D69" s="76"/>
      <x:c r="E69" s="80"/>
      <x:c r="F69" s="80"/>
      <x:c r="G69" s="80"/>
      <x:c r="H69" s="80"/>
      <x:c r="I69" s="80"/>
      <x:c r="J69" s="80"/>
      <x:c r="K69" s="80" t="str">
        <x:f>IF(COUNTA(E69:J69)=0,"",MAX(E69:J69))</x:f>
      </x:c>
      <x:c r="L69" s="76" t="str">
        <x:f>IF(COUNTA(E69:J69)=0,"",IF(OR(E69&gt;15,F69&gt;45,G69&gt;25,H69&gt;40,I69&gt;4000,J69&gt;100),"Oui","Non"))</x:f>
      </x:c>
      <x:c r="M69" s="76"/>
      <x:c r="N69" s="76"/>
      <x:c r="O69" s="76"/>
      <x:c r="P69" s="76"/>
      <x:c r="Q69" s="78" t="str">
        <x:f>IF(B69="","",TODAY())</x:f>
      </x:c>
      <x:c r="R69" s="76"/>
      <x:c r="S69" s="76" t="str">
        <x:f>IF(B69="","",IF(OR(C69="",D69="",E69="",M69="",N69="",P69&lt;&gt;"Validé humainement"),"ALERTE: données/preuves/statut",IF(OR(E69&lt;0,F69&lt;0,G69&lt;0,H69&lt;0,I69&lt;0,J69&lt;0),"ALERTE: valeur anormale","OK")))</x:f>
      </x:c>
      <x:c r="T69" s="76" t="str">
        <x:f>IF(B69="","",IF(P69="Validé humainement","Oui","Non"))</x:f>
      </x:c>
    </x:row>
    <x:row r="70">
      <x:c r="A70" s="76" t="str">
        <x:f>IF(B70="","","AIR-"&amp;TEXT(ROW()-4,"0000"))</x:f>
      </x:c>
      <x:c r="B70" s="76"/>
      <x:c r="C70" s="76"/>
      <x:c r="D70" s="76"/>
      <x:c r="E70" s="80"/>
      <x:c r="F70" s="80"/>
      <x:c r="G70" s="80"/>
      <x:c r="H70" s="80"/>
      <x:c r="I70" s="80"/>
      <x:c r="J70" s="80"/>
      <x:c r="K70" s="80" t="str">
        <x:f>IF(COUNTA(E70:J70)=0,"",MAX(E70:J70))</x:f>
      </x:c>
      <x:c r="L70" s="76" t="str">
        <x:f>IF(COUNTA(E70:J70)=0,"",IF(OR(E70&gt;15,F70&gt;45,G70&gt;25,H70&gt;40,I70&gt;4000,J70&gt;100),"Oui","Non"))</x:f>
      </x:c>
      <x:c r="M70" s="76"/>
      <x:c r="N70" s="76"/>
      <x:c r="O70" s="76"/>
      <x:c r="P70" s="76"/>
      <x:c r="Q70" s="78" t="str">
        <x:f>IF(B70="","",TODAY())</x:f>
      </x:c>
      <x:c r="R70" s="76"/>
      <x:c r="S70" s="76" t="str">
        <x:f>IF(B70="","",IF(OR(C70="",D70="",E70="",M70="",N70="",P70&lt;&gt;"Validé humainement"),"ALERTE: données/preuves/statut",IF(OR(E70&lt;0,F70&lt;0,G70&lt;0,H70&lt;0,I70&lt;0,J70&lt;0),"ALERTE: valeur anormale","OK")))</x:f>
      </x:c>
      <x:c r="T70" s="76" t="str">
        <x:f>IF(B70="","",IF(P70="Validé humainement","Oui","Non"))</x:f>
      </x:c>
    </x:row>
    <x:row r="71">
      <x:c r="A71" s="76" t="str">
        <x:f>IF(B71="","","AIR-"&amp;TEXT(ROW()-4,"0000"))</x:f>
      </x:c>
      <x:c r="B71" s="76"/>
      <x:c r="C71" s="76"/>
      <x:c r="D71" s="76"/>
      <x:c r="E71" s="80"/>
      <x:c r="F71" s="80"/>
      <x:c r="G71" s="80"/>
      <x:c r="H71" s="80"/>
      <x:c r="I71" s="80"/>
      <x:c r="J71" s="80"/>
      <x:c r="K71" s="80" t="str">
        <x:f>IF(COUNTA(E71:J71)=0,"",MAX(E71:J71))</x:f>
      </x:c>
      <x:c r="L71" s="76" t="str">
        <x:f>IF(COUNTA(E71:J71)=0,"",IF(OR(E71&gt;15,F71&gt;45,G71&gt;25,H71&gt;40,I71&gt;4000,J71&gt;100),"Oui","Non"))</x:f>
      </x:c>
      <x:c r="M71" s="76"/>
      <x:c r="N71" s="76"/>
      <x:c r="O71" s="76"/>
      <x:c r="P71" s="76"/>
      <x:c r="Q71" s="78" t="str">
        <x:f>IF(B71="","",TODAY())</x:f>
      </x:c>
      <x:c r="R71" s="76"/>
      <x:c r="S71" s="76" t="str">
        <x:f>IF(B71="","",IF(OR(C71="",D71="",E71="",M71="",N71="",P71&lt;&gt;"Validé humainement"),"ALERTE: données/preuves/statut",IF(OR(E71&lt;0,F71&lt;0,G71&lt;0,H71&lt;0,I71&lt;0,J71&lt;0),"ALERTE: valeur anormale","OK")))</x:f>
      </x:c>
      <x:c r="T71" s="76" t="str">
        <x:f>IF(B71="","",IF(P71="Validé humainement","Oui","Non"))</x:f>
      </x:c>
    </x:row>
    <x:row r="72">
      <x:c r="A72" s="76" t="str">
        <x:f>IF(B72="","","AIR-"&amp;TEXT(ROW()-4,"0000"))</x:f>
      </x:c>
      <x:c r="B72" s="76"/>
      <x:c r="C72" s="76"/>
      <x:c r="D72" s="76"/>
      <x:c r="E72" s="80"/>
      <x:c r="F72" s="80"/>
      <x:c r="G72" s="80"/>
      <x:c r="H72" s="80"/>
      <x:c r="I72" s="80"/>
      <x:c r="J72" s="80"/>
      <x:c r="K72" s="80" t="str">
        <x:f>IF(COUNTA(E72:J72)=0,"",MAX(E72:J72))</x:f>
      </x:c>
      <x:c r="L72" s="76" t="str">
        <x:f>IF(COUNTA(E72:J72)=0,"",IF(OR(E72&gt;15,F72&gt;45,G72&gt;25,H72&gt;40,I72&gt;4000,J72&gt;100),"Oui","Non"))</x:f>
      </x:c>
      <x:c r="M72" s="76"/>
      <x:c r="N72" s="76"/>
      <x:c r="O72" s="76"/>
      <x:c r="P72" s="76"/>
      <x:c r="Q72" s="78" t="str">
        <x:f>IF(B72="","",TODAY())</x:f>
      </x:c>
      <x:c r="R72" s="76"/>
      <x:c r="S72" s="76" t="str">
        <x:f>IF(B72="","",IF(OR(C72="",D72="",E72="",M72="",N72="",P72&lt;&gt;"Validé humainement"),"ALERTE: données/preuves/statut",IF(OR(E72&lt;0,F72&lt;0,G72&lt;0,H72&lt;0,I72&lt;0,J72&lt;0),"ALERTE: valeur anormale","OK")))</x:f>
      </x:c>
      <x:c r="T72" s="76" t="str">
        <x:f>IF(B72="","",IF(P72="Validé humainement","Oui","Non"))</x:f>
      </x:c>
    </x:row>
    <x:row r="73">
      <x:c r="A73" s="76" t="str">
        <x:f>IF(B73="","","AIR-"&amp;TEXT(ROW()-4,"0000"))</x:f>
      </x:c>
      <x:c r="B73" s="76"/>
      <x:c r="C73" s="76"/>
      <x:c r="D73" s="76"/>
      <x:c r="E73" s="80"/>
      <x:c r="F73" s="80"/>
      <x:c r="G73" s="80"/>
      <x:c r="H73" s="80"/>
      <x:c r="I73" s="80"/>
      <x:c r="J73" s="80"/>
      <x:c r="K73" s="80" t="str">
        <x:f>IF(COUNTA(E73:J73)=0,"",MAX(E73:J73))</x:f>
      </x:c>
      <x:c r="L73" s="76" t="str">
        <x:f>IF(COUNTA(E73:J73)=0,"",IF(OR(E73&gt;15,F73&gt;45,G73&gt;25,H73&gt;40,I73&gt;4000,J73&gt;100),"Oui","Non"))</x:f>
      </x:c>
      <x:c r="M73" s="76"/>
      <x:c r="N73" s="76"/>
      <x:c r="O73" s="76"/>
      <x:c r="P73" s="76"/>
      <x:c r="Q73" s="78" t="str">
        <x:f>IF(B73="","",TODAY())</x:f>
      </x:c>
      <x:c r="R73" s="76"/>
      <x:c r="S73" s="76" t="str">
        <x:f>IF(B73="","",IF(OR(C73="",D73="",E73="",M73="",N73="",P73&lt;&gt;"Validé humainement"),"ALERTE: données/preuves/statut",IF(OR(E73&lt;0,F73&lt;0,G73&lt;0,H73&lt;0,I73&lt;0,J73&lt;0),"ALERTE: valeur anormale","OK")))</x:f>
      </x:c>
      <x:c r="T73" s="76" t="str">
        <x:f>IF(B73="","",IF(P73="Validé humainement","Oui","Non"))</x:f>
      </x:c>
    </x:row>
    <x:row r="74">
      <x:c r="A74" s="76" t="str">
        <x:f>IF(B74="","","AIR-"&amp;TEXT(ROW()-4,"0000"))</x:f>
      </x:c>
      <x:c r="B74" s="76"/>
      <x:c r="C74" s="76"/>
      <x:c r="D74" s="76"/>
      <x:c r="E74" s="80"/>
      <x:c r="F74" s="80"/>
      <x:c r="G74" s="80"/>
      <x:c r="H74" s="80"/>
      <x:c r="I74" s="80"/>
      <x:c r="J74" s="80"/>
      <x:c r="K74" s="80" t="str">
        <x:f>IF(COUNTA(E74:J74)=0,"",MAX(E74:J74))</x:f>
      </x:c>
      <x:c r="L74" s="76" t="str">
        <x:f>IF(COUNTA(E74:J74)=0,"",IF(OR(E74&gt;15,F74&gt;45,G74&gt;25,H74&gt;40,I74&gt;4000,J74&gt;100),"Oui","Non"))</x:f>
      </x:c>
      <x:c r="M74" s="76"/>
      <x:c r="N74" s="76"/>
      <x:c r="O74" s="76"/>
      <x:c r="P74" s="76"/>
      <x:c r="Q74" s="78" t="str">
        <x:f>IF(B74="","",TODAY())</x:f>
      </x:c>
      <x:c r="R74" s="76"/>
      <x:c r="S74" s="76" t="str">
        <x:f>IF(B74="","",IF(OR(C74="",D74="",E74="",M74="",N74="",P74&lt;&gt;"Validé humainement"),"ALERTE: données/preuves/statut",IF(OR(E74&lt;0,F74&lt;0,G74&lt;0,H74&lt;0,I74&lt;0,J74&lt;0),"ALERTE: valeur anormale","OK")))</x:f>
      </x:c>
      <x:c r="T74" s="76" t="str">
        <x:f>IF(B74="","",IF(P74="Validé humainement","Oui","Non"))</x:f>
      </x:c>
    </x:row>
    <x:row r="75">
      <x:c r="A75" s="76" t="str">
        <x:f>IF(B75="","","AIR-"&amp;TEXT(ROW()-4,"0000"))</x:f>
      </x:c>
      <x:c r="B75" s="76"/>
      <x:c r="C75" s="76"/>
      <x:c r="D75" s="76"/>
      <x:c r="E75" s="80"/>
      <x:c r="F75" s="80"/>
      <x:c r="G75" s="80"/>
      <x:c r="H75" s="80"/>
      <x:c r="I75" s="80"/>
      <x:c r="J75" s="80"/>
      <x:c r="K75" s="80" t="str">
        <x:f>IF(COUNTA(E75:J75)=0,"",MAX(E75:J75))</x:f>
      </x:c>
      <x:c r="L75" s="76" t="str">
        <x:f>IF(COUNTA(E75:J75)=0,"",IF(OR(E75&gt;15,F75&gt;45,G75&gt;25,H75&gt;40,I75&gt;4000,J75&gt;100),"Oui","Non"))</x:f>
      </x:c>
      <x:c r="M75" s="76"/>
      <x:c r="N75" s="76"/>
      <x:c r="O75" s="76"/>
      <x:c r="P75" s="76"/>
      <x:c r="Q75" s="78" t="str">
        <x:f>IF(B75="","",TODAY())</x:f>
      </x:c>
      <x:c r="R75" s="76"/>
      <x:c r="S75" s="76" t="str">
        <x:f>IF(B75="","",IF(OR(C75="",D75="",E75="",M75="",N75="",P75&lt;&gt;"Validé humainement"),"ALERTE: données/preuves/statut",IF(OR(E75&lt;0,F75&lt;0,G75&lt;0,H75&lt;0,I75&lt;0,J75&lt;0),"ALERTE: valeur anormale","OK")))</x:f>
      </x:c>
      <x:c r="T75" s="76" t="str">
        <x:f>IF(B75="","",IF(P75="Validé humainement","Oui","Non"))</x:f>
      </x:c>
    </x:row>
    <x:row r="76">
      <x:c r="A76" s="76" t="str">
        <x:f>IF(B76="","","AIR-"&amp;TEXT(ROW()-4,"0000"))</x:f>
      </x:c>
      <x:c r="B76" s="76"/>
      <x:c r="C76" s="76"/>
      <x:c r="D76" s="76"/>
      <x:c r="E76" s="80"/>
      <x:c r="F76" s="80"/>
      <x:c r="G76" s="80"/>
      <x:c r="H76" s="80"/>
      <x:c r="I76" s="80"/>
      <x:c r="J76" s="80"/>
      <x:c r="K76" s="80" t="str">
        <x:f>IF(COUNTA(E76:J76)=0,"",MAX(E76:J76))</x:f>
      </x:c>
      <x:c r="L76" s="76" t="str">
        <x:f>IF(COUNTA(E76:J76)=0,"",IF(OR(E76&gt;15,F76&gt;45,G76&gt;25,H76&gt;40,I76&gt;4000,J76&gt;100),"Oui","Non"))</x:f>
      </x:c>
      <x:c r="M76" s="76"/>
      <x:c r="N76" s="76"/>
      <x:c r="O76" s="76"/>
      <x:c r="P76" s="76"/>
      <x:c r="Q76" s="78" t="str">
        <x:f>IF(B76="","",TODAY())</x:f>
      </x:c>
      <x:c r="R76" s="76"/>
      <x:c r="S76" s="76" t="str">
        <x:f>IF(B76="","",IF(OR(C76="",D76="",E76="",M76="",N76="",P76&lt;&gt;"Validé humainement"),"ALERTE: données/preuves/statut",IF(OR(E76&lt;0,F76&lt;0,G76&lt;0,H76&lt;0,I76&lt;0,J76&lt;0),"ALERTE: valeur anormale","OK")))</x:f>
      </x:c>
      <x:c r="T76" s="76" t="str">
        <x:f>IF(B76="","",IF(P76="Validé humainement","Oui","Non"))</x:f>
      </x:c>
    </x:row>
    <x:row r="77">
      <x:c r="A77" s="76" t="str">
        <x:f>IF(B77="","","AIR-"&amp;TEXT(ROW()-4,"0000"))</x:f>
      </x:c>
      <x:c r="B77" s="76"/>
      <x:c r="C77" s="76"/>
      <x:c r="D77" s="76"/>
      <x:c r="E77" s="80"/>
      <x:c r="F77" s="80"/>
      <x:c r="G77" s="80"/>
      <x:c r="H77" s="80"/>
      <x:c r="I77" s="80"/>
      <x:c r="J77" s="80"/>
      <x:c r="K77" s="80" t="str">
        <x:f>IF(COUNTA(E77:J77)=0,"",MAX(E77:J77))</x:f>
      </x:c>
      <x:c r="L77" s="76" t="str">
        <x:f>IF(COUNTA(E77:J77)=0,"",IF(OR(E77&gt;15,F77&gt;45,G77&gt;25,H77&gt;40,I77&gt;4000,J77&gt;100),"Oui","Non"))</x:f>
      </x:c>
      <x:c r="M77" s="76"/>
      <x:c r="N77" s="76"/>
      <x:c r="O77" s="76"/>
      <x:c r="P77" s="76"/>
      <x:c r="Q77" s="78" t="str">
        <x:f>IF(B77="","",TODAY())</x:f>
      </x:c>
      <x:c r="R77" s="76"/>
      <x:c r="S77" s="76" t="str">
        <x:f>IF(B77="","",IF(OR(C77="",D77="",E77="",M77="",N77="",P77&lt;&gt;"Validé humainement"),"ALERTE: données/preuves/statut",IF(OR(E77&lt;0,F77&lt;0,G77&lt;0,H77&lt;0,I77&lt;0,J77&lt;0),"ALERTE: valeur anormale","OK")))</x:f>
      </x:c>
      <x:c r="T77" s="76" t="str">
        <x:f>IF(B77="","",IF(P77="Validé humainement","Oui","Non"))</x:f>
      </x:c>
    </x:row>
    <x:row r="78">
      <x:c r="A78" s="76" t="str">
        <x:f>IF(B78="","","AIR-"&amp;TEXT(ROW()-4,"0000"))</x:f>
      </x:c>
      <x:c r="B78" s="76"/>
      <x:c r="C78" s="76"/>
      <x:c r="D78" s="76"/>
      <x:c r="E78" s="80"/>
      <x:c r="F78" s="80"/>
      <x:c r="G78" s="80"/>
      <x:c r="H78" s="80"/>
      <x:c r="I78" s="80"/>
      <x:c r="J78" s="80"/>
      <x:c r="K78" s="80" t="str">
        <x:f>IF(COUNTA(E78:J78)=0,"",MAX(E78:J78))</x:f>
      </x:c>
      <x:c r="L78" s="76" t="str">
        <x:f>IF(COUNTA(E78:J78)=0,"",IF(OR(E78&gt;15,F78&gt;45,G78&gt;25,H78&gt;40,I78&gt;4000,J78&gt;100),"Oui","Non"))</x:f>
      </x:c>
      <x:c r="M78" s="76"/>
      <x:c r="N78" s="76"/>
      <x:c r="O78" s="76"/>
      <x:c r="P78" s="76"/>
      <x:c r="Q78" s="78" t="str">
        <x:f>IF(B78="","",TODAY())</x:f>
      </x:c>
      <x:c r="R78" s="76"/>
      <x:c r="S78" s="76" t="str">
        <x:f>IF(B78="","",IF(OR(C78="",D78="",E78="",M78="",N78="",P78&lt;&gt;"Validé humainement"),"ALERTE: données/preuves/statut",IF(OR(E78&lt;0,F78&lt;0,G78&lt;0,H78&lt;0,I78&lt;0,J78&lt;0),"ALERTE: valeur anormale","OK")))</x:f>
      </x:c>
      <x:c r="T78" s="76" t="str">
        <x:f>IF(B78="","",IF(P78="Validé humainement","Oui","Non"))</x:f>
      </x:c>
    </x:row>
    <x:row r="79">
      <x:c r="A79" s="76" t="str">
        <x:f>IF(B79="","","AIR-"&amp;TEXT(ROW()-4,"0000"))</x:f>
      </x:c>
      <x:c r="B79" s="76"/>
      <x:c r="C79" s="76"/>
      <x:c r="D79" s="76"/>
      <x:c r="E79" s="80"/>
      <x:c r="F79" s="80"/>
      <x:c r="G79" s="80"/>
      <x:c r="H79" s="80"/>
      <x:c r="I79" s="80"/>
      <x:c r="J79" s="80"/>
      <x:c r="K79" s="80" t="str">
        <x:f>IF(COUNTA(E79:J79)=0,"",MAX(E79:J79))</x:f>
      </x:c>
      <x:c r="L79" s="76" t="str">
        <x:f>IF(COUNTA(E79:J79)=0,"",IF(OR(E79&gt;15,F79&gt;45,G79&gt;25,H79&gt;40,I79&gt;4000,J79&gt;100),"Oui","Non"))</x:f>
      </x:c>
      <x:c r="M79" s="76"/>
      <x:c r="N79" s="76"/>
      <x:c r="O79" s="76"/>
      <x:c r="P79" s="76"/>
      <x:c r="Q79" s="78" t="str">
        <x:f>IF(B79="","",TODAY())</x:f>
      </x:c>
      <x:c r="R79" s="76"/>
      <x:c r="S79" s="76" t="str">
        <x:f>IF(B79="","",IF(OR(C79="",D79="",E79="",M79="",N79="",P79&lt;&gt;"Validé humainement"),"ALERTE: données/preuves/statut",IF(OR(E79&lt;0,F79&lt;0,G79&lt;0,H79&lt;0,I79&lt;0,J79&lt;0),"ALERTE: valeur anormale","OK")))</x:f>
      </x:c>
      <x:c r="T79" s="76" t="str">
        <x:f>IF(B79="","",IF(P79="Validé humainement","Oui","Non"))</x:f>
      </x:c>
    </x:row>
    <x:row r="80">
      <x:c r="A80" s="76" t="str">
        <x:f>IF(B80="","","AIR-"&amp;TEXT(ROW()-4,"0000"))</x:f>
      </x:c>
      <x:c r="B80" s="76"/>
      <x:c r="C80" s="76"/>
      <x:c r="D80" s="76"/>
      <x:c r="E80" s="80"/>
      <x:c r="F80" s="80"/>
      <x:c r="G80" s="80"/>
      <x:c r="H80" s="80"/>
      <x:c r="I80" s="80"/>
      <x:c r="J80" s="80"/>
      <x:c r="K80" s="80" t="str">
        <x:f>IF(COUNTA(E80:J80)=0,"",MAX(E80:J80))</x:f>
      </x:c>
      <x:c r="L80" s="76" t="str">
        <x:f>IF(COUNTA(E80:J80)=0,"",IF(OR(E80&gt;15,F80&gt;45,G80&gt;25,H80&gt;40,I80&gt;4000,J80&gt;100),"Oui","Non"))</x:f>
      </x:c>
      <x:c r="M80" s="76"/>
      <x:c r="N80" s="76"/>
      <x:c r="O80" s="76"/>
      <x:c r="P80" s="76"/>
      <x:c r="Q80" s="78" t="str">
        <x:f>IF(B80="","",TODAY())</x:f>
      </x:c>
      <x:c r="R80" s="76"/>
      <x:c r="S80" s="76" t="str">
        <x:f>IF(B80="","",IF(OR(C80="",D80="",E80="",M80="",N80="",P80&lt;&gt;"Validé humainement"),"ALERTE: données/preuves/statut",IF(OR(E80&lt;0,F80&lt;0,G80&lt;0,H80&lt;0,I80&lt;0,J80&lt;0),"ALERTE: valeur anormale","OK")))</x:f>
      </x:c>
      <x:c r="T80" s="76" t="str">
        <x:f>IF(B80="","",IF(P80="Validé humainement","Oui","Non"))</x:f>
      </x:c>
    </x:row>
    <x:row r="81">
      <x:c r="A81" s="76" t="str">
        <x:f>IF(B81="","","AIR-"&amp;TEXT(ROW()-4,"0000"))</x:f>
      </x:c>
      <x:c r="B81" s="76"/>
      <x:c r="C81" s="76"/>
      <x:c r="D81" s="76"/>
      <x:c r="E81" s="80"/>
      <x:c r="F81" s="80"/>
      <x:c r="G81" s="80"/>
      <x:c r="H81" s="80"/>
      <x:c r="I81" s="80"/>
      <x:c r="J81" s="80"/>
      <x:c r="K81" s="80" t="str">
        <x:f>IF(COUNTA(E81:J81)=0,"",MAX(E81:J81))</x:f>
      </x:c>
      <x:c r="L81" s="76" t="str">
        <x:f>IF(COUNTA(E81:J81)=0,"",IF(OR(E81&gt;15,F81&gt;45,G81&gt;25,H81&gt;40,I81&gt;4000,J81&gt;100),"Oui","Non"))</x:f>
      </x:c>
      <x:c r="M81" s="76"/>
      <x:c r="N81" s="76"/>
      <x:c r="O81" s="76"/>
      <x:c r="P81" s="76"/>
      <x:c r="Q81" s="78" t="str">
        <x:f>IF(B81="","",TODAY())</x:f>
      </x:c>
      <x:c r="R81" s="76"/>
      <x:c r="S81" s="76" t="str">
        <x:f>IF(B81="","",IF(OR(C81="",D81="",E81="",M81="",N81="",P81&lt;&gt;"Validé humainement"),"ALERTE: données/preuves/statut",IF(OR(E81&lt;0,F81&lt;0,G81&lt;0,H81&lt;0,I81&lt;0,J81&lt;0),"ALERTE: valeur anormale","OK")))</x:f>
      </x:c>
      <x:c r="T81" s="76" t="str">
        <x:f>IF(B81="","",IF(P81="Validé humainement","Oui","Non"))</x:f>
      </x:c>
    </x:row>
    <x:row r="82">
      <x:c r="A82" s="76" t="str">
        <x:f>IF(B82="","","AIR-"&amp;TEXT(ROW()-4,"0000"))</x:f>
      </x:c>
      <x:c r="B82" s="76"/>
      <x:c r="C82" s="76"/>
      <x:c r="D82" s="76"/>
      <x:c r="E82" s="80"/>
      <x:c r="F82" s="80"/>
      <x:c r="G82" s="80"/>
      <x:c r="H82" s="80"/>
      <x:c r="I82" s="80"/>
      <x:c r="J82" s="80"/>
      <x:c r="K82" s="80" t="str">
        <x:f>IF(COUNTA(E82:J82)=0,"",MAX(E82:J82))</x:f>
      </x:c>
      <x:c r="L82" s="76" t="str">
        <x:f>IF(COUNTA(E82:J82)=0,"",IF(OR(E82&gt;15,F82&gt;45,G82&gt;25,H82&gt;40,I82&gt;4000,J82&gt;100),"Oui","Non"))</x:f>
      </x:c>
      <x:c r="M82" s="76"/>
      <x:c r="N82" s="76"/>
      <x:c r="O82" s="76"/>
      <x:c r="P82" s="76"/>
      <x:c r="Q82" s="78" t="str">
        <x:f>IF(B82="","",TODAY())</x:f>
      </x:c>
      <x:c r="R82" s="76"/>
      <x:c r="S82" s="76" t="str">
        <x:f>IF(B82="","",IF(OR(C82="",D82="",E82="",M82="",N82="",P82&lt;&gt;"Validé humainement"),"ALERTE: données/preuves/statut",IF(OR(E82&lt;0,F82&lt;0,G82&lt;0,H82&lt;0,I82&lt;0,J82&lt;0),"ALERTE: valeur anormale","OK")))</x:f>
      </x:c>
      <x:c r="T82" s="76" t="str">
        <x:f>IF(B82="","",IF(P82="Validé humainement","Oui","Non"))</x:f>
      </x:c>
    </x:row>
    <x:row r="83">
      <x:c r="A83" s="76" t="str">
        <x:f>IF(B83="","","AIR-"&amp;TEXT(ROW()-4,"0000"))</x:f>
      </x:c>
      <x:c r="B83" s="76"/>
      <x:c r="C83" s="76"/>
      <x:c r="D83" s="76"/>
      <x:c r="E83" s="80"/>
      <x:c r="F83" s="80"/>
      <x:c r="G83" s="80"/>
      <x:c r="H83" s="80"/>
      <x:c r="I83" s="80"/>
      <x:c r="J83" s="80"/>
      <x:c r="K83" s="80" t="str">
        <x:f>IF(COUNTA(E83:J83)=0,"",MAX(E83:J83))</x:f>
      </x:c>
      <x:c r="L83" s="76" t="str">
        <x:f>IF(COUNTA(E83:J83)=0,"",IF(OR(E83&gt;15,F83&gt;45,G83&gt;25,H83&gt;40,I83&gt;4000,J83&gt;100),"Oui","Non"))</x:f>
      </x:c>
      <x:c r="M83" s="76"/>
      <x:c r="N83" s="76"/>
      <x:c r="O83" s="76"/>
      <x:c r="P83" s="76"/>
      <x:c r="Q83" s="78" t="str">
        <x:f>IF(B83="","",TODAY())</x:f>
      </x:c>
      <x:c r="R83" s="76"/>
      <x:c r="S83" s="76" t="str">
        <x:f>IF(B83="","",IF(OR(C83="",D83="",E83="",M83="",N83="",P83&lt;&gt;"Validé humainement"),"ALERTE: données/preuves/statut",IF(OR(E83&lt;0,F83&lt;0,G83&lt;0,H83&lt;0,I83&lt;0,J83&lt;0),"ALERTE: valeur anormale","OK")))</x:f>
      </x:c>
      <x:c r="T83" s="76" t="str">
        <x:f>IF(B83="","",IF(P83="Validé humainement","Oui","Non"))</x:f>
      </x:c>
    </x:row>
    <x:row r="84">
      <x:c r="A84" s="76" t="str">
        <x:f>IF(B84="","","AIR-"&amp;TEXT(ROW()-4,"0000"))</x:f>
      </x:c>
      <x:c r="B84" s="76"/>
      <x:c r="C84" s="76"/>
      <x:c r="D84" s="76"/>
      <x:c r="E84" s="80"/>
      <x:c r="F84" s="80"/>
      <x:c r="G84" s="80"/>
      <x:c r="H84" s="80"/>
      <x:c r="I84" s="80"/>
      <x:c r="J84" s="80"/>
      <x:c r="K84" s="80" t="str">
        <x:f>IF(COUNTA(E84:J84)=0,"",MAX(E84:J84))</x:f>
      </x:c>
      <x:c r="L84" s="76" t="str">
        <x:f>IF(COUNTA(E84:J84)=0,"",IF(OR(E84&gt;15,F84&gt;45,G84&gt;25,H84&gt;40,I84&gt;4000,J84&gt;100),"Oui","Non"))</x:f>
      </x:c>
      <x:c r="M84" s="76"/>
      <x:c r="N84" s="76"/>
      <x:c r="O84" s="76"/>
      <x:c r="P84" s="76"/>
      <x:c r="Q84" s="78" t="str">
        <x:f>IF(B84="","",TODAY())</x:f>
      </x:c>
      <x:c r="R84" s="76"/>
      <x:c r="S84" s="76" t="str">
        <x:f>IF(B84="","",IF(OR(C84="",D84="",E84="",M84="",N84="",P84&lt;&gt;"Validé humainement"),"ALERTE: données/preuves/statut",IF(OR(E84&lt;0,F84&lt;0,G84&lt;0,H84&lt;0,I84&lt;0,J84&lt;0),"ALERTE: valeur anormale","OK")))</x:f>
      </x:c>
      <x:c r="T84" s="76" t="str">
        <x:f>IF(B84="","",IF(P84="Validé humainement","Oui","Non"))</x:f>
      </x:c>
    </x:row>
    <x:row r="85">
      <x:c r="A85" s="76" t="str">
        <x:f>IF(B85="","","AIR-"&amp;TEXT(ROW()-4,"0000"))</x:f>
      </x:c>
      <x:c r="B85" s="76"/>
      <x:c r="C85" s="76"/>
      <x:c r="D85" s="76"/>
      <x:c r="E85" s="80"/>
      <x:c r="F85" s="80"/>
      <x:c r="G85" s="80"/>
      <x:c r="H85" s="80"/>
      <x:c r="I85" s="80"/>
      <x:c r="J85" s="80"/>
      <x:c r="K85" s="80" t="str">
        <x:f>IF(COUNTA(E85:J85)=0,"",MAX(E85:J85))</x:f>
      </x:c>
      <x:c r="L85" s="76" t="str">
        <x:f>IF(COUNTA(E85:J85)=0,"",IF(OR(E85&gt;15,F85&gt;45,G85&gt;25,H85&gt;40,I85&gt;4000,J85&gt;100),"Oui","Non"))</x:f>
      </x:c>
      <x:c r="M85" s="76"/>
      <x:c r="N85" s="76"/>
      <x:c r="O85" s="76"/>
      <x:c r="P85" s="76"/>
      <x:c r="Q85" s="78" t="str">
        <x:f>IF(B85="","",TODAY())</x:f>
      </x:c>
      <x:c r="R85" s="76"/>
      <x:c r="S85" s="76" t="str">
        <x:f>IF(B85="","",IF(OR(C85="",D85="",E85="",M85="",N85="",P85&lt;&gt;"Validé humainement"),"ALERTE: données/preuves/statut",IF(OR(E85&lt;0,F85&lt;0,G85&lt;0,H85&lt;0,I85&lt;0,J85&lt;0),"ALERTE: valeur anormale","OK")))</x:f>
      </x:c>
      <x:c r="T85" s="76" t="str">
        <x:f>IF(B85="","",IF(P85="Validé humainement","Oui","Non"))</x:f>
      </x:c>
    </x:row>
    <x:row r="86">
      <x:c r="A86" s="76" t="str">
        <x:f>IF(B86="","","AIR-"&amp;TEXT(ROW()-4,"0000"))</x:f>
      </x:c>
      <x:c r="B86" s="76"/>
      <x:c r="C86" s="76"/>
      <x:c r="D86" s="76"/>
      <x:c r="E86" s="80"/>
      <x:c r="F86" s="80"/>
      <x:c r="G86" s="80"/>
      <x:c r="H86" s="80"/>
      <x:c r="I86" s="80"/>
      <x:c r="J86" s="80"/>
      <x:c r="K86" s="80" t="str">
        <x:f>IF(COUNTA(E86:J86)=0,"",MAX(E86:J86))</x:f>
      </x:c>
      <x:c r="L86" s="76" t="str">
        <x:f>IF(COUNTA(E86:J86)=0,"",IF(OR(E86&gt;15,F86&gt;45,G86&gt;25,H86&gt;40,I86&gt;4000,J86&gt;100),"Oui","Non"))</x:f>
      </x:c>
      <x:c r="M86" s="76"/>
      <x:c r="N86" s="76"/>
      <x:c r="O86" s="76"/>
      <x:c r="P86" s="76"/>
      <x:c r="Q86" s="78" t="str">
        <x:f>IF(B86="","",TODAY())</x:f>
      </x:c>
      <x:c r="R86" s="76"/>
      <x:c r="S86" s="76" t="str">
        <x:f>IF(B86="","",IF(OR(C86="",D86="",E86="",M86="",N86="",P86&lt;&gt;"Validé humainement"),"ALERTE: données/preuves/statut",IF(OR(E86&lt;0,F86&lt;0,G86&lt;0,H86&lt;0,I86&lt;0,J86&lt;0),"ALERTE: valeur anormale","OK")))</x:f>
      </x:c>
      <x:c r="T86" s="76" t="str">
        <x:f>IF(B86="","",IF(P86="Validé humainement","Oui","Non"))</x:f>
      </x:c>
    </x:row>
    <x:row r="87">
      <x:c r="A87" s="76" t="str">
        <x:f>IF(B87="","","AIR-"&amp;TEXT(ROW()-4,"0000"))</x:f>
      </x:c>
      <x:c r="B87" s="76"/>
      <x:c r="C87" s="76"/>
      <x:c r="D87" s="76"/>
      <x:c r="E87" s="80"/>
      <x:c r="F87" s="80"/>
      <x:c r="G87" s="80"/>
      <x:c r="H87" s="80"/>
      <x:c r="I87" s="80"/>
      <x:c r="J87" s="80"/>
      <x:c r="K87" s="80" t="str">
        <x:f>IF(COUNTA(E87:J87)=0,"",MAX(E87:J87))</x:f>
      </x:c>
      <x:c r="L87" s="76" t="str">
        <x:f>IF(COUNTA(E87:J87)=0,"",IF(OR(E87&gt;15,F87&gt;45,G87&gt;25,H87&gt;40,I87&gt;4000,J87&gt;100),"Oui","Non"))</x:f>
      </x:c>
      <x:c r="M87" s="76"/>
      <x:c r="N87" s="76"/>
      <x:c r="O87" s="76"/>
      <x:c r="P87" s="76"/>
      <x:c r="Q87" s="78" t="str">
        <x:f>IF(B87="","",TODAY())</x:f>
      </x:c>
      <x:c r="R87" s="76"/>
      <x:c r="S87" s="76" t="str">
        <x:f>IF(B87="","",IF(OR(C87="",D87="",E87="",M87="",N87="",P87&lt;&gt;"Validé humainement"),"ALERTE: données/preuves/statut",IF(OR(E87&lt;0,F87&lt;0,G87&lt;0,H87&lt;0,I87&lt;0,J87&lt;0),"ALERTE: valeur anormale","OK")))</x:f>
      </x:c>
      <x:c r="T87" s="76" t="str">
        <x:f>IF(B87="","",IF(P87="Validé humainement","Oui","Non"))</x:f>
      </x:c>
    </x:row>
    <x:row r="88">
      <x:c r="A88" s="76" t="str">
        <x:f>IF(B88="","","AIR-"&amp;TEXT(ROW()-4,"0000"))</x:f>
      </x:c>
      <x:c r="B88" s="76"/>
      <x:c r="C88" s="76"/>
      <x:c r="D88" s="76"/>
      <x:c r="E88" s="80"/>
      <x:c r="F88" s="80"/>
      <x:c r="G88" s="80"/>
      <x:c r="H88" s="80"/>
      <x:c r="I88" s="80"/>
      <x:c r="J88" s="80"/>
      <x:c r="K88" s="80" t="str">
        <x:f>IF(COUNTA(E88:J88)=0,"",MAX(E88:J88))</x:f>
      </x:c>
      <x:c r="L88" s="76" t="str">
        <x:f>IF(COUNTA(E88:J88)=0,"",IF(OR(E88&gt;15,F88&gt;45,G88&gt;25,H88&gt;40,I88&gt;4000,J88&gt;100),"Oui","Non"))</x:f>
      </x:c>
      <x:c r="M88" s="76"/>
      <x:c r="N88" s="76"/>
      <x:c r="O88" s="76"/>
      <x:c r="P88" s="76"/>
      <x:c r="Q88" s="78" t="str">
        <x:f>IF(B88="","",TODAY())</x:f>
      </x:c>
      <x:c r="R88" s="76"/>
      <x:c r="S88" s="76" t="str">
        <x:f>IF(B88="","",IF(OR(C88="",D88="",E88="",M88="",N88="",P88&lt;&gt;"Validé humainement"),"ALERTE: données/preuves/statut",IF(OR(E88&lt;0,F88&lt;0,G88&lt;0,H88&lt;0,I88&lt;0,J88&lt;0),"ALERTE: valeur anormale","OK")))</x:f>
      </x:c>
      <x:c r="T88" s="76" t="str">
        <x:f>IF(B88="","",IF(P88="Validé humainement","Oui","Non"))</x:f>
      </x:c>
    </x:row>
    <x:row r="89">
      <x:c r="A89" s="76" t="str">
        <x:f>IF(B89="","","AIR-"&amp;TEXT(ROW()-4,"0000"))</x:f>
      </x:c>
      <x:c r="B89" s="76"/>
      <x:c r="C89" s="76"/>
      <x:c r="D89" s="76"/>
      <x:c r="E89" s="80"/>
      <x:c r="F89" s="80"/>
      <x:c r="G89" s="80"/>
      <x:c r="H89" s="80"/>
      <x:c r="I89" s="80"/>
      <x:c r="J89" s="80"/>
      <x:c r="K89" s="80" t="str">
        <x:f>IF(COUNTA(E89:J89)=0,"",MAX(E89:J89))</x:f>
      </x:c>
      <x:c r="L89" s="76" t="str">
        <x:f>IF(COUNTA(E89:J89)=0,"",IF(OR(E89&gt;15,F89&gt;45,G89&gt;25,H89&gt;40,I89&gt;4000,J89&gt;100),"Oui","Non"))</x:f>
      </x:c>
      <x:c r="M89" s="76"/>
      <x:c r="N89" s="76"/>
      <x:c r="O89" s="76"/>
      <x:c r="P89" s="76"/>
      <x:c r="Q89" s="78" t="str">
        <x:f>IF(B89="","",TODAY())</x:f>
      </x:c>
      <x:c r="R89" s="76"/>
      <x:c r="S89" s="76" t="str">
        <x:f>IF(B89="","",IF(OR(C89="",D89="",E89="",M89="",N89="",P89&lt;&gt;"Validé humainement"),"ALERTE: données/preuves/statut",IF(OR(E89&lt;0,F89&lt;0,G89&lt;0,H89&lt;0,I89&lt;0,J89&lt;0),"ALERTE: valeur anormale","OK")))</x:f>
      </x:c>
      <x:c r="T89" s="76" t="str">
        <x:f>IF(B89="","",IF(P89="Validé humainement","Oui","Non"))</x:f>
      </x:c>
    </x:row>
    <x:row r="90">
      <x:c r="A90" s="76" t="str">
        <x:f>IF(B90="","","AIR-"&amp;TEXT(ROW()-4,"0000"))</x:f>
      </x:c>
      <x:c r="B90" s="76"/>
      <x:c r="C90" s="76"/>
      <x:c r="D90" s="76"/>
      <x:c r="E90" s="80"/>
      <x:c r="F90" s="80"/>
      <x:c r="G90" s="80"/>
      <x:c r="H90" s="80"/>
      <x:c r="I90" s="80"/>
      <x:c r="J90" s="80"/>
      <x:c r="K90" s="80" t="str">
        <x:f>IF(COUNTA(E90:J90)=0,"",MAX(E90:J90))</x:f>
      </x:c>
      <x:c r="L90" s="76" t="str">
        <x:f>IF(COUNTA(E90:J90)=0,"",IF(OR(E90&gt;15,F90&gt;45,G90&gt;25,H90&gt;40,I90&gt;4000,J90&gt;100),"Oui","Non"))</x:f>
      </x:c>
      <x:c r="M90" s="76"/>
      <x:c r="N90" s="76"/>
      <x:c r="O90" s="76"/>
      <x:c r="P90" s="76"/>
      <x:c r="Q90" s="78" t="str">
        <x:f>IF(B90="","",TODAY())</x:f>
      </x:c>
      <x:c r="R90" s="76"/>
      <x:c r="S90" s="76" t="str">
        <x:f>IF(B90="","",IF(OR(C90="",D90="",E90="",M90="",N90="",P90&lt;&gt;"Validé humainement"),"ALERTE: données/preuves/statut",IF(OR(E90&lt;0,F90&lt;0,G90&lt;0,H90&lt;0,I90&lt;0,J90&lt;0),"ALERTE: valeur anormale","OK")))</x:f>
      </x:c>
      <x:c r="T90" s="76" t="str">
        <x:f>IF(B90="","",IF(P90="Validé humainement","Oui","Non"))</x:f>
      </x:c>
    </x:row>
    <x:row r="91">
      <x:c r="A91" s="76" t="str">
        <x:f>IF(B91="","","AIR-"&amp;TEXT(ROW()-4,"0000"))</x:f>
      </x:c>
      <x:c r="B91" s="76"/>
      <x:c r="C91" s="76"/>
      <x:c r="D91" s="76"/>
      <x:c r="E91" s="80"/>
      <x:c r="F91" s="80"/>
      <x:c r="G91" s="80"/>
      <x:c r="H91" s="80"/>
      <x:c r="I91" s="80"/>
      <x:c r="J91" s="80"/>
      <x:c r="K91" s="80" t="str">
        <x:f>IF(COUNTA(E91:J91)=0,"",MAX(E91:J91))</x:f>
      </x:c>
      <x:c r="L91" s="76" t="str">
        <x:f>IF(COUNTA(E91:J91)=0,"",IF(OR(E91&gt;15,F91&gt;45,G91&gt;25,H91&gt;40,I91&gt;4000,J91&gt;100),"Oui","Non"))</x:f>
      </x:c>
      <x:c r="M91" s="76"/>
      <x:c r="N91" s="76"/>
      <x:c r="O91" s="76"/>
      <x:c r="P91" s="76"/>
      <x:c r="Q91" s="78" t="str">
        <x:f>IF(B91="","",TODAY())</x:f>
      </x:c>
      <x:c r="R91" s="76"/>
      <x:c r="S91" s="76" t="str">
        <x:f>IF(B91="","",IF(OR(C91="",D91="",E91="",M91="",N91="",P91&lt;&gt;"Validé humainement"),"ALERTE: données/preuves/statut",IF(OR(E91&lt;0,F91&lt;0,G91&lt;0,H91&lt;0,I91&lt;0,J91&lt;0),"ALERTE: valeur anormale","OK")))</x:f>
      </x:c>
      <x:c r="T91" s="76" t="str">
        <x:f>IF(B91="","",IF(P91="Validé humainement","Oui","Non"))</x:f>
      </x:c>
    </x:row>
    <x:row r="92">
      <x:c r="A92" s="76" t="str">
        <x:f>IF(B92="","","AIR-"&amp;TEXT(ROW()-4,"0000"))</x:f>
      </x:c>
      <x:c r="B92" s="76"/>
      <x:c r="C92" s="76"/>
      <x:c r="D92" s="76"/>
      <x:c r="E92" s="80"/>
      <x:c r="F92" s="80"/>
      <x:c r="G92" s="80"/>
      <x:c r="H92" s="80"/>
      <x:c r="I92" s="80"/>
      <x:c r="J92" s="80"/>
      <x:c r="K92" s="80" t="str">
        <x:f>IF(COUNTA(E92:J92)=0,"",MAX(E92:J92))</x:f>
      </x:c>
      <x:c r="L92" s="76" t="str">
        <x:f>IF(COUNTA(E92:J92)=0,"",IF(OR(E92&gt;15,F92&gt;45,G92&gt;25,H92&gt;40,I92&gt;4000,J92&gt;100),"Oui","Non"))</x:f>
      </x:c>
      <x:c r="M92" s="76"/>
      <x:c r="N92" s="76"/>
      <x:c r="O92" s="76"/>
      <x:c r="P92" s="76"/>
      <x:c r="Q92" s="78" t="str">
        <x:f>IF(B92="","",TODAY())</x:f>
      </x:c>
      <x:c r="R92" s="76"/>
      <x:c r="S92" s="76" t="str">
        <x:f>IF(B92="","",IF(OR(C92="",D92="",E92="",M92="",N92="",P92&lt;&gt;"Validé humainement"),"ALERTE: données/preuves/statut",IF(OR(E92&lt;0,F92&lt;0,G92&lt;0,H92&lt;0,I92&lt;0,J92&lt;0),"ALERTE: valeur anormale","OK")))</x:f>
      </x:c>
      <x:c r="T92" s="76" t="str">
        <x:f>IF(B92="","",IF(P92="Validé humainement","Oui","Non"))</x:f>
      </x:c>
    </x:row>
    <x:row r="93">
      <x:c r="A93" s="76" t="str">
        <x:f>IF(B93="","","AIR-"&amp;TEXT(ROW()-4,"0000"))</x:f>
      </x:c>
      <x:c r="B93" s="76"/>
      <x:c r="C93" s="76"/>
      <x:c r="D93" s="76"/>
      <x:c r="E93" s="80"/>
      <x:c r="F93" s="80"/>
      <x:c r="G93" s="80"/>
      <x:c r="H93" s="80"/>
      <x:c r="I93" s="80"/>
      <x:c r="J93" s="80"/>
      <x:c r="K93" s="80" t="str">
        <x:f>IF(COUNTA(E93:J93)=0,"",MAX(E93:J93))</x:f>
      </x:c>
      <x:c r="L93" s="76" t="str">
        <x:f>IF(COUNTA(E93:J93)=0,"",IF(OR(E93&gt;15,F93&gt;45,G93&gt;25,H93&gt;40,I93&gt;4000,J93&gt;100),"Oui","Non"))</x:f>
      </x:c>
      <x:c r="M93" s="76"/>
      <x:c r="N93" s="76"/>
      <x:c r="O93" s="76"/>
      <x:c r="P93" s="76"/>
      <x:c r="Q93" s="78" t="str">
        <x:f>IF(B93="","",TODAY())</x:f>
      </x:c>
      <x:c r="R93" s="76"/>
      <x:c r="S93" s="76" t="str">
        <x:f>IF(B93="","",IF(OR(C93="",D93="",E93="",M93="",N93="",P93&lt;&gt;"Validé humainement"),"ALERTE: données/preuves/statut",IF(OR(E93&lt;0,F93&lt;0,G93&lt;0,H93&lt;0,I93&lt;0,J93&lt;0),"ALERTE: valeur anormale","OK")))</x:f>
      </x:c>
      <x:c r="T93" s="76" t="str">
        <x:f>IF(B93="","",IF(P93="Validé humainement","Oui","Non"))</x:f>
      </x:c>
    </x:row>
    <x:row r="94">
      <x:c r="A94" s="76" t="str">
        <x:f>IF(B94="","","AIR-"&amp;TEXT(ROW()-4,"0000"))</x:f>
      </x:c>
      <x:c r="B94" s="76"/>
      <x:c r="C94" s="76"/>
      <x:c r="D94" s="76"/>
      <x:c r="E94" s="80"/>
      <x:c r="F94" s="80"/>
      <x:c r="G94" s="80"/>
      <x:c r="H94" s="80"/>
      <x:c r="I94" s="80"/>
      <x:c r="J94" s="80"/>
      <x:c r="K94" s="80" t="str">
        <x:f>IF(COUNTA(E94:J94)=0,"",MAX(E94:J94))</x:f>
      </x:c>
      <x:c r="L94" s="76" t="str">
        <x:f>IF(COUNTA(E94:J94)=0,"",IF(OR(E94&gt;15,F94&gt;45,G94&gt;25,H94&gt;40,I94&gt;4000,J94&gt;100),"Oui","Non"))</x:f>
      </x:c>
      <x:c r="M94" s="76"/>
      <x:c r="N94" s="76"/>
      <x:c r="O94" s="76"/>
      <x:c r="P94" s="76"/>
      <x:c r="Q94" s="78" t="str">
        <x:f>IF(B94="","",TODAY())</x:f>
      </x:c>
      <x:c r="R94" s="76"/>
      <x:c r="S94" s="76" t="str">
        <x:f>IF(B94="","",IF(OR(C94="",D94="",E94="",M94="",N94="",P94&lt;&gt;"Validé humainement"),"ALERTE: données/preuves/statut",IF(OR(E94&lt;0,F94&lt;0,G94&lt;0,H94&lt;0,I94&lt;0,J94&lt;0),"ALERTE: valeur anormale","OK")))</x:f>
      </x:c>
      <x:c r="T94" s="76" t="str">
        <x:f>IF(B94="","",IF(P94="Validé humainement","Oui","Non"))</x:f>
      </x:c>
    </x:row>
    <x:row r="95">
      <x:c r="A95" s="76" t="str">
        <x:f>IF(B95="","","AIR-"&amp;TEXT(ROW()-4,"0000"))</x:f>
      </x:c>
      <x:c r="B95" s="76"/>
      <x:c r="C95" s="76"/>
      <x:c r="D95" s="76"/>
      <x:c r="E95" s="80"/>
      <x:c r="F95" s="80"/>
      <x:c r="G95" s="80"/>
      <x:c r="H95" s="80"/>
      <x:c r="I95" s="80"/>
      <x:c r="J95" s="80"/>
      <x:c r="K95" s="80" t="str">
        <x:f>IF(COUNTA(E95:J95)=0,"",MAX(E95:J95))</x:f>
      </x:c>
      <x:c r="L95" s="76" t="str">
        <x:f>IF(COUNTA(E95:J95)=0,"",IF(OR(E95&gt;15,F95&gt;45,G95&gt;25,H95&gt;40,I95&gt;4000,J95&gt;100),"Oui","Non"))</x:f>
      </x:c>
      <x:c r="M95" s="76"/>
      <x:c r="N95" s="76"/>
      <x:c r="O95" s="76"/>
      <x:c r="P95" s="76"/>
      <x:c r="Q95" s="78" t="str">
        <x:f>IF(B95="","",TODAY())</x:f>
      </x:c>
      <x:c r="R95" s="76"/>
      <x:c r="S95" s="76" t="str">
        <x:f>IF(B95="","",IF(OR(C95="",D95="",E95="",M95="",N95="",P95&lt;&gt;"Validé humainement"),"ALERTE: données/preuves/statut",IF(OR(E95&lt;0,F95&lt;0,G95&lt;0,H95&lt;0,I95&lt;0,J95&lt;0),"ALERTE: valeur anormale","OK")))</x:f>
      </x:c>
      <x:c r="T95" s="76" t="str">
        <x:f>IF(B95="","",IF(P95="Validé humainement","Oui","Non"))</x:f>
      </x:c>
    </x:row>
    <x:row r="96">
      <x:c r="A96" s="76" t="str">
        <x:f>IF(B96="","","AIR-"&amp;TEXT(ROW()-4,"0000"))</x:f>
      </x:c>
      <x:c r="B96" s="76"/>
      <x:c r="C96" s="76"/>
      <x:c r="D96" s="76"/>
      <x:c r="E96" s="80"/>
      <x:c r="F96" s="80"/>
      <x:c r="G96" s="80"/>
      <x:c r="H96" s="80"/>
      <x:c r="I96" s="80"/>
      <x:c r="J96" s="80"/>
      <x:c r="K96" s="80" t="str">
        <x:f>IF(COUNTA(E96:J96)=0,"",MAX(E96:J96))</x:f>
      </x:c>
      <x:c r="L96" s="76" t="str">
        <x:f>IF(COUNTA(E96:J96)=0,"",IF(OR(E96&gt;15,F96&gt;45,G96&gt;25,H96&gt;40,I96&gt;4000,J96&gt;100),"Oui","Non"))</x:f>
      </x:c>
      <x:c r="M96" s="76"/>
      <x:c r="N96" s="76"/>
      <x:c r="O96" s="76"/>
      <x:c r="P96" s="76"/>
      <x:c r="Q96" s="78" t="str">
        <x:f>IF(B96="","",TODAY())</x:f>
      </x:c>
      <x:c r="R96" s="76"/>
      <x:c r="S96" s="76" t="str">
        <x:f>IF(B96="","",IF(OR(C96="",D96="",E96="",M96="",N96="",P96&lt;&gt;"Validé humainement"),"ALERTE: données/preuves/statut",IF(OR(E96&lt;0,F96&lt;0,G96&lt;0,H96&lt;0,I96&lt;0,J96&lt;0),"ALERTE: valeur anormale","OK")))</x:f>
      </x:c>
      <x:c r="T96" s="76" t="str">
        <x:f>IF(B96="","",IF(P96="Validé humainement","Oui","Non"))</x:f>
      </x:c>
    </x:row>
    <x:row r="97">
      <x:c r="A97" s="76" t="str">
        <x:f>IF(B97="","","AIR-"&amp;TEXT(ROW()-4,"0000"))</x:f>
      </x:c>
      <x:c r="B97" s="76"/>
      <x:c r="C97" s="76"/>
      <x:c r="D97" s="76"/>
      <x:c r="E97" s="80"/>
      <x:c r="F97" s="80"/>
      <x:c r="G97" s="80"/>
      <x:c r="H97" s="80"/>
      <x:c r="I97" s="80"/>
      <x:c r="J97" s="80"/>
      <x:c r="K97" s="80" t="str">
        <x:f>IF(COUNTA(E97:J97)=0,"",MAX(E97:J97))</x:f>
      </x:c>
      <x:c r="L97" s="76" t="str">
        <x:f>IF(COUNTA(E97:J97)=0,"",IF(OR(E97&gt;15,F97&gt;45,G97&gt;25,H97&gt;40,I97&gt;4000,J97&gt;100),"Oui","Non"))</x:f>
      </x:c>
      <x:c r="M97" s="76"/>
      <x:c r="N97" s="76"/>
      <x:c r="O97" s="76"/>
      <x:c r="P97" s="76"/>
      <x:c r="Q97" s="78" t="str">
        <x:f>IF(B97="","",TODAY())</x:f>
      </x:c>
      <x:c r="R97" s="76"/>
      <x:c r="S97" s="76" t="str">
        <x:f>IF(B97="","",IF(OR(C97="",D97="",E97="",M97="",N97="",P97&lt;&gt;"Validé humainement"),"ALERTE: données/preuves/statut",IF(OR(E97&lt;0,F97&lt;0,G97&lt;0,H97&lt;0,I97&lt;0,J97&lt;0),"ALERTE: valeur anormale","OK")))</x:f>
      </x:c>
      <x:c r="T97" s="76" t="str">
        <x:f>IF(B97="","",IF(P97="Validé humainement","Oui","Non"))</x:f>
      </x:c>
    </x:row>
    <x:row r="98">
      <x:c r="A98" s="76" t="str">
        <x:f>IF(B98="","","AIR-"&amp;TEXT(ROW()-4,"0000"))</x:f>
      </x:c>
      <x:c r="B98" s="76"/>
      <x:c r="C98" s="76"/>
      <x:c r="D98" s="76"/>
      <x:c r="E98" s="80"/>
      <x:c r="F98" s="80"/>
      <x:c r="G98" s="80"/>
      <x:c r="H98" s="80"/>
      <x:c r="I98" s="80"/>
      <x:c r="J98" s="80"/>
      <x:c r="K98" s="80" t="str">
        <x:f>IF(COUNTA(E98:J98)=0,"",MAX(E98:J98))</x:f>
      </x:c>
      <x:c r="L98" s="76" t="str">
        <x:f>IF(COUNTA(E98:J98)=0,"",IF(OR(E98&gt;15,F98&gt;45,G98&gt;25,H98&gt;40,I98&gt;4000,J98&gt;100),"Oui","Non"))</x:f>
      </x:c>
      <x:c r="M98" s="76"/>
      <x:c r="N98" s="76"/>
      <x:c r="O98" s="76"/>
      <x:c r="P98" s="76"/>
      <x:c r="Q98" s="78" t="str">
        <x:f>IF(B98="","",TODAY())</x:f>
      </x:c>
      <x:c r="R98" s="76"/>
      <x:c r="S98" s="76" t="str">
        <x:f>IF(B98="","",IF(OR(C98="",D98="",E98="",M98="",N98="",P98&lt;&gt;"Validé humainement"),"ALERTE: données/preuves/statut",IF(OR(E98&lt;0,F98&lt;0,G98&lt;0,H98&lt;0,I98&lt;0,J98&lt;0),"ALERTE: valeur anormale","OK")))</x:f>
      </x:c>
      <x:c r="T98" s="76" t="str">
        <x:f>IF(B98="","",IF(P98="Validé humainement","Oui","Non"))</x:f>
      </x:c>
    </x:row>
    <x:row r="99">
      <x:c r="A99" s="76" t="str">
        <x:f>IF(B99="","","AIR-"&amp;TEXT(ROW()-4,"0000"))</x:f>
      </x:c>
      <x:c r="B99" s="76"/>
      <x:c r="C99" s="76"/>
      <x:c r="D99" s="76"/>
      <x:c r="E99" s="80"/>
      <x:c r="F99" s="80"/>
      <x:c r="G99" s="80"/>
      <x:c r="H99" s="80"/>
      <x:c r="I99" s="80"/>
      <x:c r="J99" s="80"/>
      <x:c r="K99" s="80" t="str">
        <x:f>IF(COUNTA(E99:J99)=0,"",MAX(E99:J99))</x:f>
      </x:c>
      <x:c r="L99" s="76" t="str">
        <x:f>IF(COUNTA(E99:J99)=0,"",IF(OR(E99&gt;15,F99&gt;45,G99&gt;25,H99&gt;40,I99&gt;4000,J99&gt;100),"Oui","Non"))</x:f>
      </x:c>
      <x:c r="M99" s="76"/>
      <x:c r="N99" s="76"/>
      <x:c r="O99" s="76"/>
      <x:c r="P99" s="76"/>
      <x:c r="Q99" s="78" t="str">
        <x:f>IF(B99="","",TODAY())</x:f>
      </x:c>
      <x:c r="R99" s="76"/>
      <x:c r="S99" s="76" t="str">
        <x:f>IF(B99="","",IF(OR(C99="",D99="",E99="",M99="",N99="",P99&lt;&gt;"Validé humainement"),"ALERTE: données/preuves/statut",IF(OR(E99&lt;0,F99&lt;0,G99&lt;0,H99&lt;0,I99&lt;0,J99&lt;0),"ALERTE: valeur anormale","OK")))</x:f>
      </x:c>
      <x:c r="T99" s="76" t="str">
        <x:f>IF(B99="","",IF(P99="Validé humainement","Oui","Non"))</x:f>
      </x:c>
    </x:row>
    <x:row r="100">
      <x:c r="A100" s="76" t="str">
        <x:f>IF(B100="","","AIR-"&amp;TEXT(ROW()-4,"0000"))</x:f>
      </x:c>
      <x:c r="B100" s="76"/>
      <x:c r="C100" s="76"/>
      <x:c r="D100" s="76"/>
      <x:c r="E100" s="80"/>
      <x:c r="F100" s="80"/>
      <x:c r="G100" s="80"/>
      <x:c r="H100" s="80"/>
      <x:c r="I100" s="80"/>
      <x:c r="J100" s="80"/>
      <x:c r="K100" s="80" t="str">
        <x:f>IF(COUNTA(E100:J100)=0,"",MAX(E100:J100))</x:f>
      </x:c>
      <x:c r="L100" s="76" t="str">
        <x:f>IF(COUNTA(E100:J100)=0,"",IF(OR(E100&gt;15,F100&gt;45,G100&gt;25,H100&gt;40,I100&gt;4000,J100&gt;100),"Oui","Non"))</x:f>
      </x:c>
      <x:c r="M100" s="76"/>
      <x:c r="N100" s="76"/>
      <x:c r="O100" s="76"/>
      <x:c r="P100" s="76"/>
      <x:c r="Q100" s="78" t="str">
        <x:f>IF(B100="","",TODAY())</x:f>
      </x:c>
      <x:c r="R100" s="76"/>
      <x:c r="S100" s="76" t="str">
        <x:f>IF(B100="","",IF(OR(C100="",D100="",E100="",M100="",N100="",P100&lt;&gt;"Validé humainement"),"ALERTE: données/preuves/statut",IF(OR(E100&lt;0,F100&lt;0,G100&lt;0,H100&lt;0,I100&lt;0,J100&lt;0),"ALERTE: valeur anormale","OK")))</x:f>
      </x:c>
      <x:c r="T100" s="76" t="str">
        <x:f>IF(B100="","",IF(P100="Validé humainement","Oui","Non"))</x:f>
      </x:c>
    </x:row>
    <x:row r="101">
      <x:c r="A101" s="76" t="str">
        <x:f>IF(B101="","","AIR-"&amp;TEXT(ROW()-4,"0000"))</x:f>
      </x:c>
      <x:c r="B101" s="76"/>
      <x:c r="C101" s="76"/>
      <x:c r="D101" s="76"/>
      <x:c r="E101" s="80"/>
      <x:c r="F101" s="80"/>
      <x:c r="G101" s="80"/>
      <x:c r="H101" s="80"/>
      <x:c r="I101" s="80"/>
      <x:c r="J101" s="80"/>
      <x:c r="K101" s="80" t="str">
        <x:f>IF(COUNTA(E101:J101)=0,"",MAX(E101:J101))</x:f>
      </x:c>
      <x:c r="L101" s="76" t="str">
        <x:f>IF(COUNTA(E101:J101)=0,"",IF(OR(E101&gt;15,F101&gt;45,G101&gt;25,H101&gt;40,I101&gt;4000,J101&gt;100),"Oui","Non"))</x:f>
      </x:c>
      <x:c r="M101" s="76"/>
      <x:c r="N101" s="76"/>
      <x:c r="O101" s="76"/>
      <x:c r="P101" s="76"/>
      <x:c r="Q101" s="78" t="str">
        <x:f>IF(B101="","",TODAY())</x:f>
      </x:c>
      <x:c r="R101" s="76"/>
      <x:c r="S101" s="76" t="str">
        <x:f>IF(B101="","",IF(OR(C101="",D101="",E101="",M101="",N101="",P101&lt;&gt;"Validé humainement"),"ALERTE: données/preuves/statut",IF(OR(E101&lt;0,F101&lt;0,G101&lt;0,H101&lt;0,I101&lt;0,J101&lt;0),"ALERTE: valeur anormale","OK")))</x:f>
      </x:c>
      <x:c r="T101" s="76" t="str">
        <x:f>IF(B101="","",IF(P101="Validé humainement","Oui","Non"))</x:f>
      </x:c>
    </x:row>
    <x:row r="102">
      <x:c r="A102" s="76" t="str">
        <x:f>IF(B102="","","AIR-"&amp;TEXT(ROW()-4,"0000"))</x:f>
      </x:c>
      <x:c r="B102" s="76"/>
      <x:c r="C102" s="76"/>
      <x:c r="D102" s="76"/>
      <x:c r="E102" s="80"/>
      <x:c r="F102" s="80"/>
      <x:c r="G102" s="80"/>
      <x:c r="H102" s="80"/>
      <x:c r="I102" s="80"/>
      <x:c r="J102" s="80"/>
      <x:c r="K102" s="80" t="str">
        <x:f>IF(COUNTA(E102:J102)=0,"",MAX(E102:J102))</x:f>
      </x:c>
      <x:c r="L102" s="76" t="str">
        <x:f>IF(COUNTA(E102:J102)=0,"",IF(OR(E102&gt;15,F102&gt;45,G102&gt;25,H102&gt;40,I102&gt;4000,J102&gt;100),"Oui","Non"))</x:f>
      </x:c>
      <x:c r="M102" s="76"/>
      <x:c r="N102" s="76"/>
      <x:c r="O102" s="76"/>
      <x:c r="P102" s="76"/>
      <x:c r="Q102" s="78" t="str">
        <x:f>IF(B102="","",TODAY())</x:f>
      </x:c>
      <x:c r="R102" s="76"/>
      <x:c r="S102" s="76" t="str">
        <x:f>IF(B102="","",IF(OR(C102="",D102="",E102="",M102="",N102="",P102&lt;&gt;"Validé humainement"),"ALERTE: données/preuves/statut",IF(OR(E102&lt;0,F102&lt;0,G102&lt;0,H102&lt;0,I102&lt;0,J102&lt;0),"ALERTE: valeur anormale","OK")))</x:f>
      </x:c>
      <x:c r="T102" s="76" t="str">
        <x:f>IF(B102="","",IF(P102="Validé humainement","Oui","Non"))</x:f>
      </x:c>
    </x:row>
    <x:row r="103">
      <x:c r="A103" s="76" t="str">
        <x:f>IF(B103="","","AIR-"&amp;TEXT(ROW()-4,"0000"))</x:f>
      </x:c>
      <x:c r="B103" s="76"/>
      <x:c r="C103" s="76"/>
      <x:c r="D103" s="76"/>
      <x:c r="E103" s="80"/>
      <x:c r="F103" s="80"/>
      <x:c r="G103" s="80"/>
      <x:c r="H103" s="80"/>
      <x:c r="I103" s="80"/>
      <x:c r="J103" s="80"/>
      <x:c r="K103" s="80" t="str">
        <x:f>IF(COUNTA(E103:J103)=0,"",MAX(E103:J103))</x:f>
      </x:c>
      <x:c r="L103" s="76" t="str">
        <x:f>IF(COUNTA(E103:J103)=0,"",IF(OR(E103&gt;15,F103&gt;45,G103&gt;25,H103&gt;40,I103&gt;4000,J103&gt;100),"Oui","Non"))</x:f>
      </x:c>
      <x:c r="M103" s="76"/>
      <x:c r="N103" s="76"/>
      <x:c r="O103" s="76"/>
      <x:c r="P103" s="76"/>
      <x:c r="Q103" s="78" t="str">
        <x:f>IF(B103="","",TODAY())</x:f>
      </x:c>
      <x:c r="R103" s="76"/>
      <x:c r="S103" s="76" t="str">
        <x:f>IF(B103="","",IF(OR(C103="",D103="",E103="",M103="",N103="",P103&lt;&gt;"Validé humainement"),"ALERTE: données/preuves/statut",IF(OR(E103&lt;0,F103&lt;0,G103&lt;0,H103&lt;0,I103&lt;0,J103&lt;0),"ALERTE: valeur anormale","OK")))</x:f>
      </x:c>
      <x:c r="T103" s="76" t="str">
        <x:f>IF(B103="","",IF(P103="Validé humainement","Oui","Non"))</x:f>
      </x:c>
    </x:row>
    <x:row r="104">
      <x:c r="A104" s="76" t="str">
        <x:f>IF(B104="","","AIR-"&amp;TEXT(ROW()-4,"0000"))</x:f>
      </x:c>
      <x:c r="B104" s="76"/>
      <x:c r="C104" s="76"/>
      <x:c r="D104" s="76"/>
      <x:c r="E104" s="80"/>
      <x:c r="F104" s="80"/>
      <x:c r="G104" s="80"/>
      <x:c r="H104" s="80"/>
      <x:c r="I104" s="80"/>
      <x:c r="J104" s="80"/>
      <x:c r="K104" s="80" t="str">
        <x:f>IF(COUNTA(E104:J104)=0,"",MAX(E104:J104))</x:f>
      </x:c>
      <x:c r="L104" s="76" t="str">
        <x:f>IF(COUNTA(E104:J104)=0,"",IF(OR(E104&gt;15,F104&gt;45,G104&gt;25,H104&gt;40,I104&gt;4000,J104&gt;100),"Oui","Non"))</x:f>
      </x:c>
      <x:c r="M104" s="76"/>
      <x:c r="N104" s="76"/>
      <x:c r="O104" s="76"/>
      <x:c r="P104" s="76"/>
      <x:c r="Q104" s="78" t="str">
        <x:f>IF(B104="","",TODAY())</x:f>
      </x:c>
      <x:c r="R104" s="76"/>
      <x:c r="S104" s="76" t="str">
        <x:f>IF(B104="","",IF(OR(C104="",D104="",E104="",M104="",N104="",P104&lt;&gt;"Validé humainement"),"ALERTE: données/preuves/statut",IF(OR(E104&lt;0,F104&lt;0,G104&lt;0,H104&lt;0,I104&lt;0,J104&lt;0),"ALERTE: valeur anormale","OK")))</x:f>
      </x:c>
      <x:c r="T104" s="76" t="str">
        <x:f>IF(B104="","",IF(P104="Validé humainement","Oui","Non"))</x:f>
      </x:c>
    </x:row>
  </x:sheetData>
  <x:mergeCells>
    <x:mergeCell ref="A1:T1"/>
    <x:mergeCell ref="A2:T2"/>
  </x:mergeCells>
  <x:conditionalFormatting sqref="S5:S104">
    <x:cfRule type="containsText" dxfId="202" priority="1" operator="containsText" text="ALERTE"/>
    <x:cfRule type="containsText" dxfId="203" priority="2" operator="containsText" text="OK"/>
    <x:cfRule type="containsText" dxfId="204" priority="3" operator="containsText" text="Validé"/>
    <x:cfRule type="containsText" dxfId="205" priority="4" operator="containsText" text="À vérifier"/>
    <x:cfRule type="containsText" dxfId="206" priority="5" operator="containsText" text="Rejeté"/>
  </x:conditionalFormatting>
  <x:conditionalFormatting sqref="P5:P104">
    <x:cfRule type="containsText" dxfId="207" priority="6" operator="containsText" text="ALERTE"/>
    <x:cfRule type="containsText" dxfId="208" priority="7" operator="containsText" text="OK"/>
    <x:cfRule type="containsText" dxfId="209" priority="8" operator="containsText" text="Validé"/>
    <x:cfRule type="containsText" dxfId="210" priority="9" operator="containsText" text="À vérifier"/>
    <x:cfRule type="containsText" dxfId="21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L5:L104">
      <x:formula1>"Oui,Non"</x:formula1>
    </x:dataValidation>
  </x:dataValidations>
  <x:pageMargins left="0.7" right="0.7" top="0.75" bottom="0.75" header="0.3" footer="0.3"/>
  <x:tableParts count="1">
    <x:tablePart xmlns:r="http://schemas.openxmlformats.org/officeDocument/2006/relationships" r:id="R62fc881ad50d4600"/>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21.25" hidden="0" customWidth="1"/>
    <x:col min="4" max="4" width="21.25" hidden="0" customWidth="1"/>
    <x:col min="5" max="5" width="18.1299991607666" hidden="0" customWidth="1"/>
    <x:col min="6" max="6" width="11.880000114440918" hidden="0" customWidth="1"/>
    <x:col min="7" max="7" width="16.8799991607666" hidden="0" customWidth="1"/>
    <x:col min="8" max="8" width="17.5" hidden="0" customWidth="1"/>
    <x:col min="9" max="9" width="20"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Formulaire émissions GES</x:v>
      </x:c>
      <x:c r="B1" s="68"/>
      <x:c r="C1" s="68"/>
      <x:c r="D1" s="68"/>
      <x:c r="E1" s="68"/>
      <x:c r="F1" s="68"/>
      <x:c r="G1" s="68"/>
      <x:c r="H1" s="68"/>
      <x:c r="I1" s="68"/>
      <x:c r="J1" s="68"/>
      <x:c r="K1" s="68"/>
      <x:c r="L1" s="68"/>
      <x:c r="M1" s="68"/>
      <x:c r="N1" s="68"/>
      <x:c r="O1" s="68"/>
      <x:c r="P1" s="68"/>
      <x:c r="Q1" s="68"/>
    </x:row>
    <x:row r="2" ht="33" customHeight="1">
      <x:c r="A2" s="71" t="str">
        <x:v>Saisie des données d'activité GES avec calcul automatique des émissions tCO2e.</x:v>
      </x:c>
      <x:c r="B2" s="71"/>
      <x:c r="C2" s="71"/>
      <x:c r="D2" s="71"/>
      <x:c r="E2" s="71"/>
      <x:c r="F2" s="71"/>
      <x:c r="G2" s="71"/>
      <x:c r="H2" s="71"/>
      <x:c r="I2" s="71"/>
      <x:c r="J2" s="71"/>
      <x:c r="K2" s="71"/>
      <x:c r="L2" s="71"/>
      <x:c r="M2" s="71"/>
      <x:c r="N2" s="71"/>
      <x:c r="O2" s="71"/>
      <x:c r="P2" s="71"/>
      <x:c r="Q2" s="71"/>
    </x:row>
    <x:row r="4">
      <x:c r="A4" s="74" t="str">
        <x:v>ID_Saisie</x:v>
      </x:c>
      <x:c r="B4" s="74" t="str">
        <x:v>Année</x:v>
      </x:c>
      <x:c r="C4" s="74" t="str">
        <x:v>Secteur</x:v>
      </x:c>
      <x:c r="D4" s="74" t="str">
        <x:v>Sous-secteur</x:v>
      </x:c>
      <x:c r="E4" s="74" t="str">
        <x:v>Donnée d'activité</x:v>
      </x:c>
      <x:c r="F4" s="74" t="str">
        <x:v>Unité</x:v>
      </x:c>
      <x:c r="G4" s="74" t="str">
        <x:v>Facteur d'émission</x:v>
      </x:c>
      <x:c r="H4" s="74" t="str">
        <x:v>Émissions tCO2e</x:v>
      </x:c>
      <x:c r="I4" s="74" t="str">
        <x:v>Méthodologie</x:v>
      </x:c>
      <x:c r="J4" s="74" t="str">
        <x:v>Source</x:v>
      </x:c>
      <x:c r="K4" s="74" t="str">
        <x:v>Document source</x:v>
      </x:c>
      <x:c r="L4" s="74" t="str">
        <x:v>Statut validation</x:v>
      </x:c>
      <x:c r="M4" s="74" t="str">
        <x:v>Observations</x:v>
      </x:c>
      <x:c r="N4" s="74" t="str">
        <x:v>Date de saisie</x:v>
      </x:c>
      <x:c r="O4" s="74" t="str">
        <x:v>Responsable</x:v>
      </x:c>
      <x:c r="P4" s="74" t="str">
        <x:v>Alerte_QC</x:v>
      </x:c>
      <x:c r="Q4" s="74" t="str">
        <x:v>Alimente_Rapports</x:v>
      </x:c>
    </x:row>
    <x:row r="5">
      <x:c r="A5" s="76" t="str">
        <x:f>IF(B5="","","GES-"&amp;TEXT(ROW()-4,"0000"))</x:f>
      </x:c>
      <x:c r="B5" s="76"/>
      <x:c r="C5" s="76"/>
      <x:c r="D5" s="76"/>
      <x:c r="E5" s="77"/>
      <x:c r="F5" s="76"/>
      <x:c r="G5" s="83"/>
      <x:c r="H5" s="77" t="str">
        <x:f>IF(OR(E5="",G5=""),"",E5*G5)</x:f>
      </x:c>
      <x:c r="I5" s="76"/>
      <x:c r="J5" s="76"/>
      <x:c r="K5" s="76"/>
      <x:c r="L5" s="76"/>
      <x:c r="M5" s="76"/>
      <x:c r="N5" s="78" t="str">
        <x:f>IF(B5="","",TODAY())</x:f>
      </x:c>
      <x:c r="O5" s="76"/>
      <x:c r="P5" s="76" t="str">
        <x:f>IF(B5="","",IF(OR(C5="",D5="",E5="",F5="",G5="",I5="",J5="",K5="",L5&lt;&gt;"Validé humainement"),"ALERTE: données/preuves/statut",IF(OR(AND(ISNUMBER(E5),E5&lt;0),AND(ISNUMBER(G5),G5&lt;0),AND(ISNUMBER(H5),H5&lt;0)),"ALERTE: valeur anormale","OK")))</x:f>
      </x:c>
      <x:c r="Q5" s="76" t="str">
        <x:f>IF(B5="","",IF(L5="Validé humainement","Oui","Non"))</x:f>
      </x:c>
    </x:row>
    <x:row r="6">
      <x:c r="A6" s="76" t="str">
        <x:f>IF(B6="","","GES-"&amp;TEXT(ROW()-4,"0000"))</x:f>
      </x:c>
      <x:c r="B6" s="76"/>
      <x:c r="C6" s="76"/>
      <x:c r="D6" s="76"/>
      <x:c r="E6" s="77"/>
      <x:c r="F6" s="76"/>
      <x:c r="G6" s="83"/>
      <x:c r="H6" s="77" t="str">
        <x:f>IF(OR(E6="",G6=""),"",E6*G6)</x:f>
      </x:c>
      <x:c r="I6" s="76"/>
      <x:c r="J6" s="76"/>
      <x:c r="K6" s="76"/>
      <x:c r="L6" s="76"/>
      <x:c r="M6" s="76"/>
      <x:c r="N6" s="78" t="str">
        <x:f>IF(B6="","",TODAY())</x:f>
      </x:c>
      <x:c r="O6" s="76"/>
      <x:c r="P6" s="76" t="str">
        <x:f>IF(B6="","",IF(OR(C6="",D6="",E6="",F6="",G6="",I6="",J6="",K6="",L6&lt;&gt;"Validé humainement"),"ALERTE: données/preuves/statut",IF(OR(AND(ISNUMBER(E6),E6&lt;0),AND(ISNUMBER(G6),G6&lt;0),AND(ISNUMBER(H6),H6&lt;0)),"ALERTE: valeur anormale","OK")))</x:f>
      </x:c>
      <x:c r="Q6" s="76" t="str">
        <x:f>IF(B6="","",IF(L6="Validé humainement","Oui","Non"))</x:f>
      </x:c>
    </x:row>
    <x:row r="7">
      <x:c r="A7" s="76" t="str">
        <x:f>IF(B7="","","GES-"&amp;TEXT(ROW()-4,"0000"))</x:f>
      </x:c>
      <x:c r="B7" s="76"/>
      <x:c r="C7" s="76"/>
      <x:c r="D7" s="76"/>
      <x:c r="E7" s="77"/>
      <x:c r="F7" s="76"/>
      <x:c r="G7" s="83"/>
      <x:c r="H7" s="77" t="str">
        <x:f>IF(OR(E7="",G7=""),"",E7*G7)</x:f>
      </x:c>
      <x:c r="I7" s="76"/>
      <x:c r="J7" s="76"/>
      <x:c r="K7" s="76"/>
      <x:c r="L7" s="76"/>
      <x:c r="M7" s="76"/>
      <x:c r="N7" s="78" t="str">
        <x:f>IF(B7="","",TODAY())</x:f>
      </x:c>
      <x:c r="O7" s="76"/>
      <x:c r="P7" s="76" t="str">
        <x:f>IF(B7="","",IF(OR(C7="",D7="",E7="",F7="",G7="",I7="",J7="",K7="",L7&lt;&gt;"Validé humainement"),"ALERTE: données/preuves/statut",IF(OR(AND(ISNUMBER(E7),E7&lt;0),AND(ISNUMBER(G7),G7&lt;0),AND(ISNUMBER(H7),H7&lt;0)),"ALERTE: valeur anormale","OK")))</x:f>
      </x:c>
      <x:c r="Q7" s="76" t="str">
        <x:f>IF(B7="","",IF(L7="Validé humainement","Oui","Non"))</x:f>
      </x:c>
    </x:row>
    <x:row r="8">
      <x:c r="A8" s="76" t="str">
        <x:f>IF(B8="","","GES-"&amp;TEXT(ROW()-4,"0000"))</x:f>
      </x:c>
      <x:c r="B8" s="76"/>
      <x:c r="C8" s="76"/>
      <x:c r="D8" s="76"/>
      <x:c r="E8" s="77"/>
      <x:c r="F8" s="76"/>
      <x:c r="G8" s="83"/>
      <x:c r="H8" s="77" t="str">
        <x:f>IF(OR(E8="",G8=""),"",E8*G8)</x:f>
      </x:c>
      <x:c r="I8" s="76"/>
      <x:c r="J8" s="76"/>
      <x:c r="K8" s="76"/>
      <x:c r="L8" s="76"/>
      <x:c r="M8" s="76"/>
      <x:c r="N8" s="78" t="str">
        <x:f>IF(B8="","",TODAY())</x:f>
      </x:c>
      <x:c r="O8" s="76"/>
      <x:c r="P8" s="76" t="str">
        <x:f>IF(B8="","",IF(OR(C8="",D8="",E8="",F8="",G8="",I8="",J8="",K8="",L8&lt;&gt;"Validé humainement"),"ALERTE: données/preuves/statut",IF(OR(AND(ISNUMBER(E8),E8&lt;0),AND(ISNUMBER(G8),G8&lt;0),AND(ISNUMBER(H8),H8&lt;0)),"ALERTE: valeur anormale","OK")))</x:f>
      </x:c>
      <x:c r="Q8" s="76" t="str">
        <x:f>IF(B8="","",IF(L8="Validé humainement","Oui","Non"))</x:f>
      </x:c>
    </x:row>
    <x:row r="9">
      <x:c r="A9" s="76" t="str">
        <x:f>IF(B9="","","GES-"&amp;TEXT(ROW()-4,"0000"))</x:f>
      </x:c>
      <x:c r="B9" s="76"/>
      <x:c r="C9" s="76"/>
      <x:c r="D9" s="76"/>
      <x:c r="E9" s="77"/>
      <x:c r="F9" s="76"/>
      <x:c r="G9" s="83"/>
      <x:c r="H9" s="77" t="str">
        <x:f>IF(OR(E9="",G9=""),"",E9*G9)</x:f>
      </x:c>
      <x:c r="I9" s="76"/>
      <x:c r="J9" s="76"/>
      <x:c r="K9" s="76"/>
      <x:c r="L9" s="76"/>
      <x:c r="M9" s="76"/>
      <x:c r="N9" s="78" t="str">
        <x:f>IF(B9="","",TODAY())</x:f>
      </x:c>
      <x:c r="O9" s="76"/>
      <x:c r="P9" s="76" t="str">
        <x:f>IF(B9="","",IF(OR(C9="",D9="",E9="",F9="",G9="",I9="",J9="",K9="",L9&lt;&gt;"Validé humainement"),"ALERTE: données/preuves/statut",IF(OR(AND(ISNUMBER(E9),E9&lt;0),AND(ISNUMBER(G9),G9&lt;0),AND(ISNUMBER(H9),H9&lt;0)),"ALERTE: valeur anormale","OK")))</x:f>
      </x:c>
      <x:c r="Q9" s="76" t="str">
        <x:f>IF(B9="","",IF(L9="Validé humainement","Oui","Non"))</x:f>
      </x:c>
    </x:row>
    <x:row r="10">
      <x:c r="A10" s="76" t="str">
        <x:f>IF(B10="","","GES-"&amp;TEXT(ROW()-4,"0000"))</x:f>
      </x:c>
      <x:c r="B10" s="76"/>
      <x:c r="C10" s="76"/>
      <x:c r="D10" s="76"/>
      <x:c r="E10" s="77"/>
      <x:c r="F10" s="76"/>
      <x:c r="G10" s="83"/>
      <x:c r="H10" s="77" t="str">
        <x:f>IF(OR(E10="",G10=""),"",E10*G10)</x:f>
      </x:c>
      <x:c r="I10" s="76"/>
      <x:c r="J10" s="76"/>
      <x:c r="K10" s="76"/>
      <x:c r="L10" s="76"/>
      <x:c r="M10" s="76"/>
      <x:c r="N10" s="78" t="str">
        <x:f>IF(B10="","",TODAY())</x:f>
      </x:c>
      <x:c r="O10" s="76"/>
      <x:c r="P10" s="76" t="str">
        <x:f>IF(B10="","",IF(OR(C10="",D10="",E10="",F10="",G10="",I10="",J10="",K10="",L10&lt;&gt;"Validé humainement"),"ALERTE: données/preuves/statut",IF(OR(AND(ISNUMBER(E10),E10&lt;0),AND(ISNUMBER(G10),G10&lt;0),AND(ISNUMBER(H10),H10&lt;0)),"ALERTE: valeur anormale","OK")))</x:f>
      </x:c>
      <x:c r="Q10" s="76" t="str">
        <x:f>IF(B10="","",IF(L10="Validé humainement","Oui","Non"))</x:f>
      </x:c>
    </x:row>
    <x:row r="11">
      <x:c r="A11" s="76" t="str">
        <x:f>IF(B11="","","GES-"&amp;TEXT(ROW()-4,"0000"))</x:f>
      </x:c>
      <x:c r="B11" s="76"/>
      <x:c r="C11" s="76"/>
      <x:c r="D11" s="76"/>
      <x:c r="E11" s="77"/>
      <x:c r="F11" s="76"/>
      <x:c r="G11" s="83"/>
      <x:c r="H11" s="77" t="str">
        <x:f>IF(OR(E11="",G11=""),"",E11*G11)</x:f>
      </x:c>
      <x:c r="I11" s="76"/>
      <x:c r="J11" s="76"/>
      <x:c r="K11" s="76"/>
      <x:c r="L11" s="76"/>
      <x:c r="M11" s="76"/>
      <x:c r="N11" s="78" t="str">
        <x:f>IF(B11="","",TODAY())</x:f>
      </x:c>
      <x:c r="O11" s="76"/>
      <x:c r="P11" s="76" t="str">
        <x:f>IF(B11="","",IF(OR(C11="",D11="",E11="",F11="",G11="",I11="",J11="",K11="",L11&lt;&gt;"Validé humainement"),"ALERTE: données/preuves/statut",IF(OR(AND(ISNUMBER(E11),E11&lt;0),AND(ISNUMBER(G11),G11&lt;0),AND(ISNUMBER(H11),H11&lt;0)),"ALERTE: valeur anormale","OK")))</x:f>
      </x:c>
      <x:c r="Q11" s="76" t="str">
        <x:f>IF(B11="","",IF(L11="Validé humainement","Oui","Non"))</x:f>
      </x:c>
    </x:row>
    <x:row r="12">
      <x:c r="A12" s="76" t="str">
        <x:f>IF(B12="","","GES-"&amp;TEXT(ROW()-4,"0000"))</x:f>
      </x:c>
      <x:c r="B12" s="76"/>
      <x:c r="C12" s="76"/>
      <x:c r="D12" s="76"/>
      <x:c r="E12" s="77"/>
      <x:c r="F12" s="76"/>
      <x:c r="G12" s="83"/>
      <x:c r="H12" s="77" t="str">
        <x:f>IF(OR(E12="",G12=""),"",E12*G12)</x:f>
      </x:c>
      <x:c r="I12" s="76"/>
      <x:c r="J12" s="76"/>
      <x:c r="K12" s="76"/>
      <x:c r="L12" s="76"/>
      <x:c r="M12" s="76"/>
      <x:c r="N12" s="78" t="str">
        <x:f>IF(B12="","",TODAY())</x:f>
      </x:c>
      <x:c r="O12" s="76"/>
      <x:c r="P12" s="76" t="str">
        <x:f>IF(B12="","",IF(OR(C12="",D12="",E12="",F12="",G12="",I12="",J12="",K12="",L12&lt;&gt;"Validé humainement"),"ALERTE: données/preuves/statut",IF(OR(AND(ISNUMBER(E12),E12&lt;0),AND(ISNUMBER(G12),G12&lt;0),AND(ISNUMBER(H12),H12&lt;0)),"ALERTE: valeur anormale","OK")))</x:f>
      </x:c>
      <x:c r="Q12" s="76" t="str">
        <x:f>IF(B12="","",IF(L12="Validé humainement","Oui","Non"))</x:f>
      </x:c>
    </x:row>
    <x:row r="13">
      <x:c r="A13" s="76" t="str">
        <x:f>IF(B13="","","GES-"&amp;TEXT(ROW()-4,"0000"))</x:f>
      </x:c>
      <x:c r="B13" s="76"/>
      <x:c r="C13" s="76"/>
      <x:c r="D13" s="76"/>
      <x:c r="E13" s="77"/>
      <x:c r="F13" s="76"/>
      <x:c r="G13" s="83"/>
      <x:c r="H13" s="77" t="str">
        <x:f>IF(OR(E13="",G13=""),"",E13*G13)</x:f>
      </x:c>
      <x:c r="I13" s="76"/>
      <x:c r="J13" s="76"/>
      <x:c r="K13" s="76"/>
      <x:c r="L13" s="76"/>
      <x:c r="M13" s="76"/>
      <x:c r="N13" s="78" t="str">
        <x:f>IF(B13="","",TODAY())</x:f>
      </x:c>
      <x:c r="O13" s="76"/>
      <x:c r="P13" s="76" t="str">
        <x:f>IF(B13="","",IF(OR(C13="",D13="",E13="",F13="",G13="",I13="",J13="",K13="",L13&lt;&gt;"Validé humainement"),"ALERTE: données/preuves/statut",IF(OR(AND(ISNUMBER(E13),E13&lt;0),AND(ISNUMBER(G13),G13&lt;0),AND(ISNUMBER(H13),H13&lt;0)),"ALERTE: valeur anormale","OK")))</x:f>
      </x:c>
      <x:c r="Q13" s="76" t="str">
        <x:f>IF(B13="","",IF(L13="Validé humainement","Oui","Non"))</x:f>
      </x:c>
    </x:row>
    <x:row r="14">
      <x:c r="A14" s="76" t="str">
        <x:f>IF(B14="","","GES-"&amp;TEXT(ROW()-4,"0000"))</x:f>
      </x:c>
      <x:c r="B14" s="76"/>
      <x:c r="C14" s="76"/>
      <x:c r="D14" s="76"/>
      <x:c r="E14" s="77"/>
      <x:c r="F14" s="76"/>
      <x:c r="G14" s="83"/>
      <x:c r="H14" s="77" t="str">
        <x:f>IF(OR(E14="",G14=""),"",E14*G14)</x:f>
      </x:c>
      <x:c r="I14" s="76"/>
      <x:c r="J14" s="76"/>
      <x:c r="K14" s="76"/>
      <x:c r="L14" s="76"/>
      <x:c r="M14" s="76"/>
      <x:c r="N14" s="78" t="str">
        <x:f>IF(B14="","",TODAY())</x:f>
      </x:c>
      <x:c r="O14" s="76"/>
      <x:c r="P14" s="76" t="str">
        <x:f>IF(B14="","",IF(OR(C14="",D14="",E14="",F14="",G14="",I14="",J14="",K14="",L14&lt;&gt;"Validé humainement"),"ALERTE: données/preuves/statut",IF(OR(AND(ISNUMBER(E14),E14&lt;0),AND(ISNUMBER(G14),G14&lt;0),AND(ISNUMBER(H14),H14&lt;0)),"ALERTE: valeur anormale","OK")))</x:f>
      </x:c>
      <x:c r="Q14" s="76" t="str">
        <x:f>IF(B14="","",IF(L14="Validé humainement","Oui","Non"))</x:f>
      </x:c>
    </x:row>
    <x:row r="15">
      <x:c r="A15" s="76" t="str">
        <x:f>IF(B15="","","GES-"&amp;TEXT(ROW()-4,"0000"))</x:f>
      </x:c>
      <x:c r="B15" s="76"/>
      <x:c r="C15" s="76"/>
      <x:c r="D15" s="76"/>
      <x:c r="E15" s="77"/>
      <x:c r="F15" s="76"/>
      <x:c r="G15" s="83"/>
      <x:c r="H15" s="77" t="str">
        <x:f>IF(OR(E15="",G15=""),"",E15*G15)</x:f>
      </x:c>
      <x:c r="I15" s="76"/>
      <x:c r="J15" s="76"/>
      <x:c r="K15" s="76"/>
      <x:c r="L15" s="76"/>
      <x:c r="M15" s="76"/>
      <x:c r="N15" s="78" t="str">
        <x:f>IF(B15="","",TODAY())</x:f>
      </x:c>
      <x:c r="O15" s="76"/>
      <x:c r="P15" s="76" t="str">
        <x:f>IF(B15="","",IF(OR(C15="",D15="",E15="",F15="",G15="",I15="",J15="",K15="",L15&lt;&gt;"Validé humainement"),"ALERTE: données/preuves/statut",IF(OR(AND(ISNUMBER(E15),E15&lt;0),AND(ISNUMBER(G15),G15&lt;0),AND(ISNUMBER(H15),H15&lt;0)),"ALERTE: valeur anormale","OK")))</x:f>
      </x:c>
      <x:c r="Q15" s="76" t="str">
        <x:f>IF(B15="","",IF(L15="Validé humainement","Oui","Non"))</x:f>
      </x:c>
    </x:row>
    <x:row r="16">
      <x:c r="A16" s="76" t="str">
        <x:f>IF(B16="","","GES-"&amp;TEXT(ROW()-4,"0000"))</x:f>
      </x:c>
      <x:c r="B16" s="76"/>
      <x:c r="C16" s="76"/>
      <x:c r="D16" s="76"/>
      <x:c r="E16" s="77"/>
      <x:c r="F16" s="76"/>
      <x:c r="G16" s="83"/>
      <x:c r="H16" s="77" t="str">
        <x:f>IF(OR(E16="",G16=""),"",E16*G16)</x:f>
      </x:c>
      <x:c r="I16" s="76"/>
      <x:c r="J16" s="76"/>
      <x:c r="K16" s="76"/>
      <x:c r="L16" s="76"/>
      <x:c r="M16" s="76"/>
      <x:c r="N16" s="78" t="str">
        <x:f>IF(B16="","",TODAY())</x:f>
      </x:c>
      <x:c r="O16" s="76"/>
      <x:c r="P16" s="76" t="str">
        <x:f>IF(B16="","",IF(OR(C16="",D16="",E16="",F16="",G16="",I16="",J16="",K16="",L16&lt;&gt;"Validé humainement"),"ALERTE: données/preuves/statut",IF(OR(AND(ISNUMBER(E16),E16&lt;0),AND(ISNUMBER(G16),G16&lt;0),AND(ISNUMBER(H16),H16&lt;0)),"ALERTE: valeur anormale","OK")))</x:f>
      </x:c>
      <x:c r="Q16" s="76" t="str">
        <x:f>IF(B16="","",IF(L16="Validé humainement","Oui","Non"))</x:f>
      </x:c>
    </x:row>
    <x:row r="17">
      <x:c r="A17" s="76" t="str">
        <x:f>IF(B17="","","GES-"&amp;TEXT(ROW()-4,"0000"))</x:f>
      </x:c>
      <x:c r="B17" s="76"/>
      <x:c r="C17" s="76"/>
      <x:c r="D17" s="76"/>
      <x:c r="E17" s="77"/>
      <x:c r="F17" s="76"/>
      <x:c r="G17" s="83"/>
      <x:c r="H17" s="77" t="str">
        <x:f>IF(OR(E17="",G17=""),"",E17*G17)</x:f>
      </x:c>
      <x:c r="I17" s="76"/>
      <x:c r="J17" s="76"/>
      <x:c r="K17" s="76"/>
      <x:c r="L17" s="76"/>
      <x:c r="M17" s="76"/>
      <x:c r="N17" s="78" t="str">
        <x:f>IF(B17="","",TODAY())</x:f>
      </x:c>
      <x:c r="O17" s="76"/>
      <x:c r="P17" s="76" t="str">
        <x:f>IF(B17="","",IF(OR(C17="",D17="",E17="",F17="",G17="",I17="",J17="",K17="",L17&lt;&gt;"Validé humainement"),"ALERTE: données/preuves/statut",IF(OR(AND(ISNUMBER(E17),E17&lt;0),AND(ISNUMBER(G17),G17&lt;0),AND(ISNUMBER(H17),H17&lt;0)),"ALERTE: valeur anormale","OK")))</x:f>
      </x:c>
      <x:c r="Q17" s="76" t="str">
        <x:f>IF(B17="","",IF(L17="Validé humainement","Oui","Non"))</x:f>
      </x:c>
    </x:row>
    <x:row r="18">
      <x:c r="A18" s="76" t="str">
        <x:f>IF(B18="","","GES-"&amp;TEXT(ROW()-4,"0000"))</x:f>
      </x:c>
      <x:c r="B18" s="76"/>
      <x:c r="C18" s="76"/>
      <x:c r="D18" s="76"/>
      <x:c r="E18" s="77"/>
      <x:c r="F18" s="76"/>
      <x:c r="G18" s="83"/>
      <x:c r="H18" s="77" t="str">
        <x:f>IF(OR(E18="",G18=""),"",E18*G18)</x:f>
      </x:c>
      <x:c r="I18" s="76"/>
      <x:c r="J18" s="76"/>
      <x:c r="K18" s="76"/>
      <x:c r="L18" s="76"/>
      <x:c r="M18" s="76"/>
      <x:c r="N18" s="78" t="str">
        <x:f>IF(B18="","",TODAY())</x:f>
      </x:c>
      <x:c r="O18" s="76"/>
      <x:c r="P18" s="76" t="str">
        <x:f>IF(B18="","",IF(OR(C18="",D18="",E18="",F18="",G18="",I18="",J18="",K18="",L18&lt;&gt;"Validé humainement"),"ALERTE: données/preuves/statut",IF(OR(AND(ISNUMBER(E18),E18&lt;0),AND(ISNUMBER(G18),G18&lt;0),AND(ISNUMBER(H18),H18&lt;0)),"ALERTE: valeur anormale","OK")))</x:f>
      </x:c>
      <x:c r="Q18" s="76" t="str">
        <x:f>IF(B18="","",IF(L18="Validé humainement","Oui","Non"))</x:f>
      </x:c>
    </x:row>
    <x:row r="19">
      <x:c r="A19" s="76" t="str">
        <x:f>IF(B19="","","GES-"&amp;TEXT(ROW()-4,"0000"))</x:f>
      </x:c>
      <x:c r="B19" s="76"/>
      <x:c r="C19" s="76"/>
      <x:c r="D19" s="76"/>
      <x:c r="E19" s="77"/>
      <x:c r="F19" s="76"/>
      <x:c r="G19" s="83"/>
      <x:c r="H19" s="77" t="str">
        <x:f>IF(OR(E19="",G19=""),"",E19*G19)</x:f>
      </x:c>
      <x:c r="I19" s="76"/>
      <x:c r="J19" s="76"/>
      <x:c r="K19" s="76"/>
      <x:c r="L19" s="76"/>
      <x:c r="M19" s="76"/>
      <x:c r="N19" s="78" t="str">
        <x:f>IF(B19="","",TODAY())</x:f>
      </x:c>
      <x:c r="O19" s="76"/>
      <x:c r="P19" s="76" t="str">
        <x:f>IF(B19="","",IF(OR(C19="",D19="",E19="",F19="",G19="",I19="",J19="",K19="",L19&lt;&gt;"Validé humainement"),"ALERTE: données/preuves/statut",IF(OR(AND(ISNUMBER(E19),E19&lt;0),AND(ISNUMBER(G19),G19&lt;0),AND(ISNUMBER(H19),H19&lt;0)),"ALERTE: valeur anormale","OK")))</x:f>
      </x:c>
      <x:c r="Q19" s="76" t="str">
        <x:f>IF(B19="","",IF(L19="Validé humainement","Oui","Non"))</x:f>
      </x:c>
    </x:row>
    <x:row r="20">
      <x:c r="A20" s="76" t="str">
        <x:f>IF(B20="","","GES-"&amp;TEXT(ROW()-4,"0000"))</x:f>
      </x:c>
      <x:c r="B20" s="76"/>
      <x:c r="C20" s="76"/>
      <x:c r="D20" s="76"/>
      <x:c r="E20" s="77"/>
      <x:c r="F20" s="76"/>
      <x:c r="G20" s="83"/>
      <x:c r="H20" s="77" t="str">
        <x:f>IF(OR(E20="",G20=""),"",E20*G20)</x:f>
      </x:c>
      <x:c r="I20" s="76"/>
      <x:c r="J20" s="76"/>
      <x:c r="K20" s="76"/>
      <x:c r="L20" s="76"/>
      <x:c r="M20" s="76"/>
      <x:c r="N20" s="78" t="str">
        <x:f>IF(B20="","",TODAY())</x:f>
      </x:c>
      <x:c r="O20" s="76"/>
      <x:c r="P20" s="76" t="str">
        <x:f>IF(B20="","",IF(OR(C20="",D20="",E20="",F20="",G20="",I20="",J20="",K20="",L20&lt;&gt;"Validé humainement"),"ALERTE: données/preuves/statut",IF(OR(AND(ISNUMBER(E20),E20&lt;0),AND(ISNUMBER(G20),G20&lt;0),AND(ISNUMBER(H20),H20&lt;0)),"ALERTE: valeur anormale","OK")))</x:f>
      </x:c>
      <x:c r="Q20" s="76" t="str">
        <x:f>IF(B20="","",IF(L20="Validé humainement","Oui","Non"))</x:f>
      </x:c>
    </x:row>
    <x:row r="21">
      <x:c r="A21" s="76" t="str">
        <x:f>IF(B21="","","GES-"&amp;TEXT(ROW()-4,"0000"))</x:f>
      </x:c>
      <x:c r="B21" s="76"/>
      <x:c r="C21" s="76"/>
      <x:c r="D21" s="76"/>
      <x:c r="E21" s="77"/>
      <x:c r="F21" s="76"/>
      <x:c r="G21" s="83"/>
      <x:c r="H21" s="77" t="str">
        <x:f>IF(OR(E21="",G21=""),"",E21*G21)</x:f>
      </x:c>
      <x:c r="I21" s="76"/>
      <x:c r="J21" s="76"/>
      <x:c r="K21" s="76"/>
      <x:c r="L21" s="76"/>
      <x:c r="M21" s="76"/>
      <x:c r="N21" s="78" t="str">
        <x:f>IF(B21="","",TODAY())</x:f>
      </x:c>
      <x:c r="O21" s="76"/>
      <x:c r="P21" s="76" t="str">
        <x:f>IF(B21="","",IF(OR(C21="",D21="",E21="",F21="",G21="",I21="",J21="",K21="",L21&lt;&gt;"Validé humainement"),"ALERTE: données/preuves/statut",IF(OR(AND(ISNUMBER(E21),E21&lt;0),AND(ISNUMBER(G21),G21&lt;0),AND(ISNUMBER(H21),H21&lt;0)),"ALERTE: valeur anormale","OK")))</x:f>
      </x:c>
      <x:c r="Q21" s="76" t="str">
        <x:f>IF(B21="","",IF(L21="Validé humainement","Oui","Non"))</x:f>
      </x:c>
    </x:row>
    <x:row r="22">
      <x:c r="A22" s="76" t="str">
        <x:f>IF(B22="","","GES-"&amp;TEXT(ROW()-4,"0000"))</x:f>
      </x:c>
      <x:c r="B22" s="76"/>
      <x:c r="C22" s="76"/>
      <x:c r="D22" s="76"/>
      <x:c r="E22" s="77"/>
      <x:c r="F22" s="76"/>
      <x:c r="G22" s="83"/>
      <x:c r="H22" s="77" t="str">
        <x:f>IF(OR(E22="",G22=""),"",E22*G22)</x:f>
      </x:c>
      <x:c r="I22" s="76"/>
      <x:c r="J22" s="76"/>
      <x:c r="K22" s="76"/>
      <x:c r="L22" s="76"/>
      <x:c r="M22" s="76"/>
      <x:c r="N22" s="78" t="str">
        <x:f>IF(B22="","",TODAY())</x:f>
      </x:c>
      <x:c r="O22" s="76"/>
      <x:c r="P22" s="76" t="str">
        <x:f>IF(B22="","",IF(OR(C22="",D22="",E22="",F22="",G22="",I22="",J22="",K22="",L22&lt;&gt;"Validé humainement"),"ALERTE: données/preuves/statut",IF(OR(AND(ISNUMBER(E22),E22&lt;0),AND(ISNUMBER(G22),G22&lt;0),AND(ISNUMBER(H22),H22&lt;0)),"ALERTE: valeur anormale","OK")))</x:f>
      </x:c>
      <x:c r="Q22" s="76" t="str">
        <x:f>IF(B22="","",IF(L22="Validé humainement","Oui","Non"))</x:f>
      </x:c>
    </x:row>
    <x:row r="23">
      <x:c r="A23" s="76" t="str">
        <x:f>IF(B23="","","GES-"&amp;TEXT(ROW()-4,"0000"))</x:f>
      </x:c>
      <x:c r="B23" s="76"/>
      <x:c r="C23" s="76"/>
      <x:c r="D23" s="76"/>
      <x:c r="E23" s="77"/>
      <x:c r="F23" s="76"/>
      <x:c r="G23" s="83"/>
      <x:c r="H23" s="77" t="str">
        <x:f>IF(OR(E23="",G23=""),"",E23*G23)</x:f>
      </x:c>
      <x:c r="I23" s="76"/>
      <x:c r="J23" s="76"/>
      <x:c r="K23" s="76"/>
      <x:c r="L23" s="76"/>
      <x:c r="M23" s="76"/>
      <x:c r="N23" s="78" t="str">
        <x:f>IF(B23="","",TODAY())</x:f>
      </x:c>
      <x:c r="O23" s="76"/>
      <x:c r="P23" s="76" t="str">
        <x:f>IF(B23="","",IF(OR(C23="",D23="",E23="",F23="",G23="",I23="",J23="",K23="",L23&lt;&gt;"Validé humainement"),"ALERTE: données/preuves/statut",IF(OR(AND(ISNUMBER(E23),E23&lt;0),AND(ISNUMBER(G23),G23&lt;0),AND(ISNUMBER(H23),H23&lt;0)),"ALERTE: valeur anormale","OK")))</x:f>
      </x:c>
      <x:c r="Q23" s="76" t="str">
        <x:f>IF(B23="","",IF(L23="Validé humainement","Oui","Non"))</x:f>
      </x:c>
    </x:row>
    <x:row r="24">
      <x:c r="A24" s="76" t="str">
        <x:f>IF(B24="","","GES-"&amp;TEXT(ROW()-4,"0000"))</x:f>
      </x:c>
      <x:c r="B24" s="76"/>
      <x:c r="C24" s="76"/>
      <x:c r="D24" s="76"/>
      <x:c r="E24" s="77"/>
      <x:c r="F24" s="76"/>
      <x:c r="G24" s="83"/>
      <x:c r="H24" s="77" t="str">
        <x:f>IF(OR(E24="",G24=""),"",E24*G24)</x:f>
      </x:c>
      <x:c r="I24" s="76"/>
      <x:c r="J24" s="76"/>
      <x:c r="K24" s="76"/>
      <x:c r="L24" s="76"/>
      <x:c r="M24" s="76"/>
      <x:c r="N24" s="78" t="str">
        <x:f>IF(B24="","",TODAY())</x:f>
      </x:c>
      <x:c r="O24" s="76"/>
      <x:c r="P24" s="76" t="str">
        <x:f>IF(B24="","",IF(OR(C24="",D24="",E24="",F24="",G24="",I24="",J24="",K24="",L24&lt;&gt;"Validé humainement"),"ALERTE: données/preuves/statut",IF(OR(AND(ISNUMBER(E24),E24&lt;0),AND(ISNUMBER(G24),G24&lt;0),AND(ISNUMBER(H24),H24&lt;0)),"ALERTE: valeur anormale","OK")))</x:f>
      </x:c>
      <x:c r="Q24" s="76" t="str">
        <x:f>IF(B24="","",IF(L24="Validé humainement","Oui","Non"))</x:f>
      </x:c>
    </x:row>
    <x:row r="25">
      <x:c r="A25" s="76" t="str">
        <x:f>IF(B25="","","GES-"&amp;TEXT(ROW()-4,"0000"))</x:f>
      </x:c>
      <x:c r="B25" s="76"/>
      <x:c r="C25" s="76"/>
      <x:c r="D25" s="76"/>
      <x:c r="E25" s="77"/>
      <x:c r="F25" s="76"/>
      <x:c r="G25" s="83"/>
      <x:c r="H25" s="77" t="str">
        <x:f>IF(OR(E25="",G25=""),"",E25*G25)</x:f>
      </x:c>
      <x:c r="I25" s="76"/>
      <x:c r="J25" s="76"/>
      <x:c r="K25" s="76"/>
      <x:c r="L25" s="76"/>
      <x:c r="M25" s="76"/>
      <x:c r="N25" s="78" t="str">
        <x:f>IF(B25="","",TODAY())</x:f>
      </x:c>
      <x:c r="O25" s="76"/>
      <x:c r="P25" s="76" t="str">
        <x:f>IF(B25="","",IF(OR(C25="",D25="",E25="",F25="",G25="",I25="",J25="",K25="",L25&lt;&gt;"Validé humainement"),"ALERTE: données/preuves/statut",IF(OR(AND(ISNUMBER(E25),E25&lt;0),AND(ISNUMBER(G25),G25&lt;0),AND(ISNUMBER(H25),H25&lt;0)),"ALERTE: valeur anormale","OK")))</x:f>
      </x:c>
      <x:c r="Q25" s="76" t="str">
        <x:f>IF(B25="","",IF(L25="Validé humainement","Oui","Non"))</x:f>
      </x:c>
    </x:row>
    <x:row r="26">
      <x:c r="A26" s="76" t="str">
        <x:f>IF(B26="","","GES-"&amp;TEXT(ROW()-4,"0000"))</x:f>
      </x:c>
      <x:c r="B26" s="76"/>
      <x:c r="C26" s="76"/>
      <x:c r="D26" s="76"/>
      <x:c r="E26" s="77"/>
      <x:c r="F26" s="76"/>
      <x:c r="G26" s="83"/>
      <x:c r="H26" s="77" t="str">
        <x:f>IF(OR(E26="",G26=""),"",E26*G26)</x:f>
      </x:c>
      <x:c r="I26" s="76"/>
      <x:c r="J26" s="76"/>
      <x:c r="K26" s="76"/>
      <x:c r="L26" s="76"/>
      <x:c r="M26" s="76"/>
      <x:c r="N26" s="78" t="str">
        <x:f>IF(B26="","",TODAY())</x:f>
      </x:c>
      <x:c r="O26" s="76"/>
      <x:c r="P26" s="76" t="str">
        <x:f>IF(B26="","",IF(OR(C26="",D26="",E26="",F26="",G26="",I26="",J26="",K26="",L26&lt;&gt;"Validé humainement"),"ALERTE: données/preuves/statut",IF(OR(AND(ISNUMBER(E26),E26&lt;0),AND(ISNUMBER(G26),G26&lt;0),AND(ISNUMBER(H26),H26&lt;0)),"ALERTE: valeur anormale","OK")))</x:f>
      </x:c>
      <x:c r="Q26" s="76" t="str">
        <x:f>IF(B26="","",IF(L26="Validé humainement","Oui","Non"))</x:f>
      </x:c>
    </x:row>
    <x:row r="27">
      <x:c r="A27" s="76" t="str">
        <x:f>IF(B27="","","GES-"&amp;TEXT(ROW()-4,"0000"))</x:f>
      </x:c>
      <x:c r="B27" s="76"/>
      <x:c r="C27" s="76"/>
      <x:c r="D27" s="76"/>
      <x:c r="E27" s="77"/>
      <x:c r="F27" s="76"/>
      <x:c r="G27" s="83"/>
      <x:c r="H27" s="77" t="str">
        <x:f>IF(OR(E27="",G27=""),"",E27*G27)</x:f>
      </x:c>
      <x:c r="I27" s="76"/>
      <x:c r="J27" s="76"/>
      <x:c r="K27" s="76"/>
      <x:c r="L27" s="76"/>
      <x:c r="M27" s="76"/>
      <x:c r="N27" s="78" t="str">
        <x:f>IF(B27="","",TODAY())</x:f>
      </x:c>
      <x:c r="O27" s="76"/>
      <x:c r="P27" s="76" t="str">
        <x:f>IF(B27="","",IF(OR(C27="",D27="",E27="",F27="",G27="",I27="",J27="",K27="",L27&lt;&gt;"Validé humainement"),"ALERTE: données/preuves/statut",IF(OR(AND(ISNUMBER(E27),E27&lt;0),AND(ISNUMBER(G27),G27&lt;0),AND(ISNUMBER(H27),H27&lt;0)),"ALERTE: valeur anormale","OK")))</x:f>
      </x:c>
      <x:c r="Q27" s="76" t="str">
        <x:f>IF(B27="","",IF(L27="Validé humainement","Oui","Non"))</x:f>
      </x:c>
    </x:row>
    <x:row r="28">
      <x:c r="A28" s="76" t="str">
        <x:f>IF(B28="","","GES-"&amp;TEXT(ROW()-4,"0000"))</x:f>
      </x:c>
      <x:c r="B28" s="76"/>
      <x:c r="C28" s="76"/>
      <x:c r="D28" s="76"/>
      <x:c r="E28" s="77"/>
      <x:c r="F28" s="76"/>
      <x:c r="G28" s="83"/>
      <x:c r="H28" s="77" t="str">
        <x:f>IF(OR(E28="",G28=""),"",E28*G28)</x:f>
      </x:c>
      <x:c r="I28" s="76"/>
      <x:c r="J28" s="76"/>
      <x:c r="K28" s="76"/>
      <x:c r="L28" s="76"/>
      <x:c r="M28" s="76"/>
      <x:c r="N28" s="78" t="str">
        <x:f>IF(B28="","",TODAY())</x:f>
      </x:c>
      <x:c r="O28" s="76"/>
      <x:c r="P28" s="76" t="str">
        <x:f>IF(B28="","",IF(OR(C28="",D28="",E28="",F28="",G28="",I28="",J28="",K28="",L28&lt;&gt;"Validé humainement"),"ALERTE: données/preuves/statut",IF(OR(AND(ISNUMBER(E28),E28&lt;0),AND(ISNUMBER(G28),G28&lt;0),AND(ISNUMBER(H28),H28&lt;0)),"ALERTE: valeur anormale","OK")))</x:f>
      </x:c>
      <x:c r="Q28" s="76" t="str">
        <x:f>IF(B28="","",IF(L28="Validé humainement","Oui","Non"))</x:f>
      </x:c>
    </x:row>
    <x:row r="29">
      <x:c r="A29" s="76" t="str">
        <x:f>IF(B29="","","GES-"&amp;TEXT(ROW()-4,"0000"))</x:f>
      </x:c>
      <x:c r="B29" s="76"/>
      <x:c r="C29" s="76"/>
      <x:c r="D29" s="76"/>
      <x:c r="E29" s="77"/>
      <x:c r="F29" s="76"/>
      <x:c r="G29" s="83"/>
      <x:c r="H29" s="77" t="str">
        <x:f>IF(OR(E29="",G29=""),"",E29*G29)</x:f>
      </x:c>
      <x:c r="I29" s="76"/>
      <x:c r="J29" s="76"/>
      <x:c r="K29" s="76"/>
      <x:c r="L29" s="76"/>
      <x:c r="M29" s="76"/>
      <x:c r="N29" s="78" t="str">
        <x:f>IF(B29="","",TODAY())</x:f>
      </x:c>
      <x:c r="O29" s="76"/>
      <x:c r="P29" s="76" t="str">
        <x:f>IF(B29="","",IF(OR(C29="",D29="",E29="",F29="",G29="",I29="",J29="",K29="",L29&lt;&gt;"Validé humainement"),"ALERTE: données/preuves/statut",IF(OR(AND(ISNUMBER(E29),E29&lt;0),AND(ISNUMBER(G29),G29&lt;0),AND(ISNUMBER(H29),H29&lt;0)),"ALERTE: valeur anormale","OK")))</x:f>
      </x:c>
      <x:c r="Q29" s="76" t="str">
        <x:f>IF(B29="","",IF(L29="Validé humainement","Oui","Non"))</x:f>
      </x:c>
    </x:row>
    <x:row r="30">
      <x:c r="A30" s="76" t="str">
        <x:f>IF(B30="","","GES-"&amp;TEXT(ROW()-4,"0000"))</x:f>
      </x:c>
      <x:c r="B30" s="76"/>
      <x:c r="C30" s="76"/>
      <x:c r="D30" s="76"/>
      <x:c r="E30" s="77"/>
      <x:c r="F30" s="76"/>
      <x:c r="G30" s="83"/>
      <x:c r="H30" s="77" t="str">
        <x:f>IF(OR(E30="",G30=""),"",E30*G30)</x:f>
      </x:c>
      <x:c r="I30" s="76"/>
      <x:c r="J30" s="76"/>
      <x:c r="K30" s="76"/>
      <x:c r="L30" s="76"/>
      <x:c r="M30" s="76"/>
      <x:c r="N30" s="78" t="str">
        <x:f>IF(B30="","",TODAY())</x:f>
      </x:c>
      <x:c r="O30" s="76"/>
      <x:c r="P30" s="76" t="str">
        <x:f>IF(B30="","",IF(OR(C30="",D30="",E30="",F30="",G30="",I30="",J30="",K30="",L30&lt;&gt;"Validé humainement"),"ALERTE: données/preuves/statut",IF(OR(AND(ISNUMBER(E30),E30&lt;0),AND(ISNUMBER(G30),G30&lt;0),AND(ISNUMBER(H30),H30&lt;0)),"ALERTE: valeur anormale","OK")))</x:f>
      </x:c>
      <x:c r="Q30" s="76" t="str">
        <x:f>IF(B30="","",IF(L30="Validé humainement","Oui","Non"))</x:f>
      </x:c>
    </x:row>
    <x:row r="31">
      <x:c r="A31" s="76" t="str">
        <x:f>IF(B31="","","GES-"&amp;TEXT(ROW()-4,"0000"))</x:f>
      </x:c>
      <x:c r="B31" s="76"/>
      <x:c r="C31" s="76"/>
      <x:c r="D31" s="76"/>
      <x:c r="E31" s="77"/>
      <x:c r="F31" s="76"/>
      <x:c r="G31" s="83"/>
      <x:c r="H31" s="77" t="str">
        <x:f>IF(OR(E31="",G31=""),"",E31*G31)</x:f>
      </x:c>
      <x:c r="I31" s="76"/>
      <x:c r="J31" s="76"/>
      <x:c r="K31" s="76"/>
      <x:c r="L31" s="76"/>
      <x:c r="M31" s="76"/>
      <x:c r="N31" s="78" t="str">
        <x:f>IF(B31="","",TODAY())</x:f>
      </x:c>
      <x:c r="O31" s="76"/>
      <x:c r="P31" s="76" t="str">
        <x:f>IF(B31="","",IF(OR(C31="",D31="",E31="",F31="",G31="",I31="",J31="",K31="",L31&lt;&gt;"Validé humainement"),"ALERTE: données/preuves/statut",IF(OR(AND(ISNUMBER(E31),E31&lt;0),AND(ISNUMBER(G31),G31&lt;0),AND(ISNUMBER(H31),H31&lt;0)),"ALERTE: valeur anormale","OK")))</x:f>
      </x:c>
      <x:c r="Q31" s="76" t="str">
        <x:f>IF(B31="","",IF(L31="Validé humainement","Oui","Non"))</x:f>
      </x:c>
    </x:row>
    <x:row r="32">
      <x:c r="A32" s="76" t="str">
        <x:f>IF(B32="","","GES-"&amp;TEXT(ROW()-4,"0000"))</x:f>
      </x:c>
      <x:c r="B32" s="76"/>
      <x:c r="C32" s="76"/>
      <x:c r="D32" s="76"/>
      <x:c r="E32" s="77"/>
      <x:c r="F32" s="76"/>
      <x:c r="G32" s="83"/>
      <x:c r="H32" s="77" t="str">
        <x:f>IF(OR(E32="",G32=""),"",E32*G32)</x:f>
      </x:c>
      <x:c r="I32" s="76"/>
      <x:c r="J32" s="76"/>
      <x:c r="K32" s="76"/>
      <x:c r="L32" s="76"/>
      <x:c r="M32" s="76"/>
      <x:c r="N32" s="78" t="str">
        <x:f>IF(B32="","",TODAY())</x:f>
      </x:c>
      <x:c r="O32" s="76"/>
      <x:c r="P32" s="76" t="str">
        <x:f>IF(B32="","",IF(OR(C32="",D32="",E32="",F32="",G32="",I32="",J32="",K32="",L32&lt;&gt;"Validé humainement"),"ALERTE: données/preuves/statut",IF(OR(AND(ISNUMBER(E32),E32&lt;0),AND(ISNUMBER(G32),G32&lt;0),AND(ISNUMBER(H32),H32&lt;0)),"ALERTE: valeur anormale","OK")))</x:f>
      </x:c>
      <x:c r="Q32" s="76" t="str">
        <x:f>IF(B32="","",IF(L32="Validé humainement","Oui","Non"))</x:f>
      </x:c>
    </x:row>
    <x:row r="33">
      <x:c r="A33" s="76" t="str">
        <x:f>IF(B33="","","GES-"&amp;TEXT(ROW()-4,"0000"))</x:f>
      </x:c>
      <x:c r="B33" s="76"/>
      <x:c r="C33" s="76"/>
      <x:c r="D33" s="76"/>
      <x:c r="E33" s="77"/>
      <x:c r="F33" s="76"/>
      <x:c r="G33" s="83"/>
      <x:c r="H33" s="77" t="str">
        <x:f>IF(OR(E33="",G33=""),"",E33*G33)</x:f>
      </x:c>
      <x:c r="I33" s="76"/>
      <x:c r="J33" s="76"/>
      <x:c r="K33" s="76"/>
      <x:c r="L33" s="76"/>
      <x:c r="M33" s="76"/>
      <x:c r="N33" s="78" t="str">
        <x:f>IF(B33="","",TODAY())</x:f>
      </x:c>
      <x:c r="O33" s="76"/>
      <x:c r="P33" s="76" t="str">
        <x:f>IF(B33="","",IF(OR(C33="",D33="",E33="",F33="",G33="",I33="",J33="",K33="",L33&lt;&gt;"Validé humainement"),"ALERTE: données/preuves/statut",IF(OR(AND(ISNUMBER(E33),E33&lt;0),AND(ISNUMBER(G33),G33&lt;0),AND(ISNUMBER(H33),H33&lt;0)),"ALERTE: valeur anormale","OK")))</x:f>
      </x:c>
      <x:c r="Q33" s="76" t="str">
        <x:f>IF(B33="","",IF(L33="Validé humainement","Oui","Non"))</x:f>
      </x:c>
    </x:row>
    <x:row r="34">
      <x:c r="A34" s="76" t="str">
        <x:f>IF(B34="","","GES-"&amp;TEXT(ROW()-4,"0000"))</x:f>
      </x:c>
      <x:c r="B34" s="76"/>
      <x:c r="C34" s="76"/>
      <x:c r="D34" s="76"/>
      <x:c r="E34" s="77"/>
      <x:c r="F34" s="76"/>
      <x:c r="G34" s="83"/>
      <x:c r="H34" s="77" t="str">
        <x:f>IF(OR(E34="",G34=""),"",E34*G34)</x:f>
      </x:c>
      <x:c r="I34" s="76"/>
      <x:c r="J34" s="76"/>
      <x:c r="K34" s="76"/>
      <x:c r="L34" s="76"/>
      <x:c r="M34" s="76"/>
      <x:c r="N34" s="78" t="str">
        <x:f>IF(B34="","",TODAY())</x:f>
      </x:c>
      <x:c r="O34" s="76"/>
      <x:c r="P34" s="76" t="str">
        <x:f>IF(B34="","",IF(OR(C34="",D34="",E34="",F34="",G34="",I34="",J34="",K34="",L34&lt;&gt;"Validé humainement"),"ALERTE: données/preuves/statut",IF(OR(AND(ISNUMBER(E34),E34&lt;0),AND(ISNUMBER(G34),G34&lt;0),AND(ISNUMBER(H34),H34&lt;0)),"ALERTE: valeur anormale","OK")))</x:f>
      </x:c>
      <x:c r="Q34" s="76" t="str">
        <x:f>IF(B34="","",IF(L34="Validé humainement","Oui","Non"))</x:f>
      </x:c>
    </x:row>
    <x:row r="35">
      <x:c r="A35" s="76" t="str">
        <x:f>IF(B35="","","GES-"&amp;TEXT(ROW()-4,"0000"))</x:f>
      </x:c>
      <x:c r="B35" s="76"/>
      <x:c r="C35" s="76"/>
      <x:c r="D35" s="76"/>
      <x:c r="E35" s="77"/>
      <x:c r="F35" s="76"/>
      <x:c r="G35" s="83"/>
      <x:c r="H35" s="77" t="str">
        <x:f>IF(OR(E35="",G35=""),"",E35*G35)</x:f>
      </x:c>
      <x:c r="I35" s="76"/>
      <x:c r="J35" s="76"/>
      <x:c r="K35" s="76"/>
      <x:c r="L35" s="76"/>
      <x:c r="M35" s="76"/>
      <x:c r="N35" s="78" t="str">
        <x:f>IF(B35="","",TODAY())</x:f>
      </x:c>
      <x:c r="O35" s="76"/>
      <x:c r="P35" s="76" t="str">
        <x:f>IF(B35="","",IF(OR(C35="",D35="",E35="",F35="",G35="",I35="",J35="",K35="",L35&lt;&gt;"Validé humainement"),"ALERTE: données/preuves/statut",IF(OR(AND(ISNUMBER(E35),E35&lt;0),AND(ISNUMBER(G35),G35&lt;0),AND(ISNUMBER(H35),H35&lt;0)),"ALERTE: valeur anormale","OK")))</x:f>
      </x:c>
      <x:c r="Q35" s="76" t="str">
        <x:f>IF(B35="","",IF(L35="Validé humainement","Oui","Non"))</x:f>
      </x:c>
    </x:row>
    <x:row r="36">
      <x:c r="A36" s="76" t="str">
        <x:f>IF(B36="","","GES-"&amp;TEXT(ROW()-4,"0000"))</x:f>
      </x:c>
      <x:c r="B36" s="76"/>
      <x:c r="C36" s="76"/>
      <x:c r="D36" s="76"/>
      <x:c r="E36" s="77"/>
      <x:c r="F36" s="76"/>
      <x:c r="G36" s="83"/>
      <x:c r="H36" s="77" t="str">
        <x:f>IF(OR(E36="",G36=""),"",E36*G36)</x:f>
      </x:c>
      <x:c r="I36" s="76"/>
      <x:c r="J36" s="76"/>
      <x:c r="K36" s="76"/>
      <x:c r="L36" s="76"/>
      <x:c r="M36" s="76"/>
      <x:c r="N36" s="78" t="str">
        <x:f>IF(B36="","",TODAY())</x:f>
      </x:c>
      <x:c r="O36" s="76"/>
      <x:c r="P36" s="76" t="str">
        <x:f>IF(B36="","",IF(OR(C36="",D36="",E36="",F36="",G36="",I36="",J36="",K36="",L36&lt;&gt;"Validé humainement"),"ALERTE: données/preuves/statut",IF(OR(AND(ISNUMBER(E36),E36&lt;0),AND(ISNUMBER(G36),G36&lt;0),AND(ISNUMBER(H36),H36&lt;0)),"ALERTE: valeur anormale","OK")))</x:f>
      </x:c>
      <x:c r="Q36" s="76" t="str">
        <x:f>IF(B36="","",IF(L36="Validé humainement","Oui","Non"))</x:f>
      </x:c>
    </x:row>
    <x:row r="37">
      <x:c r="A37" s="76" t="str">
        <x:f>IF(B37="","","GES-"&amp;TEXT(ROW()-4,"0000"))</x:f>
      </x:c>
      <x:c r="B37" s="76"/>
      <x:c r="C37" s="76"/>
      <x:c r="D37" s="76"/>
      <x:c r="E37" s="77"/>
      <x:c r="F37" s="76"/>
      <x:c r="G37" s="83"/>
      <x:c r="H37" s="77" t="str">
        <x:f>IF(OR(E37="",G37=""),"",E37*G37)</x:f>
      </x:c>
      <x:c r="I37" s="76"/>
      <x:c r="J37" s="76"/>
      <x:c r="K37" s="76"/>
      <x:c r="L37" s="76"/>
      <x:c r="M37" s="76"/>
      <x:c r="N37" s="78" t="str">
        <x:f>IF(B37="","",TODAY())</x:f>
      </x:c>
      <x:c r="O37" s="76"/>
      <x:c r="P37" s="76" t="str">
        <x:f>IF(B37="","",IF(OR(C37="",D37="",E37="",F37="",G37="",I37="",J37="",K37="",L37&lt;&gt;"Validé humainement"),"ALERTE: données/preuves/statut",IF(OR(AND(ISNUMBER(E37),E37&lt;0),AND(ISNUMBER(G37),G37&lt;0),AND(ISNUMBER(H37),H37&lt;0)),"ALERTE: valeur anormale","OK")))</x:f>
      </x:c>
      <x:c r="Q37" s="76" t="str">
        <x:f>IF(B37="","",IF(L37="Validé humainement","Oui","Non"))</x:f>
      </x:c>
    </x:row>
    <x:row r="38">
      <x:c r="A38" s="76" t="str">
        <x:f>IF(B38="","","GES-"&amp;TEXT(ROW()-4,"0000"))</x:f>
      </x:c>
      <x:c r="B38" s="76"/>
      <x:c r="C38" s="76"/>
      <x:c r="D38" s="76"/>
      <x:c r="E38" s="77"/>
      <x:c r="F38" s="76"/>
      <x:c r="G38" s="83"/>
      <x:c r="H38" s="77" t="str">
        <x:f>IF(OR(E38="",G38=""),"",E38*G38)</x:f>
      </x:c>
      <x:c r="I38" s="76"/>
      <x:c r="J38" s="76"/>
      <x:c r="K38" s="76"/>
      <x:c r="L38" s="76"/>
      <x:c r="M38" s="76"/>
      <x:c r="N38" s="78" t="str">
        <x:f>IF(B38="","",TODAY())</x:f>
      </x:c>
      <x:c r="O38" s="76"/>
      <x:c r="P38" s="76" t="str">
        <x:f>IF(B38="","",IF(OR(C38="",D38="",E38="",F38="",G38="",I38="",J38="",K38="",L38&lt;&gt;"Validé humainement"),"ALERTE: données/preuves/statut",IF(OR(AND(ISNUMBER(E38),E38&lt;0),AND(ISNUMBER(G38),G38&lt;0),AND(ISNUMBER(H38),H38&lt;0)),"ALERTE: valeur anormale","OK")))</x:f>
      </x:c>
      <x:c r="Q38" s="76" t="str">
        <x:f>IF(B38="","",IF(L38="Validé humainement","Oui","Non"))</x:f>
      </x:c>
    </x:row>
    <x:row r="39">
      <x:c r="A39" s="76" t="str">
        <x:f>IF(B39="","","GES-"&amp;TEXT(ROW()-4,"0000"))</x:f>
      </x:c>
      <x:c r="B39" s="76"/>
      <x:c r="C39" s="76"/>
      <x:c r="D39" s="76"/>
      <x:c r="E39" s="77"/>
      <x:c r="F39" s="76"/>
      <x:c r="G39" s="83"/>
      <x:c r="H39" s="77" t="str">
        <x:f>IF(OR(E39="",G39=""),"",E39*G39)</x:f>
      </x:c>
      <x:c r="I39" s="76"/>
      <x:c r="J39" s="76"/>
      <x:c r="K39" s="76"/>
      <x:c r="L39" s="76"/>
      <x:c r="M39" s="76"/>
      <x:c r="N39" s="78" t="str">
        <x:f>IF(B39="","",TODAY())</x:f>
      </x:c>
      <x:c r="O39" s="76"/>
      <x:c r="P39" s="76" t="str">
        <x:f>IF(B39="","",IF(OR(C39="",D39="",E39="",F39="",G39="",I39="",J39="",K39="",L39&lt;&gt;"Validé humainement"),"ALERTE: données/preuves/statut",IF(OR(AND(ISNUMBER(E39),E39&lt;0),AND(ISNUMBER(G39),G39&lt;0),AND(ISNUMBER(H39),H39&lt;0)),"ALERTE: valeur anormale","OK")))</x:f>
      </x:c>
      <x:c r="Q39" s="76" t="str">
        <x:f>IF(B39="","",IF(L39="Validé humainement","Oui","Non"))</x:f>
      </x:c>
    </x:row>
    <x:row r="40">
      <x:c r="A40" s="76" t="str">
        <x:f>IF(B40="","","GES-"&amp;TEXT(ROW()-4,"0000"))</x:f>
      </x:c>
      <x:c r="B40" s="76"/>
      <x:c r="C40" s="76"/>
      <x:c r="D40" s="76"/>
      <x:c r="E40" s="77"/>
      <x:c r="F40" s="76"/>
      <x:c r="G40" s="83"/>
      <x:c r="H40" s="77" t="str">
        <x:f>IF(OR(E40="",G40=""),"",E40*G40)</x:f>
      </x:c>
      <x:c r="I40" s="76"/>
      <x:c r="J40" s="76"/>
      <x:c r="K40" s="76"/>
      <x:c r="L40" s="76"/>
      <x:c r="M40" s="76"/>
      <x:c r="N40" s="78" t="str">
        <x:f>IF(B40="","",TODAY())</x:f>
      </x:c>
      <x:c r="O40" s="76"/>
      <x:c r="P40" s="76" t="str">
        <x:f>IF(B40="","",IF(OR(C40="",D40="",E40="",F40="",G40="",I40="",J40="",K40="",L40&lt;&gt;"Validé humainement"),"ALERTE: données/preuves/statut",IF(OR(AND(ISNUMBER(E40),E40&lt;0),AND(ISNUMBER(G40),G40&lt;0),AND(ISNUMBER(H40),H40&lt;0)),"ALERTE: valeur anormale","OK")))</x:f>
      </x:c>
      <x:c r="Q40" s="76" t="str">
        <x:f>IF(B40="","",IF(L40="Validé humainement","Oui","Non"))</x:f>
      </x:c>
    </x:row>
    <x:row r="41">
      <x:c r="A41" s="76" t="str">
        <x:f>IF(B41="","","GES-"&amp;TEXT(ROW()-4,"0000"))</x:f>
      </x:c>
      <x:c r="B41" s="76"/>
      <x:c r="C41" s="76"/>
      <x:c r="D41" s="76"/>
      <x:c r="E41" s="77"/>
      <x:c r="F41" s="76"/>
      <x:c r="G41" s="83"/>
      <x:c r="H41" s="77" t="str">
        <x:f>IF(OR(E41="",G41=""),"",E41*G41)</x:f>
      </x:c>
      <x:c r="I41" s="76"/>
      <x:c r="J41" s="76"/>
      <x:c r="K41" s="76"/>
      <x:c r="L41" s="76"/>
      <x:c r="M41" s="76"/>
      <x:c r="N41" s="78" t="str">
        <x:f>IF(B41="","",TODAY())</x:f>
      </x:c>
      <x:c r="O41" s="76"/>
      <x:c r="P41" s="76" t="str">
        <x:f>IF(B41="","",IF(OR(C41="",D41="",E41="",F41="",G41="",I41="",J41="",K41="",L41&lt;&gt;"Validé humainement"),"ALERTE: données/preuves/statut",IF(OR(AND(ISNUMBER(E41),E41&lt;0),AND(ISNUMBER(G41),G41&lt;0),AND(ISNUMBER(H41),H41&lt;0)),"ALERTE: valeur anormale","OK")))</x:f>
      </x:c>
      <x:c r="Q41" s="76" t="str">
        <x:f>IF(B41="","",IF(L41="Validé humainement","Oui","Non"))</x:f>
      </x:c>
    </x:row>
    <x:row r="42">
      <x:c r="A42" s="76" t="str">
        <x:f>IF(B42="","","GES-"&amp;TEXT(ROW()-4,"0000"))</x:f>
      </x:c>
      <x:c r="B42" s="76"/>
      <x:c r="C42" s="76"/>
      <x:c r="D42" s="76"/>
      <x:c r="E42" s="77"/>
      <x:c r="F42" s="76"/>
      <x:c r="G42" s="83"/>
      <x:c r="H42" s="77" t="str">
        <x:f>IF(OR(E42="",G42=""),"",E42*G42)</x:f>
      </x:c>
      <x:c r="I42" s="76"/>
      <x:c r="J42" s="76"/>
      <x:c r="K42" s="76"/>
      <x:c r="L42" s="76"/>
      <x:c r="M42" s="76"/>
      <x:c r="N42" s="78" t="str">
        <x:f>IF(B42="","",TODAY())</x:f>
      </x:c>
      <x:c r="O42" s="76"/>
      <x:c r="P42" s="76" t="str">
        <x:f>IF(B42="","",IF(OR(C42="",D42="",E42="",F42="",G42="",I42="",J42="",K42="",L42&lt;&gt;"Validé humainement"),"ALERTE: données/preuves/statut",IF(OR(AND(ISNUMBER(E42),E42&lt;0),AND(ISNUMBER(G42),G42&lt;0),AND(ISNUMBER(H42),H42&lt;0)),"ALERTE: valeur anormale","OK")))</x:f>
      </x:c>
      <x:c r="Q42" s="76" t="str">
        <x:f>IF(B42="","",IF(L42="Validé humainement","Oui","Non"))</x:f>
      </x:c>
    </x:row>
    <x:row r="43">
      <x:c r="A43" s="76" t="str">
        <x:f>IF(B43="","","GES-"&amp;TEXT(ROW()-4,"0000"))</x:f>
      </x:c>
      <x:c r="B43" s="76"/>
      <x:c r="C43" s="76"/>
      <x:c r="D43" s="76"/>
      <x:c r="E43" s="77"/>
      <x:c r="F43" s="76"/>
      <x:c r="G43" s="83"/>
      <x:c r="H43" s="77" t="str">
        <x:f>IF(OR(E43="",G43=""),"",E43*G43)</x:f>
      </x:c>
      <x:c r="I43" s="76"/>
      <x:c r="J43" s="76"/>
      <x:c r="K43" s="76"/>
      <x:c r="L43" s="76"/>
      <x:c r="M43" s="76"/>
      <x:c r="N43" s="78" t="str">
        <x:f>IF(B43="","",TODAY())</x:f>
      </x:c>
      <x:c r="O43" s="76"/>
      <x:c r="P43" s="76" t="str">
        <x:f>IF(B43="","",IF(OR(C43="",D43="",E43="",F43="",G43="",I43="",J43="",K43="",L43&lt;&gt;"Validé humainement"),"ALERTE: données/preuves/statut",IF(OR(AND(ISNUMBER(E43),E43&lt;0),AND(ISNUMBER(G43),G43&lt;0),AND(ISNUMBER(H43),H43&lt;0)),"ALERTE: valeur anormale","OK")))</x:f>
      </x:c>
      <x:c r="Q43" s="76" t="str">
        <x:f>IF(B43="","",IF(L43="Validé humainement","Oui","Non"))</x:f>
      </x:c>
    </x:row>
    <x:row r="44">
      <x:c r="A44" s="76" t="str">
        <x:f>IF(B44="","","GES-"&amp;TEXT(ROW()-4,"0000"))</x:f>
      </x:c>
      <x:c r="B44" s="76"/>
      <x:c r="C44" s="76"/>
      <x:c r="D44" s="76"/>
      <x:c r="E44" s="77"/>
      <x:c r="F44" s="76"/>
      <x:c r="G44" s="83"/>
      <x:c r="H44" s="77" t="str">
        <x:f>IF(OR(E44="",G44=""),"",E44*G44)</x:f>
      </x:c>
      <x:c r="I44" s="76"/>
      <x:c r="J44" s="76"/>
      <x:c r="K44" s="76"/>
      <x:c r="L44" s="76"/>
      <x:c r="M44" s="76"/>
      <x:c r="N44" s="78" t="str">
        <x:f>IF(B44="","",TODAY())</x:f>
      </x:c>
      <x:c r="O44" s="76"/>
      <x:c r="P44" s="76" t="str">
        <x:f>IF(B44="","",IF(OR(C44="",D44="",E44="",F44="",G44="",I44="",J44="",K44="",L44&lt;&gt;"Validé humainement"),"ALERTE: données/preuves/statut",IF(OR(AND(ISNUMBER(E44),E44&lt;0),AND(ISNUMBER(G44),G44&lt;0),AND(ISNUMBER(H44),H44&lt;0)),"ALERTE: valeur anormale","OK")))</x:f>
      </x:c>
      <x:c r="Q44" s="76" t="str">
        <x:f>IF(B44="","",IF(L44="Validé humainement","Oui","Non"))</x:f>
      </x:c>
    </x:row>
    <x:row r="45">
      <x:c r="A45" s="76" t="str">
        <x:f>IF(B45="","","GES-"&amp;TEXT(ROW()-4,"0000"))</x:f>
      </x:c>
      <x:c r="B45" s="76"/>
      <x:c r="C45" s="76"/>
      <x:c r="D45" s="76"/>
      <x:c r="E45" s="77"/>
      <x:c r="F45" s="76"/>
      <x:c r="G45" s="83"/>
      <x:c r="H45" s="77" t="str">
        <x:f>IF(OR(E45="",G45=""),"",E45*G45)</x:f>
      </x:c>
      <x:c r="I45" s="76"/>
      <x:c r="J45" s="76"/>
      <x:c r="K45" s="76"/>
      <x:c r="L45" s="76"/>
      <x:c r="M45" s="76"/>
      <x:c r="N45" s="78" t="str">
        <x:f>IF(B45="","",TODAY())</x:f>
      </x:c>
      <x:c r="O45" s="76"/>
      <x:c r="P45" s="76" t="str">
        <x:f>IF(B45="","",IF(OR(C45="",D45="",E45="",F45="",G45="",I45="",J45="",K45="",L45&lt;&gt;"Validé humainement"),"ALERTE: données/preuves/statut",IF(OR(AND(ISNUMBER(E45),E45&lt;0),AND(ISNUMBER(G45),G45&lt;0),AND(ISNUMBER(H45),H45&lt;0)),"ALERTE: valeur anormale","OK")))</x:f>
      </x:c>
      <x:c r="Q45" s="76" t="str">
        <x:f>IF(B45="","",IF(L45="Validé humainement","Oui","Non"))</x:f>
      </x:c>
    </x:row>
    <x:row r="46">
      <x:c r="A46" s="76" t="str">
        <x:f>IF(B46="","","GES-"&amp;TEXT(ROW()-4,"0000"))</x:f>
      </x:c>
      <x:c r="B46" s="76"/>
      <x:c r="C46" s="76"/>
      <x:c r="D46" s="76"/>
      <x:c r="E46" s="77"/>
      <x:c r="F46" s="76"/>
      <x:c r="G46" s="83"/>
      <x:c r="H46" s="77" t="str">
        <x:f>IF(OR(E46="",G46=""),"",E46*G46)</x:f>
      </x:c>
      <x:c r="I46" s="76"/>
      <x:c r="J46" s="76"/>
      <x:c r="K46" s="76"/>
      <x:c r="L46" s="76"/>
      <x:c r="M46" s="76"/>
      <x:c r="N46" s="78" t="str">
        <x:f>IF(B46="","",TODAY())</x:f>
      </x:c>
      <x:c r="O46" s="76"/>
      <x:c r="P46" s="76" t="str">
        <x:f>IF(B46="","",IF(OR(C46="",D46="",E46="",F46="",G46="",I46="",J46="",K46="",L46&lt;&gt;"Validé humainement"),"ALERTE: données/preuves/statut",IF(OR(AND(ISNUMBER(E46),E46&lt;0),AND(ISNUMBER(G46),G46&lt;0),AND(ISNUMBER(H46),H46&lt;0)),"ALERTE: valeur anormale","OK")))</x:f>
      </x:c>
      <x:c r="Q46" s="76" t="str">
        <x:f>IF(B46="","",IF(L46="Validé humainement","Oui","Non"))</x:f>
      </x:c>
    </x:row>
    <x:row r="47">
      <x:c r="A47" s="76" t="str">
        <x:f>IF(B47="","","GES-"&amp;TEXT(ROW()-4,"0000"))</x:f>
      </x:c>
      <x:c r="B47" s="76"/>
      <x:c r="C47" s="76"/>
      <x:c r="D47" s="76"/>
      <x:c r="E47" s="77"/>
      <x:c r="F47" s="76"/>
      <x:c r="G47" s="83"/>
      <x:c r="H47" s="77" t="str">
        <x:f>IF(OR(E47="",G47=""),"",E47*G47)</x:f>
      </x:c>
      <x:c r="I47" s="76"/>
      <x:c r="J47" s="76"/>
      <x:c r="K47" s="76"/>
      <x:c r="L47" s="76"/>
      <x:c r="M47" s="76"/>
      <x:c r="N47" s="78" t="str">
        <x:f>IF(B47="","",TODAY())</x:f>
      </x:c>
      <x:c r="O47" s="76"/>
      <x:c r="P47" s="76" t="str">
        <x:f>IF(B47="","",IF(OR(C47="",D47="",E47="",F47="",G47="",I47="",J47="",K47="",L47&lt;&gt;"Validé humainement"),"ALERTE: données/preuves/statut",IF(OR(AND(ISNUMBER(E47),E47&lt;0),AND(ISNUMBER(G47),G47&lt;0),AND(ISNUMBER(H47),H47&lt;0)),"ALERTE: valeur anormale","OK")))</x:f>
      </x:c>
      <x:c r="Q47" s="76" t="str">
        <x:f>IF(B47="","",IF(L47="Validé humainement","Oui","Non"))</x:f>
      </x:c>
    </x:row>
    <x:row r="48">
      <x:c r="A48" s="76" t="str">
        <x:f>IF(B48="","","GES-"&amp;TEXT(ROW()-4,"0000"))</x:f>
      </x:c>
      <x:c r="B48" s="76"/>
      <x:c r="C48" s="76"/>
      <x:c r="D48" s="76"/>
      <x:c r="E48" s="77"/>
      <x:c r="F48" s="76"/>
      <x:c r="G48" s="83"/>
      <x:c r="H48" s="77" t="str">
        <x:f>IF(OR(E48="",G48=""),"",E48*G48)</x:f>
      </x:c>
      <x:c r="I48" s="76"/>
      <x:c r="J48" s="76"/>
      <x:c r="K48" s="76"/>
      <x:c r="L48" s="76"/>
      <x:c r="M48" s="76"/>
      <x:c r="N48" s="78" t="str">
        <x:f>IF(B48="","",TODAY())</x:f>
      </x:c>
      <x:c r="O48" s="76"/>
      <x:c r="P48" s="76" t="str">
        <x:f>IF(B48="","",IF(OR(C48="",D48="",E48="",F48="",G48="",I48="",J48="",K48="",L48&lt;&gt;"Validé humainement"),"ALERTE: données/preuves/statut",IF(OR(AND(ISNUMBER(E48),E48&lt;0),AND(ISNUMBER(G48),G48&lt;0),AND(ISNUMBER(H48),H48&lt;0)),"ALERTE: valeur anormale","OK")))</x:f>
      </x:c>
      <x:c r="Q48" s="76" t="str">
        <x:f>IF(B48="","",IF(L48="Validé humainement","Oui","Non"))</x:f>
      </x:c>
    </x:row>
    <x:row r="49">
      <x:c r="A49" s="76" t="str">
        <x:f>IF(B49="","","GES-"&amp;TEXT(ROW()-4,"0000"))</x:f>
      </x:c>
      <x:c r="B49" s="76"/>
      <x:c r="C49" s="76"/>
      <x:c r="D49" s="76"/>
      <x:c r="E49" s="77"/>
      <x:c r="F49" s="76"/>
      <x:c r="G49" s="83"/>
      <x:c r="H49" s="77" t="str">
        <x:f>IF(OR(E49="",G49=""),"",E49*G49)</x:f>
      </x:c>
      <x:c r="I49" s="76"/>
      <x:c r="J49" s="76"/>
      <x:c r="K49" s="76"/>
      <x:c r="L49" s="76"/>
      <x:c r="M49" s="76"/>
      <x:c r="N49" s="78" t="str">
        <x:f>IF(B49="","",TODAY())</x:f>
      </x:c>
      <x:c r="O49" s="76"/>
      <x:c r="P49" s="76" t="str">
        <x:f>IF(B49="","",IF(OR(C49="",D49="",E49="",F49="",G49="",I49="",J49="",K49="",L49&lt;&gt;"Validé humainement"),"ALERTE: données/preuves/statut",IF(OR(AND(ISNUMBER(E49),E49&lt;0),AND(ISNUMBER(G49),G49&lt;0),AND(ISNUMBER(H49),H49&lt;0)),"ALERTE: valeur anormale","OK")))</x:f>
      </x:c>
      <x:c r="Q49" s="76" t="str">
        <x:f>IF(B49="","",IF(L49="Validé humainement","Oui","Non"))</x:f>
      </x:c>
    </x:row>
    <x:row r="50">
      <x:c r="A50" s="76" t="str">
        <x:f>IF(B50="","","GES-"&amp;TEXT(ROW()-4,"0000"))</x:f>
      </x:c>
      <x:c r="B50" s="76"/>
      <x:c r="C50" s="76"/>
      <x:c r="D50" s="76"/>
      <x:c r="E50" s="77"/>
      <x:c r="F50" s="76"/>
      <x:c r="G50" s="83"/>
      <x:c r="H50" s="77" t="str">
        <x:f>IF(OR(E50="",G50=""),"",E50*G50)</x:f>
      </x:c>
      <x:c r="I50" s="76"/>
      <x:c r="J50" s="76"/>
      <x:c r="K50" s="76"/>
      <x:c r="L50" s="76"/>
      <x:c r="M50" s="76"/>
      <x:c r="N50" s="78" t="str">
        <x:f>IF(B50="","",TODAY())</x:f>
      </x:c>
      <x:c r="O50" s="76"/>
      <x:c r="P50" s="76" t="str">
        <x:f>IF(B50="","",IF(OR(C50="",D50="",E50="",F50="",G50="",I50="",J50="",K50="",L50&lt;&gt;"Validé humainement"),"ALERTE: données/preuves/statut",IF(OR(AND(ISNUMBER(E50),E50&lt;0),AND(ISNUMBER(G50),G50&lt;0),AND(ISNUMBER(H50),H50&lt;0)),"ALERTE: valeur anormale","OK")))</x:f>
      </x:c>
      <x:c r="Q50" s="76" t="str">
        <x:f>IF(B50="","",IF(L50="Validé humainement","Oui","Non"))</x:f>
      </x:c>
    </x:row>
    <x:row r="51">
      <x:c r="A51" s="76" t="str">
        <x:f>IF(B51="","","GES-"&amp;TEXT(ROW()-4,"0000"))</x:f>
      </x:c>
      <x:c r="B51" s="76"/>
      <x:c r="C51" s="76"/>
      <x:c r="D51" s="76"/>
      <x:c r="E51" s="77"/>
      <x:c r="F51" s="76"/>
      <x:c r="G51" s="83"/>
      <x:c r="H51" s="77" t="str">
        <x:f>IF(OR(E51="",G51=""),"",E51*G51)</x:f>
      </x:c>
      <x:c r="I51" s="76"/>
      <x:c r="J51" s="76"/>
      <x:c r="K51" s="76"/>
      <x:c r="L51" s="76"/>
      <x:c r="M51" s="76"/>
      <x:c r="N51" s="78" t="str">
        <x:f>IF(B51="","",TODAY())</x:f>
      </x:c>
      <x:c r="O51" s="76"/>
      <x:c r="P51" s="76" t="str">
        <x:f>IF(B51="","",IF(OR(C51="",D51="",E51="",F51="",G51="",I51="",J51="",K51="",L51&lt;&gt;"Validé humainement"),"ALERTE: données/preuves/statut",IF(OR(AND(ISNUMBER(E51),E51&lt;0),AND(ISNUMBER(G51),G51&lt;0),AND(ISNUMBER(H51),H51&lt;0)),"ALERTE: valeur anormale","OK")))</x:f>
      </x:c>
      <x:c r="Q51" s="76" t="str">
        <x:f>IF(B51="","",IF(L51="Validé humainement","Oui","Non"))</x:f>
      </x:c>
    </x:row>
    <x:row r="52">
      <x:c r="A52" s="76" t="str">
        <x:f>IF(B52="","","GES-"&amp;TEXT(ROW()-4,"0000"))</x:f>
      </x:c>
      <x:c r="B52" s="76"/>
      <x:c r="C52" s="76"/>
      <x:c r="D52" s="76"/>
      <x:c r="E52" s="77"/>
      <x:c r="F52" s="76"/>
      <x:c r="G52" s="83"/>
      <x:c r="H52" s="77" t="str">
        <x:f>IF(OR(E52="",G52=""),"",E52*G52)</x:f>
      </x:c>
      <x:c r="I52" s="76"/>
      <x:c r="J52" s="76"/>
      <x:c r="K52" s="76"/>
      <x:c r="L52" s="76"/>
      <x:c r="M52" s="76"/>
      <x:c r="N52" s="78" t="str">
        <x:f>IF(B52="","",TODAY())</x:f>
      </x:c>
      <x:c r="O52" s="76"/>
      <x:c r="P52" s="76" t="str">
        <x:f>IF(B52="","",IF(OR(C52="",D52="",E52="",F52="",G52="",I52="",J52="",K52="",L52&lt;&gt;"Validé humainement"),"ALERTE: données/preuves/statut",IF(OR(AND(ISNUMBER(E52),E52&lt;0),AND(ISNUMBER(G52),G52&lt;0),AND(ISNUMBER(H52),H52&lt;0)),"ALERTE: valeur anormale","OK")))</x:f>
      </x:c>
      <x:c r="Q52" s="76" t="str">
        <x:f>IF(B52="","",IF(L52="Validé humainement","Oui","Non"))</x:f>
      </x:c>
    </x:row>
    <x:row r="53">
      <x:c r="A53" s="76" t="str">
        <x:f>IF(B53="","","GES-"&amp;TEXT(ROW()-4,"0000"))</x:f>
      </x:c>
      <x:c r="B53" s="76"/>
      <x:c r="C53" s="76"/>
      <x:c r="D53" s="76"/>
      <x:c r="E53" s="77"/>
      <x:c r="F53" s="76"/>
      <x:c r="G53" s="83"/>
      <x:c r="H53" s="77" t="str">
        <x:f>IF(OR(E53="",G53=""),"",E53*G53)</x:f>
      </x:c>
      <x:c r="I53" s="76"/>
      <x:c r="J53" s="76"/>
      <x:c r="K53" s="76"/>
      <x:c r="L53" s="76"/>
      <x:c r="M53" s="76"/>
      <x:c r="N53" s="78" t="str">
        <x:f>IF(B53="","",TODAY())</x:f>
      </x:c>
      <x:c r="O53" s="76"/>
      <x:c r="P53" s="76" t="str">
        <x:f>IF(B53="","",IF(OR(C53="",D53="",E53="",F53="",G53="",I53="",J53="",K53="",L53&lt;&gt;"Validé humainement"),"ALERTE: données/preuves/statut",IF(OR(AND(ISNUMBER(E53),E53&lt;0),AND(ISNUMBER(G53),G53&lt;0),AND(ISNUMBER(H53),H53&lt;0)),"ALERTE: valeur anormale","OK")))</x:f>
      </x:c>
      <x:c r="Q53" s="76" t="str">
        <x:f>IF(B53="","",IF(L53="Validé humainement","Oui","Non"))</x:f>
      </x:c>
    </x:row>
    <x:row r="54">
      <x:c r="A54" s="76" t="str">
        <x:f>IF(B54="","","GES-"&amp;TEXT(ROW()-4,"0000"))</x:f>
      </x:c>
      <x:c r="B54" s="76"/>
      <x:c r="C54" s="76"/>
      <x:c r="D54" s="76"/>
      <x:c r="E54" s="77"/>
      <x:c r="F54" s="76"/>
      <x:c r="G54" s="83"/>
      <x:c r="H54" s="77" t="str">
        <x:f>IF(OR(E54="",G54=""),"",E54*G54)</x:f>
      </x:c>
      <x:c r="I54" s="76"/>
      <x:c r="J54" s="76"/>
      <x:c r="K54" s="76"/>
      <x:c r="L54" s="76"/>
      <x:c r="M54" s="76"/>
      <x:c r="N54" s="78" t="str">
        <x:f>IF(B54="","",TODAY())</x:f>
      </x:c>
      <x:c r="O54" s="76"/>
      <x:c r="P54" s="76" t="str">
        <x:f>IF(B54="","",IF(OR(C54="",D54="",E54="",F54="",G54="",I54="",J54="",K54="",L54&lt;&gt;"Validé humainement"),"ALERTE: données/preuves/statut",IF(OR(AND(ISNUMBER(E54),E54&lt;0),AND(ISNUMBER(G54),G54&lt;0),AND(ISNUMBER(H54),H54&lt;0)),"ALERTE: valeur anormale","OK")))</x:f>
      </x:c>
      <x:c r="Q54" s="76" t="str">
        <x:f>IF(B54="","",IF(L54="Validé humainement","Oui","Non"))</x:f>
      </x:c>
    </x:row>
    <x:row r="55">
      <x:c r="A55" s="76" t="str">
        <x:f>IF(B55="","","GES-"&amp;TEXT(ROW()-4,"0000"))</x:f>
      </x:c>
      <x:c r="B55" s="76"/>
      <x:c r="C55" s="76"/>
      <x:c r="D55" s="76"/>
      <x:c r="E55" s="77"/>
      <x:c r="F55" s="76"/>
      <x:c r="G55" s="83"/>
      <x:c r="H55" s="77" t="str">
        <x:f>IF(OR(E55="",G55=""),"",E55*G55)</x:f>
      </x:c>
      <x:c r="I55" s="76"/>
      <x:c r="J55" s="76"/>
      <x:c r="K55" s="76"/>
      <x:c r="L55" s="76"/>
      <x:c r="M55" s="76"/>
      <x:c r="N55" s="78" t="str">
        <x:f>IF(B55="","",TODAY())</x:f>
      </x:c>
      <x:c r="O55" s="76"/>
      <x:c r="P55" s="76" t="str">
        <x:f>IF(B55="","",IF(OR(C55="",D55="",E55="",F55="",G55="",I55="",J55="",K55="",L55&lt;&gt;"Validé humainement"),"ALERTE: données/preuves/statut",IF(OR(AND(ISNUMBER(E55),E55&lt;0),AND(ISNUMBER(G55),G55&lt;0),AND(ISNUMBER(H55),H55&lt;0)),"ALERTE: valeur anormale","OK")))</x:f>
      </x:c>
      <x:c r="Q55" s="76" t="str">
        <x:f>IF(B55="","",IF(L55="Validé humainement","Oui","Non"))</x:f>
      </x:c>
    </x:row>
    <x:row r="56">
      <x:c r="A56" s="76" t="str">
        <x:f>IF(B56="","","GES-"&amp;TEXT(ROW()-4,"0000"))</x:f>
      </x:c>
      <x:c r="B56" s="76"/>
      <x:c r="C56" s="76"/>
      <x:c r="D56" s="76"/>
      <x:c r="E56" s="77"/>
      <x:c r="F56" s="76"/>
      <x:c r="G56" s="83"/>
      <x:c r="H56" s="77" t="str">
        <x:f>IF(OR(E56="",G56=""),"",E56*G56)</x:f>
      </x:c>
      <x:c r="I56" s="76"/>
      <x:c r="J56" s="76"/>
      <x:c r="K56" s="76"/>
      <x:c r="L56" s="76"/>
      <x:c r="M56" s="76"/>
      <x:c r="N56" s="78" t="str">
        <x:f>IF(B56="","",TODAY())</x:f>
      </x:c>
      <x:c r="O56" s="76"/>
      <x:c r="P56" s="76" t="str">
        <x:f>IF(B56="","",IF(OR(C56="",D56="",E56="",F56="",G56="",I56="",J56="",K56="",L56&lt;&gt;"Validé humainement"),"ALERTE: données/preuves/statut",IF(OR(AND(ISNUMBER(E56),E56&lt;0),AND(ISNUMBER(G56),G56&lt;0),AND(ISNUMBER(H56),H56&lt;0)),"ALERTE: valeur anormale","OK")))</x:f>
      </x:c>
      <x:c r="Q56" s="76" t="str">
        <x:f>IF(B56="","",IF(L56="Validé humainement","Oui","Non"))</x:f>
      </x:c>
    </x:row>
    <x:row r="57">
      <x:c r="A57" s="76" t="str">
        <x:f>IF(B57="","","GES-"&amp;TEXT(ROW()-4,"0000"))</x:f>
      </x:c>
      <x:c r="B57" s="76"/>
      <x:c r="C57" s="76"/>
      <x:c r="D57" s="76"/>
      <x:c r="E57" s="77"/>
      <x:c r="F57" s="76"/>
      <x:c r="G57" s="83"/>
      <x:c r="H57" s="77" t="str">
        <x:f>IF(OR(E57="",G57=""),"",E57*G57)</x:f>
      </x:c>
      <x:c r="I57" s="76"/>
      <x:c r="J57" s="76"/>
      <x:c r="K57" s="76"/>
      <x:c r="L57" s="76"/>
      <x:c r="M57" s="76"/>
      <x:c r="N57" s="78" t="str">
        <x:f>IF(B57="","",TODAY())</x:f>
      </x:c>
      <x:c r="O57" s="76"/>
      <x:c r="P57" s="76" t="str">
        <x:f>IF(B57="","",IF(OR(C57="",D57="",E57="",F57="",G57="",I57="",J57="",K57="",L57&lt;&gt;"Validé humainement"),"ALERTE: données/preuves/statut",IF(OR(AND(ISNUMBER(E57),E57&lt;0),AND(ISNUMBER(G57),G57&lt;0),AND(ISNUMBER(H57),H57&lt;0)),"ALERTE: valeur anormale","OK")))</x:f>
      </x:c>
      <x:c r="Q57" s="76" t="str">
        <x:f>IF(B57="","",IF(L57="Validé humainement","Oui","Non"))</x:f>
      </x:c>
    </x:row>
    <x:row r="58">
      <x:c r="A58" s="76" t="str">
        <x:f>IF(B58="","","GES-"&amp;TEXT(ROW()-4,"0000"))</x:f>
      </x:c>
      <x:c r="B58" s="76"/>
      <x:c r="C58" s="76"/>
      <x:c r="D58" s="76"/>
      <x:c r="E58" s="77"/>
      <x:c r="F58" s="76"/>
      <x:c r="G58" s="83"/>
      <x:c r="H58" s="77" t="str">
        <x:f>IF(OR(E58="",G58=""),"",E58*G58)</x:f>
      </x:c>
      <x:c r="I58" s="76"/>
      <x:c r="J58" s="76"/>
      <x:c r="K58" s="76"/>
      <x:c r="L58" s="76"/>
      <x:c r="M58" s="76"/>
      <x:c r="N58" s="78" t="str">
        <x:f>IF(B58="","",TODAY())</x:f>
      </x:c>
      <x:c r="O58" s="76"/>
      <x:c r="P58" s="76" t="str">
        <x:f>IF(B58="","",IF(OR(C58="",D58="",E58="",F58="",G58="",I58="",J58="",K58="",L58&lt;&gt;"Validé humainement"),"ALERTE: données/preuves/statut",IF(OR(AND(ISNUMBER(E58),E58&lt;0),AND(ISNUMBER(G58),G58&lt;0),AND(ISNUMBER(H58),H58&lt;0)),"ALERTE: valeur anormale","OK")))</x:f>
      </x:c>
      <x:c r="Q58" s="76" t="str">
        <x:f>IF(B58="","",IF(L58="Validé humainement","Oui","Non"))</x:f>
      </x:c>
    </x:row>
    <x:row r="59">
      <x:c r="A59" s="76" t="str">
        <x:f>IF(B59="","","GES-"&amp;TEXT(ROW()-4,"0000"))</x:f>
      </x:c>
      <x:c r="B59" s="76"/>
      <x:c r="C59" s="76"/>
      <x:c r="D59" s="76"/>
      <x:c r="E59" s="77"/>
      <x:c r="F59" s="76"/>
      <x:c r="G59" s="83"/>
      <x:c r="H59" s="77" t="str">
        <x:f>IF(OR(E59="",G59=""),"",E59*G59)</x:f>
      </x:c>
      <x:c r="I59" s="76"/>
      <x:c r="J59" s="76"/>
      <x:c r="K59" s="76"/>
      <x:c r="L59" s="76"/>
      <x:c r="M59" s="76"/>
      <x:c r="N59" s="78" t="str">
        <x:f>IF(B59="","",TODAY())</x:f>
      </x:c>
      <x:c r="O59" s="76"/>
      <x:c r="P59" s="76" t="str">
        <x:f>IF(B59="","",IF(OR(C59="",D59="",E59="",F59="",G59="",I59="",J59="",K59="",L59&lt;&gt;"Validé humainement"),"ALERTE: données/preuves/statut",IF(OR(AND(ISNUMBER(E59),E59&lt;0),AND(ISNUMBER(G59),G59&lt;0),AND(ISNUMBER(H59),H59&lt;0)),"ALERTE: valeur anormale","OK")))</x:f>
      </x:c>
      <x:c r="Q59" s="76" t="str">
        <x:f>IF(B59="","",IF(L59="Validé humainement","Oui","Non"))</x:f>
      </x:c>
    </x:row>
    <x:row r="60">
      <x:c r="A60" s="76" t="str">
        <x:f>IF(B60="","","GES-"&amp;TEXT(ROW()-4,"0000"))</x:f>
      </x:c>
      <x:c r="B60" s="76"/>
      <x:c r="C60" s="76"/>
      <x:c r="D60" s="76"/>
      <x:c r="E60" s="77"/>
      <x:c r="F60" s="76"/>
      <x:c r="G60" s="83"/>
      <x:c r="H60" s="77" t="str">
        <x:f>IF(OR(E60="",G60=""),"",E60*G60)</x:f>
      </x:c>
      <x:c r="I60" s="76"/>
      <x:c r="J60" s="76"/>
      <x:c r="K60" s="76"/>
      <x:c r="L60" s="76"/>
      <x:c r="M60" s="76"/>
      <x:c r="N60" s="78" t="str">
        <x:f>IF(B60="","",TODAY())</x:f>
      </x:c>
      <x:c r="O60" s="76"/>
      <x:c r="P60" s="76" t="str">
        <x:f>IF(B60="","",IF(OR(C60="",D60="",E60="",F60="",G60="",I60="",J60="",K60="",L60&lt;&gt;"Validé humainement"),"ALERTE: données/preuves/statut",IF(OR(AND(ISNUMBER(E60),E60&lt;0),AND(ISNUMBER(G60),G60&lt;0),AND(ISNUMBER(H60),H60&lt;0)),"ALERTE: valeur anormale","OK")))</x:f>
      </x:c>
      <x:c r="Q60" s="76" t="str">
        <x:f>IF(B60="","",IF(L60="Validé humainement","Oui","Non"))</x:f>
      </x:c>
    </x:row>
    <x:row r="61">
      <x:c r="A61" s="76" t="str">
        <x:f>IF(B61="","","GES-"&amp;TEXT(ROW()-4,"0000"))</x:f>
      </x:c>
      <x:c r="B61" s="76"/>
      <x:c r="C61" s="76"/>
      <x:c r="D61" s="76"/>
      <x:c r="E61" s="77"/>
      <x:c r="F61" s="76"/>
      <x:c r="G61" s="83"/>
      <x:c r="H61" s="77" t="str">
        <x:f>IF(OR(E61="",G61=""),"",E61*G61)</x:f>
      </x:c>
      <x:c r="I61" s="76"/>
      <x:c r="J61" s="76"/>
      <x:c r="K61" s="76"/>
      <x:c r="L61" s="76"/>
      <x:c r="M61" s="76"/>
      <x:c r="N61" s="78" t="str">
        <x:f>IF(B61="","",TODAY())</x:f>
      </x:c>
      <x:c r="O61" s="76"/>
      <x:c r="P61" s="76" t="str">
        <x:f>IF(B61="","",IF(OR(C61="",D61="",E61="",F61="",G61="",I61="",J61="",K61="",L61&lt;&gt;"Validé humainement"),"ALERTE: données/preuves/statut",IF(OR(AND(ISNUMBER(E61),E61&lt;0),AND(ISNUMBER(G61),G61&lt;0),AND(ISNUMBER(H61),H61&lt;0)),"ALERTE: valeur anormale","OK")))</x:f>
      </x:c>
      <x:c r="Q61" s="76" t="str">
        <x:f>IF(B61="","",IF(L61="Validé humainement","Oui","Non"))</x:f>
      </x:c>
    </x:row>
    <x:row r="62">
      <x:c r="A62" s="76" t="str">
        <x:f>IF(B62="","","GES-"&amp;TEXT(ROW()-4,"0000"))</x:f>
      </x:c>
      <x:c r="B62" s="76"/>
      <x:c r="C62" s="76"/>
      <x:c r="D62" s="76"/>
      <x:c r="E62" s="77"/>
      <x:c r="F62" s="76"/>
      <x:c r="G62" s="83"/>
      <x:c r="H62" s="77" t="str">
        <x:f>IF(OR(E62="",G62=""),"",E62*G62)</x:f>
      </x:c>
      <x:c r="I62" s="76"/>
      <x:c r="J62" s="76"/>
      <x:c r="K62" s="76"/>
      <x:c r="L62" s="76"/>
      <x:c r="M62" s="76"/>
      <x:c r="N62" s="78" t="str">
        <x:f>IF(B62="","",TODAY())</x:f>
      </x:c>
      <x:c r="O62" s="76"/>
      <x:c r="P62" s="76" t="str">
        <x:f>IF(B62="","",IF(OR(C62="",D62="",E62="",F62="",G62="",I62="",J62="",K62="",L62&lt;&gt;"Validé humainement"),"ALERTE: données/preuves/statut",IF(OR(AND(ISNUMBER(E62),E62&lt;0),AND(ISNUMBER(G62),G62&lt;0),AND(ISNUMBER(H62),H62&lt;0)),"ALERTE: valeur anormale","OK")))</x:f>
      </x:c>
      <x:c r="Q62" s="76" t="str">
        <x:f>IF(B62="","",IF(L62="Validé humainement","Oui","Non"))</x:f>
      </x:c>
    </x:row>
    <x:row r="63">
      <x:c r="A63" s="76" t="str">
        <x:f>IF(B63="","","GES-"&amp;TEXT(ROW()-4,"0000"))</x:f>
      </x:c>
      <x:c r="B63" s="76"/>
      <x:c r="C63" s="76"/>
      <x:c r="D63" s="76"/>
      <x:c r="E63" s="77"/>
      <x:c r="F63" s="76"/>
      <x:c r="G63" s="83"/>
      <x:c r="H63" s="77" t="str">
        <x:f>IF(OR(E63="",G63=""),"",E63*G63)</x:f>
      </x:c>
      <x:c r="I63" s="76"/>
      <x:c r="J63" s="76"/>
      <x:c r="K63" s="76"/>
      <x:c r="L63" s="76"/>
      <x:c r="M63" s="76"/>
      <x:c r="N63" s="78" t="str">
        <x:f>IF(B63="","",TODAY())</x:f>
      </x:c>
      <x:c r="O63" s="76"/>
      <x:c r="P63" s="76" t="str">
        <x:f>IF(B63="","",IF(OR(C63="",D63="",E63="",F63="",G63="",I63="",J63="",K63="",L63&lt;&gt;"Validé humainement"),"ALERTE: données/preuves/statut",IF(OR(AND(ISNUMBER(E63),E63&lt;0),AND(ISNUMBER(G63),G63&lt;0),AND(ISNUMBER(H63),H63&lt;0)),"ALERTE: valeur anormale","OK")))</x:f>
      </x:c>
      <x:c r="Q63" s="76" t="str">
        <x:f>IF(B63="","",IF(L63="Validé humainement","Oui","Non"))</x:f>
      </x:c>
    </x:row>
    <x:row r="64">
      <x:c r="A64" s="76" t="str">
        <x:f>IF(B64="","","GES-"&amp;TEXT(ROW()-4,"0000"))</x:f>
      </x:c>
      <x:c r="B64" s="76"/>
      <x:c r="C64" s="76"/>
      <x:c r="D64" s="76"/>
      <x:c r="E64" s="77"/>
      <x:c r="F64" s="76"/>
      <x:c r="G64" s="83"/>
      <x:c r="H64" s="77" t="str">
        <x:f>IF(OR(E64="",G64=""),"",E64*G64)</x:f>
      </x:c>
      <x:c r="I64" s="76"/>
      <x:c r="J64" s="76"/>
      <x:c r="K64" s="76"/>
      <x:c r="L64" s="76"/>
      <x:c r="M64" s="76"/>
      <x:c r="N64" s="78" t="str">
        <x:f>IF(B64="","",TODAY())</x:f>
      </x:c>
      <x:c r="O64" s="76"/>
      <x:c r="P64" s="76" t="str">
        <x:f>IF(B64="","",IF(OR(C64="",D64="",E64="",F64="",G64="",I64="",J64="",K64="",L64&lt;&gt;"Validé humainement"),"ALERTE: données/preuves/statut",IF(OR(AND(ISNUMBER(E64),E64&lt;0),AND(ISNUMBER(G64),G64&lt;0),AND(ISNUMBER(H64),H64&lt;0)),"ALERTE: valeur anormale","OK")))</x:f>
      </x:c>
      <x:c r="Q64" s="76" t="str">
        <x:f>IF(B64="","",IF(L64="Validé humainement","Oui","Non"))</x:f>
      </x:c>
    </x:row>
    <x:row r="65">
      <x:c r="A65" s="76" t="str">
        <x:f>IF(B65="","","GES-"&amp;TEXT(ROW()-4,"0000"))</x:f>
      </x:c>
      <x:c r="B65" s="76"/>
      <x:c r="C65" s="76"/>
      <x:c r="D65" s="76"/>
      <x:c r="E65" s="77"/>
      <x:c r="F65" s="76"/>
      <x:c r="G65" s="83"/>
      <x:c r="H65" s="77" t="str">
        <x:f>IF(OR(E65="",G65=""),"",E65*G65)</x:f>
      </x:c>
      <x:c r="I65" s="76"/>
      <x:c r="J65" s="76"/>
      <x:c r="K65" s="76"/>
      <x:c r="L65" s="76"/>
      <x:c r="M65" s="76"/>
      <x:c r="N65" s="78" t="str">
        <x:f>IF(B65="","",TODAY())</x:f>
      </x:c>
      <x:c r="O65" s="76"/>
      <x:c r="P65" s="76" t="str">
        <x:f>IF(B65="","",IF(OR(C65="",D65="",E65="",F65="",G65="",I65="",J65="",K65="",L65&lt;&gt;"Validé humainement"),"ALERTE: données/preuves/statut",IF(OR(AND(ISNUMBER(E65),E65&lt;0),AND(ISNUMBER(G65),G65&lt;0),AND(ISNUMBER(H65),H65&lt;0)),"ALERTE: valeur anormale","OK")))</x:f>
      </x:c>
      <x:c r="Q65" s="76" t="str">
        <x:f>IF(B65="","",IF(L65="Validé humainement","Oui","Non"))</x:f>
      </x:c>
    </x:row>
    <x:row r="66">
      <x:c r="A66" s="76" t="str">
        <x:f>IF(B66="","","GES-"&amp;TEXT(ROW()-4,"0000"))</x:f>
      </x:c>
      <x:c r="B66" s="76"/>
      <x:c r="C66" s="76"/>
      <x:c r="D66" s="76"/>
      <x:c r="E66" s="77"/>
      <x:c r="F66" s="76"/>
      <x:c r="G66" s="83"/>
      <x:c r="H66" s="77" t="str">
        <x:f>IF(OR(E66="",G66=""),"",E66*G66)</x:f>
      </x:c>
      <x:c r="I66" s="76"/>
      <x:c r="J66" s="76"/>
      <x:c r="K66" s="76"/>
      <x:c r="L66" s="76"/>
      <x:c r="M66" s="76"/>
      <x:c r="N66" s="78" t="str">
        <x:f>IF(B66="","",TODAY())</x:f>
      </x:c>
      <x:c r="O66" s="76"/>
      <x:c r="P66" s="76" t="str">
        <x:f>IF(B66="","",IF(OR(C66="",D66="",E66="",F66="",G66="",I66="",J66="",K66="",L66&lt;&gt;"Validé humainement"),"ALERTE: données/preuves/statut",IF(OR(AND(ISNUMBER(E66),E66&lt;0),AND(ISNUMBER(G66),G66&lt;0),AND(ISNUMBER(H66),H66&lt;0)),"ALERTE: valeur anormale","OK")))</x:f>
      </x:c>
      <x:c r="Q66" s="76" t="str">
        <x:f>IF(B66="","",IF(L66="Validé humainement","Oui","Non"))</x:f>
      </x:c>
    </x:row>
    <x:row r="67">
      <x:c r="A67" s="76" t="str">
        <x:f>IF(B67="","","GES-"&amp;TEXT(ROW()-4,"0000"))</x:f>
      </x:c>
      <x:c r="B67" s="76"/>
      <x:c r="C67" s="76"/>
      <x:c r="D67" s="76"/>
      <x:c r="E67" s="77"/>
      <x:c r="F67" s="76"/>
      <x:c r="G67" s="83"/>
      <x:c r="H67" s="77" t="str">
        <x:f>IF(OR(E67="",G67=""),"",E67*G67)</x:f>
      </x:c>
      <x:c r="I67" s="76"/>
      <x:c r="J67" s="76"/>
      <x:c r="K67" s="76"/>
      <x:c r="L67" s="76"/>
      <x:c r="M67" s="76"/>
      <x:c r="N67" s="78" t="str">
        <x:f>IF(B67="","",TODAY())</x:f>
      </x:c>
      <x:c r="O67" s="76"/>
      <x:c r="P67" s="76" t="str">
        <x:f>IF(B67="","",IF(OR(C67="",D67="",E67="",F67="",G67="",I67="",J67="",K67="",L67&lt;&gt;"Validé humainement"),"ALERTE: données/preuves/statut",IF(OR(AND(ISNUMBER(E67),E67&lt;0),AND(ISNUMBER(G67),G67&lt;0),AND(ISNUMBER(H67),H67&lt;0)),"ALERTE: valeur anormale","OK")))</x:f>
      </x:c>
      <x:c r="Q67" s="76" t="str">
        <x:f>IF(B67="","",IF(L67="Validé humainement","Oui","Non"))</x:f>
      </x:c>
    </x:row>
    <x:row r="68">
      <x:c r="A68" s="76" t="str">
        <x:f>IF(B68="","","GES-"&amp;TEXT(ROW()-4,"0000"))</x:f>
      </x:c>
      <x:c r="B68" s="76"/>
      <x:c r="C68" s="76"/>
      <x:c r="D68" s="76"/>
      <x:c r="E68" s="77"/>
      <x:c r="F68" s="76"/>
      <x:c r="G68" s="83"/>
      <x:c r="H68" s="77" t="str">
        <x:f>IF(OR(E68="",G68=""),"",E68*G68)</x:f>
      </x:c>
      <x:c r="I68" s="76"/>
      <x:c r="J68" s="76"/>
      <x:c r="K68" s="76"/>
      <x:c r="L68" s="76"/>
      <x:c r="M68" s="76"/>
      <x:c r="N68" s="78" t="str">
        <x:f>IF(B68="","",TODAY())</x:f>
      </x:c>
      <x:c r="O68" s="76"/>
      <x:c r="P68" s="76" t="str">
        <x:f>IF(B68="","",IF(OR(C68="",D68="",E68="",F68="",G68="",I68="",J68="",K68="",L68&lt;&gt;"Validé humainement"),"ALERTE: données/preuves/statut",IF(OR(AND(ISNUMBER(E68),E68&lt;0),AND(ISNUMBER(G68),G68&lt;0),AND(ISNUMBER(H68),H68&lt;0)),"ALERTE: valeur anormale","OK")))</x:f>
      </x:c>
      <x:c r="Q68" s="76" t="str">
        <x:f>IF(B68="","",IF(L68="Validé humainement","Oui","Non"))</x:f>
      </x:c>
    </x:row>
    <x:row r="69">
      <x:c r="A69" s="76" t="str">
        <x:f>IF(B69="","","GES-"&amp;TEXT(ROW()-4,"0000"))</x:f>
      </x:c>
      <x:c r="B69" s="76"/>
      <x:c r="C69" s="76"/>
      <x:c r="D69" s="76"/>
      <x:c r="E69" s="77"/>
      <x:c r="F69" s="76"/>
      <x:c r="G69" s="83"/>
      <x:c r="H69" s="77" t="str">
        <x:f>IF(OR(E69="",G69=""),"",E69*G69)</x:f>
      </x:c>
      <x:c r="I69" s="76"/>
      <x:c r="J69" s="76"/>
      <x:c r="K69" s="76"/>
      <x:c r="L69" s="76"/>
      <x:c r="M69" s="76"/>
      <x:c r="N69" s="78" t="str">
        <x:f>IF(B69="","",TODAY())</x:f>
      </x:c>
      <x:c r="O69" s="76"/>
      <x:c r="P69" s="76" t="str">
        <x:f>IF(B69="","",IF(OR(C69="",D69="",E69="",F69="",G69="",I69="",J69="",K69="",L69&lt;&gt;"Validé humainement"),"ALERTE: données/preuves/statut",IF(OR(AND(ISNUMBER(E69),E69&lt;0),AND(ISNUMBER(G69),G69&lt;0),AND(ISNUMBER(H69),H69&lt;0)),"ALERTE: valeur anormale","OK")))</x:f>
      </x:c>
      <x:c r="Q69" s="76" t="str">
        <x:f>IF(B69="","",IF(L69="Validé humainement","Oui","Non"))</x:f>
      </x:c>
    </x:row>
    <x:row r="70">
      <x:c r="A70" s="76" t="str">
        <x:f>IF(B70="","","GES-"&amp;TEXT(ROW()-4,"0000"))</x:f>
      </x:c>
      <x:c r="B70" s="76"/>
      <x:c r="C70" s="76"/>
      <x:c r="D70" s="76"/>
      <x:c r="E70" s="77"/>
      <x:c r="F70" s="76"/>
      <x:c r="G70" s="83"/>
      <x:c r="H70" s="77" t="str">
        <x:f>IF(OR(E70="",G70=""),"",E70*G70)</x:f>
      </x:c>
      <x:c r="I70" s="76"/>
      <x:c r="J70" s="76"/>
      <x:c r="K70" s="76"/>
      <x:c r="L70" s="76"/>
      <x:c r="M70" s="76"/>
      <x:c r="N70" s="78" t="str">
        <x:f>IF(B70="","",TODAY())</x:f>
      </x:c>
      <x:c r="O70" s="76"/>
      <x:c r="P70" s="76" t="str">
        <x:f>IF(B70="","",IF(OR(C70="",D70="",E70="",F70="",G70="",I70="",J70="",K70="",L70&lt;&gt;"Validé humainement"),"ALERTE: données/preuves/statut",IF(OR(AND(ISNUMBER(E70),E70&lt;0),AND(ISNUMBER(G70),G70&lt;0),AND(ISNUMBER(H70),H70&lt;0)),"ALERTE: valeur anormale","OK")))</x:f>
      </x:c>
      <x:c r="Q70" s="76" t="str">
        <x:f>IF(B70="","",IF(L70="Validé humainement","Oui","Non"))</x:f>
      </x:c>
    </x:row>
    <x:row r="71">
      <x:c r="A71" s="76" t="str">
        <x:f>IF(B71="","","GES-"&amp;TEXT(ROW()-4,"0000"))</x:f>
      </x:c>
      <x:c r="B71" s="76"/>
      <x:c r="C71" s="76"/>
      <x:c r="D71" s="76"/>
      <x:c r="E71" s="77"/>
      <x:c r="F71" s="76"/>
      <x:c r="G71" s="83"/>
      <x:c r="H71" s="77" t="str">
        <x:f>IF(OR(E71="",G71=""),"",E71*G71)</x:f>
      </x:c>
      <x:c r="I71" s="76"/>
      <x:c r="J71" s="76"/>
      <x:c r="K71" s="76"/>
      <x:c r="L71" s="76"/>
      <x:c r="M71" s="76"/>
      <x:c r="N71" s="78" t="str">
        <x:f>IF(B71="","",TODAY())</x:f>
      </x:c>
      <x:c r="O71" s="76"/>
      <x:c r="P71" s="76" t="str">
        <x:f>IF(B71="","",IF(OR(C71="",D71="",E71="",F71="",G71="",I71="",J71="",K71="",L71&lt;&gt;"Validé humainement"),"ALERTE: données/preuves/statut",IF(OR(AND(ISNUMBER(E71),E71&lt;0),AND(ISNUMBER(G71),G71&lt;0),AND(ISNUMBER(H71),H71&lt;0)),"ALERTE: valeur anormale","OK")))</x:f>
      </x:c>
      <x:c r="Q71" s="76" t="str">
        <x:f>IF(B71="","",IF(L71="Validé humainement","Oui","Non"))</x:f>
      </x:c>
    </x:row>
    <x:row r="72">
      <x:c r="A72" s="76" t="str">
        <x:f>IF(B72="","","GES-"&amp;TEXT(ROW()-4,"0000"))</x:f>
      </x:c>
      <x:c r="B72" s="76"/>
      <x:c r="C72" s="76"/>
      <x:c r="D72" s="76"/>
      <x:c r="E72" s="77"/>
      <x:c r="F72" s="76"/>
      <x:c r="G72" s="83"/>
      <x:c r="H72" s="77" t="str">
        <x:f>IF(OR(E72="",G72=""),"",E72*G72)</x:f>
      </x:c>
      <x:c r="I72" s="76"/>
      <x:c r="J72" s="76"/>
      <x:c r="K72" s="76"/>
      <x:c r="L72" s="76"/>
      <x:c r="M72" s="76"/>
      <x:c r="N72" s="78" t="str">
        <x:f>IF(B72="","",TODAY())</x:f>
      </x:c>
      <x:c r="O72" s="76"/>
      <x:c r="P72" s="76" t="str">
        <x:f>IF(B72="","",IF(OR(C72="",D72="",E72="",F72="",G72="",I72="",J72="",K72="",L72&lt;&gt;"Validé humainement"),"ALERTE: données/preuves/statut",IF(OR(AND(ISNUMBER(E72),E72&lt;0),AND(ISNUMBER(G72),G72&lt;0),AND(ISNUMBER(H72),H72&lt;0)),"ALERTE: valeur anormale","OK")))</x:f>
      </x:c>
      <x:c r="Q72" s="76" t="str">
        <x:f>IF(B72="","",IF(L72="Validé humainement","Oui","Non"))</x:f>
      </x:c>
    </x:row>
    <x:row r="73">
      <x:c r="A73" s="76" t="str">
        <x:f>IF(B73="","","GES-"&amp;TEXT(ROW()-4,"0000"))</x:f>
      </x:c>
      <x:c r="B73" s="76"/>
      <x:c r="C73" s="76"/>
      <x:c r="D73" s="76"/>
      <x:c r="E73" s="77"/>
      <x:c r="F73" s="76"/>
      <x:c r="G73" s="83"/>
      <x:c r="H73" s="77" t="str">
        <x:f>IF(OR(E73="",G73=""),"",E73*G73)</x:f>
      </x:c>
      <x:c r="I73" s="76"/>
      <x:c r="J73" s="76"/>
      <x:c r="K73" s="76"/>
      <x:c r="L73" s="76"/>
      <x:c r="M73" s="76"/>
      <x:c r="N73" s="78" t="str">
        <x:f>IF(B73="","",TODAY())</x:f>
      </x:c>
      <x:c r="O73" s="76"/>
      <x:c r="P73" s="76" t="str">
        <x:f>IF(B73="","",IF(OR(C73="",D73="",E73="",F73="",G73="",I73="",J73="",K73="",L73&lt;&gt;"Validé humainement"),"ALERTE: données/preuves/statut",IF(OR(AND(ISNUMBER(E73),E73&lt;0),AND(ISNUMBER(G73),G73&lt;0),AND(ISNUMBER(H73),H73&lt;0)),"ALERTE: valeur anormale","OK")))</x:f>
      </x:c>
      <x:c r="Q73" s="76" t="str">
        <x:f>IF(B73="","",IF(L73="Validé humainement","Oui","Non"))</x:f>
      </x:c>
    </x:row>
    <x:row r="74">
      <x:c r="A74" s="76" t="str">
        <x:f>IF(B74="","","GES-"&amp;TEXT(ROW()-4,"0000"))</x:f>
      </x:c>
      <x:c r="B74" s="76"/>
      <x:c r="C74" s="76"/>
      <x:c r="D74" s="76"/>
      <x:c r="E74" s="77"/>
      <x:c r="F74" s="76"/>
      <x:c r="G74" s="83"/>
      <x:c r="H74" s="77" t="str">
        <x:f>IF(OR(E74="",G74=""),"",E74*G74)</x:f>
      </x:c>
      <x:c r="I74" s="76"/>
      <x:c r="J74" s="76"/>
      <x:c r="K74" s="76"/>
      <x:c r="L74" s="76"/>
      <x:c r="M74" s="76"/>
      <x:c r="N74" s="78" t="str">
        <x:f>IF(B74="","",TODAY())</x:f>
      </x:c>
      <x:c r="O74" s="76"/>
      <x:c r="P74" s="76" t="str">
        <x:f>IF(B74="","",IF(OR(C74="",D74="",E74="",F74="",G74="",I74="",J74="",K74="",L74&lt;&gt;"Validé humainement"),"ALERTE: données/preuves/statut",IF(OR(AND(ISNUMBER(E74),E74&lt;0),AND(ISNUMBER(G74),G74&lt;0),AND(ISNUMBER(H74),H74&lt;0)),"ALERTE: valeur anormale","OK")))</x:f>
      </x:c>
      <x:c r="Q74" s="76" t="str">
        <x:f>IF(B74="","",IF(L74="Validé humainement","Oui","Non"))</x:f>
      </x:c>
    </x:row>
    <x:row r="75">
      <x:c r="A75" s="76" t="str">
        <x:f>IF(B75="","","GES-"&amp;TEXT(ROW()-4,"0000"))</x:f>
      </x:c>
      <x:c r="B75" s="76"/>
      <x:c r="C75" s="76"/>
      <x:c r="D75" s="76"/>
      <x:c r="E75" s="77"/>
      <x:c r="F75" s="76"/>
      <x:c r="G75" s="83"/>
      <x:c r="H75" s="77" t="str">
        <x:f>IF(OR(E75="",G75=""),"",E75*G75)</x:f>
      </x:c>
      <x:c r="I75" s="76"/>
      <x:c r="J75" s="76"/>
      <x:c r="K75" s="76"/>
      <x:c r="L75" s="76"/>
      <x:c r="M75" s="76"/>
      <x:c r="N75" s="78" t="str">
        <x:f>IF(B75="","",TODAY())</x:f>
      </x:c>
      <x:c r="O75" s="76"/>
      <x:c r="P75" s="76" t="str">
        <x:f>IF(B75="","",IF(OR(C75="",D75="",E75="",F75="",G75="",I75="",J75="",K75="",L75&lt;&gt;"Validé humainement"),"ALERTE: données/preuves/statut",IF(OR(AND(ISNUMBER(E75),E75&lt;0),AND(ISNUMBER(G75),G75&lt;0),AND(ISNUMBER(H75),H75&lt;0)),"ALERTE: valeur anormale","OK")))</x:f>
      </x:c>
      <x:c r="Q75" s="76" t="str">
        <x:f>IF(B75="","",IF(L75="Validé humainement","Oui","Non"))</x:f>
      </x:c>
    </x:row>
    <x:row r="76">
      <x:c r="A76" s="76" t="str">
        <x:f>IF(B76="","","GES-"&amp;TEXT(ROW()-4,"0000"))</x:f>
      </x:c>
      <x:c r="B76" s="76"/>
      <x:c r="C76" s="76"/>
      <x:c r="D76" s="76"/>
      <x:c r="E76" s="77"/>
      <x:c r="F76" s="76"/>
      <x:c r="G76" s="83"/>
      <x:c r="H76" s="77" t="str">
        <x:f>IF(OR(E76="",G76=""),"",E76*G76)</x:f>
      </x:c>
      <x:c r="I76" s="76"/>
      <x:c r="J76" s="76"/>
      <x:c r="K76" s="76"/>
      <x:c r="L76" s="76"/>
      <x:c r="M76" s="76"/>
      <x:c r="N76" s="78" t="str">
        <x:f>IF(B76="","",TODAY())</x:f>
      </x:c>
      <x:c r="O76" s="76"/>
      <x:c r="P76" s="76" t="str">
        <x:f>IF(B76="","",IF(OR(C76="",D76="",E76="",F76="",G76="",I76="",J76="",K76="",L76&lt;&gt;"Validé humainement"),"ALERTE: données/preuves/statut",IF(OR(AND(ISNUMBER(E76),E76&lt;0),AND(ISNUMBER(G76),G76&lt;0),AND(ISNUMBER(H76),H76&lt;0)),"ALERTE: valeur anormale","OK")))</x:f>
      </x:c>
      <x:c r="Q76" s="76" t="str">
        <x:f>IF(B76="","",IF(L76="Validé humainement","Oui","Non"))</x:f>
      </x:c>
    </x:row>
    <x:row r="77">
      <x:c r="A77" s="76" t="str">
        <x:f>IF(B77="","","GES-"&amp;TEXT(ROW()-4,"0000"))</x:f>
      </x:c>
      <x:c r="B77" s="76"/>
      <x:c r="C77" s="76"/>
      <x:c r="D77" s="76"/>
      <x:c r="E77" s="77"/>
      <x:c r="F77" s="76"/>
      <x:c r="G77" s="83"/>
      <x:c r="H77" s="77" t="str">
        <x:f>IF(OR(E77="",G77=""),"",E77*G77)</x:f>
      </x:c>
      <x:c r="I77" s="76"/>
      <x:c r="J77" s="76"/>
      <x:c r="K77" s="76"/>
      <x:c r="L77" s="76"/>
      <x:c r="M77" s="76"/>
      <x:c r="N77" s="78" t="str">
        <x:f>IF(B77="","",TODAY())</x:f>
      </x:c>
      <x:c r="O77" s="76"/>
      <x:c r="P77" s="76" t="str">
        <x:f>IF(B77="","",IF(OR(C77="",D77="",E77="",F77="",G77="",I77="",J77="",K77="",L77&lt;&gt;"Validé humainement"),"ALERTE: données/preuves/statut",IF(OR(AND(ISNUMBER(E77),E77&lt;0),AND(ISNUMBER(G77),G77&lt;0),AND(ISNUMBER(H77),H77&lt;0)),"ALERTE: valeur anormale","OK")))</x:f>
      </x:c>
      <x:c r="Q77" s="76" t="str">
        <x:f>IF(B77="","",IF(L77="Validé humainement","Oui","Non"))</x:f>
      </x:c>
    </x:row>
    <x:row r="78">
      <x:c r="A78" s="76" t="str">
        <x:f>IF(B78="","","GES-"&amp;TEXT(ROW()-4,"0000"))</x:f>
      </x:c>
      <x:c r="B78" s="76"/>
      <x:c r="C78" s="76"/>
      <x:c r="D78" s="76"/>
      <x:c r="E78" s="77"/>
      <x:c r="F78" s="76"/>
      <x:c r="G78" s="83"/>
      <x:c r="H78" s="77" t="str">
        <x:f>IF(OR(E78="",G78=""),"",E78*G78)</x:f>
      </x:c>
      <x:c r="I78" s="76"/>
      <x:c r="J78" s="76"/>
      <x:c r="K78" s="76"/>
      <x:c r="L78" s="76"/>
      <x:c r="M78" s="76"/>
      <x:c r="N78" s="78" t="str">
        <x:f>IF(B78="","",TODAY())</x:f>
      </x:c>
      <x:c r="O78" s="76"/>
      <x:c r="P78" s="76" t="str">
        <x:f>IF(B78="","",IF(OR(C78="",D78="",E78="",F78="",G78="",I78="",J78="",K78="",L78&lt;&gt;"Validé humainement"),"ALERTE: données/preuves/statut",IF(OR(AND(ISNUMBER(E78),E78&lt;0),AND(ISNUMBER(G78),G78&lt;0),AND(ISNUMBER(H78),H78&lt;0)),"ALERTE: valeur anormale","OK")))</x:f>
      </x:c>
      <x:c r="Q78" s="76" t="str">
        <x:f>IF(B78="","",IF(L78="Validé humainement","Oui","Non"))</x:f>
      </x:c>
    </x:row>
    <x:row r="79">
      <x:c r="A79" s="76" t="str">
        <x:f>IF(B79="","","GES-"&amp;TEXT(ROW()-4,"0000"))</x:f>
      </x:c>
      <x:c r="B79" s="76"/>
      <x:c r="C79" s="76"/>
      <x:c r="D79" s="76"/>
      <x:c r="E79" s="77"/>
      <x:c r="F79" s="76"/>
      <x:c r="G79" s="83"/>
      <x:c r="H79" s="77" t="str">
        <x:f>IF(OR(E79="",G79=""),"",E79*G79)</x:f>
      </x:c>
      <x:c r="I79" s="76"/>
      <x:c r="J79" s="76"/>
      <x:c r="K79" s="76"/>
      <x:c r="L79" s="76"/>
      <x:c r="M79" s="76"/>
      <x:c r="N79" s="78" t="str">
        <x:f>IF(B79="","",TODAY())</x:f>
      </x:c>
      <x:c r="O79" s="76"/>
      <x:c r="P79" s="76" t="str">
        <x:f>IF(B79="","",IF(OR(C79="",D79="",E79="",F79="",G79="",I79="",J79="",K79="",L79&lt;&gt;"Validé humainement"),"ALERTE: données/preuves/statut",IF(OR(AND(ISNUMBER(E79),E79&lt;0),AND(ISNUMBER(G79),G79&lt;0),AND(ISNUMBER(H79),H79&lt;0)),"ALERTE: valeur anormale","OK")))</x:f>
      </x:c>
      <x:c r="Q79" s="76" t="str">
        <x:f>IF(B79="","",IF(L79="Validé humainement","Oui","Non"))</x:f>
      </x:c>
    </x:row>
    <x:row r="80">
      <x:c r="A80" s="76" t="str">
        <x:f>IF(B80="","","GES-"&amp;TEXT(ROW()-4,"0000"))</x:f>
      </x:c>
      <x:c r="B80" s="76"/>
      <x:c r="C80" s="76"/>
      <x:c r="D80" s="76"/>
      <x:c r="E80" s="77"/>
      <x:c r="F80" s="76"/>
      <x:c r="G80" s="83"/>
      <x:c r="H80" s="77" t="str">
        <x:f>IF(OR(E80="",G80=""),"",E80*G80)</x:f>
      </x:c>
      <x:c r="I80" s="76"/>
      <x:c r="J80" s="76"/>
      <x:c r="K80" s="76"/>
      <x:c r="L80" s="76"/>
      <x:c r="M80" s="76"/>
      <x:c r="N80" s="78" t="str">
        <x:f>IF(B80="","",TODAY())</x:f>
      </x:c>
      <x:c r="O80" s="76"/>
      <x:c r="P80" s="76" t="str">
        <x:f>IF(B80="","",IF(OR(C80="",D80="",E80="",F80="",G80="",I80="",J80="",K80="",L80&lt;&gt;"Validé humainement"),"ALERTE: données/preuves/statut",IF(OR(AND(ISNUMBER(E80),E80&lt;0),AND(ISNUMBER(G80),G80&lt;0),AND(ISNUMBER(H80),H80&lt;0)),"ALERTE: valeur anormale","OK")))</x:f>
      </x:c>
      <x:c r="Q80" s="76" t="str">
        <x:f>IF(B80="","",IF(L80="Validé humainement","Oui","Non"))</x:f>
      </x:c>
    </x:row>
    <x:row r="81">
      <x:c r="A81" s="76" t="str">
        <x:f>IF(B81="","","GES-"&amp;TEXT(ROW()-4,"0000"))</x:f>
      </x:c>
      <x:c r="B81" s="76"/>
      <x:c r="C81" s="76"/>
      <x:c r="D81" s="76"/>
      <x:c r="E81" s="77"/>
      <x:c r="F81" s="76"/>
      <x:c r="G81" s="83"/>
      <x:c r="H81" s="77" t="str">
        <x:f>IF(OR(E81="",G81=""),"",E81*G81)</x:f>
      </x:c>
      <x:c r="I81" s="76"/>
      <x:c r="J81" s="76"/>
      <x:c r="K81" s="76"/>
      <x:c r="L81" s="76"/>
      <x:c r="M81" s="76"/>
      <x:c r="N81" s="78" t="str">
        <x:f>IF(B81="","",TODAY())</x:f>
      </x:c>
      <x:c r="O81" s="76"/>
      <x:c r="P81" s="76" t="str">
        <x:f>IF(B81="","",IF(OR(C81="",D81="",E81="",F81="",G81="",I81="",J81="",K81="",L81&lt;&gt;"Validé humainement"),"ALERTE: données/preuves/statut",IF(OR(AND(ISNUMBER(E81),E81&lt;0),AND(ISNUMBER(G81),G81&lt;0),AND(ISNUMBER(H81),H81&lt;0)),"ALERTE: valeur anormale","OK")))</x:f>
      </x:c>
      <x:c r="Q81" s="76" t="str">
        <x:f>IF(B81="","",IF(L81="Validé humainement","Oui","Non"))</x:f>
      </x:c>
    </x:row>
    <x:row r="82">
      <x:c r="A82" s="76" t="str">
        <x:f>IF(B82="","","GES-"&amp;TEXT(ROW()-4,"0000"))</x:f>
      </x:c>
      <x:c r="B82" s="76"/>
      <x:c r="C82" s="76"/>
      <x:c r="D82" s="76"/>
      <x:c r="E82" s="77"/>
      <x:c r="F82" s="76"/>
      <x:c r="G82" s="83"/>
      <x:c r="H82" s="77" t="str">
        <x:f>IF(OR(E82="",G82=""),"",E82*G82)</x:f>
      </x:c>
      <x:c r="I82" s="76"/>
      <x:c r="J82" s="76"/>
      <x:c r="K82" s="76"/>
      <x:c r="L82" s="76"/>
      <x:c r="M82" s="76"/>
      <x:c r="N82" s="78" t="str">
        <x:f>IF(B82="","",TODAY())</x:f>
      </x:c>
      <x:c r="O82" s="76"/>
      <x:c r="P82" s="76" t="str">
        <x:f>IF(B82="","",IF(OR(C82="",D82="",E82="",F82="",G82="",I82="",J82="",K82="",L82&lt;&gt;"Validé humainement"),"ALERTE: données/preuves/statut",IF(OR(AND(ISNUMBER(E82),E82&lt;0),AND(ISNUMBER(G82),G82&lt;0),AND(ISNUMBER(H82),H82&lt;0)),"ALERTE: valeur anormale","OK")))</x:f>
      </x:c>
      <x:c r="Q82" s="76" t="str">
        <x:f>IF(B82="","",IF(L82="Validé humainement","Oui","Non"))</x:f>
      </x:c>
    </x:row>
    <x:row r="83">
      <x:c r="A83" s="76" t="str">
        <x:f>IF(B83="","","GES-"&amp;TEXT(ROW()-4,"0000"))</x:f>
      </x:c>
      <x:c r="B83" s="76"/>
      <x:c r="C83" s="76"/>
      <x:c r="D83" s="76"/>
      <x:c r="E83" s="77"/>
      <x:c r="F83" s="76"/>
      <x:c r="G83" s="83"/>
      <x:c r="H83" s="77" t="str">
        <x:f>IF(OR(E83="",G83=""),"",E83*G83)</x:f>
      </x:c>
      <x:c r="I83" s="76"/>
      <x:c r="J83" s="76"/>
      <x:c r="K83" s="76"/>
      <x:c r="L83" s="76"/>
      <x:c r="M83" s="76"/>
      <x:c r="N83" s="78" t="str">
        <x:f>IF(B83="","",TODAY())</x:f>
      </x:c>
      <x:c r="O83" s="76"/>
      <x:c r="P83" s="76" t="str">
        <x:f>IF(B83="","",IF(OR(C83="",D83="",E83="",F83="",G83="",I83="",J83="",K83="",L83&lt;&gt;"Validé humainement"),"ALERTE: données/preuves/statut",IF(OR(AND(ISNUMBER(E83),E83&lt;0),AND(ISNUMBER(G83),G83&lt;0),AND(ISNUMBER(H83),H83&lt;0)),"ALERTE: valeur anormale","OK")))</x:f>
      </x:c>
      <x:c r="Q83" s="76" t="str">
        <x:f>IF(B83="","",IF(L83="Validé humainement","Oui","Non"))</x:f>
      </x:c>
    </x:row>
    <x:row r="84">
      <x:c r="A84" s="76" t="str">
        <x:f>IF(B84="","","GES-"&amp;TEXT(ROW()-4,"0000"))</x:f>
      </x:c>
      <x:c r="B84" s="76"/>
      <x:c r="C84" s="76"/>
      <x:c r="D84" s="76"/>
      <x:c r="E84" s="77"/>
      <x:c r="F84" s="76"/>
      <x:c r="G84" s="83"/>
      <x:c r="H84" s="77" t="str">
        <x:f>IF(OR(E84="",G84=""),"",E84*G84)</x:f>
      </x:c>
      <x:c r="I84" s="76"/>
      <x:c r="J84" s="76"/>
      <x:c r="K84" s="76"/>
      <x:c r="L84" s="76"/>
      <x:c r="M84" s="76"/>
      <x:c r="N84" s="78" t="str">
        <x:f>IF(B84="","",TODAY())</x:f>
      </x:c>
      <x:c r="O84" s="76"/>
      <x:c r="P84" s="76" t="str">
        <x:f>IF(B84="","",IF(OR(C84="",D84="",E84="",F84="",G84="",I84="",J84="",K84="",L84&lt;&gt;"Validé humainement"),"ALERTE: données/preuves/statut",IF(OR(AND(ISNUMBER(E84),E84&lt;0),AND(ISNUMBER(G84),G84&lt;0),AND(ISNUMBER(H84),H84&lt;0)),"ALERTE: valeur anormale","OK")))</x:f>
      </x:c>
      <x:c r="Q84" s="76" t="str">
        <x:f>IF(B84="","",IF(L84="Validé humainement","Oui","Non"))</x:f>
      </x:c>
    </x:row>
    <x:row r="85">
      <x:c r="A85" s="76" t="str">
        <x:f>IF(B85="","","GES-"&amp;TEXT(ROW()-4,"0000"))</x:f>
      </x:c>
      <x:c r="B85" s="76"/>
      <x:c r="C85" s="76"/>
      <x:c r="D85" s="76"/>
      <x:c r="E85" s="77"/>
      <x:c r="F85" s="76"/>
      <x:c r="G85" s="83"/>
      <x:c r="H85" s="77" t="str">
        <x:f>IF(OR(E85="",G85=""),"",E85*G85)</x:f>
      </x:c>
      <x:c r="I85" s="76"/>
      <x:c r="J85" s="76"/>
      <x:c r="K85" s="76"/>
      <x:c r="L85" s="76"/>
      <x:c r="M85" s="76"/>
      <x:c r="N85" s="78" t="str">
        <x:f>IF(B85="","",TODAY())</x:f>
      </x:c>
      <x:c r="O85" s="76"/>
      <x:c r="P85" s="76" t="str">
        <x:f>IF(B85="","",IF(OR(C85="",D85="",E85="",F85="",G85="",I85="",J85="",K85="",L85&lt;&gt;"Validé humainement"),"ALERTE: données/preuves/statut",IF(OR(AND(ISNUMBER(E85),E85&lt;0),AND(ISNUMBER(G85),G85&lt;0),AND(ISNUMBER(H85),H85&lt;0)),"ALERTE: valeur anormale","OK")))</x:f>
      </x:c>
      <x:c r="Q85" s="76" t="str">
        <x:f>IF(B85="","",IF(L85="Validé humainement","Oui","Non"))</x:f>
      </x:c>
    </x:row>
    <x:row r="86">
      <x:c r="A86" s="76" t="str">
        <x:f>IF(B86="","","GES-"&amp;TEXT(ROW()-4,"0000"))</x:f>
      </x:c>
      <x:c r="B86" s="76"/>
      <x:c r="C86" s="76"/>
      <x:c r="D86" s="76"/>
      <x:c r="E86" s="77"/>
      <x:c r="F86" s="76"/>
      <x:c r="G86" s="83"/>
      <x:c r="H86" s="77" t="str">
        <x:f>IF(OR(E86="",G86=""),"",E86*G86)</x:f>
      </x:c>
      <x:c r="I86" s="76"/>
      <x:c r="J86" s="76"/>
      <x:c r="K86" s="76"/>
      <x:c r="L86" s="76"/>
      <x:c r="M86" s="76"/>
      <x:c r="N86" s="78" t="str">
        <x:f>IF(B86="","",TODAY())</x:f>
      </x:c>
      <x:c r="O86" s="76"/>
      <x:c r="P86" s="76" t="str">
        <x:f>IF(B86="","",IF(OR(C86="",D86="",E86="",F86="",G86="",I86="",J86="",K86="",L86&lt;&gt;"Validé humainement"),"ALERTE: données/preuves/statut",IF(OR(AND(ISNUMBER(E86),E86&lt;0),AND(ISNUMBER(G86),G86&lt;0),AND(ISNUMBER(H86),H86&lt;0)),"ALERTE: valeur anormale","OK")))</x:f>
      </x:c>
      <x:c r="Q86" s="76" t="str">
        <x:f>IF(B86="","",IF(L86="Validé humainement","Oui","Non"))</x:f>
      </x:c>
    </x:row>
    <x:row r="87">
      <x:c r="A87" s="76" t="str">
        <x:f>IF(B87="","","GES-"&amp;TEXT(ROW()-4,"0000"))</x:f>
      </x:c>
      <x:c r="B87" s="76"/>
      <x:c r="C87" s="76"/>
      <x:c r="D87" s="76"/>
      <x:c r="E87" s="77"/>
      <x:c r="F87" s="76"/>
      <x:c r="G87" s="83"/>
      <x:c r="H87" s="77" t="str">
        <x:f>IF(OR(E87="",G87=""),"",E87*G87)</x:f>
      </x:c>
      <x:c r="I87" s="76"/>
      <x:c r="J87" s="76"/>
      <x:c r="K87" s="76"/>
      <x:c r="L87" s="76"/>
      <x:c r="M87" s="76"/>
      <x:c r="N87" s="78" t="str">
        <x:f>IF(B87="","",TODAY())</x:f>
      </x:c>
      <x:c r="O87" s="76"/>
      <x:c r="P87" s="76" t="str">
        <x:f>IF(B87="","",IF(OR(C87="",D87="",E87="",F87="",G87="",I87="",J87="",K87="",L87&lt;&gt;"Validé humainement"),"ALERTE: données/preuves/statut",IF(OR(AND(ISNUMBER(E87),E87&lt;0),AND(ISNUMBER(G87),G87&lt;0),AND(ISNUMBER(H87),H87&lt;0)),"ALERTE: valeur anormale","OK")))</x:f>
      </x:c>
      <x:c r="Q87" s="76" t="str">
        <x:f>IF(B87="","",IF(L87="Validé humainement","Oui","Non"))</x:f>
      </x:c>
    </x:row>
    <x:row r="88">
      <x:c r="A88" s="76" t="str">
        <x:f>IF(B88="","","GES-"&amp;TEXT(ROW()-4,"0000"))</x:f>
      </x:c>
      <x:c r="B88" s="76"/>
      <x:c r="C88" s="76"/>
      <x:c r="D88" s="76"/>
      <x:c r="E88" s="77"/>
      <x:c r="F88" s="76"/>
      <x:c r="G88" s="83"/>
      <x:c r="H88" s="77" t="str">
        <x:f>IF(OR(E88="",G88=""),"",E88*G88)</x:f>
      </x:c>
      <x:c r="I88" s="76"/>
      <x:c r="J88" s="76"/>
      <x:c r="K88" s="76"/>
      <x:c r="L88" s="76"/>
      <x:c r="M88" s="76"/>
      <x:c r="N88" s="78" t="str">
        <x:f>IF(B88="","",TODAY())</x:f>
      </x:c>
      <x:c r="O88" s="76"/>
      <x:c r="P88" s="76" t="str">
        <x:f>IF(B88="","",IF(OR(C88="",D88="",E88="",F88="",G88="",I88="",J88="",K88="",L88&lt;&gt;"Validé humainement"),"ALERTE: données/preuves/statut",IF(OR(AND(ISNUMBER(E88),E88&lt;0),AND(ISNUMBER(G88),G88&lt;0),AND(ISNUMBER(H88),H88&lt;0)),"ALERTE: valeur anormale","OK")))</x:f>
      </x:c>
      <x:c r="Q88" s="76" t="str">
        <x:f>IF(B88="","",IF(L88="Validé humainement","Oui","Non"))</x:f>
      </x:c>
    </x:row>
    <x:row r="89">
      <x:c r="A89" s="76" t="str">
        <x:f>IF(B89="","","GES-"&amp;TEXT(ROW()-4,"0000"))</x:f>
      </x:c>
      <x:c r="B89" s="76"/>
      <x:c r="C89" s="76"/>
      <x:c r="D89" s="76"/>
      <x:c r="E89" s="77"/>
      <x:c r="F89" s="76"/>
      <x:c r="G89" s="83"/>
      <x:c r="H89" s="77" t="str">
        <x:f>IF(OR(E89="",G89=""),"",E89*G89)</x:f>
      </x:c>
      <x:c r="I89" s="76"/>
      <x:c r="J89" s="76"/>
      <x:c r="K89" s="76"/>
      <x:c r="L89" s="76"/>
      <x:c r="M89" s="76"/>
      <x:c r="N89" s="78" t="str">
        <x:f>IF(B89="","",TODAY())</x:f>
      </x:c>
      <x:c r="O89" s="76"/>
      <x:c r="P89" s="76" t="str">
        <x:f>IF(B89="","",IF(OR(C89="",D89="",E89="",F89="",G89="",I89="",J89="",K89="",L89&lt;&gt;"Validé humainement"),"ALERTE: données/preuves/statut",IF(OR(AND(ISNUMBER(E89),E89&lt;0),AND(ISNUMBER(G89),G89&lt;0),AND(ISNUMBER(H89),H89&lt;0)),"ALERTE: valeur anormale","OK")))</x:f>
      </x:c>
      <x:c r="Q89" s="76" t="str">
        <x:f>IF(B89="","",IF(L89="Validé humainement","Oui","Non"))</x:f>
      </x:c>
    </x:row>
    <x:row r="90">
      <x:c r="A90" s="76" t="str">
        <x:f>IF(B90="","","GES-"&amp;TEXT(ROW()-4,"0000"))</x:f>
      </x:c>
      <x:c r="B90" s="76"/>
      <x:c r="C90" s="76"/>
      <x:c r="D90" s="76"/>
      <x:c r="E90" s="77"/>
      <x:c r="F90" s="76"/>
      <x:c r="G90" s="83"/>
      <x:c r="H90" s="77" t="str">
        <x:f>IF(OR(E90="",G90=""),"",E90*G90)</x:f>
      </x:c>
      <x:c r="I90" s="76"/>
      <x:c r="J90" s="76"/>
      <x:c r="K90" s="76"/>
      <x:c r="L90" s="76"/>
      <x:c r="M90" s="76"/>
      <x:c r="N90" s="78" t="str">
        <x:f>IF(B90="","",TODAY())</x:f>
      </x:c>
      <x:c r="O90" s="76"/>
      <x:c r="P90" s="76" t="str">
        <x:f>IF(B90="","",IF(OR(C90="",D90="",E90="",F90="",G90="",I90="",J90="",K90="",L90&lt;&gt;"Validé humainement"),"ALERTE: données/preuves/statut",IF(OR(AND(ISNUMBER(E90),E90&lt;0),AND(ISNUMBER(G90),G90&lt;0),AND(ISNUMBER(H90),H90&lt;0)),"ALERTE: valeur anormale","OK")))</x:f>
      </x:c>
      <x:c r="Q90" s="76" t="str">
        <x:f>IF(B90="","",IF(L90="Validé humainement","Oui","Non"))</x:f>
      </x:c>
    </x:row>
    <x:row r="91">
      <x:c r="A91" s="76" t="str">
        <x:f>IF(B91="","","GES-"&amp;TEXT(ROW()-4,"0000"))</x:f>
      </x:c>
      <x:c r="B91" s="76"/>
      <x:c r="C91" s="76"/>
      <x:c r="D91" s="76"/>
      <x:c r="E91" s="77"/>
      <x:c r="F91" s="76"/>
      <x:c r="G91" s="83"/>
      <x:c r="H91" s="77" t="str">
        <x:f>IF(OR(E91="",G91=""),"",E91*G91)</x:f>
      </x:c>
      <x:c r="I91" s="76"/>
      <x:c r="J91" s="76"/>
      <x:c r="K91" s="76"/>
      <x:c r="L91" s="76"/>
      <x:c r="M91" s="76"/>
      <x:c r="N91" s="78" t="str">
        <x:f>IF(B91="","",TODAY())</x:f>
      </x:c>
      <x:c r="O91" s="76"/>
      <x:c r="P91" s="76" t="str">
        <x:f>IF(B91="","",IF(OR(C91="",D91="",E91="",F91="",G91="",I91="",J91="",K91="",L91&lt;&gt;"Validé humainement"),"ALERTE: données/preuves/statut",IF(OR(AND(ISNUMBER(E91),E91&lt;0),AND(ISNUMBER(G91),G91&lt;0),AND(ISNUMBER(H91),H91&lt;0)),"ALERTE: valeur anormale","OK")))</x:f>
      </x:c>
      <x:c r="Q91" s="76" t="str">
        <x:f>IF(B91="","",IF(L91="Validé humainement","Oui","Non"))</x:f>
      </x:c>
    </x:row>
    <x:row r="92">
      <x:c r="A92" s="76" t="str">
        <x:f>IF(B92="","","GES-"&amp;TEXT(ROW()-4,"0000"))</x:f>
      </x:c>
      <x:c r="B92" s="76"/>
      <x:c r="C92" s="76"/>
      <x:c r="D92" s="76"/>
      <x:c r="E92" s="77"/>
      <x:c r="F92" s="76"/>
      <x:c r="G92" s="83"/>
      <x:c r="H92" s="77" t="str">
        <x:f>IF(OR(E92="",G92=""),"",E92*G92)</x:f>
      </x:c>
      <x:c r="I92" s="76"/>
      <x:c r="J92" s="76"/>
      <x:c r="K92" s="76"/>
      <x:c r="L92" s="76"/>
      <x:c r="M92" s="76"/>
      <x:c r="N92" s="78" t="str">
        <x:f>IF(B92="","",TODAY())</x:f>
      </x:c>
      <x:c r="O92" s="76"/>
      <x:c r="P92" s="76" t="str">
        <x:f>IF(B92="","",IF(OR(C92="",D92="",E92="",F92="",G92="",I92="",J92="",K92="",L92&lt;&gt;"Validé humainement"),"ALERTE: données/preuves/statut",IF(OR(AND(ISNUMBER(E92),E92&lt;0),AND(ISNUMBER(G92),G92&lt;0),AND(ISNUMBER(H92),H92&lt;0)),"ALERTE: valeur anormale","OK")))</x:f>
      </x:c>
      <x:c r="Q92" s="76" t="str">
        <x:f>IF(B92="","",IF(L92="Validé humainement","Oui","Non"))</x:f>
      </x:c>
    </x:row>
    <x:row r="93">
      <x:c r="A93" s="76" t="str">
        <x:f>IF(B93="","","GES-"&amp;TEXT(ROW()-4,"0000"))</x:f>
      </x:c>
      <x:c r="B93" s="76"/>
      <x:c r="C93" s="76"/>
      <x:c r="D93" s="76"/>
      <x:c r="E93" s="77"/>
      <x:c r="F93" s="76"/>
      <x:c r="G93" s="83"/>
      <x:c r="H93" s="77" t="str">
        <x:f>IF(OR(E93="",G93=""),"",E93*G93)</x:f>
      </x:c>
      <x:c r="I93" s="76"/>
      <x:c r="J93" s="76"/>
      <x:c r="K93" s="76"/>
      <x:c r="L93" s="76"/>
      <x:c r="M93" s="76"/>
      <x:c r="N93" s="78" t="str">
        <x:f>IF(B93="","",TODAY())</x:f>
      </x:c>
      <x:c r="O93" s="76"/>
      <x:c r="P93" s="76" t="str">
        <x:f>IF(B93="","",IF(OR(C93="",D93="",E93="",F93="",G93="",I93="",J93="",K93="",L93&lt;&gt;"Validé humainement"),"ALERTE: données/preuves/statut",IF(OR(AND(ISNUMBER(E93),E93&lt;0),AND(ISNUMBER(G93),G93&lt;0),AND(ISNUMBER(H93),H93&lt;0)),"ALERTE: valeur anormale","OK")))</x:f>
      </x:c>
      <x:c r="Q93" s="76" t="str">
        <x:f>IF(B93="","",IF(L93="Validé humainement","Oui","Non"))</x:f>
      </x:c>
    </x:row>
    <x:row r="94">
      <x:c r="A94" s="76" t="str">
        <x:f>IF(B94="","","GES-"&amp;TEXT(ROW()-4,"0000"))</x:f>
      </x:c>
      <x:c r="B94" s="76"/>
      <x:c r="C94" s="76"/>
      <x:c r="D94" s="76"/>
      <x:c r="E94" s="77"/>
      <x:c r="F94" s="76"/>
      <x:c r="G94" s="83"/>
      <x:c r="H94" s="77" t="str">
        <x:f>IF(OR(E94="",G94=""),"",E94*G94)</x:f>
      </x:c>
      <x:c r="I94" s="76"/>
      <x:c r="J94" s="76"/>
      <x:c r="K94" s="76"/>
      <x:c r="L94" s="76"/>
      <x:c r="M94" s="76"/>
      <x:c r="N94" s="78" t="str">
        <x:f>IF(B94="","",TODAY())</x:f>
      </x:c>
      <x:c r="O94" s="76"/>
      <x:c r="P94" s="76" t="str">
        <x:f>IF(B94="","",IF(OR(C94="",D94="",E94="",F94="",G94="",I94="",J94="",K94="",L94&lt;&gt;"Validé humainement"),"ALERTE: données/preuves/statut",IF(OR(AND(ISNUMBER(E94),E94&lt;0),AND(ISNUMBER(G94),G94&lt;0),AND(ISNUMBER(H94),H94&lt;0)),"ALERTE: valeur anormale","OK")))</x:f>
      </x:c>
      <x:c r="Q94" s="76" t="str">
        <x:f>IF(B94="","",IF(L94="Validé humainement","Oui","Non"))</x:f>
      </x:c>
    </x:row>
    <x:row r="95">
      <x:c r="A95" s="76" t="str">
        <x:f>IF(B95="","","GES-"&amp;TEXT(ROW()-4,"0000"))</x:f>
      </x:c>
      <x:c r="B95" s="76"/>
      <x:c r="C95" s="76"/>
      <x:c r="D95" s="76"/>
      <x:c r="E95" s="77"/>
      <x:c r="F95" s="76"/>
      <x:c r="G95" s="83"/>
      <x:c r="H95" s="77" t="str">
        <x:f>IF(OR(E95="",G95=""),"",E95*G95)</x:f>
      </x:c>
      <x:c r="I95" s="76"/>
      <x:c r="J95" s="76"/>
      <x:c r="K95" s="76"/>
      <x:c r="L95" s="76"/>
      <x:c r="M95" s="76"/>
      <x:c r="N95" s="78" t="str">
        <x:f>IF(B95="","",TODAY())</x:f>
      </x:c>
      <x:c r="O95" s="76"/>
      <x:c r="P95" s="76" t="str">
        <x:f>IF(B95="","",IF(OR(C95="",D95="",E95="",F95="",G95="",I95="",J95="",K95="",L95&lt;&gt;"Validé humainement"),"ALERTE: données/preuves/statut",IF(OR(AND(ISNUMBER(E95),E95&lt;0),AND(ISNUMBER(G95),G95&lt;0),AND(ISNUMBER(H95),H95&lt;0)),"ALERTE: valeur anormale","OK")))</x:f>
      </x:c>
      <x:c r="Q95" s="76" t="str">
        <x:f>IF(B95="","",IF(L95="Validé humainement","Oui","Non"))</x:f>
      </x:c>
    </x:row>
    <x:row r="96">
      <x:c r="A96" s="76" t="str">
        <x:f>IF(B96="","","GES-"&amp;TEXT(ROW()-4,"0000"))</x:f>
      </x:c>
      <x:c r="B96" s="76"/>
      <x:c r="C96" s="76"/>
      <x:c r="D96" s="76"/>
      <x:c r="E96" s="77"/>
      <x:c r="F96" s="76"/>
      <x:c r="G96" s="83"/>
      <x:c r="H96" s="77" t="str">
        <x:f>IF(OR(E96="",G96=""),"",E96*G96)</x:f>
      </x:c>
      <x:c r="I96" s="76"/>
      <x:c r="J96" s="76"/>
      <x:c r="K96" s="76"/>
      <x:c r="L96" s="76"/>
      <x:c r="M96" s="76"/>
      <x:c r="N96" s="78" t="str">
        <x:f>IF(B96="","",TODAY())</x:f>
      </x:c>
      <x:c r="O96" s="76"/>
      <x:c r="P96" s="76" t="str">
        <x:f>IF(B96="","",IF(OR(C96="",D96="",E96="",F96="",G96="",I96="",J96="",K96="",L96&lt;&gt;"Validé humainement"),"ALERTE: données/preuves/statut",IF(OR(AND(ISNUMBER(E96),E96&lt;0),AND(ISNUMBER(G96),G96&lt;0),AND(ISNUMBER(H96),H96&lt;0)),"ALERTE: valeur anormale","OK")))</x:f>
      </x:c>
      <x:c r="Q96" s="76" t="str">
        <x:f>IF(B96="","",IF(L96="Validé humainement","Oui","Non"))</x:f>
      </x:c>
    </x:row>
    <x:row r="97">
      <x:c r="A97" s="76" t="str">
        <x:f>IF(B97="","","GES-"&amp;TEXT(ROW()-4,"0000"))</x:f>
      </x:c>
      <x:c r="B97" s="76"/>
      <x:c r="C97" s="76"/>
      <x:c r="D97" s="76"/>
      <x:c r="E97" s="77"/>
      <x:c r="F97" s="76"/>
      <x:c r="G97" s="83"/>
      <x:c r="H97" s="77" t="str">
        <x:f>IF(OR(E97="",G97=""),"",E97*G97)</x:f>
      </x:c>
      <x:c r="I97" s="76"/>
      <x:c r="J97" s="76"/>
      <x:c r="K97" s="76"/>
      <x:c r="L97" s="76"/>
      <x:c r="M97" s="76"/>
      <x:c r="N97" s="78" t="str">
        <x:f>IF(B97="","",TODAY())</x:f>
      </x:c>
      <x:c r="O97" s="76"/>
      <x:c r="P97" s="76" t="str">
        <x:f>IF(B97="","",IF(OR(C97="",D97="",E97="",F97="",G97="",I97="",J97="",K97="",L97&lt;&gt;"Validé humainement"),"ALERTE: données/preuves/statut",IF(OR(AND(ISNUMBER(E97),E97&lt;0),AND(ISNUMBER(G97),G97&lt;0),AND(ISNUMBER(H97),H97&lt;0)),"ALERTE: valeur anormale","OK")))</x:f>
      </x:c>
      <x:c r="Q97" s="76" t="str">
        <x:f>IF(B97="","",IF(L97="Validé humainement","Oui","Non"))</x:f>
      </x:c>
    </x:row>
    <x:row r="98">
      <x:c r="A98" s="76" t="str">
        <x:f>IF(B98="","","GES-"&amp;TEXT(ROW()-4,"0000"))</x:f>
      </x:c>
      <x:c r="B98" s="76"/>
      <x:c r="C98" s="76"/>
      <x:c r="D98" s="76"/>
      <x:c r="E98" s="77"/>
      <x:c r="F98" s="76"/>
      <x:c r="G98" s="83"/>
      <x:c r="H98" s="77" t="str">
        <x:f>IF(OR(E98="",G98=""),"",E98*G98)</x:f>
      </x:c>
      <x:c r="I98" s="76"/>
      <x:c r="J98" s="76"/>
      <x:c r="K98" s="76"/>
      <x:c r="L98" s="76"/>
      <x:c r="M98" s="76"/>
      <x:c r="N98" s="78" t="str">
        <x:f>IF(B98="","",TODAY())</x:f>
      </x:c>
      <x:c r="O98" s="76"/>
      <x:c r="P98" s="76" t="str">
        <x:f>IF(B98="","",IF(OR(C98="",D98="",E98="",F98="",G98="",I98="",J98="",K98="",L98&lt;&gt;"Validé humainement"),"ALERTE: données/preuves/statut",IF(OR(AND(ISNUMBER(E98),E98&lt;0),AND(ISNUMBER(G98),G98&lt;0),AND(ISNUMBER(H98),H98&lt;0)),"ALERTE: valeur anormale","OK")))</x:f>
      </x:c>
      <x:c r="Q98" s="76" t="str">
        <x:f>IF(B98="","",IF(L98="Validé humainement","Oui","Non"))</x:f>
      </x:c>
    </x:row>
    <x:row r="99">
      <x:c r="A99" s="76" t="str">
        <x:f>IF(B99="","","GES-"&amp;TEXT(ROW()-4,"0000"))</x:f>
      </x:c>
      <x:c r="B99" s="76"/>
      <x:c r="C99" s="76"/>
      <x:c r="D99" s="76"/>
      <x:c r="E99" s="77"/>
      <x:c r="F99" s="76"/>
      <x:c r="G99" s="83"/>
      <x:c r="H99" s="77" t="str">
        <x:f>IF(OR(E99="",G99=""),"",E99*G99)</x:f>
      </x:c>
      <x:c r="I99" s="76"/>
      <x:c r="J99" s="76"/>
      <x:c r="K99" s="76"/>
      <x:c r="L99" s="76"/>
      <x:c r="M99" s="76"/>
      <x:c r="N99" s="78" t="str">
        <x:f>IF(B99="","",TODAY())</x:f>
      </x:c>
      <x:c r="O99" s="76"/>
      <x:c r="P99" s="76" t="str">
        <x:f>IF(B99="","",IF(OR(C99="",D99="",E99="",F99="",G99="",I99="",J99="",K99="",L99&lt;&gt;"Validé humainement"),"ALERTE: données/preuves/statut",IF(OR(AND(ISNUMBER(E99),E99&lt;0),AND(ISNUMBER(G99),G99&lt;0),AND(ISNUMBER(H99),H99&lt;0)),"ALERTE: valeur anormale","OK")))</x:f>
      </x:c>
      <x:c r="Q99" s="76" t="str">
        <x:f>IF(B99="","",IF(L99="Validé humainement","Oui","Non"))</x:f>
      </x:c>
    </x:row>
    <x:row r="100">
      <x:c r="A100" s="76" t="str">
        <x:f>IF(B100="","","GES-"&amp;TEXT(ROW()-4,"0000"))</x:f>
      </x:c>
      <x:c r="B100" s="76"/>
      <x:c r="C100" s="76"/>
      <x:c r="D100" s="76"/>
      <x:c r="E100" s="77"/>
      <x:c r="F100" s="76"/>
      <x:c r="G100" s="83"/>
      <x:c r="H100" s="77" t="str">
        <x:f>IF(OR(E100="",G100=""),"",E100*G100)</x:f>
      </x:c>
      <x:c r="I100" s="76"/>
      <x:c r="J100" s="76"/>
      <x:c r="K100" s="76"/>
      <x:c r="L100" s="76"/>
      <x:c r="M100" s="76"/>
      <x:c r="N100" s="78" t="str">
        <x:f>IF(B100="","",TODAY())</x:f>
      </x:c>
      <x:c r="O100" s="76"/>
      <x:c r="P100" s="76" t="str">
        <x:f>IF(B100="","",IF(OR(C100="",D100="",E100="",F100="",G100="",I100="",J100="",K100="",L100&lt;&gt;"Validé humainement"),"ALERTE: données/preuves/statut",IF(OR(AND(ISNUMBER(E100),E100&lt;0),AND(ISNUMBER(G100),G100&lt;0),AND(ISNUMBER(H100),H100&lt;0)),"ALERTE: valeur anormale","OK")))</x:f>
      </x:c>
      <x:c r="Q100" s="76" t="str">
        <x:f>IF(B100="","",IF(L100="Validé humainement","Oui","Non"))</x:f>
      </x:c>
    </x:row>
    <x:row r="101">
      <x:c r="A101" s="76" t="str">
        <x:f>IF(B101="","","GES-"&amp;TEXT(ROW()-4,"0000"))</x:f>
      </x:c>
      <x:c r="B101" s="76"/>
      <x:c r="C101" s="76"/>
      <x:c r="D101" s="76"/>
      <x:c r="E101" s="77"/>
      <x:c r="F101" s="76"/>
      <x:c r="G101" s="83"/>
      <x:c r="H101" s="77" t="str">
        <x:f>IF(OR(E101="",G101=""),"",E101*G101)</x:f>
      </x:c>
      <x:c r="I101" s="76"/>
      <x:c r="J101" s="76"/>
      <x:c r="K101" s="76"/>
      <x:c r="L101" s="76"/>
      <x:c r="M101" s="76"/>
      <x:c r="N101" s="78" t="str">
        <x:f>IF(B101="","",TODAY())</x:f>
      </x:c>
      <x:c r="O101" s="76"/>
      <x:c r="P101" s="76" t="str">
        <x:f>IF(B101="","",IF(OR(C101="",D101="",E101="",F101="",G101="",I101="",J101="",K101="",L101&lt;&gt;"Validé humainement"),"ALERTE: données/preuves/statut",IF(OR(AND(ISNUMBER(E101),E101&lt;0),AND(ISNUMBER(G101),G101&lt;0),AND(ISNUMBER(H101),H101&lt;0)),"ALERTE: valeur anormale","OK")))</x:f>
      </x:c>
      <x:c r="Q101" s="76" t="str">
        <x:f>IF(B101="","",IF(L101="Validé humainement","Oui","Non"))</x:f>
      </x:c>
    </x:row>
    <x:row r="102">
      <x:c r="A102" s="76" t="str">
        <x:f>IF(B102="","","GES-"&amp;TEXT(ROW()-4,"0000"))</x:f>
      </x:c>
      <x:c r="B102" s="76"/>
      <x:c r="C102" s="76"/>
      <x:c r="D102" s="76"/>
      <x:c r="E102" s="77"/>
      <x:c r="F102" s="76"/>
      <x:c r="G102" s="83"/>
      <x:c r="H102" s="77" t="str">
        <x:f>IF(OR(E102="",G102=""),"",E102*G102)</x:f>
      </x:c>
      <x:c r="I102" s="76"/>
      <x:c r="J102" s="76"/>
      <x:c r="K102" s="76"/>
      <x:c r="L102" s="76"/>
      <x:c r="M102" s="76"/>
      <x:c r="N102" s="78" t="str">
        <x:f>IF(B102="","",TODAY())</x:f>
      </x:c>
      <x:c r="O102" s="76"/>
      <x:c r="P102" s="76" t="str">
        <x:f>IF(B102="","",IF(OR(C102="",D102="",E102="",F102="",G102="",I102="",J102="",K102="",L102&lt;&gt;"Validé humainement"),"ALERTE: données/preuves/statut",IF(OR(AND(ISNUMBER(E102),E102&lt;0),AND(ISNUMBER(G102),G102&lt;0),AND(ISNUMBER(H102),H102&lt;0)),"ALERTE: valeur anormale","OK")))</x:f>
      </x:c>
      <x:c r="Q102" s="76" t="str">
        <x:f>IF(B102="","",IF(L102="Validé humainement","Oui","Non"))</x:f>
      </x:c>
    </x:row>
    <x:row r="103">
      <x:c r="A103" s="76" t="str">
        <x:f>IF(B103="","","GES-"&amp;TEXT(ROW()-4,"0000"))</x:f>
      </x:c>
      <x:c r="B103" s="76"/>
      <x:c r="C103" s="76"/>
      <x:c r="D103" s="76"/>
      <x:c r="E103" s="77"/>
      <x:c r="F103" s="76"/>
      <x:c r="G103" s="83"/>
      <x:c r="H103" s="77" t="str">
        <x:f>IF(OR(E103="",G103=""),"",E103*G103)</x:f>
      </x:c>
      <x:c r="I103" s="76"/>
      <x:c r="J103" s="76"/>
      <x:c r="K103" s="76"/>
      <x:c r="L103" s="76"/>
      <x:c r="M103" s="76"/>
      <x:c r="N103" s="78" t="str">
        <x:f>IF(B103="","",TODAY())</x:f>
      </x:c>
      <x:c r="O103" s="76"/>
      <x:c r="P103" s="76" t="str">
        <x:f>IF(B103="","",IF(OR(C103="",D103="",E103="",F103="",G103="",I103="",J103="",K103="",L103&lt;&gt;"Validé humainement"),"ALERTE: données/preuves/statut",IF(OR(AND(ISNUMBER(E103),E103&lt;0),AND(ISNUMBER(G103),G103&lt;0),AND(ISNUMBER(H103),H103&lt;0)),"ALERTE: valeur anormale","OK")))</x:f>
      </x:c>
      <x:c r="Q103" s="76" t="str">
        <x:f>IF(B103="","",IF(L103="Validé humainement","Oui","Non"))</x:f>
      </x:c>
    </x:row>
    <x:row r="104">
      <x:c r="A104" s="76" t="str">
        <x:f>IF(B104="","","GES-"&amp;TEXT(ROW()-4,"0000"))</x:f>
      </x:c>
      <x:c r="B104" s="76"/>
      <x:c r="C104" s="76"/>
      <x:c r="D104" s="76"/>
      <x:c r="E104" s="77"/>
      <x:c r="F104" s="76"/>
      <x:c r="G104" s="83"/>
      <x:c r="H104" s="77" t="str">
        <x:f>IF(OR(E104="",G104=""),"",E104*G104)</x:f>
      </x:c>
      <x:c r="I104" s="76"/>
      <x:c r="J104" s="76"/>
      <x:c r="K104" s="76"/>
      <x:c r="L104" s="76"/>
      <x:c r="M104" s="76"/>
      <x:c r="N104" s="78" t="str">
        <x:f>IF(B104="","",TODAY())</x:f>
      </x:c>
      <x:c r="O104" s="76"/>
      <x:c r="P104" s="76" t="str">
        <x:f>IF(B104="","",IF(OR(C104="",D104="",E104="",F104="",G104="",I104="",J104="",K104="",L104&lt;&gt;"Validé humainement"),"ALERTE: données/preuves/statut",IF(OR(AND(ISNUMBER(E104),E104&lt;0),AND(ISNUMBER(G104),G104&lt;0),AND(ISNUMBER(H104),H104&lt;0)),"ALERTE: valeur anormale","OK")))</x:f>
      </x:c>
      <x:c r="Q104" s="76" t="str">
        <x:f>IF(B104="","",IF(L104="Validé humainement","Oui","Non"))</x:f>
      </x:c>
    </x:row>
  </x:sheetData>
  <x:mergeCells>
    <x:mergeCell ref="A1:Q1"/>
    <x:mergeCell ref="A2:Q2"/>
  </x:mergeCells>
  <x:conditionalFormatting sqref="P5:P104">
    <x:cfRule type="containsText" dxfId="212" priority="1" operator="containsText" text="ALERTE"/>
    <x:cfRule type="containsText" dxfId="213" priority="2" operator="containsText" text="OK"/>
    <x:cfRule type="containsText" dxfId="214" priority="3" operator="containsText" text="Validé"/>
    <x:cfRule type="containsText" dxfId="215" priority="4" operator="containsText" text="À vérifier"/>
    <x:cfRule type="containsText" dxfId="216" priority="5" operator="containsText" text="Rejeté"/>
  </x:conditionalFormatting>
  <x:conditionalFormatting sqref="L5:L104">
    <x:cfRule type="containsText" dxfId="217" priority="6" operator="containsText" text="ALERTE"/>
    <x:cfRule type="containsText" dxfId="218" priority="7" operator="containsText" text="OK"/>
    <x:cfRule type="containsText" dxfId="219" priority="8" operator="containsText" text="Validé"/>
    <x:cfRule type="containsText" dxfId="220" priority="9" operator="containsText" text="À vérifier"/>
    <x:cfRule type="containsText" dxfId="221" priority="10" operator="containsText" text="Rejeté"/>
  </x:conditionalFormatting>
  <x:dataValidations count="4">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L5:L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C5:C104">
      <x:formula1>"Énergie stationnaire,Transport,Déchets,IPPU,AFOLU,Autre"</x:formula1>
    </x:dataValidation>
  </x:dataValidations>
  <x:pageMargins left="0.7" right="0.7" top="0.75" bottom="0.75" header="0.3" footer="0.3"/>
  <x:tableParts count="1">
    <x:tablePart xmlns:r="http://schemas.openxmlformats.org/officeDocument/2006/relationships" r:id="Re974b4d3b00c42b1"/>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8.75" hidden="0" customWidth="1"/>
    <x:col min="6" max="6" width="15.630000114440918" hidden="0" customWidth="1"/>
    <x:col min="7" max="7" width="18.75" hidden="0" customWidth="1"/>
    <x:col min="8" max="8" width="14.380000114440918" hidden="0" customWidth="1"/>
    <x:col min="9" max="9" width="18.75" hidden="0" customWidth="1"/>
    <x:col min="10" max="10" width="15.630000114440918" hidden="0" customWidth="1"/>
    <x:col min="11" max="11" width="11.880000114440918" hidden="0" customWidth="1"/>
    <x:col min="12" max="12" width="16.8799991607666" hidden="0" customWidth="1"/>
    <x:col min="13" max="13" width="17.5" hidden="0" customWidth="1"/>
    <x:col min="14" max="14" width="18.1299991607666" hidden="0" customWidth="1"/>
    <x:col min="15" max="15" width="22.5" hidden="0" customWidth="1"/>
    <x:col min="16" max="16" width="26.25" hidden="0" customWidth="1"/>
    <x:col min="17" max="17" width="20" hidden="0" customWidth="1"/>
    <x:col min="18" max="18" width="31.25" hidden="0" customWidth="1"/>
    <x:col min="19" max="19" width="15" hidden="0" customWidth="1"/>
    <x:col min="20" max="20" width="18.75" hidden="0" customWidth="1"/>
    <x:col min="21" max="21" width="23.75" hidden="0" customWidth="1"/>
    <x:col min="22" max="22" width="15" hidden="0" customWidth="1"/>
  </x:cols>
  <x:sheetData>
    <x:row r="1" ht="25.5" customHeight="1">
      <x:c r="A1" s="68" t="str">
        <x:v>Formulaire mobilité</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Saisie des données de transport, activité, consommation et émissions.</x:v>
      </x:c>
      <x:c r="B2" s="71"/>
      <x:c r="C2" s="71"/>
      <x:c r="D2" s="71"/>
      <x:c r="E2" s="71"/>
      <x:c r="F2" s="71"/>
      <x:c r="G2" s="71"/>
      <x:c r="H2" s="71"/>
      <x:c r="I2" s="71"/>
      <x:c r="J2" s="71"/>
      <x:c r="K2" s="71"/>
      <x:c r="L2" s="71"/>
      <x:c r="M2" s="71"/>
      <x:c r="N2" s="71"/>
      <x:c r="O2" s="71"/>
      <x:c r="P2" s="71"/>
      <x:c r="Q2" s="71"/>
      <x:c r="R2" s="71"/>
      <x:c r="S2" s="71"/>
      <x:c r="T2" s="71"/>
      <x:c r="U2" s="71"/>
      <x:c r="V2" s="71"/>
    </x:row>
    <x:row r="4">
      <x:c r="A4" s="74" t="str">
        <x:v>ID_Saisie</x:v>
      </x:c>
      <x:c r="B4" s="74" t="str">
        <x:v>Année</x:v>
      </x:c>
      <x:c r="C4" s="74" t="str">
        <x:v>Mois</x:v>
      </x:c>
      <x:c r="D4" s="74" t="str">
        <x:v>Zone</x:v>
      </x:c>
      <x:c r="E4" s="74" t="str">
        <x:v>Mode transport</x:v>
      </x:c>
      <x:c r="F4" s="74" t="str">
        <x:v>Nombre trajets</x:v>
      </x:c>
      <x:c r="G4" s="74" t="str">
        <x:v>Distance moyenne km</x:v>
      </x:c>
      <x:c r="H4" s="74" t="str">
        <x:v>Passagers</x:v>
      </x:c>
      <x:c r="I4" s="74" t="str">
        <x:v>Carburant / énergie</x:v>
      </x:c>
      <x:c r="J4" s="74" t="str">
        <x:v>Consommation</x:v>
      </x:c>
      <x:c r="K4" s="74" t="str">
        <x:v>Unité</x:v>
      </x:c>
      <x:c r="L4" s="74" t="str">
        <x:v>Facteur d'émission</x:v>
      </x:c>
      <x:c r="M4" s="74" t="str">
        <x:v>Émissions tCO2e</x:v>
      </x:c>
      <x:c r="N4" s="74" t="str">
        <x:v>Source</x:v>
      </x:c>
      <x:c r="O4" s="74" t="str">
        <x:v>Institution source</x:v>
      </x:c>
      <x:c r="P4" s="74" t="str">
        <x:v>Document source</x:v>
      </x:c>
      <x:c r="Q4" s="74" t="str">
        <x:v>Statut validation</x:v>
      </x:c>
      <x:c r="R4" s="74" t="str">
        <x:v>Observations</x:v>
      </x:c>
      <x:c r="S4" s="74" t="str">
        <x:v>Date de saisie</x:v>
      </x:c>
      <x:c r="T4" s="74" t="str">
        <x:v>Responsable</x:v>
      </x:c>
      <x:c r="U4" s="74" t="str">
        <x:v>Alerte_QC</x:v>
      </x:c>
      <x:c r="V4" s="74" t="str">
        <x:v>Alimente_Rapports</x:v>
      </x:c>
    </x:row>
    <x:row r="5">
      <x:c r="A5" s="76" t="str">
        <x:f>IF(B5="","","MOB-"&amp;TEXT(ROW()-4,"0000"))</x:f>
      </x:c>
      <x:c r="B5" s="76"/>
      <x:c r="C5" s="76"/>
      <x:c r="D5" s="76"/>
      <x:c r="E5" s="76"/>
      <x:c r="F5" s="81"/>
      <x:c r="G5" s="80"/>
      <x:c r="H5" s="81"/>
      <x:c r="I5" s="76"/>
      <x:c r="J5" s="77"/>
      <x:c r="K5" s="76"/>
      <x:c r="L5" s="83"/>
      <x:c r="M5" s="77" t="str">
        <x:f>IF(OR(J5="",L5=""),"",J5*L5)</x:f>
      </x:c>
      <x:c r="N5" s="76"/>
      <x:c r="O5" s="76"/>
      <x:c r="P5" s="76"/>
      <x:c r="Q5" s="76"/>
      <x:c r="R5" s="76"/>
      <x:c r="S5" s="78" t="str">
        <x:f>IF(B5="","",TODAY())</x:f>
      </x:c>
      <x:c r="T5" s="76"/>
      <x:c r="U5" s="76" t="str">
        <x:f>IF(B5="","",IF(OR(C5="",D5="",E5="",J5="",K5="",L5="",N5="",O5="",P5="",Q5&lt;&gt;"Validé humainement"),"ALERTE: données/preuves/statut",IF(OR(F5&lt;0,G5&lt;0,H5&lt;0,J5&lt;0,L5&lt;0,M5&lt;0),"ALERTE: valeur anormale","OK")))</x:f>
      </x:c>
      <x:c r="V5" s="76" t="str">
        <x:f>IF(B5="","",IF(Q5="Validé humainement","Oui","Non"))</x:f>
      </x:c>
    </x:row>
    <x:row r="6">
      <x:c r="A6" s="76" t="str">
        <x:f>IF(B6="","","MOB-"&amp;TEXT(ROW()-4,"0000"))</x:f>
      </x:c>
      <x:c r="B6" s="76"/>
      <x:c r="C6" s="76"/>
      <x:c r="D6" s="76"/>
      <x:c r="E6" s="76"/>
      <x:c r="F6" s="81"/>
      <x:c r="G6" s="80"/>
      <x:c r="H6" s="81"/>
      <x:c r="I6" s="76"/>
      <x:c r="J6" s="77"/>
      <x:c r="K6" s="76"/>
      <x:c r="L6" s="83"/>
      <x:c r="M6" s="77" t="str">
        <x:f>IF(OR(J6="",L6=""),"",J6*L6)</x:f>
      </x:c>
      <x:c r="N6" s="76"/>
      <x:c r="O6" s="76"/>
      <x:c r="P6" s="76"/>
      <x:c r="Q6" s="76"/>
      <x:c r="R6" s="76"/>
      <x:c r="S6" s="78" t="str">
        <x:f>IF(B6="","",TODAY())</x:f>
      </x:c>
      <x:c r="T6" s="76"/>
      <x:c r="U6" s="76" t="str">
        <x:f>IF(B6="","",IF(OR(C6="",D6="",E6="",J6="",K6="",L6="",N6="",O6="",P6="",Q6&lt;&gt;"Validé humainement"),"ALERTE: données/preuves/statut",IF(OR(F6&lt;0,G6&lt;0,H6&lt;0,J6&lt;0,L6&lt;0,M6&lt;0),"ALERTE: valeur anormale","OK")))</x:f>
      </x:c>
      <x:c r="V6" s="76" t="str">
        <x:f>IF(B6="","",IF(Q6="Validé humainement","Oui","Non"))</x:f>
      </x:c>
    </x:row>
    <x:row r="7">
      <x:c r="A7" s="76" t="str">
        <x:f>IF(B7="","","MOB-"&amp;TEXT(ROW()-4,"0000"))</x:f>
      </x:c>
      <x:c r="B7" s="76"/>
      <x:c r="C7" s="76"/>
      <x:c r="D7" s="76"/>
      <x:c r="E7" s="76"/>
      <x:c r="F7" s="81"/>
      <x:c r="G7" s="80"/>
      <x:c r="H7" s="81"/>
      <x:c r="I7" s="76"/>
      <x:c r="J7" s="77"/>
      <x:c r="K7" s="76"/>
      <x:c r="L7" s="83"/>
      <x:c r="M7" s="77" t="str">
        <x:f>IF(OR(J7="",L7=""),"",J7*L7)</x:f>
      </x:c>
      <x:c r="N7" s="76"/>
      <x:c r="O7" s="76"/>
      <x:c r="P7" s="76"/>
      <x:c r="Q7" s="76"/>
      <x:c r="R7" s="76"/>
      <x:c r="S7" s="78" t="str">
        <x:f>IF(B7="","",TODAY())</x:f>
      </x:c>
      <x:c r="T7" s="76"/>
      <x:c r="U7" s="76" t="str">
        <x:f>IF(B7="","",IF(OR(C7="",D7="",E7="",J7="",K7="",L7="",N7="",O7="",P7="",Q7&lt;&gt;"Validé humainement"),"ALERTE: données/preuves/statut",IF(OR(F7&lt;0,G7&lt;0,H7&lt;0,J7&lt;0,L7&lt;0,M7&lt;0),"ALERTE: valeur anormale","OK")))</x:f>
      </x:c>
      <x:c r="V7" s="76" t="str">
        <x:f>IF(B7="","",IF(Q7="Validé humainement","Oui","Non"))</x:f>
      </x:c>
    </x:row>
    <x:row r="8">
      <x:c r="A8" s="76" t="str">
        <x:f>IF(B8="","","MOB-"&amp;TEXT(ROW()-4,"0000"))</x:f>
      </x:c>
      <x:c r="B8" s="76"/>
      <x:c r="C8" s="76"/>
      <x:c r="D8" s="76"/>
      <x:c r="E8" s="76"/>
      <x:c r="F8" s="81"/>
      <x:c r="G8" s="80"/>
      <x:c r="H8" s="81"/>
      <x:c r="I8" s="76"/>
      <x:c r="J8" s="77"/>
      <x:c r="K8" s="76"/>
      <x:c r="L8" s="83"/>
      <x:c r="M8" s="77" t="str">
        <x:f>IF(OR(J8="",L8=""),"",J8*L8)</x:f>
      </x:c>
      <x:c r="N8" s="76"/>
      <x:c r="O8" s="76"/>
      <x:c r="P8" s="76"/>
      <x:c r="Q8" s="76"/>
      <x:c r="R8" s="76"/>
      <x:c r="S8" s="78" t="str">
        <x:f>IF(B8="","",TODAY())</x:f>
      </x:c>
      <x:c r="T8" s="76"/>
      <x:c r="U8" s="76" t="str">
        <x:f>IF(B8="","",IF(OR(C8="",D8="",E8="",J8="",K8="",L8="",N8="",O8="",P8="",Q8&lt;&gt;"Validé humainement"),"ALERTE: données/preuves/statut",IF(OR(F8&lt;0,G8&lt;0,H8&lt;0,J8&lt;0,L8&lt;0,M8&lt;0),"ALERTE: valeur anormale","OK")))</x:f>
      </x:c>
      <x:c r="V8" s="76" t="str">
        <x:f>IF(B8="","",IF(Q8="Validé humainement","Oui","Non"))</x:f>
      </x:c>
    </x:row>
    <x:row r="9">
      <x:c r="A9" s="76" t="str">
        <x:f>IF(B9="","","MOB-"&amp;TEXT(ROW()-4,"0000"))</x:f>
      </x:c>
      <x:c r="B9" s="76"/>
      <x:c r="C9" s="76"/>
      <x:c r="D9" s="76"/>
      <x:c r="E9" s="76"/>
      <x:c r="F9" s="81"/>
      <x:c r="G9" s="80"/>
      <x:c r="H9" s="81"/>
      <x:c r="I9" s="76"/>
      <x:c r="J9" s="77"/>
      <x:c r="K9" s="76"/>
      <x:c r="L9" s="83"/>
      <x:c r="M9" s="77" t="str">
        <x:f>IF(OR(J9="",L9=""),"",J9*L9)</x:f>
      </x:c>
      <x:c r="N9" s="76"/>
      <x:c r="O9" s="76"/>
      <x:c r="P9" s="76"/>
      <x:c r="Q9" s="76"/>
      <x:c r="R9" s="76"/>
      <x:c r="S9" s="78" t="str">
        <x:f>IF(B9="","",TODAY())</x:f>
      </x:c>
      <x:c r="T9" s="76"/>
      <x:c r="U9" s="76" t="str">
        <x:f>IF(B9="","",IF(OR(C9="",D9="",E9="",J9="",K9="",L9="",N9="",O9="",P9="",Q9&lt;&gt;"Validé humainement"),"ALERTE: données/preuves/statut",IF(OR(F9&lt;0,G9&lt;0,H9&lt;0,J9&lt;0,L9&lt;0,M9&lt;0),"ALERTE: valeur anormale","OK")))</x:f>
      </x:c>
      <x:c r="V9" s="76" t="str">
        <x:f>IF(B9="","",IF(Q9="Validé humainement","Oui","Non"))</x:f>
      </x:c>
    </x:row>
    <x:row r="10">
      <x:c r="A10" s="76" t="str">
        <x:f>IF(B10="","","MOB-"&amp;TEXT(ROW()-4,"0000"))</x:f>
      </x:c>
      <x:c r="B10" s="76"/>
      <x:c r="C10" s="76"/>
      <x:c r="D10" s="76"/>
      <x:c r="E10" s="76"/>
      <x:c r="F10" s="81"/>
      <x:c r="G10" s="80"/>
      <x:c r="H10" s="81"/>
      <x:c r="I10" s="76"/>
      <x:c r="J10" s="77"/>
      <x:c r="K10" s="76"/>
      <x:c r="L10" s="83"/>
      <x:c r="M10" s="77" t="str">
        <x:f>IF(OR(J10="",L10=""),"",J10*L10)</x:f>
      </x:c>
      <x:c r="N10" s="76"/>
      <x:c r="O10" s="76"/>
      <x:c r="P10" s="76"/>
      <x:c r="Q10" s="76"/>
      <x:c r="R10" s="76"/>
      <x:c r="S10" s="78" t="str">
        <x:f>IF(B10="","",TODAY())</x:f>
      </x:c>
      <x:c r="T10" s="76"/>
      <x:c r="U10" s="76" t="str">
        <x:f>IF(B10="","",IF(OR(C10="",D10="",E10="",J10="",K10="",L10="",N10="",O10="",P10="",Q10&lt;&gt;"Validé humainement"),"ALERTE: données/preuves/statut",IF(OR(F10&lt;0,G10&lt;0,H10&lt;0,J10&lt;0,L10&lt;0,M10&lt;0),"ALERTE: valeur anormale","OK")))</x:f>
      </x:c>
      <x:c r="V10" s="76" t="str">
        <x:f>IF(B10="","",IF(Q10="Validé humainement","Oui","Non"))</x:f>
      </x:c>
    </x:row>
    <x:row r="11">
      <x:c r="A11" s="76" t="str">
        <x:f>IF(B11="","","MOB-"&amp;TEXT(ROW()-4,"0000"))</x:f>
      </x:c>
      <x:c r="B11" s="76"/>
      <x:c r="C11" s="76"/>
      <x:c r="D11" s="76"/>
      <x:c r="E11" s="76"/>
      <x:c r="F11" s="81"/>
      <x:c r="G11" s="80"/>
      <x:c r="H11" s="81"/>
      <x:c r="I11" s="76"/>
      <x:c r="J11" s="77"/>
      <x:c r="K11" s="76"/>
      <x:c r="L11" s="83"/>
      <x:c r="M11" s="77" t="str">
        <x:f>IF(OR(J11="",L11=""),"",J11*L11)</x:f>
      </x:c>
      <x:c r="N11" s="76"/>
      <x:c r="O11" s="76"/>
      <x:c r="P11" s="76"/>
      <x:c r="Q11" s="76"/>
      <x:c r="R11" s="76"/>
      <x:c r="S11" s="78" t="str">
        <x:f>IF(B11="","",TODAY())</x:f>
      </x:c>
      <x:c r="T11" s="76"/>
      <x:c r="U11" s="76" t="str">
        <x:f>IF(B11="","",IF(OR(C11="",D11="",E11="",J11="",K11="",L11="",N11="",O11="",P11="",Q11&lt;&gt;"Validé humainement"),"ALERTE: données/preuves/statut",IF(OR(F11&lt;0,G11&lt;0,H11&lt;0,J11&lt;0,L11&lt;0,M11&lt;0),"ALERTE: valeur anormale","OK")))</x:f>
      </x:c>
      <x:c r="V11" s="76" t="str">
        <x:f>IF(B11="","",IF(Q11="Validé humainement","Oui","Non"))</x:f>
      </x:c>
    </x:row>
    <x:row r="12">
      <x:c r="A12" s="76" t="str">
        <x:f>IF(B12="","","MOB-"&amp;TEXT(ROW()-4,"0000"))</x:f>
      </x:c>
      <x:c r="B12" s="76"/>
      <x:c r="C12" s="76"/>
      <x:c r="D12" s="76"/>
      <x:c r="E12" s="76"/>
      <x:c r="F12" s="81"/>
      <x:c r="G12" s="80"/>
      <x:c r="H12" s="81"/>
      <x:c r="I12" s="76"/>
      <x:c r="J12" s="77"/>
      <x:c r="K12" s="76"/>
      <x:c r="L12" s="83"/>
      <x:c r="M12" s="77" t="str">
        <x:f>IF(OR(J12="",L12=""),"",J12*L12)</x:f>
      </x:c>
      <x:c r="N12" s="76"/>
      <x:c r="O12" s="76"/>
      <x:c r="P12" s="76"/>
      <x:c r="Q12" s="76"/>
      <x:c r="R12" s="76"/>
      <x:c r="S12" s="78" t="str">
        <x:f>IF(B12="","",TODAY())</x:f>
      </x:c>
      <x:c r="T12" s="76"/>
      <x:c r="U12" s="76" t="str">
        <x:f>IF(B12="","",IF(OR(C12="",D12="",E12="",J12="",K12="",L12="",N12="",O12="",P12="",Q12&lt;&gt;"Validé humainement"),"ALERTE: données/preuves/statut",IF(OR(F12&lt;0,G12&lt;0,H12&lt;0,J12&lt;0,L12&lt;0,M12&lt;0),"ALERTE: valeur anormale","OK")))</x:f>
      </x:c>
      <x:c r="V12" s="76" t="str">
        <x:f>IF(B12="","",IF(Q12="Validé humainement","Oui","Non"))</x:f>
      </x:c>
    </x:row>
    <x:row r="13">
      <x:c r="A13" s="76" t="str">
        <x:f>IF(B13="","","MOB-"&amp;TEXT(ROW()-4,"0000"))</x:f>
      </x:c>
      <x:c r="B13" s="76"/>
      <x:c r="C13" s="76"/>
      <x:c r="D13" s="76"/>
      <x:c r="E13" s="76"/>
      <x:c r="F13" s="81"/>
      <x:c r="G13" s="80"/>
      <x:c r="H13" s="81"/>
      <x:c r="I13" s="76"/>
      <x:c r="J13" s="77"/>
      <x:c r="K13" s="76"/>
      <x:c r="L13" s="83"/>
      <x:c r="M13" s="77" t="str">
        <x:f>IF(OR(J13="",L13=""),"",J13*L13)</x:f>
      </x:c>
      <x:c r="N13" s="76"/>
      <x:c r="O13" s="76"/>
      <x:c r="P13" s="76"/>
      <x:c r="Q13" s="76"/>
      <x:c r="R13" s="76"/>
      <x:c r="S13" s="78" t="str">
        <x:f>IF(B13="","",TODAY())</x:f>
      </x:c>
      <x:c r="T13" s="76"/>
      <x:c r="U13" s="76" t="str">
        <x:f>IF(B13="","",IF(OR(C13="",D13="",E13="",J13="",K13="",L13="",N13="",O13="",P13="",Q13&lt;&gt;"Validé humainement"),"ALERTE: données/preuves/statut",IF(OR(F13&lt;0,G13&lt;0,H13&lt;0,J13&lt;0,L13&lt;0,M13&lt;0),"ALERTE: valeur anormale","OK")))</x:f>
      </x:c>
      <x:c r="V13" s="76" t="str">
        <x:f>IF(B13="","",IF(Q13="Validé humainement","Oui","Non"))</x:f>
      </x:c>
    </x:row>
    <x:row r="14">
      <x:c r="A14" s="76" t="str">
        <x:f>IF(B14="","","MOB-"&amp;TEXT(ROW()-4,"0000"))</x:f>
      </x:c>
      <x:c r="B14" s="76"/>
      <x:c r="C14" s="76"/>
      <x:c r="D14" s="76"/>
      <x:c r="E14" s="76"/>
      <x:c r="F14" s="81"/>
      <x:c r="G14" s="80"/>
      <x:c r="H14" s="81"/>
      <x:c r="I14" s="76"/>
      <x:c r="J14" s="77"/>
      <x:c r="K14" s="76"/>
      <x:c r="L14" s="83"/>
      <x:c r="M14" s="77" t="str">
        <x:f>IF(OR(J14="",L14=""),"",J14*L14)</x:f>
      </x:c>
      <x:c r="N14" s="76"/>
      <x:c r="O14" s="76"/>
      <x:c r="P14" s="76"/>
      <x:c r="Q14" s="76"/>
      <x:c r="R14" s="76"/>
      <x:c r="S14" s="78" t="str">
        <x:f>IF(B14="","",TODAY())</x:f>
      </x:c>
      <x:c r="T14" s="76"/>
      <x:c r="U14" s="76" t="str">
        <x:f>IF(B14="","",IF(OR(C14="",D14="",E14="",J14="",K14="",L14="",N14="",O14="",P14="",Q14&lt;&gt;"Validé humainement"),"ALERTE: données/preuves/statut",IF(OR(F14&lt;0,G14&lt;0,H14&lt;0,J14&lt;0,L14&lt;0,M14&lt;0),"ALERTE: valeur anormale","OK")))</x:f>
      </x:c>
      <x:c r="V14" s="76" t="str">
        <x:f>IF(B14="","",IF(Q14="Validé humainement","Oui","Non"))</x:f>
      </x:c>
    </x:row>
    <x:row r="15">
      <x:c r="A15" s="76" t="str">
        <x:f>IF(B15="","","MOB-"&amp;TEXT(ROW()-4,"0000"))</x:f>
      </x:c>
      <x:c r="B15" s="76"/>
      <x:c r="C15" s="76"/>
      <x:c r="D15" s="76"/>
      <x:c r="E15" s="76"/>
      <x:c r="F15" s="81"/>
      <x:c r="G15" s="80"/>
      <x:c r="H15" s="81"/>
      <x:c r="I15" s="76"/>
      <x:c r="J15" s="77"/>
      <x:c r="K15" s="76"/>
      <x:c r="L15" s="83"/>
      <x:c r="M15" s="77" t="str">
        <x:f>IF(OR(J15="",L15=""),"",J15*L15)</x:f>
      </x:c>
      <x:c r="N15" s="76"/>
      <x:c r="O15" s="76"/>
      <x:c r="P15" s="76"/>
      <x:c r="Q15" s="76"/>
      <x:c r="R15" s="76"/>
      <x:c r="S15" s="78" t="str">
        <x:f>IF(B15="","",TODAY())</x:f>
      </x:c>
      <x:c r="T15" s="76"/>
      <x:c r="U15" s="76" t="str">
        <x:f>IF(B15="","",IF(OR(C15="",D15="",E15="",J15="",K15="",L15="",N15="",O15="",P15="",Q15&lt;&gt;"Validé humainement"),"ALERTE: données/preuves/statut",IF(OR(F15&lt;0,G15&lt;0,H15&lt;0,J15&lt;0,L15&lt;0,M15&lt;0),"ALERTE: valeur anormale","OK")))</x:f>
      </x:c>
      <x:c r="V15" s="76" t="str">
        <x:f>IF(B15="","",IF(Q15="Validé humainement","Oui","Non"))</x:f>
      </x:c>
    </x:row>
    <x:row r="16">
      <x:c r="A16" s="76" t="str">
        <x:f>IF(B16="","","MOB-"&amp;TEXT(ROW()-4,"0000"))</x:f>
      </x:c>
      <x:c r="B16" s="76"/>
      <x:c r="C16" s="76"/>
      <x:c r="D16" s="76"/>
      <x:c r="E16" s="76"/>
      <x:c r="F16" s="81"/>
      <x:c r="G16" s="80"/>
      <x:c r="H16" s="81"/>
      <x:c r="I16" s="76"/>
      <x:c r="J16" s="77"/>
      <x:c r="K16" s="76"/>
      <x:c r="L16" s="83"/>
      <x:c r="M16" s="77" t="str">
        <x:f>IF(OR(J16="",L16=""),"",J16*L16)</x:f>
      </x:c>
      <x:c r="N16" s="76"/>
      <x:c r="O16" s="76"/>
      <x:c r="P16" s="76"/>
      <x:c r="Q16" s="76"/>
      <x:c r="R16" s="76"/>
      <x:c r="S16" s="78" t="str">
        <x:f>IF(B16="","",TODAY())</x:f>
      </x:c>
      <x:c r="T16" s="76"/>
      <x:c r="U16" s="76" t="str">
        <x:f>IF(B16="","",IF(OR(C16="",D16="",E16="",J16="",K16="",L16="",N16="",O16="",P16="",Q16&lt;&gt;"Validé humainement"),"ALERTE: données/preuves/statut",IF(OR(F16&lt;0,G16&lt;0,H16&lt;0,J16&lt;0,L16&lt;0,M16&lt;0),"ALERTE: valeur anormale","OK")))</x:f>
      </x:c>
      <x:c r="V16" s="76" t="str">
        <x:f>IF(B16="","",IF(Q16="Validé humainement","Oui","Non"))</x:f>
      </x:c>
    </x:row>
    <x:row r="17">
      <x:c r="A17" s="76" t="str">
        <x:f>IF(B17="","","MOB-"&amp;TEXT(ROW()-4,"0000"))</x:f>
      </x:c>
      <x:c r="B17" s="76"/>
      <x:c r="C17" s="76"/>
      <x:c r="D17" s="76"/>
      <x:c r="E17" s="76"/>
      <x:c r="F17" s="81"/>
      <x:c r="G17" s="80"/>
      <x:c r="H17" s="81"/>
      <x:c r="I17" s="76"/>
      <x:c r="J17" s="77"/>
      <x:c r="K17" s="76"/>
      <x:c r="L17" s="83"/>
      <x:c r="M17" s="77" t="str">
        <x:f>IF(OR(J17="",L17=""),"",J17*L17)</x:f>
      </x:c>
      <x:c r="N17" s="76"/>
      <x:c r="O17" s="76"/>
      <x:c r="P17" s="76"/>
      <x:c r="Q17" s="76"/>
      <x:c r="R17" s="76"/>
      <x:c r="S17" s="78" t="str">
        <x:f>IF(B17="","",TODAY())</x:f>
      </x:c>
      <x:c r="T17" s="76"/>
      <x:c r="U17" s="76" t="str">
        <x:f>IF(B17="","",IF(OR(C17="",D17="",E17="",J17="",K17="",L17="",N17="",O17="",P17="",Q17&lt;&gt;"Validé humainement"),"ALERTE: données/preuves/statut",IF(OR(F17&lt;0,G17&lt;0,H17&lt;0,J17&lt;0,L17&lt;0,M17&lt;0),"ALERTE: valeur anormale","OK")))</x:f>
      </x:c>
      <x:c r="V17" s="76" t="str">
        <x:f>IF(B17="","",IF(Q17="Validé humainement","Oui","Non"))</x:f>
      </x:c>
    </x:row>
    <x:row r="18">
      <x:c r="A18" s="76" t="str">
        <x:f>IF(B18="","","MOB-"&amp;TEXT(ROW()-4,"0000"))</x:f>
      </x:c>
      <x:c r="B18" s="76"/>
      <x:c r="C18" s="76"/>
      <x:c r="D18" s="76"/>
      <x:c r="E18" s="76"/>
      <x:c r="F18" s="81"/>
      <x:c r="G18" s="80"/>
      <x:c r="H18" s="81"/>
      <x:c r="I18" s="76"/>
      <x:c r="J18" s="77"/>
      <x:c r="K18" s="76"/>
      <x:c r="L18" s="83"/>
      <x:c r="M18" s="77" t="str">
        <x:f>IF(OR(J18="",L18=""),"",J18*L18)</x:f>
      </x:c>
      <x:c r="N18" s="76"/>
      <x:c r="O18" s="76"/>
      <x:c r="P18" s="76"/>
      <x:c r="Q18" s="76"/>
      <x:c r="R18" s="76"/>
      <x:c r="S18" s="78" t="str">
        <x:f>IF(B18="","",TODAY())</x:f>
      </x:c>
      <x:c r="T18" s="76"/>
      <x:c r="U18" s="76" t="str">
        <x:f>IF(B18="","",IF(OR(C18="",D18="",E18="",J18="",K18="",L18="",N18="",O18="",P18="",Q18&lt;&gt;"Validé humainement"),"ALERTE: données/preuves/statut",IF(OR(F18&lt;0,G18&lt;0,H18&lt;0,J18&lt;0,L18&lt;0,M18&lt;0),"ALERTE: valeur anormale","OK")))</x:f>
      </x:c>
      <x:c r="V18" s="76" t="str">
        <x:f>IF(B18="","",IF(Q18="Validé humainement","Oui","Non"))</x:f>
      </x:c>
    </x:row>
    <x:row r="19">
      <x:c r="A19" s="76" t="str">
        <x:f>IF(B19="","","MOB-"&amp;TEXT(ROW()-4,"0000"))</x:f>
      </x:c>
      <x:c r="B19" s="76"/>
      <x:c r="C19" s="76"/>
      <x:c r="D19" s="76"/>
      <x:c r="E19" s="76"/>
      <x:c r="F19" s="81"/>
      <x:c r="G19" s="80"/>
      <x:c r="H19" s="81"/>
      <x:c r="I19" s="76"/>
      <x:c r="J19" s="77"/>
      <x:c r="K19" s="76"/>
      <x:c r="L19" s="83"/>
      <x:c r="M19" s="77" t="str">
        <x:f>IF(OR(J19="",L19=""),"",J19*L19)</x:f>
      </x:c>
      <x:c r="N19" s="76"/>
      <x:c r="O19" s="76"/>
      <x:c r="P19" s="76"/>
      <x:c r="Q19" s="76"/>
      <x:c r="R19" s="76"/>
      <x:c r="S19" s="78" t="str">
        <x:f>IF(B19="","",TODAY())</x:f>
      </x:c>
      <x:c r="T19" s="76"/>
      <x:c r="U19" s="76" t="str">
        <x:f>IF(B19="","",IF(OR(C19="",D19="",E19="",J19="",K19="",L19="",N19="",O19="",P19="",Q19&lt;&gt;"Validé humainement"),"ALERTE: données/preuves/statut",IF(OR(F19&lt;0,G19&lt;0,H19&lt;0,J19&lt;0,L19&lt;0,M19&lt;0),"ALERTE: valeur anormale","OK")))</x:f>
      </x:c>
      <x:c r="V19" s="76" t="str">
        <x:f>IF(B19="","",IF(Q19="Validé humainement","Oui","Non"))</x:f>
      </x:c>
    </x:row>
    <x:row r="20">
      <x:c r="A20" s="76" t="str">
        <x:f>IF(B20="","","MOB-"&amp;TEXT(ROW()-4,"0000"))</x:f>
      </x:c>
      <x:c r="B20" s="76"/>
      <x:c r="C20" s="76"/>
      <x:c r="D20" s="76"/>
      <x:c r="E20" s="76"/>
      <x:c r="F20" s="81"/>
      <x:c r="G20" s="80"/>
      <x:c r="H20" s="81"/>
      <x:c r="I20" s="76"/>
      <x:c r="J20" s="77"/>
      <x:c r="K20" s="76"/>
      <x:c r="L20" s="83"/>
      <x:c r="M20" s="77" t="str">
        <x:f>IF(OR(J20="",L20=""),"",J20*L20)</x:f>
      </x:c>
      <x:c r="N20" s="76"/>
      <x:c r="O20" s="76"/>
      <x:c r="P20" s="76"/>
      <x:c r="Q20" s="76"/>
      <x:c r="R20" s="76"/>
      <x:c r="S20" s="78" t="str">
        <x:f>IF(B20="","",TODAY())</x:f>
      </x:c>
      <x:c r="T20" s="76"/>
      <x:c r="U20" s="76" t="str">
        <x:f>IF(B20="","",IF(OR(C20="",D20="",E20="",J20="",K20="",L20="",N20="",O20="",P20="",Q20&lt;&gt;"Validé humainement"),"ALERTE: données/preuves/statut",IF(OR(F20&lt;0,G20&lt;0,H20&lt;0,J20&lt;0,L20&lt;0,M20&lt;0),"ALERTE: valeur anormale","OK")))</x:f>
      </x:c>
      <x:c r="V20" s="76" t="str">
        <x:f>IF(B20="","",IF(Q20="Validé humainement","Oui","Non"))</x:f>
      </x:c>
    </x:row>
    <x:row r="21">
      <x:c r="A21" s="76" t="str">
        <x:f>IF(B21="","","MOB-"&amp;TEXT(ROW()-4,"0000"))</x:f>
      </x:c>
      <x:c r="B21" s="76"/>
      <x:c r="C21" s="76"/>
      <x:c r="D21" s="76"/>
      <x:c r="E21" s="76"/>
      <x:c r="F21" s="81"/>
      <x:c r="G21" s="80"/>
      <x:c r="H21" s="81"/>
      <x:c r="I21" s="76"/>
      <x:c r="J21" s="77"/>
      <x:c r="K21" s="76"/>
      <x:c r="L21" s="83"/>
      <x:c r="M21" s="77" t="str">
        <x:f>IF(OR(J21="",L21=""),"",J21*L21)</x:f>
      </x:c>
      <x:c r="N21" s="76"/>
      <x:c r="O21" s="76"/>
      <x:c r="P21" s="76"/>
      <x:c r="Q21" s="76"/>
      <x:c r="R21" s="76"/>
      <x:c r="S21" s="78" t="str">
        <x:f>IF(B21="","",TODAY())</x:f>
      </x:c>
      <x:c r="T21" s="76"/>
      <x:c r="U21" s="76" t="str">
        <x:f>IF(B21="","",IF(OR(C21="",D21="",E21="",J21="",K21="",L21="",N21="",O21="",P21="",Q21&lt;&gt;"Validé humainement"),"ALERTE: données/preuves/statut",IF(OR(F21&lt;0,G21&lt;0,H21&lt;0,J21&lt;0,L21&lt;0,M21&lt;0),"ALERTE: valeur anormale","OK")))</x:f>
      </x:c>
      <x:c r="V21" s="76" t="str">
        <x:f>IF(B21="","",IF(Q21="Validé humainement","Oui","Non"))</x:f>
      </x:c>
    </x:row>
    <x:row r="22">
      <x:c r="A22" s="76" t="str">
        <x:f>IF(B22="","","MOB-"&amp;TEXT(ROW()-4,"0000"))</x:f>
      </x:c>
      <x:c r="B22" s="76"/>
      <x:c r="C22" s="76"/>
      <x:c r="D22" s="76"/>
      <x:c r="E22" s="76"/>
      <x:c r="F22" s="81"/>
      <x:c r="G22" s="80"/>
      <x:c r="H22" s="81"/>
      <x:c r="I22" s="76"/>
      <x:c r="J22" s="77"/>
      <x:c r="K22" s="76"/>
      <x:c r="L22" s="83"/>
      <x:c r="M22" s="77" t="str">
        <x:f>IF(OR(J22="",L22=""),"",J22*L22)</x:f>
      </x:c>
      <x:c r="N22" s="76"/>
      <x:c r="O22" s="76"/>
      <x:c r="P22" s="76"/>
      <x:c r="Q22" s="76"/>
      <x:c r="R22" s="76"/>
      <x:c r="S22" s="78" t="str">
        <x:f>IF(B22="","",TODAY())</x:f>
      </x:c>
      <x:c r="T22" s="76"/>
      <x:c r="U22" s="76" t="str">
        <x:f>IF(B22="","",IF(OR(C22="",D22="",E22="",J22="",K22="",L22="",N22="",O22="",P22="",Q22&lt;&gt;"Validé humainement"),"ALERTE: données/preuves/statut",IF(OR(F22&lt;0,G22&lt;0,H22&lt;0,J22&lt;0,L22&lt;0,M22&lt;0),"ALERTE: valeur anormale","OK")))</x:f>
      </x:c>
      <x:c r="V22" s="76" t="str">
        <x:f>IF(B22="","",IF(Q22="Validé humainement","Oui","Non"))</x:f>
      </x:c>
    </x:row>
    <x:row r="23">
      <x:c r="A23" s="76" t="str">
        <x:f>IF(B23="","","MOB-"&amp;TEXT(ROW()-4,"0000"))</x:f>
      </x:c>
      <x:c r="B23" s="76"/>
      <x:c r="C23" s="76"/>
      <x:c r="D23" s="76"/>
      <x:c r="E23" s="76"/>
      <x:c r="F23" s="81"/>
      <x:c r="G23" s="80"/>
      <x:c r="H23" s="81"/>
      <x:c r="I23" s="76"/>
      <x:c r="J23" s="77"/>
      <x:c r="K23" s="76"/>
      <x:c r="L23" s="83"/>
      <x:c r="M23" s="77" t="str">
        <x:f>IF(OR(J23="",L23=""),"",J23*L23)</x:f>
      </x:c>
      <x:c r="N23" s="76"/>
      <x:c r="O23" s="76"/>
      <x:c r="P23" s="76"/>
      <x:c r="Q23" s="76"/>
      <x:c r="R23" s="76"/>
      <x:c r="S23" s="78" t="str">
        <x:f>IF(B23="","",TODAY())</x:f>
      </x:c>
      <x:c r="T23" s="76"/>
      <x:c r="U23" s="76" t="str">
        <x:f>IF(B23="","",IF(OR(C23="",D23="",E23="",J23="",K23="",L23="",N23="",O23="",P23="",Q23&lt;&gt;"Validé humainement"),"ALERTE: données/preuves/statut",IF(OR(F23&lt;0,G23&lt;0,H23&lt;0,J23&lt;0,L23&lt;0,M23&lt;0),"ALERTE: valeur anormale","OK")))</x:f>
      </x:c>
      <x:c r="V23" s="76" t="str">
        <x:f>IF(B23="","",IF(Q23="Validé humainement","Oui","Non"))</x:f>
      </x:c>
    </x:row>
    <x:row r="24">
      <x:c r="A24" s="76" t="str">
        <x:f>IF(B24="","","MOB-"&amp;TEXT(ROW()-4,"0000"))</x:f>
      </x:c>
      <x:c r="B24" s="76"/>
      <x:c r="C24" s="76"/>
      <x:c r="D24" s="76"/>
      <x:c r="E24" s="76"/>
      <x:c r="F24" s="81"/>
      <x:c r="G24" s="80"/>
      <x:c r="H24" s="81"/>
      <x:c r="I24" s="76"/>
      <x:c r="J24" s="77"/>
      <x:c r="K24" s="76"/>
      <x:c r="L24" s="83"/>
      <x:c r="M24" s="77" t="str">
        <x:f>IF(OR(J24="",L24=""),"",J24*L24)</x:f>
      </x:c>
      <x:c r="N24" s="76"/>
      <x:c r="O24" s="76"/>
      <x:c r="P24" s="76"/>
      <x:c r="Q24" s="76"/>
      <x:c r="R24" s="76"/>
      <x:c r="S24" s="78" t="str">
        <x:f>IF(B24="","",TODAY())</x:f>
      </x:c>
      <x:c r="T24" s="76"/>
      <x:c r="U24" s="76" t="str">
        <x:f>IF(B24="","",IF(OR(C24="",D24="",E24="",J24="",K24="",L24="",N24="",O24="",P24="",Q24&lt;&gt;"Validé humainement"),"ALERTE: données/preuves/statut",IF(OR(F24&lt;0,G24&lt;0,H24&lt;0,J24&lt;0,L24&lt;0,M24&lt;0),"ALERTE: valeur anormale","OK")))</x:f>
      </x:c>
      <x:c r="V24" s="76" t="str">
        <x:f>IF(B24="","",IF(Q24="Validé humainement","Oui","Non"))</x:f>
      </x:c>
    </x:row>
    <x:row r="25">
      <x:c r="A25" s="76" t="str">
        <x:f>IF(B25="","","MOB-"&amp;TEXT(ROW()-4,"0000"))</x:f>
      </x:c>
      <x:c r="B25" s="76"/>
      <x:c r="C25" s="76"/>
      <x:c r="D25" s="76"/>
      <x:c r="E25" s="76"/>
      <x:c r="F25" s="81"/>
      <x:c r="G25" s="80"/>
      <x:c r="H25" s="81"/>
      <x:c r="I25" s="76"/>
      <x:c r="J25" s="77"/>
      <x:c r="K25" s="76"/>
      <x:c r="L25" s="83"/>
      <x:c r="M25" s="77" t="str">
        <x:f>IF(OR(J25="",L25=""),"",J25*L25)</x:f>
      </x:c>
      <x:c r="N25" s="76"/>
      <x:c r="O25" s="76"/>
      <x:c r="P25" s="76"/>
      <x:c r="Q25" s="76"/>
      <x:c r="R25" s="76"/>
      <x:c r="S25" s="78" t="str">
        <x:f>IF(B25="","",TODAY())</x:f>
      </x:c>
      <x:c r="T25" s="76"/>
      <x:c r="U25" s="76" t="str">
        <x:f>IF(B25="","",IF(OR(C25="",D25="",E25="",J25="",K25="",L25="",N25="",O25="",P25="",Q25&lt;&gt;"Validé humainement"),"ALERTE: données/preuves/statut",IF(OR(F25&lt;0,G25&lt;0,H25&lt;0,J25&lt;0,L25&lt;0,M25&lt;0),"ALERTE: valeur anormale","OK")))</x:f>
      </x:c>
      <x:c r="V25" s="76" t="str">
        <x:f>IF(B25="","",IF(Q25="Validé humainement","Oui","Non"))</x:f>
      </x:c>
    </x:row>
    <x:row r="26">
      <x:c r="A26" s="76" t="str">
        <x:f>IF(B26="","","MOB-"&amp;TEXT(ROW()-4,"0000"))</x:f>
      </x:c>
      <x:c r="B26" s="76"/>
      <x:c r="C26" s="76"/>
      <x:c r="D26" s="76"/>
      <x:c r="E26" s="76"/>
      <x:c r="F26" s="81"/>
      <x:c r="G26" s="80"/>
      <x:c r="H26" s="81"/>
      <x:c r="I26" s="76"/>
      <x:c r="J26" s="77"/>
      <x:c r="K26" s="76"/>
      <x:c r="L26" s="83"/>
      <x:c r="M26" s="77" t="str">
        <x:f>IF(OR(J26="",L26=""),"",J26*L26)</x:f>
      </x:c>
      <x:c r="N26" s="76"/>
      <x:c r="O26" s="76"/>
      <x:c r="P26" s="76"/>
      <x:c r="Q26" s="76"/>
      <x:c r="R26" s="76"/>
      <x:c r="S26" s="78" t="str">
        <x:f>IF(B26="","",TODAY())</x:f>
      </x:c>
      <x:c r="T26" s="76"/>
      <x:c r="U26" s="76" t="str">
        <x:f>IF(B26="","",IF(OR(C26="",D26="",E26="",J26="",K26="",L26="",N26="",O26="",P26="",Q26&lt;&gt;"Validé humainement"),"ALERTE: données/preuves/statut",IF(OR(F26&lt;0,G26&lt;0,H26&lt;0,J26&lt;0,L26&lt;0,M26&lt;0),"ALERTE: valeur anormale","OK")))</x:f>
      </x:c>
      <x:c r="V26" s="76" t="str">
        <x:f>IF(B26="","",IF(Q26="Validé humainement","Oui","Non"))</x:f>
      </x:c>
    </x:row>
    <x:row r="27">
      <x:c r="A27" s="76" t="str">
        <x:f>IF(B27="","","MOB-"&amp;TEXT(ROW()-4,"0000"))</x:f>
      </x:c>
      <x:c r="B27" s="76"/>
      <x:c r="C27" s="76"/>
      <x:c r="D27" s="76"/>
      <x:c r="E27" s="76"/>
      <x:c r="F27" s="81"/>
      <x:c r="G27" s="80"/>
      <x:c r="H27" s="81"/>
      <x:c r="I27" s="76"/>
      <x:c r="J27" s="77"/>
      <x:c r="K27" s="76"/>
      <x:c r="L27" s="83"/>
      <x:c r="M27" s="77" t="str">
        <x:f>IF(OR(J27="",L27=""),"",J27*L27)</x:f>
      </x:c>
      <x:c r="N27" s="76"/>
      <x:c r="O27" s="76"/>
      <x:c r="P27" s="76"/>
      <x:c r="Q27" s="76"/>
      <x:c r="R27" s="76"/>
      <x:c r="S27" s="78" t="str">
        <x:f>IF(B27="","",TODAY())</x:f>
      </x:c>
      <x:c r="T27" s="76"/>
      <x:c r="U27" s="76" t="str">
        <x:f>IF(B27="","",IF(OR(C27="",D27="",E27="",J27="",K27="",L27="",N27="",O27="",P27="",Q27&lt;&gt;"Validé humainement"),"ALERTE: données/preuves/statut",IF(OR(F27&lt;0,G27&lt;0,H27&lt;0,J27&lt;0,L27&lt;0,M27&lt;0),"ALERTE: valeur anormale","OK")))</x:f>
      </x:c>
      <x:c r="V27" s="76" t="str">
        <x:f>IF(B27="","",IF(Q27="Validé humainement","Oui","Non"))</x:f>
      </x:c>
    </x:row>
    <x:row r="28">
      <x:c r="A28" s="76" t="str">
        <x:f>IF(B28="","","MOB-"&amp;TEXT(ROW()-4,"0000"))</x:f>
      </x:c>
      <x:c r="B28" s="76"/>
      <x:c r="C28" s="76"/>
      <x:c r="D28" s="76"/>
      <x:c r="E28" s="76"/>
      <x:c r="F28" s="81"/>
      <x:c r="G28" s="80"/>
      <x:c r="H28" s="81"/>
      <x:c r="I28" s="76"/>
      <x:c r="J28" s="77"/>
      <x:c r="K28" s="76"/>
      <x:c r="L28" s="83"/>
      <x:c r="M28" s="77" t="str">
        <x:f>IF(OR(J28="",L28=""),"",J28*L28)</x:f>
      </x:c>
      <x:c r="N28" s="76"/>
      <x:c r="O28" s="76"/>
      <x:c r="P28" s="76"/>
      <x:c r="Q28" s="76"/>
      <x:c r="R28" s="76"/>
      <x:c r="S28" s="78" t="str">
        <x:f>IF(B28="","",TODAY())</x:f>
      </x:c>
      <x:c r="T28" s="76"/>
      <x:c r="U28" s="76" t="str">
        <x:f>IF(B28="","",IF(OR(C28="",D28="",E28="",J28="",K28="",L28="",N28="",O28="",P28="",Q28&lt;&gt;"Validé humainement"),"ALERTE: données/preuves/statut",IF(OR(F28&lt;0,G28&lt;0,H28&lt;0,J28&lt;0,L28&lt;0,M28&lt;0),"ALERTE: valeur anormale","OK")))</x:f>
      </x:c>
      <x:c r="V28" s="76" t="str">
        <x:f>IF(B28="","",IF(Q28="Validé humainement","Oui","Non"))</x:f>
      </x:c>
    </x:row>
    <x:row r="29">
      <x:c r="A29" s="76" t="str">
        <x:f>IF(B29="","","MOB-"&amp;TEXT(ROW()-4,"0000"))</x:f>
      </x:c>
      <x:c r="B29" s="76"/>
      <x:c r="C29" s="76"/>
      <x:c r="D29" s="76"/>
      <x:c r="E29" s="76"/>
      <x:c r="F29" s="81"/>
      <x:c r="G29" s="80"/>
      <x:c r="H29" s="81"/>
      <x:c r="I29" s="76"/>
      <x:c r="J29" s="77"/>
      <x:c r="K29" s="76"/>
      <x:c r="L29" s="83"/>
      <x:c r="M29" s="77" t="str">
        <x:f>IF(OR(J29="",L29=""),"",J29*L29)</x:f>
      </x:c>
      <x:c r="N29" s="76"/>
      <x:c r="O29" s="76"/>
      <x:c r="P29" s="76"/>
      <x:c r="Q29" s="76"/>
      <x:c r="R29" s="76"/>
      <x:c r="S29" s="78" t="str">
        <x:f>IF(B29="","",TODAY())</x:f>
      </x:c>
      <x:c r="T29" s="76"/>
      <x:c r="U29" s="76" t="str">
        <x:f>IF(B29="","",IF(OR(C29="",D29="",E29="",J29="",K29="",L29="",N29="",O29="",P29="",Q29&lt;&gt;"Validé humainement"),"ALERTE: données/preuves/statut",IF(OR(F29&lt;0,G29&lt;0,H29&lt;0,J29&lt;0,L29&lt;0,M29&lt;0),"ALERTE: valeur anormale","OK")))</x:f>
      </x:c>
      <x:c r="V29" s="76" t="str">
        <x:f>IF(B29="","",IF(Q29="Validé humainement","Oui","Non"))</x:f>
      </x:c>
    </x:row>
    <x:row r="30">
      <x:c r="A30" s="76" t="str">
        <x:f>IF(B30="","","MOB-"&amp;TEXT(ROW()-4,"0000"))</x:f>
      </x:c>
      <x:c r="B30" s="76"/>
      <x:c r="C30" s="76"/>
      <x:c r="D30" s="76"/>
      <x:c r="E30" s="76"/>
      <x:c r="F30" s="81"/>
      <x:c r="G30" s="80"/>
      <x:c r="H30" s="81"/>
      <x:c r="I30" s="76"/>
      <x:c r="J30" s="77"/>
      <x:c r="K30" s="76"/>
      <x:c r="L30" s="83"/>
      <x:c r="M30" s="77" t="str">
        <x:f>IF(OR(J30="",L30=""),"",J30*L30)</x:f>
      </x:c>
      <x:c r="N30" s="76"/>
      <x:c r="O30" s="76"/>
      <x:c r="P30" s="76"/>
      <x:c r="Q30" s="76"/>
      <x:c r="R30" s="76"/>
      <x:c r="S30" s="78" t="str">
        <x:f>IF(B30="","",TODAY())</x:f>
      </x:c>
      <x:c r="T30" s="76"/>
      <x:c r="U30" s="76" t="str">
        <x:f>IF(B30="","",IF(OR(C30="",D30="",E30="",J30="",K30="",L30="",N30="",O30="",P30="",Q30&lt;&gt;"Validé humainement"),"ALERTE: données/preuves/statut",IF(OR(F30&lt;0,G30&lt;0,H30&lt;0,J30&lt;0,L30&lt;0,M30&lt;0),"ALERTE: valeur anormale","OK")))</x:f>
      </x:c>
      <x:c r="V30" s="76" t="str">
        <x:f>IF(B30="","",IF(Q30="Validé humainement","Oui","Non"))</x:f>
      </x:c>
    </x:row>
    <x:row r="31">
      <x:c r="A31" s="76" t="str">
        <x:f>IF(B31="","","MOB-"&amp;TEXT(ROW()-4,"0000"))</x:f>
      </x:c>
      <x:c r="B31" s="76"/>
      <x:c r="C31" s="76"/>
      <x:c r="D31" s="76"/>
      <x:c r="E31" s="76"/>
      <x:c r="F31" s="81"/>
      <x:c r="G31" s="80"/>
      <x:c r="H31" s="81"/>
      <x:c r="I31" s="76"/>
      <x:c r="J31" s="77"/>
      <x:c r="K31" s="76"/>
      <x:c r="L31" s="83"/>
      <x:c r="M31" s="77" t="str">
        <x:f>IF(OR(J31="",L31=""),"",J31*L31)</x:f>
      </x:c>
      <x:c r="N31" s="76"/>
      <x:c r="O31" s="76"/>
      <x:c r="P31" s="76"/>
      <x:c r="Q31" s="76"/>
      <x:c r="R31" s="76"/>
      <x:c r="S31" s="78" t="str">
        <x:f>IF(B31="","",TODAY())</x:f>
      </x:c>
      <x:c r="T31" s="76"/>
      <x:c r="U31" s="76" t="str">
        <x:f>IF(B31="","",IF(OR(C31="",D31="",E31="",J31="",K31="",L31="",N31="",O31="",P31="",Q31&lt;&gt;"Validé humainement"),"ALERTE: données/preuves/statut",IF(OR(F31&lt;0,G31&lt;0,H31&lt;0,J31&lt;0,L31&lt;0,M31&lt;0),"ALERTE: valeur anormale","OK")))</x:f>
      </x:c>
      <x:c r="V31" s="76" t="str">
        <x:f>IF(B31="","",IF(Q31="Validé humainement","Oui","Non"))</x:f>
      </x:c>
    </x:row>
    <x:row r="32">
      <x:c r="A32" s="76" t="str">
        <x:f>IF(B32="","","MOB-"&amp;TEXT(ROW()-4,"0000"))</x:f>
      </x:c>
      <x:c r="B32" s="76"/>
      <x:c r="C32" s="76"/>
      <x:c r="D32" s="76"/>
      <x:c r="E32" s="76"/>
      <x:c r="F32" s="81"/>
      <x:c r="G32" s="80"/>
      <x:c r="H32" s="81"/>
      <x:c r="I32" s="76"/>
      <x:c r="J32" s="77"/>
      <x:c r="K32" s="76"/>
      <x:c r="L32" s="83"/>
      <x:c r="M32" s="77" t="str">
        <x:f>IF(OR(J32="",L32=""),"",J32*L32)</x:f>
      </x:c>
      <x:c r="N32" s="76"/>
      <x:c r="O32" s="76"/>
      <x:c r="P32" s="76"/>
      <x:c r="Q32" s="76"/>
      <x:c r="R32" s="76"/>
      <x:c r="S32" s="78" t="str">
        <x:f>IF(B32="","",TODAY())</x:f>
      </x:c>
      <x:c r="T32" s="76"/>
      <x:c r="U32" s="76" t="str">
        <x:f>IF(B32="","",IF(OR(C32="",D32="",E32="",J32="",K32="",L32="",N32="",O32="",P32="",Q32&lt;&gt;"Validé humainement"),"ALERTE: données/preuves/statut",IF(OR(F32&lt;0,G32&lt;0,H32&lt;0,J32&lt;0,L32&lt;0,M32&lt;0),"ALERTE: valeur anormale","OK")))</x:f>
      </x:c>
      <x:c r="V32" s="76" t="str">
        <x:f>IF(B32="","",IF(Q32="Validé humainement","Oui","Non"))</x:f>
      </x:c>
    </x:row>
    <x:row r="33">
      <x:c r="A33" s="76" t="str">
        <x:f>IF(B33="","","MOB-"&amp;TEXT(ROW()-4,"0000"))</x:f>
      </x:c>
      <x:c r="B33" s="76"/>
      <x:c r="C33" s="76"/>
      <x:c r="D33" s="76"/>
      <x:c r="E33" s="76"/>
      <x:c r="F33" s="81"/>
      <x:c r="G33" s="80"/>
      <x:c r="H33" s="81"/>
      <x:c r="I33" s="76"/>
      <x:c r="J33" s="77"/>
      <x:c r="K33" s="76"/>
      <x:c r="L33" s="83"/>
      <x:c r="M33" s="77" t="str">
        <x:f>IF(OR(J33="",L33=""),"",J33*L33)</x:f>
      </x:c>
      <x:c r="N33" s="76"/>
      <x:c r="O33" s="76"/>
      <x:c r="P33" s="76"/>
      <x:c r="Q33" s="76"/>
      <x:c r="R33" s="76"/>
      <x:c r="S33" s="78" t="str">
        <x:f>IF(B33="","",TODAY())</x:f>
      </x:c>
      <x:c r="T33" s="76"/>
      <x:c r="U33" s="76" t="str">
        <x:f>IF(B33="","",IF(OR(C33="",D33="",E33="",J33="",K33="",L33="",N33="",O33="",P33="",Q33&lt;&gt;"Validé humainement"),"ALERTE: données/preuves/statut",IF(OR(F33&lt;0,G33&lt;0,H33&lt;0,J33&lt;0,L33&lt;0,M33&lt;0),"ALERTE: valeur anormale","OK")))</x:f>
      </x:c>
      <x:c r="V33" s="76" t="str">
        <x:f>IF(B33="","",IF(Q33="Validé humainement","Oui","Non"))</x:f>
      </x:c>
    </x:row>
    <x:row r="34">
      <x:c r="A34" s="76" t="str">
        <x:f>IF(B34="","","MOB-"&amp;TEXT(ROW()-4,"0000"))</x:f>
      </x:c>
      <x:c r="B34" s="76"/>
      <x:c r="C34" s="76"/>
      <x:c r="D34" s="76"/>
      <x:c r="E34" s="76"/>
      <x:c r="F34" s="81"/>
      <x:c r="G34" s="80"/>
      <x:c r="H34" s="81"/>
      <x:c r="I34" s="76"/>
      <x:c r="J34" s="77"/>
      <x:c r="K34" s="76"/>
      <x:c r="L34" s="83"/>
      <x:c r="M34" s="77" t="str">
        <x:f>IF(OR(J34="",L34=""),"",J34*L34)</x:f>
      </x:c>
      <x:c r="N34" s="76"/>
      <x:c r="O34" s="76"/>
      <x:c r="P34" s="76"/>
      <x:c r="Q34" s="76"/>
      <x:c r="R34" s="76"/>
      <x:c r="S34" s="78" t="str">
        <x:f>IF(B34="","",TODAY())</x:f>
      </x:c>
      <x:c r="T34" s="76"/>
      <x:c r="U34" s="76" t="str">
        <x:f>IF(B34="","",IF(OR(C34="",D34="",E34="",J34="",K34="",L34="",N34="",O34="",P34="",Q34&lt;&gt;"Validé humainement"),"ALERTE: données/preuves/statut",IF(OR(F34&lt;0,G34&lt;0,H34&lt;0,J34&lt;0,L34&lt;0,M34&lt;0),"ALERTE: valeur anormale","OK")))</x:f>
      </x:c>
      <x:c r="V34" s="76" t="str">
        <x:f>IF(B34="","",IF(Q34="Validé humainement","Oui","Non"))</x:f>
      </x:c>
    </x:row>
    <x:row r="35">
      <x:c r="A35" s="76" t="str">
        <x:f>IF(B35="","","MOB-"&amp;TEXT(ROW()-4,"0000"))</x:f>
      </x:c>
      <x:c r="B35" s="76"/>
      <x:c r="C35" s="76"/>
      <x:c r="D35" s="76"/>
      <x:c r="E35" s="76"/>
      <x:c r="F35" s="81"/>
      <x:c r="G35" s="80"/>
      <x:c r="H35" s="81"/>
      <x:c r="I35" s="76"/>
      <x:c r="J35" s="77"/>
      <x:c r="K35" s="76"/>
      <x:c r="L35" s="83"/>
      <x:c r="M35" s="77" t="str">
        <x:f>IF(OR(J35="",L35=""),"",J35*L35)</x:f>
      </x:c>
      <x:c r="N35" s="76"/>
      <x:c r="O35" s="76"/>
      <x:c r="P35" s="76"/>
      <x:c r="Q35" s="76"/>
      <x:c r="R35" s="76"/>
      <x:c r="S35" s="78" t="str">
        <x:f>IF(B35="","",TODAY())</x:f>
      </x:c>
      <x:c r="T35" s="76"/>
      <x:c r="U35" s="76" t="str">
        <x:f>IF(B35="","",IF(OR(C35="",D35="",E35="",J35="",K35="",L35="",N35="",O35="",P35="",Q35&lt;&gt;"Validé humainement"),"ALERTE: données/preuves/statut",IF(OR(F35&lt;0,G35&lt;0,H35&lt;0,J35&lt;0,L35&lt;0,M35&lt;0),"ALERTE: valeur anormale","OK")))</x:f>
      </x:c>
      <x:c r="V35" s="76" t="str">
        <x:f>IF(B35="","",IF(Q35="Validé humainement","Oui","Non"))</x:f>
      </x:c>
    </x:row>
    <x:row r="36">
      <x:c r="A36" s="76" t="str">
        <x:f>IF(B36="","","MOB-"&amp;TEXT(ROW()-4,"0000"))</x:f>
      </x:c>
      <x:c r="B36" s="76"/>
      <x:c r="C36" s="76"/>
      <x:c r="D36" s="76"/>
      <x:c r="E36" s="76"/>
      <x:c r="F36" s="81"/>
      <x:c r="G36" s="80"/>
      <x:c r="H36" s="81"/>
      <x:c r="I36" s="76"/>
      <x:c r="J36" s="77"/>
      <x:c r="K36" s="76"/>
      <x:c r="L36" s="83"/>
      <x:c r="M36" s="77" t="str">
        <x:f>IF(OR(J36="",L36=""),"",J36*L36)</x:f>
      </x:c>
      <x:c r="N36" s="76"/>
      <x:c r="O36" s="76"/>
      <x:c r="P36" s="76"/>
      <x:c r="Q36" s="76"/>
      <x:c r="R36" s="76"/>
      <x:c r="S36" s="78" t="str">
        <x:f>IF(B36="","",TODAY())</x:f>
      </x:c>
      <x:c r="T36" s="76"/>
      <x:c r="U36" s="76" t="str">
        <x:f>IF(B36="","",IF(OR(C36="",D36="",E36="",J36="",K36="",L36="",N36="",O36="",P36="",Q36&lt;&gt;"Validé humainement"),"ALERTE: données/preuves/statut",IF(OR(F36&lt;0,G36&lt;0,H36&lt;0,J36&lt;0,L36&lt;0,M36&lt;0),"ALERTE: valeur anormale","OK")))</x:f>
      </x:c>
      <x:c r="V36" s="76" t="str">
        <x:f>IF(B36="","",IF(Q36="Validé humainement","Oui","Non"))</x:f>
      </x:c>
    </x:row>
    <x:row r="37">
      <x:c r="A37" s="76" t="str">
        <x:f>IF(B37="","","MOB-"&amp;TEXT(ROW()-4,"0000"))</x:f>
      </x:c>
      <x:c r="B37" s="76"/>
      <x:c r="C37" s="76"/>
      <x:c r="D37" s="76"/>
      <x:c r="E37" s="76"/>
      <x:c r="F37" s="81"/>
      <x:c r="G37" s="80"/>
      <x:c r="H37" s="81"/>
      <x:c r="I37" s="76"/>
      <x:c r="J37" s="77"/>
      <x:c r="K37" s="76"/>
      <x:c r="L37" s="83"/>
      <x:c r="M37" s="77" t="str">
        <x:f>IF(OR(J37="",L37=""),"",J37*L37)</x:f>
      </x:c>
      <x:c r="N37" s="76"/>
      <x:c r="O37" s="76"/>
      <x:c r="P37" s="76"/>
      <x:c r="Q37" s="76"/>
      <x:c r="R37" s="76"/>
      <x:c r="S37" s="78" t="str">
        <x:f>IF(B37="","",TODAY())</x:f>
      </x:c>
      <x:c r="T37" s="76"/>
      <x:c r="U37" s="76" t="str">
        <x:f>IF(B37="","",IF(OR(C37="",D37="",E37="",J37="",K37="",L37="",N37="",O37="",P37="",Q37&lt;&gt;"Validé humainement"),"ALERTE: données/preuves/statut",IF(OR(F37&lt;0,G37&lt;0,H37&lt;0,J37&lt;0,L37&lt;0,M37&lt;0),"ALERTE: valeur anormale","OK")))</x:f>
      </x:c>
      <x:c r="V37" s="76" t="str">
        <x:f>IF(B37="","",IF(Q37="Validé humainement","Oui","Non"))</x:f>
      </x:c>
    </x:row>
    <x:row r="38">
      <x:c r="A38" s="76" t="str">
        <x:f>IF(B38="","","MOB-"&amp;TEXT(ROW()-4,"0000"))</x:f>
      </x:c>
      <x:c r="B38" s="76"/>
      <x:c r="C38" s="76"/>
      <x:c r="D38" s="76"/>
      <x:c r="E38" s="76"/>
      <x:c r="F38" s="81"/>
      <x:c r="G38" s="80"/>
      <x:c r="H38" s="81"/>
      <x:c r="I38" s="76"/>
      <x:c r="J38" s="77"/>
      <x:c r="K38" s="76"/>
      <x:c r="L38" s="83"/>
      <x:c r="M38" s="77" t="str">
        <x:f>IF(OR(J38="",L38=""),"",J38*L38)</x:f>
      </x:c>
      <x:c r="N38" s="76"/>
      <x:c r="O38" s="76"/>
      <x:c r="P38" s="76"/>
      <x:c r="Q38" s="76"/>
      <x:c r="R38" s="76"/>
      <x:c r="S38" s="78" t="str">
        <x:f>IF(B38="","",TODAY())</x:f>
      </x:c>
      <x:c r="T38" s="76"/>
      <x:c r="U38" s="76" t="str">
        <x:f>IF(B38="","",IF(OR(C38="",D38="",E38="",J38="",K38="",L38="",N38="",O38="",P38="",Q38&lt;&gt;"Validé humainement"),"ALERTE: données/preuves/statut",IF(OR(F38&lt;0,G38&lt;0,H38&lt;0,J38&lt;0,L38&lt;0,M38&lt;0),"ALERTE: valeur anormale","OK")))</x:f>
      </x:c>
      <x:c r="V38" s="76" t="str">
        <x:f>IF(B38="","",IF(Q38="Validé humainement","Oui","Non"))</x:f>
      </x:c>
    </x:row>
    <x:row r="39">
      <x:c r="A39" s="76" t="str">
        <x:f>IF(B39="","","MOB-"&amp;TEXT(ROW()-4,"0000"))</x:f>
      </x:c>
      <x:c r="B39" s="76"/>
      <x:c r="C39" s="76"/>
      <x:c r="D39" s="76"/>
      <x:c r="E39" s="76"/>
      <x:c r="F39" s="81"/>
      <x:c r="G39" s="80"/>
      <x:c r="H39" s="81"/>
      <x:c r="I39" s="76"/>
      <x:c r="J39" s="77"/>
      <x:c r="K39" s="76"/>
      <x:c r="L39" s="83"/>
      <x:c r="M39" s="77" t="str">
        <x:f>IF(OR(J39="",L39=""),"",J39*L39)</x:f>
      </x:c>
      <x:c r="N39" s="76"/>
      <x:c r="O39" s="76"/>
      <x:c r="P39" s="76"/>
      <x:c r="Q39" s="76"/>
      <x:c r="R39" s="76"/>
      <x:c r="S39" s="78" t="str">
        <x:f>IF(B39="","",TODAY())</x:f>
      </x:c>
      <x:c r="T39" s="76"/>
      <x:c r="U39" s="76" t="str">
        <x:f>IF(B39="","",IF(OR(C39="",D39="",E39="",J39="",K39="",L39="",N39="",O39="",P39="",Q39&lt;&gt;"Validé humainement"),"ALERTE: données/preuves/statut",IF(OR(F39&lt;0,G39&lt;0,H39&lt;0,J39&lt;0,L39&lt;0,M39&lt;0),"ALERTE: valeur anormale","OK")))</x:f>
      </x:c>
      <x:c r="V39" s="76" t="str">
        <x:f>IF(B39="","",IF(Q39="Validé humainement","Oui","Non"))</x:f>
      </x:c>
    </x:row>
    <x:row r="40">
      <x:c r="A40" s="76" t="str">
        <x:f>IF(B40="","","MOB-"&amp;TEXT(ROW()-4,"0000"))</x:f>
      </x:c>
      <x:c r="B40" s="76"/>
      <x:c r="C40" s="76"/>
      <x:c r="D40" s="76"/>
      <x:c r="E40" s="76"/>
      <x:c r="F40" s="81"/>
      <x:c r="G40" s="80"/>
      <x:c r="H40" s="81"/>
      <x:c r="I40" s="76"/>
      <x:c r="J40" s="77"/>
      <x:c r="K40" s="76"/>
      <x:c r="L40" s="83"/>
      <x:c r="M40" s="77" t="str">
        <x:f>IF(OR(J40="",L40=""),"",J40*L40)</x:f>
      </x:c>
      <x:c r="N40" s="76"/>
      <x:c r="O40" s="76"/>
      <x:c r="P40" s="76"/>
      <x:c r="Q40" s="76"/>
      <x:c r="R40" s="76"/>
      <x:c r="S40" s="78" t="str">
        <x:f>IF(B40="","",TODAY())</x:f>
      </x:c>
      <x:c r="T40" s="76"/>
      <x:c r="U40" s="76" t="str">
        <x:f>IF(B40="","",IF(OR(C40="",D40="",E40="",J40="",K40="",L40="",N40="",O40="",P40="",Q40&lt;&gt;"Validé humainement"),"ALERTE: données/preuves/statut",IF(OR(F40&lt;0,G40&lt;0,H40&lt;0,J40&lt;0,L40&lt;0,M40&lt;0),"ALERTE: valeur anormale","OK")))</x:f>
      </x:c>
      <x:c r="V40" s="76" t="str">
        <x:f>IF(B40="","",IF(Q40="Validé humainement","Oui","Non"))</x:f>
      </x:c>
    </x:row>
    <x:row r="41">
      <x:c r="A41" s="76" t="str">
        <x:f>IF(B41="","","MOB-"&amp;TEXT(ROW()-4,"0000"))</x:f>
      </x:c>
      <x:c r="B41" s="76"/>
      <x:c r="C41" s="76"/>
      <x:c r="D41" s="76"/>
      <x:c r="E41" s="76"/>
      <x:c r="F41" s="81"/>
      <x:c r="G41" s="80"/>
      <x:c r="H41" s="81"/>
      <x:c r="I41" s="76"/>
      <x:c r="J41" s="77"/>
      <x:c r="K41" s="76"/>
      <x:c r="L41" s="83"/>
      <x:c r="M41" s="77" t="str">
        <x:f>IF(OR(J41="",L41=""),"",J41*L41)</x:f>
      </x:c>
      <x:c r="N41" s="76"/>
      <x:c r="O41" s="76"/>
      <x:c r="P41" s="76"/>
      <x:c r="Q41" s="76"/>
      <x:c r="R41" s="76"/>
      <x:c r="S41" s="78" t="str">
        <x:f>IF(B41="","",TODAY())</x:f>
      </x:c>
      <x:c r="T41" s="76"/>
      <x:c r="U41" s="76" t="str">
        <x:f>IF(B41="","",IF(OR(C41="",D41="",E41="",J41="",K41="",L41="",N41="",O41="",P41="",Q41&lt;&gt;"Validé humainement"),"ALERTE: données/preuves/statut",IF(OR(F41&lt;0,G41&lt;0,H41&lt;0,J41&lt;0,L41&lt;0,M41&lt;0),"ALERTE: valeur anormale","OK")))</x:f>
      </x:c>
      <x:c r="V41" s="76" t="str">
        <x:f>IF(B41="","",IF(Q41="Validé humainement","Oui","Non"))</x:f>
      </x:c>
    </x:row>
    <x:row r="42">
      <x:c r="A42" s="76" t="str">
        <x:f>IF(B42="","","MOB-"&amp;TEXT(ROW()-4,"0000"))</x:f>
      </x:c>
      <x:c r="B42" s="76"/>
      <x:c r="C42" s="76"/>
      <x:c r="D42" s="76"/>
      <x:c r="E42" s="76"/>
      <x:c r="F42" s="81"/>
      <x:c r="G42" s="80"/>
      <x:c r="H42" s="81"/>
      <x:c r="I42" s="76"/>
      <x:c r="J42" s="77"/>
      <x:c r="K42" s="76"/>
      <x:c r="L42" s="83"/>
      <x:c r="M42" s="77" t="str">
        <x:f>IF(OR(J42="",L42=""),"",J42*L42)</x:f>
      </x:c>
      <x:c r="N42" s="76"/>
      <x:c r="O42" s="76"/>
      <x:c r="P42" s="76"/>
      <x:c r="Q42" s="76"/>
      <x:c r="R42" s="76"/>
      <x:c r="S42" s="78" t="str">
        <x:f>IF(B42="","",TODAY())</x:f>
      </x:c>
      <x:c r="T42" s="76"/>
      <x:c r="U42" s="76" t="str">
        <x:f>IF(B42="","",IF(OR(C42="",D42="",E42="",J42="",K42="",L42="",N42="",O42="",P42="",Q42&lt;&gt;"Validé humainement"),"ALERTE: données/preuves/statut",IF(OR(F42&lt;0,G42&lt;0,H42&lt;0,J42&lt;0,L42&lt;0,M42&lt;0),"ALERTE: valeur anormale","OK")))</x:f>
      </x:c>
      <x:c r="V42" s="76" t="str">
        <x:f>IF(B42="","",IF(Q42="Validé humainement","Oui","Non"))</x:f>
      </x:c>
    </x:row>
    <x:row r="43">
      <x:c r="A43" s="76" t="str">
        <x:f>IF(B43="","","MOB-"&amp;TEXT(ROW()-4,"0000"))</x:f>
      </x:c>
      <x:c r="B43" s="76"/>
      <x:c r="C43" s="76"/>
      <x:c r="D43" s="76"/>
      <x:c r="E43" s="76"/>
      <x:c r="F43" s="81"/>
      <x:c r="G43" s="80"/>
      <x:c r="H43" s="81"/>
      <x:c r="I43" s="76"/>
      <x:c r="J43" s="77"/>
      <x:c r="K43" s="76"/>
      <x:c r="L43" s="83"/>
      <x:c r="M43" s="77" t="str">
        <x:f>IF(OR(J43="",L43=""),"",J43*L43)</x:f>
      </x:c>
      <x:c r="N43" s="76"/>
      <x:c r="O43" s="76"/>
      <x:c r="P43" s="76"/>
      <x:c r="Q43" s="76"/>
      <x:c r="R43" s="76"/>
      <x:c r="S43" s="78" t="str">
        <x:f>IF(B43="","",TODAY())</x:f>
      </x:c>
      <x:c r="T43" s="76"/>
      <x:c r="U43" s="76" t="str">
        <x:f>IF(B43="","",IF(OR(C43="",D43="",E43="",J43="",K43="",L43="",N43="",O43="",P43="",Q43&lt;&gt;"Validé humainement"),"ALERTE: données/preuves/statut",IF(OR(F43&lt;0,G43&lt;0,H43&lt;0,J43&lt;0,L43&lt;0,M43&lt;0),"ALERTE: valeur anormale","OK")))</x:f>
      </x:c>
      <x:c r="V43" s="76" t="str">
        <x:f>IF(B43="","",IF(Q43="Validé humainement","Oui","Non"))</x:f>
      </x:c>
    </x:row>
    <x:row r="44">
      <x:c r="A44" s="76" t="str">
        <x:f>IF(B44="","","MOB-"&amp;TEXT(ROW()-4,"0000"))</x:f>
      </x:c>
      <x:c r="B44" s="76"/>
      <x:c r="C44" s="76"/>
      <x:c r="D44" s="76"/>
      <x:c r="E44" s="76"/>
      <x:c r="F44" s="81"/>
      <x:c r="G44" s="80"/>
      <x:c r="H44" s="81"/>
      <x:c r="I44" s="76"/>
      <x:c r="J44" s="77"/>
      <x:c r="K44" s="76"/>
      <x:c r="L44" s="83"/>
      <x:c r="M44" s="77" t="str">
        <x:f>IF(OR(J44="",L44=""),"",J44*L44)</x:f>
      </x:c>
      <x:c r="N44" s="76"/>
      <x:c r="O44" s="76"/>
      <x:c r="P44" s="76"/>
      <x:c r="Q44" s="76"/>
      <x:c r="R44" s="76"/>
      <x:c r="S44" s="78" t="str">
        <x:f>IF(B44="","",TODAY())</x:f>
      </x:c>
      <x:c r="T44" s="76"/>
      <x:c r="U44" s="76" t="str">
        <x:f>IF(B44="","",IF(OR(C44="",D44="",E44="",J44="",K44="",L44="",N44="",O44="",P44="",Q44&lt;&gt;"Validé humainement"),"ALERTE: données/preuves/statut",IF(OR(F44&lt;0,G44&lt;0,H44&lt;0,J44&lt;0,L44&lt;0,M44&lt;0),"ALERTE: valeur anormale","OK")))</x:f>
      </x:c>
      <x:c r="V44" s="76" t="str">
        <x:f>IF(B44="","",IF(Q44="Validé humainement","Oui","Non"))</x:f>
      </x:c>
    </x:row>
    <x:row r="45">
      <x:c r="A45" s="76" t="str">
        <x:f>IF(B45="","","MOB-"&amp;TEXT(ROW()-4,"0000"))</x:f>
      </x:c>
      <x:c r="B45" s="76"/>
      <x:c r="C45" s="76"/>
      <x:c r="D45" s="76"/>
      <x:c r="E45" s="76"/>
      <x:c r="F45" s="81"/>
      <x:c r="G45" s="80"/>
      <x:c r="H45" s="81"/>
      <x:c r="I45" s="76"/>
      <x:c r="J45" s="77"/>
      <x:c r="K45" s="76"/>
      <x:c r="L45" s="83"/>
      <x:c r="M45" s="77" t="str">
        <x:f>IF(OR(J45="",L45=""),"",J45*L45)</x:f>
      </x:c>
      <x:c r="N45" s="76"/>
      <x:c r="O45" s="76"/>
      <x:c r="P45" s="76"/>
      <x:c r="Q45" s="76"/>
      <x:c r="R45" s="76"/>
      <x:c r="S45" s="78" t="str">
        <x:f>IF(B45="","",TODAY())</x:f>
      </x:c>
      <x:c r="T45" s="76"/>
      <x:c r="U45" s="76" t="str">
        <x:f>IF(B45="","",IF(OR(C45="",D45="",E45="",J45="",K45="",L45="",N45="",O45="",P45="",Q45&lt;&gt;"Validé humainement"),"ALERTE: données/preuves/statut",IF(OR(F45&lt;0,G45&lt;0,H45&lt;0,J45&lt;0,L45&lt;0,M45&lt;0),"ALERTE: valeur anormale","OK")))</x:f>
      </x:c>
      <x:c r="V45" s="76" t="str">
        <x:f>IF(B45="","",IF(Q45="Validé humainement","Oui","Non"))</x:f>
      </x:c>
    </x:row>
    <x:row r="46">
      <x:c r="A46" s="76" t="str">
        <x:f>IF(B46="","","MOB-"&amp;TEXT(ROW()-4,"0000"))</x:f>
      </x:c>
      <x:c r="B46" s="76"/>
      <x:c r="C46" s="76"/>
      <x:c r="D46" s="76"/>
      <x:c r="E46" s="76"/>
      <x:c r="F46" s="81"/>
      <x:c r="G46" s="80"/>
      <x:c r="H46" s="81"/>
      <x:c r="I46" s="76"/>
      <x:c r="J46" s="77"/>
      <x:c r="K46" s="76"/>
      <x:c r="L46" s="83"/>
      <x:c r="M46" s="77" t="str">
        <x:f>IF(OR(J46="",L46=""),"",J46*L46)</x:f>
      </x:c>
      <x:c r="N46" s="76"/>
      <x:c r="O46" s="76"/>
      <x:c r="P46" s="76"/>
      <x:c r="Q46" s="76"/>
      <x:c r="R46" s="76"/>
      <x:c r="S46" s="78" t="str">
        <x:f>IF(B46="","",TODAY())</x:f>
      </x:c>
      <x:c r="T46" s="76"/>
      <x:c r="U46" s="76" t="str">
        <x:f>IF(B46="","",IF(OR(C46="",D46="",E46="",J46="",K46="",L46="",N46="",O46="",P46="",Q46&lt;&gt;"Validé humainement"),"ALERTE: données/preuves/statut",IF(OR(F46&lt;0,G46&lt;0,H46&lt;0,J46&lt;0,L46&lt;0,M46&lt;0),"ALERTE: valeur anormale","OK")))</x:f>
      </x:c>
      <x:c r="V46" s="76" t="str">
        <x:f>IF(B46="","",IF(Q46="Validé humainement","Oui","Non"))</x:f>
      </x:c>
    </x:row>
    <x:row r="47">
      <x:c r="A47" s="76" t="str">
        <x:f>IF(B47="","","MOB-"&amp;TEXT(ROW()-4,"0000"))</x:f>
      </x:c>
      <x:c r="B47" s="76"/>
      <x:c r="C47" s="76"/>
      <x:c r="D47" s="76"/>
      <x:c r="E47" s="76"/>
      <x:c r="F47" s="81"/>
      <x:c r="G47" s="80"/>
      <x:c r="H47" s="81"/>
      <x:c r="I47" s="76"/>
      <x:c r="J47" s="77"/>
      <x:c r="K47" s="76"/>
      <x:c r="L47" s="83"/>
      <x:c r="M47" s="77" t="str">
        <x:f>IF(OR(J47="",L47=""),"",J47*L47)</x:f>
      </x:c>
      <x:c r="N47" s="76"/>
      <x:c r="O47" s="76"/>
      <x:c r="P47" s="76"/>
      <x:c r="Q47" s="76"/>
      <x:c r="R47" s="76"/>
      <x:c r="S47" s="78" t="str">
        <x:f>IF(B47="","",TODAY())</x:f>
      </x:c>
      <x:c r="T47" s="76"/>
      <x:c r="U47" s="76" t="str">
        <x:f>IF(B47="","",IF(OR(C47="",D47="",E47="",J47="",K47="",L47="",N47="",O47="",P47="",Q47&lt;&gt;"Validé humainement"),"ALERTE: données/preuves/statut",IF(OR(F47&lt;0,G47&lt;0,H47&lt;0,J47&lt;0,L47&lt;0,M47&lt;0),"ALERTE: valeur anormale","OK")))</x:f>
      </x:c>
      <x:c r="V47" s="76" t="str">
        <x:f>IF(B47="","",IF(Q47="Validé humainement","Oui","Non"))</x:f>
      </x:c>
    </x:row>
    <x:row r="48">
      <x:c r="A48" s="76" t="str">
        <x:f>IF(B48="","","MOB-"&amp;TEXT(ROW()-4,"0000"))</x:f>
      </x:c>
      <x:c r="B48" s="76"/>
      <x:c r="C48" s="76"/>
      <x:c r="D48" s="76"/>
      <x:c r="E48" s="76"/>
      <x:c r="F48" s="81"/>
      <x:c r="G48" s="80"/>
      <x:c r="H48" s="81"/>
      <x:c r="I48" s="76"/>
      <x:c r="J48" s="77"/>
      <x:c r="K48" s="76"/>
      <x:c r="L48" s="83"/>
      <x:c r="M48" s="77" t="str">
        <x:f>IF(OR(J48="",L48=""),"",J48*L48)</x:f>
      </x:c>
      <x:c r="N48" s="76"/>
      <x:c r="O48" s="76"/>
      <x:c r="P48" s="76"/>
      <x:c r="Q48" s="76"/>
      <x:c r="R48" s="76"/>
      <x:c r="S48" s="78" t="str">
        <x:f>IF(B48="","",TODAY())</x:f>
      </x:c>
      <x:c r="T48" s="76"/>
      <x:c r="U48" s="76" t="str">
        <x:f>IF(B48="","",IF(OR(C48="",D48="",E48="",J48="",K48="",L48="",N48="",O48="",P48="",Q48&lt;&gt;"Validé humainement"),"ALERTE: données/preuves/statut",IF(OR(F48&lt;0,G48&lt;0,H48&lt;0,J48&lt;0,L48&lt;0,M48&lt;0),"ALERTE: valeur anormale","OK")))</x:f>
      </x:c>
      <x:c r="V48" s="76" t="str">
        <x:f>IF(B48="","",IF(Q48="Validé humainement","Oui","Non"))</x:f>
      </x:c>
    </x:row>
    <x:row r="49">
      <x:c r="A49" s="76" t="str">
        <x:f>IF(B49="","","MOB-"&amp;TEXT(ROW()-4,"0000"))</x:f>
      </x:c>
      <x:c r="B49" s="76"/>
      <x:c r="C49" s="76"/>
      <x:c r="D49" s="76"/>
      <x:c r="E49" s="76"/>
      <x:c r="F49" s="81"/>
      <x:c r="G49" s="80"/>
      <x:c r="H49" s="81"/>
      <x:c r="I49" s="76"/>
      <x:c r="J49" s="77"/>
      <x:c r="K49" s="76"/>
      <x:c r="L49" s="83"/>
      <x:c r="M49" s="77" t="str">
        <x:f>IF(OR(J49="",L49=""),"",J49*L49)</x:f>
      </x:c>
      <x:c r="N49" s="76"/>
      <x:c r="O49" s="76"/>
      <x:c r="P49" s="76"/>
      <x:c r="Q49" s="76"/>
      <x:c r="R49" s="76"/>
      <x:c r="S49" s="78" t="str">
        <x:f>IF(B49="","",TODAY())</x:f>
      </x:c>
      <x:c r="T49" s="76"/>
      <x:c r="U49" s="76" t="str">
        <x:f>IF(B49="","",IF(OR(C49="",D49="",E49="",J49="",K49="",L49="",N49="",O49="",P49="",Q49&lt;&gt;"Validé humainement"),"ALERTE: données/preuves/statut",IF(OR(F49&lt;0,G49&lt;0,H49&lt;0,J49&lt;0,L49&lt;0,M49&lt;0),"ALERTE: valeur anormale","OK")))</x:f>
      </x:c>
      <x:c r="V49" s="76" t="str">
        <x:f>IF(B49="","",IF(Q49="Validé humainement","Oui","Non"))</x:f>
      </x:c>
    </x:row>
    <x:row r="50">
      <x:c r="A50" s="76" t="str">
        <x:f>IF(B50="","","MOB-"&amp;TEXT(ROW()-4,"0000"))</x:f>
      </x:c>
      <x:c r="B50" s="76"/>
      <x:c r="C50" s="76"/>
      <x:c r="D50" s="76"/>
      <x:c r="E50" s="76"/>
      <x:c r="F50" s="81"/>
      <x:c r="G50" s="80"/>
      <x:c r="H50" s="81"/>
      <x:c r="I50" s="76"/>
      <x:c r="J50" s="77"/>
      <x:c r="K50" s="76"/>
      <x:c r="L50" s="83"/>
      <x:c r="M50" s="77" t="str">
        <x:f>IF(OR(J50="",L50=""),"",J50*L50)</x:f>
      </x:c>
      <x:c r="N50" s="76"/>
      <x:c r="O50" s="76"/>
      <x:c r="P50" s="76"/>
      <x:c r="Q50" s="76"/>
      <x:c r="R50" s="76"/>
      <x:c r="S50" s="78" t="str">
        <x:f>IF(B50="","",TODAY())</x:f>
      </x:c>
      <x:c r="T50" s="76"/>
      <x:c r="U50" s="76" t="str">
        <x:f>IF(B50="","",IF(OR(C50="",D50="",E50="",J50="",K50="",L50="",N50="",O50="",P50="",Q50&lt;&gt;"Validé humainement"),"ALERTE: données/preuves/statut",IF(OR(F50&lt;0,G50&lt;0,H50&lt;0,J50&lt;0,L50&lt;0,M50&lt;0),"ALERTE: valeur anormale","OK")))</x:f>
      </x:c>
      <x:c r="V50" s="76" t="str">
        <x:f>IF(B50="","",IF(Q50="Validé humainement","Oui","Non"))</x:f>
      </x:c>
    </x:row>
    <x:row r="51">
      <x:c r="A51" s="76" t="str">
        <x:f>IF(B51="","","MOB-"&amp;TEXT(ROW()-4,"0000"))</x:f>
      </x:c>
      <x:c r="B51" s="76"/>
      <x:c r="C51" s="76"/>
      <x:c r="D51" s="76"/>
      <x:c r="E51" s="76"/>
      <x:c r="F51" s="81"/>
      <x:c r="G51" s="80"/>
      <x:c r="H51" s="81"/>
      <x:c r="I51" s="76"/>
      <x:c r="J51" s="77"/>
      <x:c r="K51" s="76"/>
      <x:c r="L51" s="83"/>
      <x:c r="M51" s="77" t="str">
        <x:f>IF(OR(J51="",L51=""),"",J51*L51)</x:f>
      </x:c>
      <x:c r="N51" s="76"/>
      <x:c r="O51" s="76"/>
      <x:c r="P51" s="76"/>
      <x:c r="Q51" s="76"/>
      <x:c r="R51" s="76"/>
      <x:c r="S51" s="78" t="str">
        <x:f>IF(B51="","",TODAY())</x:f>
      </x:c>
      <x:c r="T51" s="76"/>
      <x:c r="U51" s="76" t="str">
        <x:f>IF(B51="","",IF(OR(C51="",D51="",E51="",J51="",K51="",L51="",N51="",O51="",P51="",Q51&lt;&gt;"Validé humainement"),"ALERTE: données/preuves/statut",IF(OR(F51&lt;0,G51&lt;0,H51&lt;0,J51&lt;0,L51&lt;0,M51&lt;0),"ALERTE: valeur anormale","OK")))</x:f>
      </x:c>
      <x:c r="V51" s="76" t="str">
        <x:f>IF(B51="","",IF(Q51="Validé humainement","Oui","Non"))</x:f>
      </x:c>
    </x:row>
    <x:row r="52">
      <x:c r="A52" s="76" t="str">
        <x:f>IF(B52="","","MOB-"&amp;TEXT(ROW()-4,"0000"))</x:f>
      </x:c>
      <x:c r="B52" s="76"/>
      <x:c r="C52" s="76"/>
      <x:c r="D52" s="76"/>
      <x:c r="E52" s="76"/>
      <x:c r="F52" s="81"/>
      <x:c r="G52" s="80"/>
      <x:c r="H52" s="81"/>
      <x:c r="I52" s="76"/>
      <x:c r="J52" s="77"/>
      <x:c r="K52" s="76"/>
      <x:c r="L52" s="83"/>
      <x:c r="M52" s="77" t="str">
        <x:f>IF(OR(J52="",L52=""),"",J52*L52)</x:f>
      </x:c>
      <x:c r="N52" s="76"/>
      <x:c r="O52" s="76"/>
      <x:c r="P52" s="76"/>
      <x:c r="Q52" s="76"/>
      <x:c r="R52" s="76"/>
      <x:c r="S52" s="78" t="str">
        <x:f>IF(B52="","",TODAY())</x:f>
      </x:c>
      <x:c r="T52" s="76"/>
      <x:c r="U52" s="76" t="str">
        <x:f>IF(B52="","",IF(OR(C52="",D52="",E52="",J52="",K52="",L52="",N52="",O52="",P52="",Q52&lt;&gt;"Validé humainement"),"ALERTE: données/preuves/statut",IF(OR(F52&lt;0,G52&lt;0,H52&lt;0,J52&lt;0,L52&lt;0,M52&lt;0),"ALERTE: valeur anormale","OK")))</x:f>
      </x:c>
      <x:c r="V52" s="76" t="str">
        <x:f>IF(B52="","",IF(Q52="Validé humainement","Oui","Non"))</x:f>
      </x:c>
    </x:row>
    <x:row r="53">
      <x:c r="A53" s="76" t="str">
        <x:f>IF(B53="","","MOB-"&amp;TEXT(ROW()-4,"0000"))</x:f>
      </x:c>
      <x:c r="B53" s="76"/>
      <x:c r="C53" s="76"/>
      <x:c r="D53" s="76"/>
      <x:c r="E53" s="76"/>
      <x:c r="F53" s="81"/>
      <x:c r="G53" s="80"/>
      <x:c r="H53" s="81"/>
      <x:c r="I53" s="76"/>
      <x:c r="J53" s="77"/>
      <x:c r="K53" s="76"/>
      <x:c r="L53" s="83"/>
      <x:c r="M53" s="77" t="str">
        <x:f>IF(OR(J53="",L53=""),"",J53*L53)</x:f>
      </x:c>
      <x:c r="N53" s="76"/>
      <x:c r="O53" s="76"/>
      <x:c r="P53" s="76"/>
      <x:c r="Q53" s="76"/>
      <x:c r="R53" s="76"/>
      <x:c r="S53" s="78" t="str">
        <x:f>IF(B53="","",TODAY())</x:f>
      </x:c>
      <x:c r="T53" s="76"/>
      <x:c r="U53" s="76" t="str">
        <x:f>IF(B53="","",IF(OR(C53="",D53="",E53="",J53="",K53="",L53="",N53="",O53="",P53="",Q53&lt;&gt;"Validé humainement"),"ALERTE: données/preuves/statut",IF(OR(F53&lt;0,G53&lt;0,H53&lt;0,J53&lt;0,L53&lt;0,M53&lt;0),"ALERTE: valeur anormale","OK")))</x:f>
      </x:c>
      <x:c r="V53" s="76" t="str">
        <x:f>IF(B53="","",IF(Q53="Validé humainement","Oui","Non"))</x:f>
      </x:c>
    </x:row>
    <x:row r="54">
      <x:c r="A54" s="76" t="str">
        <x:f>IF(B54="","","MOB-"&amp;TEXT(ROW()-4,"0000"))</x:f>
      </x:c>
      <x:c r="B54" s="76"/>
      <x:c r="C54" s="76"/>
      <x:c r="D54" s="76"/>
      <x:c r="E54" s="76"/>
      <x:c r="F54" s="81"/>
      <x:c r="G54" s="80"/>
      <x:c r="H54" s="81"/>
      <x:c r="I54" s="76"/>
      <x:c r="J54" s="77"/>
      <x:c r="K54" s="76"/>
      <x:c r="L54" s="83"/>
      <x:c r="M54" s="77" t="str">
        <x:f>IF(OR(J54="",L54=""),"",J54*L54)</x:f>
      </x:c>
      <x:c r="N54" s="76"/>
      <x:c r="O54" s="76"/>
      <x:c r="P54" s="76"/>
      <x:c r="Q54" s="76"/>
      <x:c r="R54" s="76"/>
      <x:c r="S54" s="78" t="str">
        <x:f>IF(B54="","",TODAY())</x:f>
      </x:c>
      <x:c r="T54" s="76"/>
      <x:c r="U54" s="76" t="str">
        <x:f>IF(B54="","",IF(OR(C54="",D54="",E54="",J54="",K54="",L54="",N54="",O54="",P54="",Q54&lt;&gt;"Validé humainement"),"ALERTE: données/preuves/statut",IF(OR(F54&lt;0,G54&lt;0,H54&lt;0,J54&lt;0,L54&lt;0,M54&lt;0),"ALERTE: valeur anormale","OK")))</x:f>
      </x:c>
      <x:c r="V54" s="76" t="str">
        <x:f>IF(B54="","",IF(Q54="Validé humainement","Oui","Non"))</x:f>
      </x:c>
    </x:row>
    <x:row r="55">
      <x:c r="A55" s="76" t="str">
        <x:f>IF(B55="","","MOB-"&amp;TEXT(ROW()-4,"0000"))</x:f>
      </x:c>
      <x:c r="B55" s="76"/>
      <x:c r="C55" s="76"/>
      <x:c r="D55" s="76"/>
      <x:c r="E55" s="76"/>
      <x:c r="F55" s="81"/>
      <x:c r="G55" s="80"/>
      <x:c r="H55" s="81"/>
      <x:c r="I55" s="76"/>
      <x:c r="J55" s="77"/>
      <x:c r="K55" s="76"/>
      <x:c r="L55" s="83"/>
      <x:c r="M55" s="77" t="str">
        <x:f>IF(OR(J55="",L55=""),"",J55*L55)</x:f>
      </x:c>
      <x:c r="N55" s="76"/>
      <x:c r="O55" s="76"/>
      <x:c r="P55" s="76"/>
      <x:c r="Q55" s="76"/>
      <x:c r="R55" s="76"/>
      <x:c r="S55" s="78" t="str">
        <x:f>IF(B55="","",TODAY())</x:f>
      </x:c>
      <x:c r="T55" s="76"/>
      <x:c r="U55" s="76" t="str">
        <x:f>IF(B55="","",IF(OR(C55="",D55="",E55="",J55="",K55="",L55="",N55="",O55="",P55="",Q55&lt;&gt;"Validé humainement"),"ALERTE: données/preuves/statut",IF(OR(F55&lt;0,G55&lt;0,H55&lt;0,J55&lt;0,L55&lt;0,M55&lt;0),"ALERTE: valeur anormale","OK")))</x:f>
      </x:c>
      <x:c r="V55" s="76" t="str">
        <x:f>IF(B55="","",IF(Q55="Validé humainement","Oui","Non"))</x:f>
      </x:c>
    </x:row>
    <x:row r="56">
      <x:c r="A56" s="76" t="str">
        <x:f>IF(B56="","","MOB-"&amp;TEXT(ROW()-4,"0000"))</x:f>
      </x:c>
      <x:c r="B56" s="76"/>
      <x:c r="C56" s="76"/>
      <x:c r="D56" s="76"/>
      <x:c r="E56" s="76"/>
      <x:c r="F56" s="81"/>
      <x:c r="G56" s="80"/>
      <x:c r="H56" s="81"/>
      <x:c r="I56" s="76"/>
      <x:c r="J56" s="77"/>
      <x:c r="K56" s="76"/>
      <x:c r="L56" s="83"/>
      <x:c r="M56" s="77" t="str">
        <x:f>IF(OR(J56="",L56=""),"",J56*L56)</x:f>
      </x:c>
      <x:c r="N56" s="76"/>
      <x:c r="O56" s="76"/>
      <x:c r="P56" s="76"/>
      <x:c r="Q56" s="76"/>
      <x:c r="R56" s="76"/>
      <x:c r="S56" s="78" t="str">
        <x:f>IF(B56="","",TODAY())</x:f>
      </x:c>
      <x:c r="T56" s="76"/>
      <x:c r="U56" s="76" t="str">
        <x:f>IF(B56="","",IF(OR(C56="",D56="",E56="",J56="",K56="",L56="",N56="",O56="",P56="",Q56&lt;&gt;"Validé humainement"),"ALERTE: données/preuves/statut",IF(OR(F56&lt;0,G56&lt;0,H56&lt;0,J56&lt;0,L56&lt;0,M56&lt;0),"ALERTE: valeur anormale","OK")))</x:f>
      </x:c>
      <x:c r="V56" s="76" t="str">
        <x:f>IF(B56="","",IF(Q56="Validé humainement","Oui","Non"))</x:f>
      </x:c>
    </x:row>
    <x:row r="57">
      <x:c r="A57" s="76" t="str">
        <x:f>IF(B57="","","MOB-"&amp;TEXT(ROW()-4,"0000"))</x:f>
      </x:c>
      <x:c r="B57" s="76"/>
      <x:c r="C57" s="76"/>
      <x:c r="D57" s="76"/>
      <x:c r="E57" s="76"/>
      <x:c r="F57" s="81"/>
      <x:c r="G57" s="80"/>
      <x:c r="H57" s="81"/>
      <x:c r="I57" s="76"/>
      <x:c r="J57" s="77"/>
      <x:c r="K57" s="76"/>
      <x:c r="L57" s="83"/>
      <x:c r="M57" s="77" t="str">
        <x:f>IF(OR(J57="",L57=""),"",J57*L57)</x:f>
      </x:c>
      <x:c r="N57" s="76"/>
      <x:c r="O57" s="76"/>
      <x:c r="P57" s="76"/>
      <x:c r="Q57" s="76"/>
      <x:c r="R57" s="76"/>
      <x:c r="S57" s="78" t="str">
        <x:f>IF(B57="","",TODAY())</x:f>
      </x:c>
      <x:c r="T57" s="76"/>
      <x:c r="U57" s="76" t="str">
        <x:f>IF(B57="","",IF(OR(C57="",D57="",E57="",J57="",K57="",L57="",N57="",O57="",P57="",Q57&lt;&gt;"Validé humainement"),"ALERTE: données/preuves/statut",IF(OR(F57&lt;0,G57&lt;0,H57&lt;0,J57&lt;0,L57&lt;0,M57&lt;0),"ALERTE: valeur anormale","OK")))</x:f>
      </x:c>
      <x:c r="V57" s="76" t="str">
        <x:f>IF(B57="","",IF(Q57="Validé humainement","Oui","Non"))</x:f>
      </x:c>
    </x:row>
    <x:row r="58">
      <x:c r="A58" s="76" t="str">
        <x:f>IF(B58="","","MOB-"&amp;TEXT(ROW()-4,"0000"))</x:f>
      </x:c>
      <x:c r="B58" s="76"/>
      <x:c r="C58" s="76"/>
      <x:c r="D58" s="76"/>
      <x:c r="E58" s="76"/>
      <x:c r="F58" s="81"/>
      <x:c r="G58" s="80"/>
      <x:c r="H58" s="81"/>
      <x:c r="I58" s="76"/>
      <x:c r="J58" s="77"/>
      <x:c r="K58" s="76"/>
      <x:c r="L58" s="83"/>
      <x:c r="M58" s="77" t="str">
        <x:f>IF(OR(J58="",L58=""),"",J58*L58)</x:f>
      </x:c>
      <x:c r="N58" s="76"/>
      <x:c r="O58" s="76"/>
      <x:c r="P58" s="76"/>
      <x:c r="Q58" s="76"/>
      <x:c r="R58" s="76"/>
      <x:c r="S58" s="78" t="str">
        <x:f>IF(B58="","",TODAY())</x:f>
      </x:c>
      <x:c r="T58" s="76"/>
      <x:c r="U58" s="76" t="str">
        <x:f>IF(B58="","",IF(OR(C58="",D58="",E58="",J58="",K58="",L58="",N58="",O58="",P58="",Q58&lt;&gt;"Validé humainement"),"ALERTE: données/preuves/statut",IF(OR(F58&lt;0,G58&lt;0,H58&lt;0,J58&lt;0,L58&lt;0,M58&lt;0),"ALERTE: valeur anormale","OK")))</x:f>
      </x:c>
      <x:c r="V58" s="76" t="str">
        <x:f>IF(B58="","",IF(Q58="Validé humainement","Oui","Non"))</x:f>
      </x:c>
    </x:row>
    <x:row r="59">
      <x:c r="A59" s="76" t="str">
        <x:f>IF(B59="","","MOB-"&amp;TEXT(ROW()-4,"0000"))</x:f>
      </x:c>
      <x:c r="B59" s="76"/>
      <x:c r="C59" s="76"/>
      <x:c r="D59" s="76"/>
      <x:c r="E59" s="76"/>
      <x:c r="F59" s="81"/>
      <x:c r="G59" s="80"/>
      <x:c r="H59" s="81"/>
      <x:c r="I59" s="76"/>
      <x:c r="J59" s="77"/>
      <x:c r="K59" s="76"/>
      <x:c r="L59" s="83"/>
      <x:c r="M59" s="77" t="str">
        <x:f>IF(OR(J59="",L59=""),"",J59*L59)</x:f>
      </x:c>
      <x:c r="N59" s="76"/>
      <x:c r="O59" s="76"/>
      <x:c r="P59" s="76"/>
      <x:c r="Q59" s="76"/>
      <x:c r="R59" s="76"/>
      <x:c r="S59" s="78" t="str">
        <x:f>IF(B59="","",TODAY())</x:f>
      </x:c>
      <x:c r="T59" s="76"/>
      <x:c r="U59" s="76" t="str">
        <x:f>IF(B59="","",IF(OR(C59="",D59="",E59="",J59="",K59="",L59="",N59="",O59="",P59="",Q59&lt;&gt;"Validé humainement"),"ALERTE: données/preuves/statut",IF(OR(F59&lt;0,G59&lt;0,H59&lt;0,J59&lt;0,L59&lt;0,M59&lt;0),"ALERTE: valeur anormale","OK")))</x:f>
      </x:c>
      <x:c r="V59" s="76" t="str">
        <x:f>IF(B59="","",IF(Q59="Validé humainement","Oui","Non"))</x:f>
      </x:c>
    </x:row>
    <x:row r="60">
      <x:c r="A60" s="76" t="str">
        <x:f>IF(B60="","","MOB-"&amp;TEXT(ROW()-4,"0000"))</x:f>
      </x:c>
      <x:c r="B60" s="76"/>
      <x:c r="C60" s="76"/>
      <x:c r="D60" s="76"/>
      <x:c r="E60" s="76"/>
      <x:c r="F60" s="81"/>
      <x:c r="G60" s="80"/>
      <x:c r="H60" s="81"/>
      <x:c r="I60" s="76"/>
      <x:c r="J60" s="77"/>
      <x:c r="K60" s="76"/>
      <x:c r="L60" s="83"/>
      <x:c r="M60" s="77" t="str">
        <x:f>IF(OR(J60="",L60=""),"",J60*L60)</x:f>
      </x:c>
      <x:c r="N60" s="76"/>
      <x:c r="O60" s="76"/>
      <x:c r="P60" s="76"/>
      <x:c r="Q60" s="76"/>
      <x:c r="R60" s="76"/>
      <x:c r="S60" s="78" t="str">
        <x:f>IF(B60="","",TODAY())</x:f>
      </x:c>
      <x:c r="T60" s="76"/>
      <x:c r="U60" s="76" t="str">
        <x:f>IF(B60="","",IF(OR(C60="",D60="",E60="",J60="",K60="",L60="",N60="",O60="",P60="",Q60&lt;&gt;"Validé humainement"),"ALERTE: données/preuves/statut",IF(OR(F60&lt;0,G60&lt;0,H60&lt;0,J60&lt;0,L60&lt;0,M60&lt;0),"ALERTE: valeur anormale","OK")))</x:f>
      </x:c>
      <x:c r="V60" s="76" t="str">
        <x:f>IF(B60="","",IF(Q60="Validé humainement","Oui","Non"))</x:f>
      </x:c>
    </x:row>
    <x:row r="61">
      <x:c r="A61" s="76" t="str">
        <x:f>IF(B61="","","MOB-"&amp;TEXT(ROW()-4,"0000"))</x:f>
      </x:c>
      <x:c r="B61" s="76"/>
      <x:c r="C61" s="76"/>
      <x:c r="D61" s="76"/>
      <x:c r="E61" s="76"/>
      <x:c r="F61" s="81"/>
      <x:c r="G61" s="80"/>
      <x:c r="H61" s="81"/>
      <x:c r="I61" s="76"/>
      <x:c r="J61" s="77"/>
      <x:c r="K61" s="76"/>
      <x:c r="L61" s="83"/>
      <x:c r="M61" s="77" t="str">
        <x:f>IF(OR(J61="",L61=""),"",J61*L61)</x:f>
      </x:c>
      <x:c r="N61" s="76"/>
      <x:c r="O61" s="76"/>
      <x:c r="P61" s="76"/>
      <x:c r="Q61" s="76"/>
      <x:c r="R61" s="76"/>
      <x:c r="S61" s="78" t="str">
        <x:f>IF(B61="","",TODAY())</x:f>
      </x:c>
      <x:c r="T61" s="76"/>
      <x:c r="U61" s="76" t="str">
        <x:f>IF(B61="","",IF(OR(C61="",D61="",E61="",J61="",K61="",L61="",N61="",O61="",P61="",Q61&lt;&gt;"Validé humainement"),"ALERTE: données/preuves/statut",IF(OR(F61&lt;0,G61&lt;0,H61&lt;0,J61&lt;0,L61&lt;0,M61&lt;0),"ALERTE: valeur anormale","OK")))</x:f>
      </x:c>
      <x:c r="V61" s="76" t="str">
        <x:f>IF(B61="","",IF(Q61="Validé humainement","Oui","Non"))</x:f>
      </x:c>
    </x:row>
    <x:row r="62">
      <x:c r="A62" s="76" t="str">
        <x:f>IF(B62="","","MOB-"&amp;TEXT(ROW()-4,"0000"))</x:f>
      </x:c>
      <x:c r="B62" s="76"/>
      <x:c r="C62" s="76"/>
      <x:c r="D62" s="76"/>
      <x:c r="E62" s="76"/>
      <x:c r="F62" s="81"/>
      <x:c r="G62" s="80"/>
      <x:c r="H62" s="81"/>
      <x:c r="I62" s="76"/>
      <x:c r="J62" s="77"/>
      <x:c r="K62" s="76"/>
      <x:c r="L62" s="83"/>
      <x:c r="M62" s="77" t="str">
        <x:f>IF(OR(J62="",L62=""),"",J62*L62)</x:f>
      </x:c>
      <x:c r="N62" s="76"/>
      <x:c r="O62" s="76"/>
      <x:c r="P62" s="76"/>
      <x:c r="Q62" s="76"/>
      <x:c r="R62" s="76"/>
      <x:c r="S62" s="78" t="str">
        <x:f>IF(B62="","",TODAY())</x:f>
      </x:c>
      <x:c r="T62" s="76"/>
      <x:c r="U62" s="76" t="str">
        <x:f>IF(B62="","",IF(OR(C62="",D62="",E62="",J62="",K62="",L62="",N62="",O62="",P62="",Q62&lt;&gt;"Validé humainement"),"ALERTE: données/preuves/statut",IF(OR(F62&lt;0,G62&lt;0,H62&lt;0,J62&lt;0,L62&lt;0,M62&lt;0),"ALERTE: valeur anormale","OK")))</x:f>
      </x:c>
      <x:c r="V62" s="76" t="str">
        <x:f>IF(B62="","",IF(Q62="Validé humainement","Oui","Non"))</x:f>
      </x:c>
    </x:row>
    <x:row r="63">
      <x:c r="A63" s="76" t="str">
        <x:f>IF(B63="","","MOB-"&amp;TEXT(ROW()-4,"0000"))</x:f>
      </x:c>
      <x:c r="B63" s="76"/>
      <x:c r="C63" s="76"/>
      <x:c r="D63" s="76"/>
      <x:c r="E63" s="76"/>
      <x:c r="F63" s="81"/>
      <x:c r="G63" s="80"/>
      <x:c r="H63" s="81"/>
      <x:c r="I63" s="76"/>
      <x:c r="J63" s="77"/>
      <x:c r="K63" s="76"/>
      <x:c r="L63" s="83"/>
      <x:c r="M63" s="77" t="str">
        <x:f>IF(OR(J63="",L63=""),"",J63*L63)</x:f>
      </x:c>
      <x:c r="N63" s="76"/>
      <x:c r="O63" s="76"/>
      <x:c r="P63" s="76"/>
      <x:c r="Q63" s="76"/>
      <x:c r="R63" s="76"/>
      <x:c r="S63" s="78" t="str">
        <x:f>IF(B63="","",TODAY())</x:f>
      </x:c>
      <x:c r="T63" s="76"/>
      <x:c r="U63" s="76" t="str">
        <x:f>IF(B63="","",IF(OR(C63="",D63="",E63="",J63="",K63="",L63="",N63="",O63="",P63="",Q63&lt;&gt;"Validé humainement"),"ALERTE: données/preuves/statut",IF(OR(F63&lt;0,G63&lt;0,H63&lt;0,J63&lt;0,L63&lt;0,M63&lt;0),"ALERTE: valeur anormale","OK")))</x:f>
      </x:c>
      <x:c r="V63" s="76" t="str">
        <x:f>IF(B63="","",IF(Q63="Validé humainement","Oui","Non"))</x:f>
      </x:c>
    </x:row>
    <x:row r="64">
      <x:c r="A64" s="76" t="str">
        <x:f>IF(B64="","","MOB-"&amp;TEXT(ROW()-4,"0000"))</x:f>
      </x:c>
      <x:c r="B64" s="76"/>
      <x:c r="C64" s="76"/>
      <x:c r="D64" s="76"/>
      <x:c r="E64" s="76"/>
      <x:c r="F64" s="81"/>
      <x:c r="G64" s="80"/>
      <x:c r="H64" s="81"/>
      <x:c r="I64" s="76"/>
      <x:c r="J64" s="77"/>
      <x:c r="K64" s="76"/>
      <x:c r="L64" s="83"/>
      <x:c r="M64" s="77" t="str">
        <x:f>IF(OR(J64="",L64=""),"",J64*L64)</x:f>
      </x:c>
      <x:c r="N64" s="76"/>
      <x:c r="O64" s="76"/>
      <x:c r="P64" s="76"/>
      <x:c r="Q64" s="76"/>
      <x:c r="R64" s="76"/>
      <x:c r="S64" s="78" t="str">
        <x:f>IF(B64="","",TODAY())</x:f>
      </x:c>
      <x:c r="T64" s="76"/>
      <x:c r="U64" s="76" t="str">
        <x:f>IF(B64="","",IF(OR(C64="",D64="",E64="",J64="",K64="",L64="",N64="",O64="",P64="",Q64&lt;&gt;"Validé humainement"),"ALERTE: données/preuves/statut",IF(OR(F64&lt;0,G64&lt;0,H64&lt;0,J64&lt;0,L64&lt;0,M64&lt;0),"ALERTE: valeur anormale","OK")))</x:f>
      </x:c>
      <x:c r="V64" s="76" t="str">
        <x:f>IF(B64="","",IF(Q64="Validé humainement","Oui","Non"))</x:f>
      </x:c>
    </x:row>
    <x:row r="65">
      <x:c r="A65" s="76" t="str">
        <x:f>IF(B65="","","MOB-"&amp;TEXT(ROW()-4,"0000"))</x:f>
      </x:c>
      <x:c r="B65" s="76"/>
      <x:c r="C65" s="76"/>
      <x:c r="D65" s="76"/>
      <x:c r="E65" s="76"/>
      <x:c r="F65" s="81"/>
      <x:c r="G65" s="80"/>
      <x:c r="H65" s="81"/>
      <x:c r="I65" s="76"/>
      <x:c r="J65" s="77"/>
      <x:c r="K65" s="76"/>
      <x:c r="L65" s="83"/>
      <x:c r="M65" s="77" t="str">
        <x:f>IF(OR(J65="",L65=""),"",J65*L65)</x:f>
      </x:c>
      <x:c r="N65" s="76"/>
      <x:c r="O65" s="76"/>
      <x:c r="P65" s="76"/>
      <x:c r="Q65" s="76"/>
      <x:c r="R65" s="76"/>
      <x:c r="S65" s="78" t="str">
        <x:f>IF(B65="","",TODAY())</x:f>
      </x:c>
      <x:c r="T65" s="76"/>
      <x:c r="U65" s="76" t="str">
        <x:f>IF(B65="","",IF(OR(C65="",D65="",E65="",J65="",K65="",L65="",N65="",O65="",P65="",Q65&lt;&gt;"Validé humainement"),"ALERTE: données/preuves/statut",IF(OR(F65&lt;0,G65&lt;0,H65&lt;0,J65&lt;0,L65&lt;0,M65&lt;0),"ALERTE: valeur anormale","OK")))</x:f>
      </x:c>
      <x:c r="V65" s="76" t="str">
        <x:f>IF(B65="","",IF(Q65="Validé humainement","Oui","Non"))</x:f>
      </x:c>
    </x:row>
    <x:row r="66">
      <x:c r="A66" s="76" t="str">
        <x:f>IF(B66="","","MOB-"&amp;TEXT(ROW()-4,"0000"))</x:f>
      </x:c>
      <x:c r="B66" s="76"/>
      <x:c r="C66" s="76"/>
      <x:c r="D66" s="76"/>
      <x:c r="E66" s="76"/>
      <x:c r="F66" s="81"/>
      <x:c r="G66" s="80"/>
      <x:c r="H66" s="81"/>
      <x:c r="I66" s="76"/>
      <x:c r="J66" s="77"/>
      <x:c r="K66" s="76"/>
      <x:c r="L66" s="83"/>
      <x:c r="M66" s="77" t="str">
        <x:f>IF(OR(J66="",L66=""),"",J66*L66)</x:f>
      </x:c>
      <x:c r="N66" s="76"/>
      <x:c r="O66" s="76"/>
      <x:c r="P66" s="76"/>
      <x:c r="Q66" s="76"/>
      <x:c r="R66" s="76"/>
      <x:c r="S66" s="78" t="str">
        <x:f>IF(B66="","",TODAY())</x:f>
      </x:c>
      <x:c r="T66" s="76"/>
      <x:c r="U66" s="76" t="str">
        <x:f>IF(B66="","",IF(OR(C66="",D66="",E66="",J66="",K66="",L66="",N66="",O66="",P66="",Q66&lt;&gt;"Validé humainement"),"ALERTE: données/preuves/statut",IF(OR(F66&lt;0,G66&lt;0,H66&lt;0,J66&lt;0,L66&lt;0,M66&lt;0),"ALERTE: valeur anormale","OK")))</x:f>
      </x:c>
      <x:c r="V66" s="76" t="str">
        <x:f>IF(B66="","",IF(Q66="Validé humainement","Oui","Non"))</x:f>
      </x:c>
    </x:row>
    <x:row r="67">
      <x:c r="A67" s="76" t="str">
        <x:f>IF(B67="","","MOB-"&amp;TEXT(ROW()-4,"0000"))</x:f>
      </x:c>
      <x:c r="B67" s="76"/>
      <x:c r="C67" s="76"/>
      <x:c r="D67" s="76"/>
      <x:c r="E67" s="76"/>
      <x:c r="F67" s="81"/>
      <x:c r="G67" s="80"/>
      <x:c r="H67" s="81"/>
      <x:c r="I67" s="76"/>
      <x:c r="J67" s="77"/>
      <x:c r="K67" s="76"/>
      <x:c r="L67" s="83"/>
      <x:c r="M67" s="77" t="str">
        <x:f>IF(OR(J67="",L67=""),"",J67*L67)</x:f>
      </x:c>
      <x:c r="N67" s="76"/>
      <x:c r="O67" s="76"/>
      <x:c r="P67" s="76"/>
      <x:c r="Q67" s="76"/>
      <x:c r="R67" s="76"/>
      <x:c r="S67" s="78" t="str">
        <x:f>IF(B67="","",TODAY())</x:f>
      </x:c>
      <x:c r="T67" s="76"/>
      <x:c r="U67" s="76" t="str">
        <x:f>IF(B67="","",IF(OR(C67="",D67="",E67="",J67="",K67="",L67="",N67="",O67="",P67="",Q67&lt;&gt;"Validé humainement"),"ALERTE: données/preuves/statut",IF(OR(F67&lt;0,G67&lt;0,H67&lt;0,J67&lt;0,L67&lt;0,M67&lt;0),"ALERTE: valeur anormale","OK")))</x:f>
      </x:c>
      <x:c r="V67" s="76" t="str">
        <x:f>IF(B67="","",IF(Q67="Validé humainement","Oui","Non"))</x:f>
      </x:c>
    </x:row>
    <x:row r="68">
      <x:c r="A68" s="76" t="str">
        <x:f>IF(B68="","","MOB-"&amp;TEXT(ROW()-4,"0000"))</x:f>
      </x:c>
      <x:c r="B68" s="76"/>
      <x:c r="C68" s="76"/>
      <x:c r="D68" s="76"/>
      <x:c r="E68" s="76"/>
      <x:c r="F68" s="81"/>
      <x:c r="G68" s="80"/>
      <x:c r="H68" s="81"/>
      <x:c r="I68" s="76"/>
      <x:c r="J68" s="77"/>
      <x:c r="K68" s="76"/>
      <x:c r="L68" s="83"/>
      <x:c r="M68" s="77" t="str">
        <x:f>IF(OR(J68="",L68=""),"",J68*L68)</x:f>
      </x:c>
      <x:c r="N68" s="76"/>
      <x:c r="O68" s="76"/>
      <x:c r="P68" s="76"/>
      <x:c r="Q68" s="76"/>
      <x:c r="R68" s="76"/>
      <x:c r="S68" s="78" t="str">
        <x:f>IF(B68="","",TODAY())</x:f>
      </x:c>
      <x:c r="T68" s="76"/>
      <x:c r="U68" s="76" t="str">
        <x:f>IF(B68="","",IF(OR(C68="",D68="",E68="",J68="",K68="",L68="",N68="",O68="",P68="",Q68&lt;&gt;"Validé humainement"),"ALERTE: données/preuves/statut",IF(OR(F68&lt;0,G68&lt;0,H68&lt;0,J68&lt;0,L68&lt;0,M68&lt;0),"ALERTE: valeur anormale","OK")))</x:f>
      </x:c>
      <x:c r="V68" s="76" t="str">
        <x:f>IF(B68="","",IF(Q68="Validé humainement","Oui","Non"))</x:f>
      </x:c>
    </x:row>
    <x:row r="69">
      <x:c r="A69" s="76" t="str">
        <x:f>IF(B69="","","MOB-"&amp;TEXT(ROW()-4,"0000"))</x:f>
      </x:c>
      <x:c r="B69" s="76"/>
      <x:c r="C69" s="76"/>
      <x:c r="D69" s="76"/>
      <x:c r="E69" s="76"/>
      <x:c r="F69" s="81"/>
      <x:c r="G69" s="80"/>
      <x:c r="H69" s="81"/>
      <x:c r="I69" s="76"/>
      <x:c r="J69" s="77"/>
      <x:c r="K69" s="76"/>
      <x:c r="L69" s="83"/>
      <x:c r="M69" s="77" t="str">
        <x:f>IF(OR(J69="",L69=""),"",J69*L69)</x:f>
      </x:c>
      <x:c r="N69" s="76"/>
      <x:c r="O69" s="76"/>
      <x:c r="P69" s="76"/>
      <x:c r="Q69" s="76"/>
      <x:c r="R69" s="76"/>
      <x:c r="S69" s="78" t="str">
        <x:f>IF(B69="","",TODAY())</x:f>
      </x:c>
      <x:c r="T69" s="76"/>
      <x:c r="U69" s="76" t="str">
        <x:f>IF(B69="","",IF(OR(C69="",D69="",E69="",J69="",K69="",L69="",N69="",O69="",P69="",Q69&lt;&gt;"Validé humainement"),"ALERTE: données/preuves/statut",IF(OR(F69&lt;0,G69&lt;0,H69&lt;0,J69&lt;0,L69&lt;0,M69&lt;0),"ALERTE: valeur anormale","OK")))</x:f>
      </x:c>
      <x:c r="V69" s="76" t="str">
        <x:f>IF(B69="","",IF(Q69="Validé humainement","Oui","Non"))</x:f>
      </x:c>
    </x:row>
    <x:row r="70">
      <x:c r="A70" s="76" t="str">
        <x:f>IF(B70="","","MOB-"&amp;TEXT(ROW()-4,"0000"))</x:f>
      </x:c>
      <x:c r="B70" s="76"/>
      <x:c r="C70" s="76"/>
      <x:c r="D70" s="76"/>
      <x:c r="E70" s="76"/>
      <x:c r="F70" s="81"/>
      <x:c r="G70" s="80"/>
      <x:c r="H70" s="81"/>
      <x:c r="I70" s="76"/>
      <x:c r="J70" s="77"/>
      <x:c r="K70" s="76"/>
      <x:c r="L70" s="83"/>
      <x:c r="M70" s="77" t="str">
        <x:f>IF(OR(J70="",L70=""),"",J70*L70)</x:f>
      </x:c>
      <x:c r="N70" s="76"/>
      <x:c r="O70" s="76"/>
      <x:c r="P70" s="76"/>
      <x:c r="Q70" s="76"/>
      <x:c r="R70" s="76"/>
      <x:c r="S70" s="78" t="str">
        <x:f>IF(B70="","",TODAY())</x:f>
      </x:c>
      <x:c r="T70" s="76"/>
      <x:c r="U70" s="76" t="str">
        <x:f>IF(B70="","",IF(OR(C70="",D70="",E70="",J70="",K70="",L70="",N70="",O70="",P70="",Q70&lt;&gt;"Validé humainement"),"ALERTE: données/preuves/statut",IF(OR(F70&lt;0,G70&lt;0,H70&lt;0,J70&lt;0,L70&lt;0,M70&lt;0),"ALERTE: valeur anormale","OK")))</x:f>
      </x:c>
      <x:c r="V70" s="76" t="str">
        <x:f>IF(B70="","",IF(Q70="Validé humainement","Oui","Non"))</x:f>
      </x:c>
    </x:row>
    <x:row r="71">
      <x:c r="A71" s="76" t="str">
        <x:f>IF(B71="","","MOB-"&amp;TEXT(ROW()-4,"0000"))</x:f>
      </x:c>
      <x:c r="B71" s="76"/>
      <x:c r="C71" s="76"/>
      <x:c r="D71" s="76"/>
      <x:c r="E71" s="76"/>
      <x:c r="F71" s="81"/>
      <x:c r="G71" s="80"/>
      <x:c r="H71" s="81"/>
      <x:c r="I71" s="76"/>
      <x:c r="J71" s="77"/>
      <x:c r="K71" s="76"/>
      <x:c r="L71" s="83"/>
      <x:c r="M71" s="77" t="str">
        <x:f>IF(OR(J71="",L71=""),"",J71*L71)</x:f>
      </x:c>
      <x:c r="N71" s="76"/>
      <x:c r="O71" s="76"/>
      <x:c r="P71" s="76"/>
      <x:c r="Q71" s="76"/>
      <x:c r="R71" s="76"/>
      <x:c r="S71" s="78" t="str">
        <x:f>IF(B71="","",TODAY())</x:f>
      </x:c>
      <x:c r="T71" s="76"/>
      <x:c r="U71" s="76" t="str">
        <x:f>IF(B71="","",IF(OR(C71="",D71="",E71="",J71="",K71="",L71="",N71="",O71="",P71="",Q71&lt;&gt;"Validé humainement"),"ALERTE: données/preuves/statut",IF(OR(F71&lt;0,G71&lt;0,H71&lt;0,J71&lt;0,L71&lt;0,M71&lt;0),"ALERTE: valeur anormale","OK")))</x:f>
      </x:c>
      <x:c r="V71" s="76" t="str">
        <x:f>IF(B71="","",IF(Q71="Validé humainement","Oui","Non"))</x:f>
      </x:c>
    </x:row>
    <x:row r="72">
      <x:c r="A72" s="76" t="str">
        <x:f>IF(B72="","","MOB-"&amp;TEXT(ROW()-4,"0000"))</x:f>
      </x:c>
      <x:c r="B72" s="76"/>
      <x:c r="C72" s="76"/>
      <x:c r="D72" s="76"/>
      <x:c r="E72" s="76"/>
      <x:c r="F72" s="81"/>
      <x:c r="G72" s="80"/>
      <x:c r="H72" s="81"/>
      <x:c r="I72" s="76"/>
      <x:c r="J72" s="77"/>
      <x:c r="K72" s="76"/>
      <x:c r="L72" s="83"/>
      <x:c r="M72" s="77" t="str">
        <x:f>IF(OR(J72="",L72=""),"",J72*L72)</x:f>
      </x:c>
      <x:c r="N72" s="76"/>
      <x:c r="O72" s="76"/>
      <x:c r="P72" s="76"/>
      <x:c r="Q72" s="76"/>
      <x:c r="R72" s="76"/>
      <x:c r="S72" s="78" t="str">
        <x:f>IF(B72="","",TODAY())</x:f>
      </x:c>
      <x:c r="T72" s="76"/>
      <x:c r="U72" s="76" t="str">
        <x:f>IF(B72="","",IF(OR(C72="",D72="",E72="",J72="",K72="",L72="",N72="",O72="",P72="",Q72&lt;&gt;"Validé humainement"),"ALERTE: données/preuves/statut",IF(OR(F72&lt;0,G72&lt;0,H72&lt;0,J72&lt;0,L72&lt;0,M72&lt;0),"ALERTE: valeur anormale","OK")))</x:f>
      </x:c>
      <x:c r="V72" s="76" t="str">
        <x:f>IF(B72="","",IF(Q72="Validé humainement","Oui","Non"))</x:f>
      </x:c>
    </x:row>
    <x:row r="73">
      <x:c r="A73" s="76" t="str">
        <x:f>IF(B73="","","MOB-"&amp;TEXT(ROW()-4,"0000"))</x:f>
      </x:c>
      <x:c r="B73" s="76"/>
      <x:c r="C73" s="76"/>
      <x:c r="D73" s="76"/>
      <x:c r="E73" s="76"/>
      <x:c r="F73" s="81"/>
      <x:c r="G73" s="80"/>
      <x:c r="H73" s="81"/>
      <x:c r="I73" s="76"/>
      <x:c r="J73" s="77"/>
      <x:c r="K73" s="76"/>
      <x:c r="L73" s="83"/>
      <x:c r="M73" s="77" t="str">
        <x:f>IF(OR(J73="",L73=""),"",J73*L73)</x:f>
      </x:c>
      <x:c r="N73" s="76"/>
      <x:c r="O73" s="76"/>
      <x:c r="P73" s="76"/>
      <x:c r="Q73" s="76"/>
      <x:c r="R73" s="76"/>
      <x:c r="S73" s="78" t="str">
        <x:f>IF(B73="","",TODAY())</x:f>
      </x:c>
      <x:c r="T73" s="76"/>
      <x:c r="U73" s="76" t="str">
        <x:f>IF(B73="","",IF(OR(C73="",D73="",E73="",J73="",K73="",L73="",N73="",O73="",P73="",Q73&lt;&gt;"Validé humainement"),"ALERTE: données/preuves/statut",IF(OR(F73&lt;0,G73&lt;0,H73&lt;0,J73&lt;0,L73&lt;0,M73&lt;0),"ALERTE: valeur anormale","OK")))</x:f>
      </x:c>
      <x:c r="V73" s="76" t="str">
        <x:f>IF(B73="","",IF(Q73="Validé humainement","Oui","Non"))</x:f>
      </x:c>
    </x:row>
    <x:row r="74">
      <x:c r="A74" s="76" t="str">
        <x:f>IF(B74="","","MOB-"&amp;TEXT(ROW()-4,"0000"))</x:f>
      </x:c>
      <x:c r="B74" s="76"/>
      <x:c r="C74" s="76"/>
      <x:c r="D74" s="76"/>
      <x:c r="E74" s="76"/>
      <x:c r="F74" s="81"/>
      <x:c r="G74" s="80"/>
      <x:c r="H74" s="81"/>
      <x:c r="I74" s="76"/>
      <x:c r="J74" s="77"/>
      <x:c r="K74" s="76"/>
      <x:c r="L74" s="83"/>
      <x:c r="M74" s="77" t="str">
        <x:f>IF(OR(J74="",L74=""),"",J74*L74)</x:f>
      </x:c>
      <x:c r="N74" s="76"/>
      <x:c r="O74" s="76"/>
      <x:c r="P74" s="76"/>
      <x:c r="Q74" s="76"/>
      <x:c r="R74" s="76"/>
      <x:c r="S74" s="78" t="str">
        <x:f>IF(B74="","",TODAY())</x:f>
      </x:c>
      <x:c r="T74" s="76"/>
      <x:c r="U74" s="76" t="str">
        <x:f>IF(B74="","",IF(OR(C74="",D74="",E74="",J74="",K74="",L74="",N74="",O74="",P74="",Q74&lt;&gt;"Validé humainement"),"ALERTE: données/preuves/statut",IF(OR(F74&lt;0,G74&lt;0,H74&lt;0,J74&lt;0,L74&lt;0,M74&lt;0),"ALERTE: valeur anormale","OK")))</x:f>
      </x:c>
      <x:c r="V74" s="76" t="str">
        <x:f>IF(B74="","",IF(Q74="Validé humainement","Oui","Non"))</x:f>
      </x:c>
    </x:row>
    <x:row r="75">
      <x:c r="A75" s="76" t="str">
        <x:f>IF(B75="","","MOB-"&amp;TEXT(ROW()-4,"0000"))</x:f>
      </x:c>
      <x:c r="B75" s="76"/>
      <x:c r="C75" s="76"/>
      <x:c r="D75" s="76"/>
      <x:c r="E75" s="76"/>
      <x:c r="F75" s="81"/>
      <x:c r="G75" s="80"/>
      <x:c r="H75" s="81"/>
      <x:c r="I75" s="76"/>
      <x:c r="J75" s="77"/>
      <x:c r="K75" s="76"/>
      <x:c r="L75" s="83"/>
      <x:c r="M75" s="77" t="str">
        <x:f>IF(OR(J75="",L75=""),"",J75*L75)</x:f>
      </x:c>
      <x:c r="N75" s="76"/>
      <x:c r="O75" s="76"/>
      <x:c r="P75" s="76"/>
      <x:c r="Q75" s="76"/>
      <x:c r="R75" s="76"/>
      <x:c r="S75" s="78" t="str">
        <x:f>IF(B75="","",TODAY())</x:f>
      </x:c>
      <x:c r="T75" s="76"/>
      <x:c r="U75" s="76" t="str">
        <x:f>IF(B75="","",IF(OR(C75="",D75="",E75="",J75="",K75="",L75="",N75="",O75="",P75="",Q75&lt;&gt;"Validé humainement"),"ALERTE: données/preuves/statut",IF(OR(F75&lt;0,G75&lt;0,H75&lt;0,J75&lt;0,L75&lt;0,M75&lt;0),"ALERTE: valeur anormale","OK")))</x:f>
      </x:c>
      <x:c r="V75" s="76" t="str">
        <x:f>IF(B75="","",IF(Q75="Validé humainement","Oui","Non"))</x:f>
      </x:c>
    </x:row>
    <x:row r="76">
      <x:c r="A76" s="76" t="str">
        <x:f>IF(B76="","","MOB-"&amp;TEXT(ROW()-4,"0000"))</x:f>
      </x:c>
      <x:c r="B76" s="76"/>
      <x:c r="C76" s="76"/>
      <x:c r="D76" s="76"/>
      <x:c r="E76" s="76"/>
      <x:c r="F76" s="81"/>
      <x:c r="G76" s="80"/>
      <x:c r="H76" s="81"/>
      <x:c r="I76" s="76"/>
      <x:c r="J76" s="77"/>
      <x:c r="K76" s="76"/>
      <x:c r="L76" s="83"/>
      <x:c r="M76" s="77" t="str">
        <x:f>IF(OR(J76="",L76=""),"",J76*L76)</x:f>
      </x:c>
      <x:c r="N76" s="76"/>
      <x:c r="O76" s="76"/>
      <x:c r="P76" s="76"/>
      <x:c r="Q76" s="76"/>
      <x:c r="R76" s="76"/>
      <x:c r="S76" s="78" t="str">
        <x:f>IF(B76="","",TODAY())</x:f>
      </x:c>
      <x:c r="T76" s="76"/>
      <x:c r="U76" s="76" t="str">
        <x:f>IF(B76="","",IF(OR(C76="",D76="",E76="",J76="",K76="",L76="",N76="",O76="",P76="",Q76&lt;&gt;"Validé humainement"),"ALERTE: données/preuves/statut",IF(OR(F76&lt;0,G76&lt;0,H76&lt;0,J76&lt;0,L76&lt;0,M76&lt;0),"ALERTE: valeur anormale","OK")))</x:f>
      </x:c>
      <x:c r="V76" s="76" t="str">
        <x:f>IF(B76="","",IF(Q76="Validé humainement","Oui","Non"))</x:f>
      </x:c>
    </x:row>
    <x:row r="77">
      <x:c r="A77" s="76" t="str">
        <x:f>IF(B77="","","MOB-"&amp;TEXT(ROW()-4,"0000"))</x:f>
      </x:c>
      <x:c r="B77" s="76"/>
      <x:c r="C77" s="76"/>
      <x:c r="D77" s="76"/>
      <x:c r="E77" s="76"/>
      <x:c r="F77" s="81"/>
      <x:c r="G77" s="80"/>
      <x:c r="H77" s="81"/>
      <x:c r="I77" s="76"/>
      <x:c r="J77" s="77"/>
      <x:c r="K77" s="76"/>
      <x:c r="L77" s="83"/>
      <x:c r="M77" s="77" t="str">
        <x:f>IF(OR(J77="",L77=""),"",J77*L77)</x:f>
      </x:c>
      <x:c r="N77" s="76"/>
      <x:c r="O77" s="76"/>
      <x:c r="P77" s="76"/>
      <x:c r="Q77" s="76"/>
      <x:c r="R77" s="76"/>
      <x:c r="S77" s="78" t="str">
        <x:f>IF(B77="","",TODAY())</x:f>
      </x:c>
      <x:c r="T77" s="76"/>
      <x:c r="U77" s="76" t="str">
        <x:f>IF(B77="","",IF(OR(C77="",D77="",E77="",J77="",K77="",L77="",N77="",O77="",P77="",Q77&lt;&gt;"Validé humainement"),"ALERTE: données/preuves/statut",IF(OR(F77&lt;0,G77&lt;0,H77&lt;0,J77&lt;0,L77&lt;0,M77&lt;0),"ALERTE: valeur anormale","OK")))</x:f>
      </x:c>
      <x:c r="V77" s="76" t="str">
        <x:f>IF(B77="","",IF(Q77="Validé humainement","Oui","Non"))</x:f>
      </x:c>
    </x:row>
    <x:row r="78">
      <x:c r="A78" s="76" t="str">
        <x:f>IF(B78="","","MOB-"&amp;TEXT(ROW()-4,"0000"))</x:f>
      </x:c>
      <x:c r="B78" s="76"/>
      <x:c r="C78" s="76"/>
      <x:c r="D78" s="76"/>
      <x:c r="E78" s="76"/>
      <x:c r="F78" s="81"/>
      <x:c r="G78" s="80"/>
      <x:c r="H78" s="81"/>
      <x:c r="I78" s="76"/>
      <x:c r="J78" s="77"/>
      <x:c r="K78" s="76"/>
      <x:c r="L78" s="83"/>
      <x:c r="M78" s="77" t="str">
        <x:f>IF(OR(J78="",L78=""),"",J78*L78)</x:f>
      </x:c>
      <x:c r="N78" s="76"/>
      <x:c r="O78" s="76"/>
      <x:c r="P78" s="76"/>
      <x:c r="Q78" s="76"/>
      <x:c r="R78" s="76"/>
      <x:c r="S78" s="78" t="str">
        <x:f>IF(B78="","",TODAY())</x:f>
      </x:c>
      <x:c r="T78" s="76"/>
      <x:c r="U78" s="76" t="str">
        <x:f>IF(B78="","",IF(OR(C78="",D78="",E78="",J78="",K78="",L78="",N78="",O78="",P78="",Q78&lt;&gt;"Validé humainement"),"ALERTE: données/preuves/statut",IF(OR(F78&lt;0,G78&lt;0,H78&lt;0,J78&lt;0,L78&lt;0,M78&lt;0),"ALERTE: valeur anormale","OK")))</x:f>
      </x:c>
      <x:c r="V78" s="76" t="str">
        <x:f>IF(B78="","",IF(Q78="Validé humainement","Oui","Non"))</x:f>
      </x:c>
    </x:row>
    <x:row r="79">
      <x:c r="A79" s="76" t="str">
        <x:f>IF(B79="","","MOB-"&amp;TEXT(ROW()-4,"0000"))</x:f>
      </x:c>
      <x:c r="B79" s="76"/>
      <x:c r="C79" s="76"/>
      <x:c r="D79" s="76"/>
      <x:c r="E79" s="76"/>
      <x:c r="F79" s="81"/>
      <x:c r="G79" s="80"/>
      <x:c r="H79" s="81"/>
      <x:c r="I79" s="76"/>
      <x:c r="J79" s="77"/>
      <x:c r="K79" s="76"/>
      <x:c r="L79" s="83"/>
      <x:c r="M79" s="77" t="str">
        <x:f>IF(OR(J79="",L79=""),"",J79*L79)</x:f>
      </x:c>
      <x:c r="N79" s="76"/>
      <x:c r="O79" s="76"/>
      <x:c r="P79" s="76"/>
      <x:c r="Q79" s="76"/>
      <x:c r="R79" s="76"/>
      <x:c r="S79" s="78" t="str">
        <x:f>IF(B79="","",TODAY())</x:f>
      </x:c>
      <x:c r="T79" s="76"/>
      <x:c r="U79" s="76" t="str">
        <x:f>IF(B79="","",IF(OR(C79="",D79="",E79="",J79="",K79="",L79="",N79="",O79="",P79="",Q79&lt;&gt;"Validé humainement"),"ALERTE: données/preuves/statut",IF(OR(F79&lt;0,G79&lt;0,H79&lt;0,J79&lt;0,L79&lt;0,M79&lt;0),"ALERTE: valeur anormale","OK")))</x:f>
      </x:c>
      <x:c r="V79" s="76" t="str">
        <x:f>IF(B79="","",IF(Q79="Validé humainement","Oui","Non"))</x:f>
      </x:c>
    </x:row>
    <x:row r="80">
      <x:c r="A80" s="76" t="str">
        <x:f>IF(B80="","","MOB-"&amp;TEXT(ROW()-4,"0000"))</x:f>
      </x:c>
      <x:c r="B80" s="76"/>
      <x:c r="C80" s="76"/>
      <x:c r="D80" s="76"/>
      <x:c r="E80" s="76"/>
      <x:c r="F80" s="81"/>
      <x:c r="G80" s="80"/>
      <x:c r="H80" s="81"/>
      <x:c r="I80" s="76"/>
      <x:c r="J80" s="77"/>
      <x:c r="K80" s="76"/>
      <x:c r="L80" s="83"/>
      <x:c r="M80" s="77" t="str">
        <x:f>IF(OR(J80="",L80=""),"",J80*L80)</x:f>
      </x:c>
      <x:c r="N80" s="76"/>
      <x:c r="O80" s="76"/>
      <x:c r="P80" s="76"/>
      <x:c r="Q80" s="76"/>
      <x:c r="R80" s="76"/>
      <x:c r="S80" s="78" t="str">
        <x:f>IF(B80="","",TODAY())</x:f>
      </x:c>
      <x:c r="T80" s="76"/>
      <x:c r="U80" s="76" t="str">
        <x:f>IF(B80="","",IF(OR(C80="",D80="",E80="",J80="",K80="",L80="",N80="",O80="",P80="",Q80&lt;&gt;"Validé humainement"),"ALERTE: données/preuves/statut",IF(OR(F80&lt;0,G80&lt;0,H80&lt;0,J80&lt;0,L80&lt;0,M80&lt;0),"ALERTE: valeur anormale","OK")))</x:f>
      </x:c>
      <x:c r="V80" s="76" t="str">
        <x:f>IF(B80="","",IF(Q80="Validé humainement","Oui","Non"))</x:f>
      </x:c>
    </x:row>
    <x:row r="81">
      <x:c r="A81" s="76" t="str">
        <x:f>IF(B81="","","MOB-"&amp;TEXT(ROW()-4,"0000"))</x:f>
      </x:c>
      <x:c r="B81" s="76"/>
      <x:c r="C81" s="76"/>
      <x:c r="D81" s="76"/>
      <x:c r="E81" s="76"/>
      <x:c r="F81" s="81"/>
      <x:c r="G81" s="80"/>
      <x:c r="H81" s="81"/>
      <x:c r="I81" s="76"/>
      <x:c r="J81" s="77"/>
      <x:c r="K81" s="76"/>
      <x:c r="L81" s="83"/>
      <x:c r="M81" s="77" t="str">
        <x:f>IF(OR(J81="",L81=""),"",J81*L81)</x:f>
      </x:c>
      <x:c r="N81" s="76"/>
      <x:c r="O81" s="76"/>
      <x:c r="P81" s="76"/>
      <x:c r="Q81" s="76"/>
      <x:c r="R81" s="76"/>
      <x:c r="S81" s="78" t="str">
        <x:f>IF(B81="","",TODAY())</x:f>
      </x:c>
      <x:c r="T81" s="76"/>
      <x:c r="U81" s="76" t="str">
        <x:f>IF(B81="","",IF(OR(C81="",D81="",E81="",J81="",K81="",L81="",N81="",O81="",P81="",Q81&lt;&gt;"Validé humainement"),"ALERTE: données/preuves/statut",IF(OR(F81&lt;0,G81&lt;0,H81&lt;0,J81&lt;0,L81&lt;0,M81&lt;0),"ALERTE: valeur anormale","OK")))</x:f>
      </x:c>
      <x:c r="V81" s="76" t="str">
        <x:f>IF(B81="","",IF(Q81="Validé humainement","Oui","Non"))</x:f>
      </x:c>
    </x:row>
    <x:row r="82">
      <x:c r="A82" s="76" t="str">
        <x:f>IF(B82="","","MOB-"&amp;TEXT(ROW()-4,"0000"))</x:f>
      </x:c>
      <x:c r="B82" s="76"/>
      <x:c r="C82" s="76"/>
      <x:c r="D82" s="76"/>
      <x:c r="E82" s="76"/>
      <x:c r="F82" s="81"/>
      <x:c r="G82" s="80"/>
      <x:c r="H82" s="81"/>
      <x:c r="I82" s="76"/>
      <x:c r="J82" s="77"/>
      <x:c r="K82" s="76"/>
      <x:c r="L82" s="83"/>
      <x:c r="M82" s="77" t="str">
        <x:f>IF(OR(J82="",L82=""),"",J82*L82)</x:f>
      </x:c>
      <x:c r="N82" s="76"/>
      <x:c r="O82" s="76"/>
      <x:c r="P82" s="76"/>
      <x:c r="Q82" s="76"/>
      <x:c r="R82" s="76"/>
      <x:c r="S82" s="78" t="str">
        <x:f>IF(B82="","",TODAY())</x:f>
      </x:c>
      <x:c r="T82" s="76"/>
      <x:c r="U82" s="76" t="str">
        <x:f>IF(B82="","",IF(OR(C82="",D82="",E82="",J82="",K82="",L82="",N82="",O82="",P82="",Q82&lt;&gt;"Validé humainement"),"ALERTE: données/preuves/statut",IF(OR(F82&lt;0,G82&lt;0,H82&lt;0,J82&lt;0,L82&lt;0,M82&lt;0),"ALERTE: valeur anormale","OK")))</x:f>
      </x:c>
      <x:c r="V82" s="76" t="str">
        <x:f>IF(B82="","",IF(Q82="Validé humainement","Oui","Non"))</x:f>
      </x:c>
    </x:row>
    <x:row r="83">
      <x:c r="A83" s="76" t="str">
        <x:f>IF(B83="","","MOB-"&amp;TEXT(ROW()-4,"0000"))</x:f>
      </x:c>
      <x:c r="B83" s="76"/>
      <x:c r="C83" s="76"/>
      <x:c r="D83" s="76"/>
      <x:c r="E83" s="76"/>
      <x:c r="F83" s="81"/>
      <x:c r="G83" s="80"/>
      <x:c r="H83" s="81"/>
      <x:c r="I83" s="76"/>
      <x:c r="J83" s="77"/>
      <x:c r="K83" s="76"/>
      <x:c r="L83" s="83"/>
      <x:c r="M83" s="77" t="str">
        <x:f>IF(OR(J83="",L83=""),"",J83*L83)</x:f>
      </x:c>
      <x:c r="N83" s="76"/>
      <x:c r="O83" s="76"/>
      <x:c r="P83" s="76"/>
      <x:c r="Q83" s="76"/>
      <x:c r="R83" s="76"/>
      <x:c r="S83" s="78" t="str">
        <x:f>IF(B83="","",TODAY())</x:f>
      </x:c>
      <x:c r="T83" s="76"/>
      <x:c r="U83" s="76" t="str">
        <x:f>IF(B83="","",IF(OR(C83="",D83="",E83="",J83="",K83="",L83="",N83="",O83="",P83="",Q83&lt;&gt;"Validé humainement"),"ALERTE: données/preuves/statut",IF(OR(F83&lt;0,G83&lt;0,H83&lt;0,J83&lt;0,L83&lt;0,M83&lt;0),"ALERTE: valeur anormale","OK")))</x:f>
      </x:c>
      <x:c r="V83" s="76" t="str">
        <x:f>IF(B83="","",IF(Q83="Validé humainement","Oui","Non"))</x:f>
      </x:c>
    </x:row>
    <x:row r="84">
      <x:c r="A84" s="76" t="str">
        <x:f>IF(B84="","","MOB-"&amp;TEXT(ROW()-4,"0000"))</x:f>
      </x:c>
      <x:c r="B84" s="76"/>
      <x:c r="C84" s="76"/>
      <x:c r="D84" s="76"/>
      <x:c r="E84" s="76"/>
      <x:c r="F84" s="81"/>
      <x:c r="G84" s="80"/>
      <x:c r="H84" s="81"/>
      <x:c r="I84" s="76"/>
      <x:c r="J84" s="77"/>
      <x:c r="K84" s="76"/>
      <x:c r="L84" s="83"/>
      <x:c r="M84" s="77" t="str">
        <x:f>IF(OR(J84="",L84=""),"",J84*L84)</x:f>
      </x:c>
      <x:c r="N84" s="76"/>
      <x:c r="O84" s="76"/>
      <x:c r="P84" s="76"/>
      <x:c r="Q84" s="76"/>
      <x:c r="R84" s="76"/>
      <x:c r="S84" s="78" t="str">
        <x:f>IF(B84="","",TODAY())</x:f>
      </x:c>
      <x:c r="T84" s="76"/>
      <x:c r="U84" s="76" t="str">
        <x:f>IF(B84="","",IF(OR(C84="",D84="",E84="",J84="",K84="",L84="",N84="",O84="",P84="",Q84&lt;&gt;"Validé humainement"),"ALERTE: données/preuves/statut",IF(OR(F84&lt;0,G84&lt;0,H84&lt;0,J84&lt;0,L84&lt;0,M84&lt;0),"ALERTE: valeur anormale","OK")))</x:f>
      </x:c>
      <x:c r="V84" s="76" t="str">
        <x:f>IF(B84="","",IF(Q84="Validé humainement","Oui","Non"))</x:f>
      </x:c>
    </x:row>
    <x:row r="85">
      <x:c r="A85" s="76" t="str">
        <x:f>IF(B85="","","MOB-"&amp;TEXT(ROW()-4,"0000"))</x:f>
      </x:c>
      <x:c r="B85" s="76"/>
      <x:c r="C85" s="76"/>
      <x:c r="D85" s="76"/>
      <x:c r="E85" s="76"/>
      <x:c r="F85" s="81"/>
      <x:c r="G85" s="80"/>
      <x:c r="H85" s="81"/>
      <x:c r="I85" s="76"/>
      <x:c r="J85" s="77"/>
      <x:c r="K85" s="76"/>
      <x:c r="L85" s="83"/>
      <x:c r="M85" s="77" t="str">
        <x:f>IF(OR(J85="",L85=""),"",J85*L85)</x:f>
      </x:c>
      <x:c r="N85" s="76"/>
      <x:c r="O85" s="76"/>
      <x:c r="P85" s="76"/>
      <x:c r="Q85" s="76"/>
      <x:c r="R85" s="76"/>
      <x:c r="S85" s="78" t="str">
        <x:f>IF(B85="","",TODAY())</x:f>
      </x:c>
      <x:c r="T85" s="76"/>
      <x:c r="U85" s="76" t="str">
        <x:f>IF(B85="","",IF(OR(C85="",D85="",E85="",J85="",K85="",L85="",N85="",O85="",P85="",Q85&lt;&gt;"Validé humainement"),"ALERTE: données/preuves/statut",IF(OR(F85&lt;0,G85&lt;0,H85&lt;0,J85&lt;0,L85&lt;0,M85&lt;0),"ALERTE: valeur anormale","OK")))</x:f>
      </x:c>
      <x:c r="V85" s="76" t="str">
        <x:f>IF(B85="","",IF(Q85="Validé humainement","Oui","Non"))</x:f>
      </x:c>
    </x:row>
    <x:row r="86">
      <x:c r="A86" s="76" t="str">
        <x:f>IF(B86="","","MOB-"&amp;TEXT(ROW()-4,"0000"))</x:f>
      </x:c>
      <x:c r="B86" s="76"/>
      <x:c r="C86" s="76"/>
      <x:c r="D86" s="76"/>
      <x:c r="E86" s="76"/>
      <x:c r="F86" s="81"/>
      <x:c r="G86" s="80"/>
      <x:c r="H86" s="81"/>
      <x:c r="I86" s="76"/>
      <x:c r="J86" s="77"/>
      <x:c r="K86" s="76"/>
      <x:c r="L86" s="83"/>
      <x:c r="M86" s="77" t="str">
        <x:f>IF(OR(J86="",L86=""),"",J86*L86)</x:f>
      </x:c>
      <x:c r="N86" s="76"/>
      <x:c r="O86" s="76"/>
      <x:c r="P86" s="76"/>
      <x:c r="Q86" s="76"/>
      <x:c r="R86" s="76"/>
      <x:c r="S86" s="78" t="str">
        <x:f>IF(B86="","",TODAY())</x:f>
      </x:c>
      <x:c r="T86" s="76"/>
      <x:c r="U86" s="76" t="str">
        <x:f>IF(B86="","",IF(OR(C86="",D86="",E86="",J86="",K86="",L86="",N86="",O86="",P86="",Q86&lt;&gt;"Validé humainement"),"ALERTE: données/preuves/statut",IF(OR(F86&lt;0,G86&lt;0,H86&lt;0,J86&lt;0,L86&lt;0,M86&lt;0),"ALERTE: valeur anormale","OK")))</x:f>
      </x:c>
      <x:c r="V86" s="76" t="str">
        <x:f>IF(B86="","",IF(Q86="Validé humainement","Oui","Non"))</x:f>
      </x:c>
    </x:row>
    <x:row r="87">
      <x:c r="A87" s="76" t="str">
        <x:f>IF(B87="","","MOB-"&amp;TEXT(ROW()-4,"0000"))</x:f>
      </x:c>
      <x:c r="B87" s="76"/>
      <x:c r="C87" s="76"/>
      <x:c r="D87" s="76"/>
      <x:c r="E87" s="76"/>
      <x:c r="F87" s="81"/>
      <x:c r="G87" s="80"/>
      <x:c r="H87" s="81"/>
      <x:c r="I87" s="76"/>
      <x:c r="J87" s="77"/>
      <x:c r="K87" s="76"/>
      <x:c r="L87" s="83"/>
      <x:c r="M87" s="77" t="str">
        <x:f>IF(OR(J87="",L87=""),"",J87*L87)</x:f>
      </x:c>
      <x:c r="N87" s="76"/>
      <x:c r="O87" s="76"/>
      <x:c r="P87" s="76"/>
      <x:c r="Q87" s="76"/>
      <x:c r="R87" s="76"/>
      <x:c r="S87" s="78" t="str">
        <x:f>IF(B87="","",TODAY())</x:f>
      </x:c>
      <x:c r="T87" s="76"/>
      <x:c r="U87" s="76" t="str">
        <x:f>IF(B87="","",IF(OR(C87="",D87="",E87="",J87="",K87="",L87="",N87="",O87="",P87="",Q87&lt;&gt;"Validé humainement"),"ALERTE: données/preuves/statut",IF(OR(F87&lt;0,G87&lt;0,H87&lt;0,J87&lt;0,L87&lt;0,M87&lt;0),"ALERTE: valeur anormale","OK")))</x:f>
      </x:c>
      <x:c r="V87" s="76" t="str">
        <x:f>IF(B87="","",IF(Q87="Validé humainement","Oui","Non"))</x:f>
      </x:c>
    </x:row>
    <x:row r="88">
      <x:c r="A88" s="76" t="str">
        <x:f>IF(B88="","","MOB-"&amp;TEXT(ROW()-4,"0000"))</x:f>
      </x:c>
      <x:c r="B88" s="76"/>
      <x:c r="C88" s="76"/>
      <x:c r="D88" s="76"/>
      <x:c r="E88" s="76"/>
      <x:c r="F88" s="81"/>
      <x:c r="G88" s="80"/>
      <x:c r="H88" s="81"/>
      <x:c r="I88" s="76"/>
      <x:c r="J88" s="77"/>
      <x:c r="K88" s="76"/>
      <x:c r="L88" s="83"/>
      <x:c r="M88" s="77" t="str">
        <x:f>IF(OR(J88="",L88=""),"",J88*L88)</x:f>
      </x:c>
      <x:c r="N88" s="76"/>
      <x:c r="O88" s="76"/>
      <x:c r="P88" s="76"/>
      <x:c r="Q88" s="76"/>
      <x:c r="R88" s="76"/>
      <x:c r="S88" s="78" t="str">
        <x:f>IF(B88="","",TODAY())</x:f>
      </x:c>
      <x:c r="T88" s="76"/>
      <x:c r="U88" s="76" t="str">
        <x:f>IF(B88="","",IF(OR(C88="",D88="",E88="",J88="",K88="",L88="",N88="",O88="",P88="",Q88&lt;&gt;"Validé humainement"),"ALERTE: données/preuves/statut",IF(OR(F88&lt;0,G88&lt;0,H88&lt;0,J88&lt;0,L88&lt;0,M88&lt;0),"ALERTE: valeur anormale","OK")))</x:f>
      </x:c>
      <x:c r="V88" s="76" t="str">
        <x:f>IF(B88="","",IF(Q88="Validé humainement","Oui","Non"))</x:f>
      </x:c>
    </x:row>
    <x:row r="89">
      <x:c r="A89" s="76" t="str">
        <x:f>IF(B89="","","MOB-"&amp;TEXT(ROW()-4,"0000"))</x:f>
      </x:c>
      <x:c r="B89" s="76"/>
      <x:c r="C89" s="76"/>
      <x:c r="D89" s="76"/>
      <x:c r="E89" s="76"/>
      <x:c r="F89" s="81"/>
      <x:c r="G89" s="80"/>
      <x:c r="H89" s="81"/>
      <x:c r="I89" s="76"/>
      <x:c r="J89" s="77"/>
      <x:c r="K89" s="76"/>
      <x:c r="L89" s="83"/>
      <x:c r="M89" s="77" t="str">
        <x:f>IF(OR(J89="",L89=""),"",J89*L89)</x:f>
      </x:c>
      <x:c r="N89" s="76"/>
      <x:c r="O89" s="76"/>
      <x:c r="P89" s="76"/>
      <x:c r="Q89" s="76"/>
      <x:c r="R89" s="76"/>
      <x:c r="S89" s="78" t="str">
        <x:f>IF(B89="","",TODAY())</x:f>
      </x:c>
      <x:c r="T89" s="76"/>
      <x:c r="U89" s="76" t="str">
        <x:f>IF(B89="","",IF(OR(C89="",D89="",E89="",J89="",K89="",L89="",N89="",O89="",P89="",Q89&lt;&gt;"Validé humainement"),"ALERTE: données/preuves/statut",IF(OR(F89&lt;0,G89&lt;0,H89&lt;0,J89&lt;0,L89&lt;0,M89&lt;0),"ALERTE: valeur anormale","OK")))</x:f>
      </x:c>
      <x:c r="V89" s="76" t="str">
        <x:f>IF(B89="","",IF(Q89="Validé humainement","Oui","Non"))</x:f>
      </x:c>
    </x:row>
    <x:row r="90">
      <x:c r="A90" s="76" t="str">
        <x:f>IF(B90="","","MOB-"&amp;TEXT(ROW()-4,"0000"))</x:f>
      </x:c>
      <x:c r="B90" s="76"/>
      <x:c r="C90" s="76"/>
      <x:c r="D90" s="76"/>
      <x:c r="E90" s="76"/>
      <x:c r="F90" s="81"/>
      <x:c r="G90" s="80"/>
      <x:c r="H90" s="81"/>
      <x:c r="I90" s="76"/>
      <x:c r="J90" s="77"/>
      <x:c r="K90" s="76"/>
      <x:c r="L90" s="83"/>
      <x:c r="M90" s="77" t="str">
        <x:f>IF(OR(J90="",L90=""),"",J90*L90)</x:f>
      </x:c>
      <x:c r="N90" s="76"/>
      <x:c r="O90" s="76"/>
      <x:c r="P90" s="76"/>
      <x:c r="Q90" s="76"/>
      <x:c r="R90" s="76"/>
      <x:c r="S90" s="78" t="str">
        <x:f>IF(B90="","",TODAY())</x:f>
      </x:c>
      <x:c r="T90" s="76"/>
      <x:c r="U90" s="76" t="str">
        <x:f>IF(B90="","",IF(OR(C90="",D90="",E90="",J90="",K90="",L90="",N90="",O90="",P90="",Q90&lt;&gt;"Validé humainement"),"ALERTE: données/preuves/statut",IF(OR(F90&lt;0,G90&lt;0,H90&lt;0,J90&lt;0,L90&lt;0,M90&lt;0),"ALERTE: valeur anormale","OK")))</x:f>
      </x:c>
      <x:c r="V90" s="76" t="str">
        <x:f>IF(B90="","",IF(Q90="Validé humainement","Oui","Non"))</x:f>
      </x:c>
    </x:row>
    <x:row r="91">
      <x:c r="A91" s="76" t="str">
        <x:f>IF(B91="","","MOB-"&amp;TEXT(ROW()-4,"0000"))</x:f>
      </x:c>
      <x:c r="B91" s="76"/>
      <x:c r="C91" s="76"/>
      <x:c r="D91" s="76"/>
      <x:c r="E91" s="76"/>
      <x:c r="F91" s="81"/>
      <x:c r="G91" s="80"/>
      <x:c r="H91" s="81"/>
      <x:c r="I91" s="76"/>
      <x:c r="J91" s="77"/>
      <x:c r="K91" s="76"/>
      <x:c r="L91" s="83"/>
      <x:c r="M91" s="77" t="str">
        <x:f>IF(OR(J91="",L91=""),"",J91*L91)</x:f>
      </x:c>
      <x:c r="N91" s="76"/>
      <x:c r="O91" s="76"/>
      <x:c r="P91" s="76"/>
      <x:c r="Q91" s="76"/>
      <x:c r="R91" s="76"/>
      <x:c r="S91" s="78" t="str">
        <x:f>IF(B91="","",TODAY())</x:f>
      </x:c>
      <x:c r="T91" s="76"/>
      <x:c r="U91" s="76" t="str">
        <x:f>IF(B91="","",IF(OR(C91="",D91="",E91="",J91="",K91="",L91="",N91="",O91="",P91="",Q91&lt;&gt;"Validé humainement"),"ALERTE: données/preuves/statut",IF(OR(F91&lt;0,G91&lt;0,H91&lt;0,J91&lt;0,L91&lt;0,M91&lt;0),"ALERTE: valeur anormale","OK")))</x:f>
      </x:c>
      <x:c r="V91" s="76" t="str">
        <x:f>IF(B91="","",IF(Q91="Validé humainement","Oui","Non"))</x:f>
      </x:c>
    </x:row>
    <x:row r="92">
      <x:c r="A92" s="76" t="str">
        <x:f>IF(B92="","","MOB-"&amp;TEXT(ROW()-4,"0000"))</x:f>
      </x:c>
      <x:c r="B92" s="76"/>
      <x:c r="C92" s="76"/>
      <x:c r="D92" s="76"/>
      <x:c r="E92" s="76"/>
      <x:c r="F92" s="81"/>
      <x:c r="G92" s="80"/>
      <x:c r="H92" s="81"/>
      <x:c r="I92" s="76"/>
      <x:c r="J92" s="77"/>
      <x:c r="K92" s="76"/>
      <x:c r="L92" s="83"/>
      <x:c r="M92" s="77" t="str">
        <x:f>IF(OR(J92="",L92=""),"",J92*L92)</x:f>
      </x:c>
      <x:c r="N92" s="76"/>
      <x:c r="O92" s="76"/>
      <x:c r="P92" s="76"/>
      <x:c r="Q92" s="76"/>
      <x:c r="R92" s="76"/>
      <x:c r="S92" s="78" t="str">
        <x:f>IF(B92="","",TODAY())</x:f>
      </x:c>
      <x:c r="T92" s="76"/>
      <x:c r="U92" s="76" t="str">
        <x:f>IF(B92="","",IF(OR(C92="",D92="",E92="",J92="",K92="",L92="",N92="",O92="",P92="",Q92&lt;&gt;"Validé humainement"),"ALERTE: données/preuves/statut",IF(OR(F92&lt;0,G92&lt;0,H92&lt;0,J92&lt;0,L92&lt;0,M92&lt;0),"ALERTE: valeur anormale","OK")))</x:f>
      </x:c>
      <x:c r="V92" s="76" t="str">
        <x:f>IF(B92="","",IF(Q92="Validé humainement","Oui","Non"))</x:f>
      </x:c>
    </x:row>
    <x:row r="93">
      <x:c r="A93" s="76" t="str">
        <x:f>IF(B93="","","MOB-"&amp;TEXT(ROW()-4,"0000"))</x:f>
      </x:c>
      <x:c r="B93" s="76"/>
      <x:c r="C93" s="76"/>
      <x:c r="D93" s="76"/>
      <x:c r="E93" s="76"/>
      <x:c r="F93" s="81"/>
      <x:c r="G93" s="80"/>
      <x:c r="H93" s="81"/>
      <x:c r="I93" s="76"/>
      <x:c r="J93" s="77"/>
      <x:c r="K93" s="76"/>
      <x:c r="L93" s="83"/>
      <x:c r="M93" s="77" t="str">
        <x:f>IF(OR(J93="",L93=""),"",J93*L93)</x:f>
      </x:c>
      <x:c r="N93" s="76"/>
      <x:c r="O93" s="76"/>
      <x:c r="P93" s="76"/>
      <x:c r="Q93" s="76"/>
      <x:c r="R93" s="76"/>
      <x:c r="S93" s="78" t="str">
        <x:f>IF(B93="","",TODAY())</x:f>
      </x:c>
      <x:c r="T93" s="76"/>
      <x:c r="U93" s="76" t="str">
        <x:f>IF(B93="","",IF(OR(C93="",D93="",E93="",J93="",K93="",L93="",N93="",O93="",P93="",Q93&lt;&gt;"Validé humainement"),"ALERTE: données/preuves/statut",IF(OR(F93&lt;0,G93&lt;0,H93&lt;0,J93&lt;0,L93&lt;0,M93&lt;0),"ALERTE: valeur anormale","OK")))</x:f>
      </x:c>
      <x:c r="V93" s="76" t="str">
        <x:f>IF(B93="","",IF(Q93="Validé humainement","Oui","Non"))</x:f>
      </x:c>
    </x:row>
    <x:row r="94">
      <x:c r="A94" s="76" t="str">
        <x:f>IF(B94="","","MOB-"&amp;TEXT(ROW()-4,"0000"))</x:f>
      </x:c>
      <x:c r="B94" s="76"/>
      <x:c r="C94" s="76"/>
      <x:c r="D94" s="76"/>
      <x:c r="E94" s="76"/>
      <x:c r="F94" s="81"/>
      <x:c r="G94" s="80"/>
      <x:c r="H94" s="81"/>
      <x:c r="I94" s="76"/>
      <x:c r="J94" s="77"/>
      <x:c r="K94" s="76"/>
      <x:c r="L94" s="83"/>
      <x:c r="M94" s="77" t="str">
        <x:f>IF(OR(J94="",L94=""),"",J94*L94)</x:f>
      </x:c>
      <x:c r="N94" s="76"/>
      <x:c r="O94" s="76"/>
      <x:c r="P94" s="76"/>
      <x:c r="Q94" s="76"/>
      <x:c r="R94" s="76"/>
      <x:c r="S94" s="78" t="str">
        <x:f>IF(B94="","",TODAY())</x:f>
      </x:c>
      <x:c r="T94" s="76"/>
      <x:c r="U94" s="76" t="str">
        <x:f>IF(B94="","",IF(OR(C94="",D94="",E94="",J94="",K94="",L94="",N94="",O94="",P94="",Q94&lt;&gt;"Validé humainement"),"ALERTE: données/preuves/statut",IF(OR(F94&lt;0,G94&lt;0,H94&lt;0,J94&lt;0,L94&lt;0,M94&lt;0),"ALERTE: valeur anormale","OK")))</x:f>
      </x:c>
      <x:c r="V94" s="76" t="str">
        <x:f>IF(B94="","",IF(Q94="Validé humainement","Oui","Non"))</x:f>
      </x:c>
    </x:row>
    <x:row r="95">
      <x:c r="A95" s="76" t="str">
        <x:f>IF(B95="","","MOB-"&amp;TEXT(ROW()-4,"0000"))</x:f>
      </x:c>
      <x:c r="B95" s="76"/>
      <x:c r="C95" s="76"/>
      <x:c r="D95" s="76"/>
      <x:c r="E95" s="76"/>
      <x:c r="F95" s="81"/>
      <x:c r="G95" s="80"/>
      <x:c r="H95" s="81"/>
      <x:c r="I95" s="76"/>
      <x:c r="J95" s="77"/>
      <x:c r="K95" s="76"/>
      <x:c r="L95" s="83"/>
      <x:c r="M95" s="77" t="str">
        <x:f>IF(OR(J95="",L95=""),"",J95*L95)</x:f>
      </x:c>
      <x:c r="N95" s="76"/>
      <x:c r="O95" s="76"/>
      <x:c r="P95" s="76"/>
      <x:c r="Q95" s="76"/>
      <x:c r="R95" s="76"/>
      <x:c r="S95" s="78" t="str">
        <x:f>IF(B95="","",TODAY())</x:f>
      </x:c>
      <x:c r="T95" s="76"/>
      <x:c r="U95" s="76" t="str">
        <x:f>IF(B95="","",IF(OR(C95="",D95="",E95="",J95="",K95="",L95="",N95="",O95="",P95="",Q95&lt;&gt;"Validé humainement"),"ALERTE: données/preuves/statut",IF(OR(F95&lt;0,G95&lt;0,H95&lt;0,J95&lt;0,L95&lt;0,M95&lt;0),"ALERTE: valeur anormale","OK")))</x:f>
      </x:c>
      <x:c r="V95" s="76" t="str">
        <x:f>IF(B95="","",IF(Q95="Validé humainement","Oui","Non"))</x:f>
      </x:c>
    </x:row>
    <x:row r="96">
      <x:c r="A96" s="76" t="str">
        <x:f>IF(B96="","","MOB-"&amp;TEXT(ROW()-4,"0000"))</x:f>
      </x:c>
      <x:c r="B96" s="76"/>
      <x:c r="C96" s="76"/>
      <x:c r="D96" s="76"/>
      <x:c r="E96" s="76"/>
      <x:c r="F96" s="81"/>
      <x:c r="G96" s="80"/>
      <x:c r="H96" s="81"/>
      <x:c r="I96" s="76"/>
      <x:c r="J96" s="77"/>
      <x:c r="K96" s="76"/>
      <x:c r="L96" s="83"/>
      <x:c r="M96" s="77" t="str">
        <x:f>IF(OR(J96="",L96=""),"",J96*L96)</x:f>
      </x:c>
      <x:c r="N96" s="76"/>
      <x:c r="O96" s="76"/>
      <x:c r="P96" s="76"/>
      <x:c r="Q96" s="76"/>
      <x:c r="R96" s="76"/>
      <x:c r="S96" s="78" t="str">
        <x:f>IF(B96="","",TODAY())</x:f>
      </x:c>
      <x:c r="T96" s="76"/>
      <x:c r="U96" s="76" t="str">
        <x:f>IF(B96="","",IF(OR(C96="",D96="",E96="",J96="",K96="",L96="",N96="",O96="",P96="",Q96&lt;&gt;"Validé humainement"),"ALERTE: données/preuves/statut",IF(OR(F96&lt;0,G96&lt;0,H96&lt;0,J96&lt;0,L96&lt;0,M96&lt;0),"ALERTE: valeur anormale","OK")))</x:f>
      </x:c>
      <x:c r="V96" s="76" t="str">
        <x:f>IF(B96="","",IF(Q96="Validé humainement","Oui","Non"))</x:f>
      </x:c>
    </x:row>
    <x:row r="97">
      <x:c r="A97" s="76" t="str">
        <x:f>IF(B97="","","MOB-"&amp;TEXT(ROW()-4,"0000"))</x:f>
      </x:c>
      <x:c r="B97" s="76"/>
      <x:c r="C97" s="76"/>
      <x:c r="D97" s="76"/>
      <x:c r="E97" s="76"/>
      <x:c r="F97" s="81"/>
      <x:c r="G97" s="80"/>
      <x:c r="H97" s="81"/>
      <x:c r="I97" s="76"/>
      <x:c r="J97" s="77"/>
      <x:c r="K97" s="76"/>
      <x:c r="L97" s="83"/>
      <x:c r="M97" s="77" t="str">
        <x:f>IF(OR(J97="",L97=""),"",J97*L97)</x:f>
      </x:c>
      <x:c r="N97" s="76"/>
      <x:c r="O97" s="76"/>
      <x:c r="P97" s="76"/>
      <x:c r="Q97" s="76"/>
      <x:c r="R97" s="76"/>
      <x:c r="S97" s="78" t="str">
        <x:f>IF(B97="","",TODAY())</x:f>
      </x:c>
      <x:c r="T97" s="76"/>
      <x:c r="U97" s="76" t="str">
        <x:f>IF(B97="","",IF(OR(C97="",D97="",E97="",J97="",K97="",L97="",N97="",O97="",P97="",Q97&lt;&gt;"Validé humainement"),"ALERTE: données/preuves/statut",IF(OR(F97&lt;0,G97&lt;0,H97&lt;0,J97&lt;0,L97&lt;0,M97&lt;0),"ALERTE: valeur anormale","OK")))</x:f>
      </x:c>
      <x:c r="V97" s="76" t="str">
        <x:f>IF(B97="","",IF(Q97="Validé humainement","Oui","Non"))</x:f>
      </x:c>
    </x:row>
    <x:row r="98">
      <x:c r="A98" s="76" t="str">
        <x:f>IF(B98="","","MOB-"&amp;TEXT(ROW()-4,"0000"))</x:f>
      </x:c>
      <x:c r="B98" s="76"/>
      <x:c r="C98" s="76"/>
      <x:c r="D98" s="76"/>
      <x:c r="E98" s="76"/>
      <x:c r="F98" s="81"/>
      <x:c r="G98" s="80"/>
      <x:c r="H98" s="81"/>
      <x:c r="I98" s="76"/>
      <x:c r="J98" s="77"/>
      <x:c r="K98" s="76"/>
      <x:c r="L98" s="83"/>
      <x:c r="M98" s="77" t="str">
        <x:f>IF(OR(J98="",L98=""),"",J98*L98)</x:f>
      </x:c>
      <x:c r="N98" s="76"/>
      <x:c r="O98" s="76"/>
      <x:c r="P98" s="76"/>
      <x:c r="Q98" s="76"/>
      <x:c r="R98" s="76"/>
      <x:c r="S98" s="78" t="str">
        <x:f>IF(B98="","",TODAY())</x:f>
      </x:c>
      <x:c r="T98" s="76"/>
      <x:c r="U98" s="76" t="str">
        <x:f>IF(B98="","",IF(OR(C98="",D98="",E98="",J98="",K98="",L98="",N98="",O98="",P98="",Q98&lt;&gt;"Validé humainement"),"ALERTE: données/preuves/statut",IF(OR(F98&lt;0,G98&lt;0,H98&lt;0,J98&lt;0,L98&lt;0,M98&lt;0),"ALERTE: valeur anormale","OK")))</x:f>
      </x:c>
      <x:c r="V98" s="76" t="str">
        <x:f>IF(B98="","",IF(Q98="Validé humainement","Oui","Non"))</x:f>
      </x:c>
    </x:row>
    <x:row r="99">
      <x:c r="A99" s="76" t="str">
        <x:f>IF(B99="","","MOB-"&amp;TEXT(ROW()-4,"0000"))</x:f>
      </x:c>
      <x:c r="B99" s="76"/>
      <x:c r="C99" s="76"/>
      <x:c r="D99" s="76"/>
      <x:c r="E99" s="76"/>
      <x:c r="F99" s="81"/>
      <x:c r="G99" s="80"/>
      <x:c r="H99" s="81"/>
      <x:c r="I99" s="76"/>
      <x:c r="J99" s="77"/>
      <x:c r="K99" s="76"/>
      <x:c r="L99" s="83"/>
      <x:c r="M99" s="77" t="str">
        <x:f>IF(OR(J99="",L99=""),"",J99*L99)</x:f>
      </x:c>
      <x:c r="N99" s="76"/>
      <x:c r="O99" s="76"/>
      <x:c r="P99" s="76"/>
      <x:c r="Q99" s="76"/>
      <x:c r="R99" s="76"/>
      <x:c r="S99" s="78" t="str">
        <x:f>IF(B99="","",TODAY())</x:f>
      </x:c>
      <x:c r="T99" s="76"/>
      <x:c r="U99" s="76" t="str">
        <x:f>IF(B99="","",IF(OR(C99="",D99="",E99="",J99="",K99="",L99="",N99="",O99="",P99="",Q99&lt;&gt;"Validé humainement"),"ALERTE: données/preuves/statut",IF(OR(F99&lt;0,G99&lt;0,H99&lt;0,J99&lt;0,L99&lt;0,M99&lt;0),"ALERTE: valeur anormale","OK")))</x:f>
      </x:c>
      <x:c r="V99" s="76" t="str">
        <x:f>IF(B99="","",IF(Q99="Validé humainement","Oui","Non"))</x:f>
      </x:c>
    </x:row>
    <x:row r="100">
      <x:c r="A100" s="76" t="str">
        <x:f>IF(B100="","","MOB-"&amp;TEXT(ROW()-4,"0000"))</x:f>
      </x:c>
      <x:c r="B100" s="76"/>
      <x:c r="C100" s="76"/>
      <x:c r="D100" s="76"/>
      <x:c r="E100" s="76"/>
      <x:c r="F100" s="81"/>
      <x:c r="G100" s="80"/>
      <x:c r="H100" s="81"/>
      <x:c r="I100" s="76"/>
      <x:c r="J100" s="77"/>
      <x:c r="K100" s="76"/>
      <x:c r="L100" s="83"/>
      <x:c r="M100" s="77" t="str">
        <x:f>IF(OR(J100="",L100=""),"",J100*L100)</x:f>
      </x:c>
      <x:c r="N100" s="76"/>
      <x:c r="O100" s="76"/>
      <x:c r="P100" s="76"/>
      <x:c r="Q100" s="76"/>
      <x:c r="R100" s="76"/>
      <x:c r="S100" s="78" t="str">
        <x:f>IF(B100="","",TODAY())</x:f>
      </x:c>
      <x:c r="T100" s="76"/>
      <x:c r="U100" s="76" t="str">
        <x:f>IF(B100="","",IF(OR(C100="",D100="",E100="",J100="",K100="",L100="",N100="",O100="",P100="",Q100&lt;&gt;"Validé humainement"),"ALERTE: données/preuves/statut",IF(OR(F100&lt;0,G100&lt;0,H100&lt;0,J100&lt;0,L100&lt;0,M100&lt;0),"ALERTE: valeur anormale","OK")))</x:f>
      </x:c>
      <x:c r="V100" s="76" t="str">
        <x:f>IF(B100="","",IF(Q100="Validé humainement","Oui","Non"))</x:f>
      </x:c>
    </x:row>
    <x:row r="101">
      <x:c r="A101" s="76" t="str">
        <x:f>IF(B101="","","MOB-"&amp;TEXT(ROW()-4,"0000"))</x:f>
      </x:c>
      <x:c r="B101" s="76"/>
      <x:c r="C101" s="76"/>
      <x:c r="D101" s="76"/>
      <x:c r="E101" s="76"/>
      <x:c r="F101" s="81"/>
      <x:c r="G101" s="80"/>
      <x:c r="H101" s="81"/>
      <x:c r="I101" s="76"/>
      <x:c r="J101" s="77"/>
      <x:c r="K101" s="76"/>
      <x:c r="L101" s="83"/>
      <x:c r="M101" s="77" t="str">
        <x:f>IF(OR(J101="",L101=""),"",J101*L101)</x:f>
      </x:c>
      <x:c r="N101" s="76"/>
      <x:c r="O101" s="76"/>
      <x:c r="P101" s="76"/>
      <x:c r="Q101" s="76"/>
      <x:c r="R101" s="76"/>
      <x:c r="S101" s="78" t="str">
        <x:f>IF(B101="","",TODAY())</x:f>
      </x:c>
      <x:c r="T101" s="76"/>
      <x:c r="U101" s="76" t="str">
        <x:f>IF(B101="","",IF(OR(C101="",D101="",E101="",J101="",K101="",L101="",N101="",O101="",P101="",Q101&lt;&gt;"Validé humainement"),"ALERTE: données/preuves/statut",IF(OR(F101&lt;0,G101&lt;0,H101&lt;0,J101&lt;0,L101&lt;0,M101&lt;0),"ALERTE: valeur anormale","OK")))</x:f>
      </x:c>
      <x:c r="V101" s="76" t="str">
        <x:f>IF(B101="","",IF(Q101="Validé humainement","Oui","Non"))</x:f>
      </x:c>
    </x:row>
    <x:row r="102">
      <x:c r="A102" s="76" t="str">
        <x:f>IF(B102="","","MOB-"&amp;TEXT(ROW()-4,"0000"))</x:f>
      </x:c>
      <x:c r="B102" s="76"/>
      <x:c r="C102" s="76"/>
      <x:c r="D102" s="76"/>
      <x:c r="E102" s="76"/>
      <x:c r="F102" s="81"/>
      <x:c r="G102" s="80"/>
      <x:c r="H102" s="81"/>
      <x:c r="I102" s="76"/>
      <x:c r="J102" s="77"/>
      <x:c r="K102" s="76"/>
      <x:c r="L102" s="83"/>
      <x:c r="M102" s="77" t="str">
        <x:f>IF(OR(J102="",L102=""),"",J102*L102)</x:f>
      </x:c>
      <x:c r="N102" s="76"/>
      <x:c r="O102" s="76"/>
      <x:c r="P102" s="76"/>
      <x:c r="Q102" s="76"/>
      <x:c r="R102" s="76"/>
      <x:c r="S102" s="78" t="str">
        <x:f>IF(B102="","",TODAY())</x:f>
      </x:c>
      <x:c r="T102" s="76"/>
      <x:c r="U102" s="76" t="str">
        <x:f>IF(B102="","",IF(OR(C102="",D102="",E102="",J102="",K102="",L102="",N102="",O102="",P102="",Q102&lt;&gt;"Validé humainement"),"ALERTE: données/preuves/statut",IF(OR(F102&lt;0,G102&lt;0,H102&lt;0,J102&lt;0,L102&lt;0,M102&lt;0),"ALERTE: valeur anormale","OK")))</x:f>
      </x:c>
      <x:c r="V102" s="76" t="str">
        <x:f>IF(B102="","",IF(Q102="Validé humainement","Oui","Non"))</x:f>
      </x:c>
    </x:row>
    <x:row r="103">
      <x:c r="A103" s="76" t="str">
        <x:f>IF(B103="","","MOB-"&amp;TEXT(ROW()-4,"0000"))</x:f>
      </x:c>
      <x:c r="B103" s="76"/>
      <x:c r="C103" s="76"/>
      <x:c r="D103" s="76"/>
      <x:c r="E103" s="76"/>
      <x:c r="F103" s="81"/>
      <x:c r="G103" s="80"/>
      <x:c r="H103" s="81"/>
      <x:c r="I103" s="76"/>
      <x:c r="J103" s="77"/>
      <x:c r="K103" s="76"/>
      <x:c r="L103" s="83"/>
      <x:c r="M103" s="77" t="str">
        <x:f>IF(OR(J103="",L103=""),"",J103*L103)</x:f>
      </x:c>
      <x:c r="N103" s="76"/>
      <x:c r="O103" s="76"/>
      <x:c r="P103" s="76"/>
      <x:c r="Q103" s="76"/>
      <x:c r="R103" s="76"/>
      <x:c r="S103" s="78" t="str">
        <x:f>IF(B103="","",TODAY())</x:f>
      </x:c>
      <x:c r="T103" s="76"/>
      <x:c r="U103" s="76" t="str">
        <x:f>IF(B103="","",IF(OR(C103="",D103="",E103="",J103="",K103="",L103="",N103="",O103="",P103="",Q103&lt;&gt;"Validé humainement"),"ALERTE: données/preuves/statut",IF(OR(F103&lt;0,G103&lt;0,H103&lt;0,J103&lt;0,L103&lt;0,M103&lt;0),"ALERTE: valeur anormale","OK")))</x:f>
      </x:c>
      <x:c r="V103" s="76" t="str">
        <x:f>IF(B103="","",IF(Q103="Validé humainement","Oui","Non"))</x:f>
      </x:c>
    </x:row>
    <x:row r="104">
      <x:c r="A104" s="76" t="str">
        <x:f>IF(B104="","","MOB-"&amp;TEXT(ROW()-4,"0000"))</x:f>
      </x:c>
      <x:c r="B104" s="76"/>
      <x:c r="C104" s="76"/>
      <x:c r="D104" s="76"/>
      <x:c r="E104" s="76"/>
      <x:c r="F104" s="81"/>
      <x:c r="G104" s="80"/>
      <x:c r="H104" s="81"/>
      <x:c r="I104" s="76"/>
      <x:c r="J104" s="77"/>
      <x:c r="K104" s="76"/>
      <x:c r="L104" s="83"/>
      <x:c r="M104" s="77" t="str">
        <x:f>IF(OR(J104="",L104=""),"",J104*L104)</x:f>
      </x:c>
      <x:c r="N104" s="76"/>
      <x:c r="O104" s="76"/>
      <x:c r="P104" s="76"/>
      <x:c r="Q104" s="76"/>
      <x:c r="R104" s="76"/>
      <x:c r="S104" s="78" t="str">
        <x:f>IF(B104="","",TODAY())</x:f>
      </x:c>
      <x:c r="T104" s="76"/>
      <x:c r="U104" s="76" t="str">
        <x:f>IF(B104="","",IF(OR(C104="",D104="",E104="",J104="",K104="",L104="",N104="",O104="",P104="",Q104&lt;&gt;"Validé humainement"),"ALERTE: données/preuves/statut",IF(OR(F104&lt;0,G104&lt;0,H104&lt;0,J104&lt;0,L104&lt;0,M104&lt;0),"ALERTE: valeur anormale","OK")))</x:f>
      </x:c>
      <x:c r="V104" s="76" t="str">
        <x:f>IF(B104="","",IF(Q104="Validé humainement","Oui","Non"))</x:f>
      </x:c>
    </x:row>
  </x:sheetData>
  <x:mergeCells>
    <x:mergeCell ref="A1:V1"/>
    <x:mergeCell ref="A2:V2"/>
  </x:mergeCells>
  <x:conditionalFormatting sqref="U5:U104">
    <x:cfRule type="containsText" dxfId="222" priority="1" operator="containsText" text="ALERTE"/>
    <x:cfRule type="containsText" dxfId="223" priority="2" operator="containsText" text="OK"/>
    <x:cfRule type="containsText" dxfId="224" priority="3" operator="containsText" text="Validé"/>
    <x:cfRule type="containsText" dxfId="225" priority="4" operator="containsText" text="À vérifier"/>
    <x:cfRule type="containsText" dxfId="226" priority="5" operator="containsText" text="Rejeté"/>
  </x:conditionalFormatting>
  <x:conditionalFormatting sqref="Q5:Q104">
    <x:cfRule type="containsText" dxfId="227" priority="6" operator="containsText" text="ALERTE"/>
    <x:cfRule type="containsText" dxfId="228" priority="7" operator="containsText" text="OK"/>
    <x:cfRule type="containsText" dxfId="229" priority="8" operator="containsText" text="Validé"/>
    <x:cfRule type="containsText" dxfId="230" priority="9" operator="containsText" text="À vérifier"/>
    <x:cfRule type="containsText" dxfId="231" priority="10" operator="containsText" text="Rejeté"/>
  </x:conditionalFormatting>
  <x:dataValidations count="7">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O5:O104">
      <x:formula1>"Ville de Dakar,Direction Environnement,Direction Mobilité,Direction Énergie,Direction Déchets,Direction Finances,ANACIM,DEEC / CGQA,SENELEC,SONAGED / UCG,CETUD,ONAS,ANSD,CSE,Université / Recherche,Bailleur,ONG / Association,Prestataire"</x:formula1>
    </x:dataValidation>
    <x:dataValidation type="list" errorStyle="warning" showInputMessage="1" showErrorMessage="1" errorTitle="Valeur inattendue" error="Veuillez choisir une valeur de la liste." promptTitle="Liste contrôlée" prompt="Choisir une valeur autorisée." sqref="Q5:Q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K5:K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E5:E104">
      <x:formula1>"Bus,BRT,Taxi,Véhicule particulier,Deux-roues,Marche,Vélo,Transport informel,Flotte municipale"</x:formula1>
    </x:dataValidation>
  </x:dataValidations>
  <x:pageMargins left="0.7" right="0.7" top="0.75" bottom="0.75" header="0.3" footer="0.3"/>
  <x:tableParts count="1">
    <x:tablePart xmlns:r="http://schemas.openxmlformats.org/officeDocument/2006/relationships" r:id="R06882cd77d3648b1"/>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1.880000114440918" hidden="0" customWidth="1"/>
    <x:col min="7" max="7" width="23.75" hidden="0" customWidth="1"/>
    <x:col min="8" max="8" width="18.1299991607666" hidden="0" customWidth="1"/>
    <x:col min="9" max="9" width="16.8799991607666" hidden="0" customWidth="1"/>
    <x:col min="10" max="10" width="18.1299991607666" hidden="0" customWidth="1"/>
    <x:col min="11" max="11" width="26.25" hidden="0" customWidth="1"/>
    <x:col min="12" max="12" width="31.25" hidden="0" customWidth="1"/>
    <x:col min="13" max="13" width="20" hidden="0" customWidth="1"/>
    <x:col min="14" max="14" width="15" hidden="0" customWidth="1"/>
    <x:col min="15" max="15" width="18.75" hidden="0" customWidth="1"/>
    <x:col min="16" max="16" width="23.75" hidden="0" customWidth="1"/>
    <x:col min="17" max="17" width="15" hidden="0" customWidth="1"/>
  </x:cols>
  <x:sheetData>
    <x:row r="1" ht="25.5" customHeight="1">
      <x:c r="A1" s="68" t="str">
        <x:v>Formulaire érosion côtière</x:v>
      </x:c>
      <x:c r="B1" s="68"/>
      <x:c r="C1" s="68"/>
      <x:c r="D1" s="68"/>
      <x:c r="E1" s="68"/>
      <x:c r="F1" s="68"/>
      <x:c r="G1" s="68"/>
      <x:c r="H1" s="68"/>
      <x:c r="I1" s="68"/>
      <x:c r="J1" s="68"/>
      <x:c r="K1" s="68"/>
      <x:c r="L1" s="68"/>
      <x:c r="M1" s="68"/>
      <x:c r="N1" s="68"/>
      <x:c r="O1" s="68"/>
      <x:c r="P1" s="68"/>
      <x:c r="Q1" s="68"/>
    </x:row>
    <x:row r="2" ht="33" customHeight="1">
      <x:c r="A2" s="71" t="str">
        <x:v>Saisie du recul du trait de côte, infrastructures et populations exposées.</x:v>
      </x:c>
      <x:c r="B2" s="71"/>
      <x:c r="C2" s="71"/>
      <x:c r="D2" s="71"/>
      <x:c r="E2" s="71"/>
      <x:c r="F2" s="71"/>
      <x:c r="G2" s="71"/>
      <x:c r="H2" s="71"/>
      <x:c r="I2" s="71"/>
      <x:c r="J2" s="71"/>
      <x:c r="K2" s="71"/>
      <x:c r="L2" s="71"/>
      <x:c r="M2" s="71"/>
      <x:c r="N2" s="71"/>
      <x:c r="O2" s="71"/>
      <x:c r="P2" s="71"/>
      <x:c r="Q2" s="71"/>
    </x:row>
    <x:row r="4">
      <x:c r="A4" s="74" t="str">
        <x:v>ID_Saisie</x:v>
      </x:c>
      <x:c r="B4" s="74" t="str">
        <x:v>Année</x:v>
      </x:c>
      <x:c r="C4" s="74" t="str">
        <x:v>Mois</x:v>
      </x:c>
      <x:c r="D4" s="74" t="str">
        <x:v>Zone côtière</x:v>
      </x:c>
      <x:c r="E4" s="74" t="str">
        <x:v>Recul du trait de côte</x:v>
      </x:c>
      <x:c r="F4" s="74" t="str">
        <x:v>Unité</x:v>
      </x:c>
      <x:c r="G4" s="74" t="str">
        <x:v>Infrastructure exposée</x:v>
      </x:c>
      <x:c r="H4" s="74" t="str">
        <x:v>Population exposée</x:v>
      </x:c>
      <x:c r="I4" s="74" t="str">
        <x:v>Niveau de risque</x:v>
      </x:c>
      <x:c r="J4" s="74" t="str">
        <x:v>Source</x:v>
      </x:c>
      <x:c r="K4" s="74" t="str">
        <x:v>Document source</x:v>
      </x:c>
      <x:c r="L4" s="74" t="str">
        <x:v>Observations</x:v>
      </x:c>
      <x:c r="M4" s="74" t="str">
        <x:v>Statut validation</x:v>
      </x:c>
      <x:c r="N4" s="74" t="str">
        <x:v>Date de saisie</x:v>
      </x:c>
      <x:c r="O4" s="74" t="str">
        <x:v>Responsable</x:v>
      </x:c>
      <x:c r="P4" s="74" t="str">
        <x:v>Alerte_QC</x:v>
      </x:c>
      <x:c r="Q4" s="74" t="str">
        <x:v>Alimente_Rapports</x:v>
      </x:c>
    </x:row>
    <x:row r="5">
      <x:c r="A5" s="76" t="str">
        <x:f>IF(B5="","","COTE-"&amp;TEXT(ROW()-4,"0000"))</x:f>
      </x:c>
      <x:c r="B5" s="76"/>
      <x:c r="C5" s="76"/>
      <x:c r="D5" s="76"/>
      <x:c r="E5" s="77"/>
      <x:c r="F5" s="76"/>
      <x:c r="G5" s="76"/>
      <x:c r="H5" s="81"/>
      <x:c r="I5" s="76"/>
      <x:c r="J5" s="76"/>
      <x:c r="K5" s="76"/>
      <x:c r="L5" s="76"/>
      <x:c r="M5" s="76"/>
      <x:c r="N5" s="78" t="str">
        <x:f>IF(B5="","",TODAY())</x:f>
      </x:c>
      <x:c r="O5" s="76"/>
      <x:c r="P5" s="76" t="str">
        <x:f>IF(B5="","",IF(OR(C5="",D5="",E5="",F5="",I5="",J5="",K5="",M5&lt;&gt;"Validé humainement"),"ALERTE: données/preuves/statut",IF(OR(E5&lt;0,E5&gt;50,H5&lt;0),"ALERTE: valeur anormale","OK")))</x:f>
      </x:c>
      <x:c r="Q5" s="76" t="str">
        <x:f>IF(B5="","",IF(M5="Validé humainement","Oui","Non"))</x:f>
      </x:c>
    </x:row>
    <x:row r="6">
      <x:c r="A6" s="76" t="str">
        <x:f>IF(B6="","","COTE-"&amp;TEXT(ROW()-4,"0000"))</x:f>
      </x:c>
      <x:c r="B6" s="76"/>
      <x:c r="C6" s="76"/>
      <x:c r="D6" s="76"/>
      <x:c r="E6" s="77"/>
      <x:c r="F6" s="76"/>
      <x:c r="G6" s="76"/>
      <x:c r="H6" s="81"/>
      <x:c r="I6" s="76"/>
      <x:c r="J6" s="76"/>
      <x:c r="K6" s="76"/>
      <x:c r="L6" s="76"/>
      <x:c r="M6" s="76"/>
      <x:c r="N6" s="78" t="str">
        <x:f>IF(B6="","",TODAY())</x:f>
      </x:c>
      <x:c r="O6" s="76"/>
      <x:c r="P6" s="76" t="str">
        <x:f>IF(B6="","",IF(OR(C6="",D6="",E6="",F6="",I6="",J6="",K6="",M6&lt;&gt;"Validé humainement"),"ALERTE: données/preuves/statut",IF(OR(E6&lt;0,E6&gt;50,H6&lt;0),"ALERTE: valeur anormale","OK")))</x:f>
      </x:c>
      <x:c r="Q6" s="76" t="str">
        <x:f>IF(B6="","",IF(M6="Validé humainement","Oui","Non"))</x:f>
      </x:c>
    </x:row>
    <x:row r="7">
      <x:c r="A7" s="76" t="str">
        <x:f>IF(B7="","","COTE-"&amp;TEXT(ROW()-4,"0000"))</x:f>
      </x:c>
      <x:c r="B7" s="76"/>
      <x:c r="C7" s="76"/>
      <x:c r="D7" s="76"/>
      <x:c r="E7" s="77"/>
      <x:c r="F7" s="76"/>
      <x:c r="G7" s="76"/>
      <x:c r="H7" s="81"/>
      <x:c r="I7" s="76"/>
      <x:c r="J7" s="76"/>
      <x:c r="K7" s="76"/>
      <x:c r="L7" s="76"/>
      <x:c r="M7" s="76"/>
      <x:c r="N7" s="78" t="str">
        <x:f>IF(B7="","",TODAY())</x:f>
      </x:c>
      <x:c r="O7" s="76"/>
      <x:c r="P7" s="76" t="str">
        <x:f>IF(B7="","",IF(OR(C7="",D7="",E7="",F7="",I7="",J7="",K7="",M7&lt;&gt;"Validé humainement"),"ALERTE: données/preuves/statut",IF(OR(E7&lt;0,E7&gt;50,H7&lt;0),"ALERTE: valeur anormale","OK")))</x:f>
      </x:c>
      <x:c r="Q7" s="76" t="str">
        <x:f>IF(B7="","",IF(M7="Validé humainement","Oui","Non"))</x:f>
      </x:c>
    </x:row>
    <x:row r="8">
      <x:c r="A8" s="76" t="str">
        <x:f>IF(B8="","","COTE-"&amp;TEXT(ROW()-4,"0000"))</x:f>
      </x:c>
      <x:c r="B8" s="76"/>
      <x:c r="C8" s="76"/>
      <x:c r="D8" s="76"/>
      <x:c r="E8" s="77"/>
      <x:c r="F8" s="76"/>
      <x:c r="G8" s="76"/>
      <x:c r="H8" s="81"/>
      <x:c r="I8" s="76"/>
      <x:c r="J8" s="76"/>
      <x:c r="K8" s="76"/>
      <x:c r="L8" s="76"/>
      <x:c r="M8" s="76"/>
      <x:c r="N8" s="78" t="str">
        <x:f>IF(B8="","",TODAY())</x:f>
      </x:c>
      <x:c r="O8" s="76"/>
      <x:c r="P8" s="76" t="str">
        <x:f>IF(B8="","",IF(OR(C8="",D8="",E8="",F8="",I8="",J8="",K8="",M8&lt;&gt;"Validé humainement"),"ALERTE: données/preuves/statut",IF(OR(E8&lt;0,E8&gt;50,H8&lt;0),"ALERTE: valeur anormale","OK")))</x:f>
      </x:c>
      <x:c r="Q8" s="76" t="str">
        <x:f>IF(B8="","",IF(M8="Validé humainement","Oui","Non"))</x:f>
      </x:c>
    </x:row>
    <x:row r="9">
      <x:c r="A9" s="76" t="str">
        <x:f>IF(B9="","","COTE-"&amp;TEXT(ROW()-4,"0000"))</x:f>
      </x:c>
      <x:c r="B9" s="76"/>
      <x:c r="C9" s="76"/>
      <x:c r="D9" s="76"/>
      <x:c r="E9" s="77"/>
      <x:c r="F9" s="76"/>
      <x:c r="G9" s="76"/>
      <x:c r="H9" s="81"/>
      <x:c r="I9" s="76"/>
      <x:c r="J9" s="76"/>
      <x:c r="K9" s="76"/>
      <x:c r="L9" s="76"/>
      <x:c r="M9" s="76"/>
      <x:c r="N9" s="78" t="str">
        <x:f>IF(B9="","",TODAY())</x:f>
      </x:c>
      <x:c r="O9" s="76"/>
      <x:c r="P9" s="76" t="str">
        <x:f>IF(B9="","",IF(OR(C9="",D9="",E9="",F9="",I9="",J9="",K9="",M9&lt;&gt;"Validé humainement"),"ALERTE: données/preuves/statut",IF(OR(E9&lt;0,E9&gt;50,H9&lt;0),"ALERTE: valeur anormale","OK")))</x:f>
      </x:c>
      <x:c r="Q9" s="76" t="str">
        <x:f>IF(B9="","",IF(M9="Validé humainement","Oui","Non"))</x:f>
      </x:c>
    </x:row>
    <x:row r="10">
      <x:c r="A10" s="76" t="str">
        <x:f>IF(B10="","","COTE-"&amp;TEXT(ROW()-4,"0000"))</x:f>
      </x:c>
      <x:c r="B10" s="76"/>
      <x:c r="C10" s="76"/>
      <x:c r="D10" s="76"/>
      <x:c r="E10" s="77"/>
      <x:c r="F10" s="76"/>
      <x:c r="G10" s="76"/>
      <x:c r="H10" s="81"/>
      <x:c r="I10" s="76"/>
      <x:c r="J10" s="76"/>
      <x:c r="K10" s="76"/>
      <x:c r="L10" s="76"/>
      <x:c r="M10" s="76"/>
      <x:c r="N10" s="78" t="str">
        <x:f>IF(B10="","",TODAY())</x:f>
      </x:c>
      <x:c r="O10" s="76"/>
      <x:c r="P10" s="76" t="str">
        <x:f>IF(B10="","",IF(OR(C10="",D10="",E10="",F10="",I10="",J10="",K10="",M10&lt;&gt;"Validé humainement"),"ALERTE: données/preuves/statut",IF(OR(E10&lt;0,E10&gt;50,H10&lt;0),"ALERTE: valeur anormale","OK")))</x:f>
      </x:c>
      <x:c r="Q10" s="76" t="str">
        <x:f>IF(B10="","",IF(M10="Validé humainement","Oui","Non"))</x:f>
      </x:c>
    </x:row>
    <x:row r="11">
      <x:c r="A11" s="76" t="str">
        <x:f>IF(B11="","","COTE-"&amp;TEXT(ROW()-4,"0000"))</x:f>
      </x:c>
      <x:c r="B11" s="76"/>
      <x:c r="C11" s="76"/>
      <x:c r="D11" s="76"/>
      <x:c r="E11" s="77"/>
      <x:c r="F11" s="76"/>
      <x:c r="G11" s="76"/>
      <x:c r="H11" s="81"/>
      <x:c r="I11" s="76"/>
      <x:c r="J11" s="76"/>
      <x:c r="K11" s="76"/>
      <x:c r="L11" s="76"/>
      <x:c r="M11" s="76"/>
      <x:c r="N11" s="78" t="str">
        <x:f>IF(B11="","",TODAY())</x:f>
      </x:c>
      <x:c r="O11" s="76"/>
      <x:c r="P11" s="76" t="str">
        <x:f>IF(B11="","",IF(OR(C11="",D11="",E11="",F11="",I11="",J11="",K11="",M11&lt;&gt;"Validé humainement"),"ALERTE: données/preuves/statut",IF(OR(E11&lt;0,E11&gt;50,H11&lt;0),"ALERTE: valeur anormale","OK")))</x:f>
      </x:c>
      <x:c r="Q11" s="76" t="str">
        <x:f>IF(B11="","",IF(M11="Validé humainement","Oui","Non"))</x:f>
      </x:c>
    </x:row>
    <x:row r="12">
      <x:c r="A12" s="76" t="str">
        <x:f>IF(B12="","","COTE-"&amp;TEXT(ROW()-4,"0000"))</x:f>
      </x:c>
      <x:c r="B12" s="76"/>
      <x:c r="C12" s="76"/>
      <x:c r="D12" s="76"/>
      <x:c r="E12" s="77"/>
      <x:c r="F12" s="76"/>
      <x:c r="G12" s="76"/>
      <x:c r="H12" s="81"/>
      <x:c r="I12" s="76"/>
      <x:c r="J12" s="76"/>
      <x:c r="K12" s="76"/>
      <x:c r="L12" s="76"/>
      <x:c r="M12" s="76"/>
      <x:c r="N12" s="78" t="str">
        <x:f>IF(B12="","",TODAY())</x:f>
      </x:c>
      <x:c r="O12" s="76"/>
      <x:c r="P12" s="76" t="str">
        <x:f>IF(B12="","",IF(OR(C12="",D12="",E12="",F12="",I12="",J12="",K12="",M12&lt;&gt;"Validé humainement"),"ALERTE: données/preuves/statut",IF(OR(E12&lt;0,E12&gt;50,H12&lt;0),"ALERTE: valeur anormale","OK")))</x:f>
      </x:c>
      <x:c r="Q12" s="76" t="str">
        <x:f>IF(B12="","",IF(M12="Validé humainement","Oui","Non"))</x:f>
      </x:c>
    </x:row>
    <x:row r="13">
      <x:c r="A13" s="76" t="str">
        <x:f>IF(B13="","","COTE-"&amp;TEXT(ROW()-4,"0000"))</x:f>
      </x:c>
      <x:c r="B13" s="76"/>
      <x:c r="C13" s="76"/>
      <x:c r="D13" s="76"/>
      <x:c r="E13" s="77"/>
      <x:c r="F13" s="76"/>
      <x:c r="G13" s="76"/>
      <x:c r="H13" s="81"/>
      <x:c r="I13" s="76"/>
      <x:c r="J13" s="76"/>
      <x:c r="K13" s="76"/>
      <x:c r="L13" s="76"/>
      <x:c r="M13" s="76"/>
      <x:c r="N13" s="78" t="str">
        <x:f>IF(B13="","",TODAY())</x:f>
      </x:c>
      <x:c r="O13" s="76"/>
      <x:c r="P13" s="76" t="str">
        <x:f>IF(B13="","",IF(OR(C13="",D13="",E13="",F13="",I13="",J13="",K13="",M13&lt;&gt;"Validé humainement"),"ALERTE: données/preuves/statut",IF(OR(E13&lt;0,E13&gt;50,H13&lt;0),"ALERTE: valeur anormale","OK")))</x:f>
      </x:c>
      <x:c r="Q13" s="76" t="str">
        <x:f>IF(B13="","",IF(M13="Validé humainement","Oui","Non"))</x:f>
      </x:c>
    </x:row>
    <x:row r="14">
      <x:c r="A14" s="76" t="str">
        <x:f>IF(B14="","","COTE-"&amp;TEXT(ROW()-4,"0000"))</x:f>
      </x:c>
      <x:c r="B14" s="76"/>
      <x:c r="C14" s="76"/>
      <x:c r="D14" s="76"/>
      <x:c r="E14" s="77"/>
      <x:c r="F14" s="76"/>
      <x:c r="G14" s="76"/>
      <x:c r="H14" s="81"/>
      <x:c r="I14" s="76"/>
      <x:c r="J14" s="76"/>
      <x:c r="K14" s="76"/>
      <x:c r="L14" s="76"/>
      <x:c r="M14" s="76"/>
      <x:c r="N14" s="78" t="str">
        <x:f>IF(B14="","",TODAY())</x:f>
      </x:c>
      <x:c r="O14" s="76"/>
      <x:c r="P14" s="76" t="str">
        <x:f>IF(B14="","",IF(OR(C14="",D14="",E14="",F14="",I14="",J14="",K14="",M14&lt;&gt;"Validé humainement"),"ALERTE: données/preuves/statut",IF(OR(E14&lt;0,E14&gt;50,H14&lt;0),"ALERTE: valeur anormale","OK")))</x:f>
      </x:c>
      <x:c r="Q14" s="76" t="str">
        <x:f>IF(B14="","",IF(M14="Validé humainement","Oui","Non"))</x:f>
      </x:c>
    </x:row>
    <x:row r="15">
      <x:c r="A15" s="76" t="str">
        <x:f>IF(B15="","","COTE-"&amp;TEXT(ROW()-4,"0000"))</x:f>
      </x:c>
      <x:c r="B15" s="76"/>
      <x:c r="C15" s="76"/>
      <x:c r="D15" s="76"/>
      <x:c r="E15" s="77"/>
      <x:c r="F15" s="76"/>
      <x:c r="G15" s="76"/>
      <x:c r="H15" s="81"/>
      <x:c r="I15" s="76"/>
      <x:c r="J15" s="76"/>
      <x:c r="K15" s="76"/>
      <x:c r="L15" s="76"/>
      <x:c r="M15" s="76"/>
      <x:c r="N15" s="78" t="str">
        <x:f>IF(B15="","",TODAY())</x:f>
      </x:c>
      <x:c r="O15" s="76"/>
      <x:c r="P15" s="76" t="str">
        <x:f>IF(B15="","",IF(OR(C15="",D15="",E15="",F15="",I15="",J15="",K15="",M15&lt;&gt;"Validé humainement"),"ALERTE: données/preuves/statut",IF(OR(E15&lt;0,E15&gt;50,H15&lt;0),"ALERTE: valeur anormale","OK")))</x:f>
      </x:c>
      <x:c r="Q15" s="76" t="str">
        <x:f>IF(B15="","",IF(M15="Validé humainement","Oui","Non"))</x:f>
      </x:c>
    </x:row>
    <x:row r="16">
      <x:c r="A16" s="76" t="str">
        <x:f>IF(B16="","","COTE-"&amp;TEXT(ROW()-4,"0000"))</x:f>
      </x:c>
      <x:c r="B16" s="76"/>
      <x:c r="C16" s="76"/>
      <x:c r="D16" s="76"/>
      <x:c r="E16" s="77"/>
      <x:c r="F16" s="76"/>
      <x:c r="G16" s="76"/>
      <x:c r="H16" s="81"/>
      <x:c r="I16" s="76"/>
      <x:c r="J16" s="76"/>
      <x:c r="K16" s="76"/>
      <x:c r="L16" s="76"/>
      <x:c r="M16" s="76"/>
      <x:c r="N16" s="78" t="str">
        <x:f>IF(B16="","",TODAY())</x:f>
      </x:c>
      <x:c r="O16" s="76"/>
      <x:c r="P16" s="76" t="str">
        <x:f>IF(B16="","",IF(OR(C16="",D16="",E16="",F16="",I16="",J16="",K16="",M16&lt;&gt;"Validé humainement"),"ALERTE: données/preuves/statut",IF(OR(E16&lt;0,E16&gt;50,H16&lt;0),"ALERTE: valeur anormale","OK")))</x:f>
      </x:c>
      <x:c r="Q16" s="76" t="str">
        <x:f>IF(B16="","",IF(M16="Validé humainement","Oui","Non"))</x:f>
      </x:c>
    </x:row>
    <x:row r="17">
      <x:c r="A17" s="76" t="str">
        <x:f>IF(B17="","","COTE-"&amp;TEXT(ROW()-4,"0000"))</x:f>
      </x:c>
      <x:c r="B17" s="76"/>
      <x:c r="C17" s="76"/>
      <x:c r="D17" s="76"/>
      <x:c r="E17" s="77"/>
      <x:c r="F17" s="76"/>
      <x:c r="G17" s="76"/>
      <x:c r="H17" s="81"/>
      <x:c r="I17" s="76"/>
      <x:c r="J17" s="76"/>
      <x:c r="K17" s="76"/>
      <x:c r="L17" s="76"/>
      <x:c r="M17" s="76"/>
      <x:c r="N17" s="78" t="str">
        <x:f>IF(B17="","",TODAY())</x:f>
      </x:c>
      <x:c r="O17" s="76"/>
      <x:c r="P17" s="76" t="str">
        <x:f>IF(B17="","",IF(OR(C17="",D17="",E17="",F17="",I17="",J17="",K17="",M17&lt;&gt;"Validé humainement"),"ALERTE: données/preuves/statut",IF(OR(E17&lt;0,E17&gt;50,H17&lt;0),"ALERTE: valeur anormale","OK")))</x:f>
      </x:c>
      <x:c r="Q17" s="76" t="str">
        <x:f>IF(B17="","",IF(M17="Validé humainement","Oui","Non"))</x:f>
      </x:c>
    </x:row>
    <x:row r="18">
      <x:c r="A18" s="76" t="str">
        <x:f>IF(B18="","","COTE-"&amp;TEXT(ROW()-4,"0000"))</x:f>
      </x:c>
      <x:c r="B18" s="76"/>
      <x:c r="C18" s="76"/>
      <x:c r="D18" s="76"/>
      <x:c r="E18" s="77"/>
      <x:c r="F18" s="76"/>
      <x:c r="G18" s="76"/>
      <x:c r="H18" s="81"/>
      <x:c r="I18" s="76"/>
      <x:c r="J18" s="76"/>
      <x:c r="K18" s="76"/>
      <x:c r="L18" s="76"/>
      <x:c r="M18" s="76"/>
      <x:c r="N18" s="78" t="str">
        <x:f>IF(B18="","",TODAY())</x:f>
      </x:c>
      <x:c r="O18" s="76"/>
      <x:c r="P18" s="76" t="str">
        <x:f>IF(B18="","",IF(OR(C18="",D18="",E18="",F18="",I18="",J18="",K18="",M18&lt;&gt;"Validé humainement"),"ALERTE: données/preuves/statut",IF(OR(E18&lt;0,E18&gt;50,H18&lt;0),"ALERTE: valeur anormale","OK")))</x:f>
      </x:c>
      <x:c r="Q18" s="76" t="str">
        <x:f>IF(B18="","",IF(M18="Validé humainement","Oui","Non"))</x:f>
      </x:c>
    </x:row>
    <x:row r="19">
      <x:c r="A19" s="76" t="str">
        <x:f>IF(B19="","","COTE-"&amp;TEXT(ROW()-4,"0000"))</x:f>
      </x:c>
      <x:c r="B19" s="76"/>
      <x:c r="C19" s="76"/>
      <x:c r="D19" s="76"/>
      <x:c r="E19" s="77"/>
      <x:c r="F19" s="76"/>
      <x:c r="G19" s="76"/>
      <x:c r="H19" s="81"/>
      <x:c r="I19" s="76"/>
      <x:c r="J19" s="76"/>
      <x:c r="K19" s="76"/>
      <x:c r="L19" s="76"/>
      <x:c r="M19" s="76"/>
      <x:c r="N19" s="78" t="str">
        <x:f>IF(B19="","",TODAY())</x:f>
      </x:c>
      <x:c r="O19" s="76"/>
      <x:c r="P19" s="76" t="str">
        <x:f>IF(B19="","",IF(OR(C19="",D19="",E19="",F19="",I19="",J19="",K19="",M19&lt;&gt;"Validé humainement"),"ALERTE: données/preuves/statut",IF(OR(E19&lt;0,E19&gt;50,H19&lt;0),"ALERTE: valeur anormale","OK")))</x:f>
      </x:c>
      <x:c r="Q19" s="76" t="str">
        <x:f>IF(B19="","",IF(M19="Validé humainement","Oui","Non"))</x:f>
      </x:c>
    </x:row>
    <x:row r="20">
      <x:c r="A20" s="76" t="str">
        <x:f>IF(B20="","","COTE-"&amp;TEXT(ROW()-4,"0000"))</x:f>
      </x:c>
      <x:c r="B20" s="76"/>
      <x:c r="C20" s="76"/>
      <x:c r="D20" s="76"/>
      <x:c r="E20" s="77"/>
      <x:c r="F20" s="76"/>
      <x:c r="G20" s="76"/>
      <x:c r="H20" s="81"/>
      <x:c r="I20" s="76"/>
      <x:c r="J20" s="76"/>
      <x:c r="K20" s="76"/>
      <x:c r="L20" s="76"/>
      <x:c r="M20" s="76"/>
      <x:c r="N20" s="78" t="str">
        <x:f>IF(B20="","",TODAY())</x:f>
      </x:c>
      <x:c r="O20" s="76"/>
      <x:c r="P20" s="76" t="str">
        <x:f>IF(B20="","",IF(OR(C20="",D20="",E20="",F20="",I20="",J20="",K20="",M20&lt;&gt;"Validé humainement"),"ALERTE: données/preuves/statut",IF(OR(E20&lt;0,E20&gt;50,H20&lt;0),"ALERTE: valeur anormale","OK")))</x:f>
      </x:c>
      <x:c r="Q20" s="76" t="str">
        <x:f>IF(B20="","",IF(M20="Validé humainement","Oui","Non"))</x:f>
      </x:c>
    </x:row>
    <x:row r="21">
      <x:c r="A21" s="76" t="str">
        <x:f>IF(B21="","","COTE-"&amp;TEXT(ROW()-4,"0000"))</x:f>
      </x:c>
      <x:c r="B21" s="76"/>
      <x:c r="C21" s="76"/>
      <x:c r="D21" s="76"/>
      <x:c r="E21" s="77"/>
      <x:c r="F21" s="76"/>
      <x:c r="G21" s="76"/>
      <x:c r="H21" s="81"/>
      <x:c r="I21" s="76"/>
      <x:c r="J21" s="76"/>
      <x:c r="K21" s="76"/>
      <x:c r="L21" s="76"/>
      <x:c r="M21" s="76"/>
      <x:c r="N21" s="78" t="str">
        <x:f>IF(B21="","",TODAY())</x:f>
      </x:c>
      <x:c r="O21" s="76"/>
      <x:c r="P21" s="76" t="str">
        <x:f>IF(B21="","",IF(OR(C21="",D21="",E21="",F21="",I21="",J21="",K21="",M21&lt;&gt;"Validé humainement"),"ALERTE: données/preuves/statut",IF(OR(E21&lt;0,E21&gt;50,H21&lt;0),"ALERTE: valeur anormale","OK")))</x:f>
      </x:c>
      <x:c r="Q21" s="76" t="str">
        <x:f>IF(B21="","",IF(M21="Validé humainement","Oui","Non"))</x:f>
      </x:c>
    </x:row>
    <x:row r="22">
      <x:c r="A22" s="76" t="str">
        <x:f>IF(B22="","","COTE-"&amp;TEXT(ROW()-4,"0000"))</x:f>
      </x:c>
      <x:c r="B22" s="76"/>
      <x:c r="C22" s="76"/>
      <x:c r="D22" s="76"/>
      <x:c r="E22" s="77"/>
      <x:c r="F22" s="76"/>
      <x:c r="G22" s="76"/>
      <x:c r="H22" s="81"/>
      <x:c r="I22" s="76"/>
      <x:c r="J22" s="76"/>
      <x:c r="K22" s="76"/>
      <x:c r="L22" s="76"/>
      <x:c r="M22" s="76"/>
      <x:c r="N22" s="78" t="str">
        <x:f>IF(B22="","",TODAY())</x:f>
      </x:c>
      <x:c r="O22" s="76"/>
      <x:c r="P22" s="76" t="str">
        <x:f>IF(B22="","",IF(OR(C22="",D22="",E22="",F22="",I22="",J22="",K22="",M22&lt;&gt;"Validé humainement"),"ALERTE: données/preuves/statut",IF(OR(E22&lt;0,E22&gt;50,H22&lt;0),"ALERTE: valeur anormale","OK")))</x:f>
      </x:c>
      <x:c r="Q22" s="76" t="str">
        <x:f>IF(B22="","",IF(M22="Validé humainement","Oui","Non"))</x:f>
      </x:c>
    </x:row>
    <x:row r="23">
      <x:c r="A23" s="76" t="str">
        <x:f>IF(B23="","","COTE-"&amp;TEXT(ROW()-4,"0000"))</x:f>
      </x:c>
      <x:c r="B23" s="76"/>
      <x:c r="C23" s="76"/>
      <x:c r="D23" s="76"/>
      <x:c r="E23" s="77"/>
      <x:c r="F23" s="76"/>
      <x:c r="G23" s="76"/>
      <x:c r="H23" s="81"/>
      <x:c r="I23" s="76"/>
      <x:c r="J23" s="76"/>
      <x:c r="K23" s="76"/>
      <x:c r="L23" s="76"/>
      <x:c r="M23" s="76"/>
      <x:c r="N23" s="78" t="str">
        <x:f>IF(B23="","",TODAY())</x:f>
      </x:c>
      <x:c r="O23" s="76"/>
      <x:c r="P23" s="76" t="str">
        <x:f>IF(B23="","",IF(OR(C23="",D23="",E23="",F23="",I23="",J23="",K23="",M23&lt;&gt;"Validé humainement"),"ALERTE: données/preuves/statut",IF(OR(E23&lt;0,E23&gt;50,H23&lt;0),"ALERTE: valeur anormale","OK")))</x:f>
      </x:c>
      <x:c r="Q23" s="76" t="str">
        <x:f>IF(B23="","",IF(M23="Validé humainement","Oui","Non"))</x:f>
      </x:c>
    </x:row>
    <x:row r="24">
      <x:c r="A24" s="76" t="str">
        <x:f>IF(B24="","","COTE-"&amp;TEXT(ROW()-4,"0000"))</x:f>
      </x:c>
      <x:c r="B24" s="76"/>
      <x:c r="C24" s="76"/>
      <x:c r="D24" s="76"/>
      <x:c r="E24" s="77"/>
      <x:c r="F24" s="76"/>
      <x:c r="G24" s="76"/>
      <x:c r="H24" s="81"/>
      <x:c r="I24" s="76"/>
      <x:c r="J24" s="76"/>
      <x:c r="K24" s="76"/>
      <x:c r="L24" s="76"/>
      <x:c r="M24" s="76"/>
      <x:c r="N24" s="78" t="str">
        <x:f>IF(B24="","",TODAY())</x:f>
      </x:c>
      <x:c r="O24" s="76"/>
      <x:c r="P24" s="76" t="str">
        <x:f>IF(B24="","",IF(OR(C24="",D24="",E24="",F24="",I24="",J24="",K24="",M24&lt;&gt;"Validé humainement"),"ALERTE: données/preuves/statut",IF(OR(E24&lt;0,E24&gt;50,H24&lt;0),"ALERTE: valeur anormale","OK")))</x:f>
      </x:c>
      <x:c r="Q24" s="76" t="str">
        <x:f>IF(B24="","",IF(M24="Validé humainement","Oui","Non"))</x:f>
      </x:c>
    </x:row>
    <x:row r="25">
      <x:c r="A25" s="76" t="str">
        <x:f>IF(B25="","","COTE-"&amp;TEXT(ROW()-4,"0000"))</x:f>
      </x:c>
      <x:c r="B25" s="76"/>
      <x:c r="C25" s="76"/>
      <x:c r="D25" s="76"/>
      <x:c r="E25" s="77"/>
      <x:c r="F25" s="76"/>
      <x:c r="G25" s="76"/>
      <x:c r="H25" s="81"/>
      <x:c r="I25" s="76"/>
      <x:c r="J25" s="76"/>
      <x:c r="K25" s="76"/>
      <x:c r="L25" s="76"/>
      <x:c r="M25" s="76"/>
      <x:c r="N25" s="78" t="str">
        <x:f>IF(B25="","",TODAY())</x:f>
      </x:c>
      <x:c r="O25" s="76"/>
      <x:c r="P25" s="76" t="str">
        <x:f>IF(B25="","",IF(OR(C25="",D25="",E25="",F25="",I25="",J25="",K25="",M25&lt;&gt;"Validé humainement"),"ALERTE: données/preuves/statut",IF(OR(E25&lt;0,E25&gt;50,H25&lt;0),"ALERTE: valeur anormale","OK")))</x:f>
      </x:c>
      <x:c r="Q25" s="76" t="str">
        <x:f>IF(B25="","",IF(M25="Validé humainement","Oui","Non"))</x:f>
      </x:c>
    </x:row>
    <x:row r="26">
      <x:c r="A26" s="76" t="str">
        <x:f>IF(B26="","","COTE-"&amp;TEXT(ROW()-4,"0000"))</x:f>
      </x:c>
      <x:c r="B26" s="76"/>
      <x:c r="C26" s="76"/>
      <x:c r="D26" s="76"/>
      <x:c r="E26" s="77"/>
      <x:c r="F26" s="76"/>
      <x:c r="G26" s="76"/>
      <x:c r="H26" s="81"/>
      <x:c r="I26" s="76"/>
      <x:c r="J26" s="76"/>
      <x:c r="K26" s="76"/>
      <x:c r="L26" s="76"/>
      <x:c r="M26" s="76"/>
      <x:c r="N26" s="78" t="str">
        <x:f>IF(B26="","",TODAY())</x:f>
      </x:c>
      <x:c r="O26" s="76"/>
      <x:c r="P26" s="76" t="str">
        <x:f>IF(B26="","",IF(OR(C26="",D26="",E26="",F26="",I26="",J26="",K26="",M26&lt;&gt;"Validé humainement"),"ALERTE: données/preuves/statut",IF(OR(E26&lt;0,E26&gt;50,H26&lt;0),"ALERTE: valeur anormale","OK")))</x:f>
      </x:c>
      <x:c r="Q26" s="76" t="str">
        <x:f>IF(B26="","",IF(M26="Validé humainement","Oui","Non"))</x:f>
      </x:c>
    </x:row>
    <x:row r="27">
      <x:c r="A27" s="76" t="str">
        <x:f>IF(B27="","","COTE-"&amp;TEXT(ROW()-4,"0000"))</x:f>
      </x:c>
      <x:c r="B27" s="76"/>
      <x:c r="C27" s="76"/>
      <x:c r="D27" s="76"/>
      <x:c r="E27" s="77"/>
      <x:c r="F27" s="76"/>
      <x:c r="G27" s="76"/>
      <x:c r="H27" s="81"/>
      <x:c r="I27" s="76"/>
      <x:c r="J27" s="76"/>
      <x:c r="K27" s="76"/>
      <x:c r="L27" s="76"/>
      <x:c r="M27" s="76"/>
      <x:c r="N27" s="78" t="str">
        <x:f>IF(B27="","",TODAY())</x:f>
      </x:c>
      <x:c r="O27" s="76"/>
      <x:c r="P27" s="76" t="str">
        <x:f>IF(B27="","",IF(OR(C27="",D27="",E27="",F27="",I27="",J27="",K27="",M27&lt;&gt;"Validé humainement"),"ALERTE: données/preuves/statut",IF(OR(E27&lt;0,E27&gt;50,H27&lt;0),"ALERTE: valeur anormale","OK")))</x:f>
      </x:c>
      <x:c r="Q27" s="76" t="str">
        <x:f>IF(B27="","",IF(M27="Validé humainement","Oui","Non"))</x:f>
      </x:c>
    </x:row>
    <x:row r="28">
      <x:c r="A28" s="76" t="str">
        <x:f>IF(B28="","","COTE-"&amp;TEXT(ROW()-4,"0000"))</x:f>
      </x:c>
      <x:c r="B28" s="76"/>
      <x:c r="C28" s="76"/>
      <x:c r="D28" s="76"/>
      <x:c r="E28" s="77"/>
      <x:c r="F28" s="76"/>
      <x:c r="G28" s="76"/>
      <x:c r="H28" s="81"/>
      <x:c r="I28" s="76"/>
      <x:c r="J28" s="76"/>
      <x:c r="K28" s="76"/>
      <x:c r="L28" s="76"/>
      <x:c r="M28" s="76"/>
      <x:c r="N28" s="78" t="str">
        <x:f>IF(B28="","",TODAY())</x:f>
      </x:c>
      <x:c r="O28" s="76"/>
      <x:c r="P28" s="76" t="str">
        <x:f>IF(B28="","",IF(OR(C28="",D28="",E28="",F28="",I28="",J28="",K28="",M28&lt;&gt;"Validé humainement"),"ALERTE: données/preuves/statut",IF(OR(E28&lt;0,E28&gt;50,H28&lt;0),"ALERTE: valeur anormale","OK")))</x:f>
      </x:c>
      <x:c r="Q28" s="76" t="str">
        <x:f>IF(B28="","",IF(M28="Validé humainement","Oui","Non"))</x:f>
      </x:c>
    </x:row>
    <x:row r="29">
      <x:c r="A29" s="76" t="str">
        <x:f>IF(B29="","","COTE-"&amp;TEXT(ROW()-4,"0000"))</x:f>
      </x:c>
      <x:c r="B29" s="76"/>
      <x:c r="C29" s="76"/>
      <x:c r="D29" s="76"/>
      <x:c r="E29" s="77"/>
      <x:c r="F29" s="76"/>
      <x:c r="G29" s="76"/>
      <x:c r="H29" s="81"/>
      <x:c r="I29" s="76"/>
      <x:c r="J29" s="76"/>
      <x:c r="K29" s="76"/>
      <x:c r="L29" s="76"/>
      <x:c r="M29" s="76"/>
      <x:c r="N29" s="78" t="str">
        <x:f>IF(B29="","",TODAY())</x:f>
      </x:c>
      <x:c r="O29" s="76"/>
      <x:c r="P29" s="76" t="str">
        <x:f>IF(B29="","",IF(OR(C29="",D29="",E29="",F29="",I29="",J29="",K29="",M29&lt;&gt;"Validé humainement"),"ALERTE: données/preuves/statut",IF(OR(E29&lt;0,E29&gt;50,H29&lt;0),"ALERTE: valeur anormale","OK")))</x:f>
      </x:c>
      <x:c r="Q29" s="76" t="str">
        <x:f>IF(B29="","",IF(M29="Validé humainement","Oui","Non"))</x:f>
      </x:c>
    </x:row>
    <x:row r="30">
      <x:c r="A30" s="76" t="str">
        <x:f>IF(B30="","","COTE-"&amp;TEXT(ROW()-4,"0000"))</x:f>
      </x:c>
      <x:c r="B30" s="76"/>
      <x:c r="C30" s="76"/>
      <x:c r="D30" s="76"/>
      <x:c r="E30" s="77"/>
      <x:c r="F30" s="76"/>
      <x:c r="G30" s="76"/>
      <x:c r="H30" s="81"/>
      <x:c r="I30" s="76"/>
      <x:c r="J30" s="76"/>
      <x:c r="K30" s="76"/>
      <x:c r="L30" s="76"/>
      <x:c r="M30" s="76"/>
      <x:c r="N30" s="78" t="str">
        <x:f>IF(B30="","",TODAY())</x:f>
      </x:c>
      <x:c r="O30" s="76"/>
      <x:c r="P30" s="76" t="str">
        <x:f>IF(B30="","",IF(OR(C30="",D30="",E30="",F30="",I30="",J30="",K30="",M30&lt;&gt;"Validé humainement"),"ALERTE: données/preuves/statut",IF(OR(E30&lt;0,E30&gt;50,H30&lt;0),"ALERTE: valeur anormale","OK")))</x:f>
      </x:c>
      <x:c r="Q30" s="76" t="str">
        <x:f>IF(B30="","",IF(M30="Validé humainement","Oui","Non"))</x:f>
      </x:c>
    </x:row>
    <x:row r="31">
      <x:c r="A31" s="76" t="str">
        <x:f>IF(B31="","","COTE-"&amp;TEXT(ROW()-4,"0000"))</x:f>
      </x:c>
      <x:c r="B31" s="76"/>
      <x:c r="C31" s="76"/>
      <x:c r="D31" s="76"/>
      <x:c r="E31" s="77"/>
      <x:c r="F31" s="76"/>
      <x:c r="G31" s="76"/>
      <x:c r="H31" s="81"/>
      <x:c r="I31" s="76"/>
      <x:c r="J31" s="76"/>
      <x:c r="K31" s="76"/>
      <x:c r="L31" s="76"/>
      <x:c r="M31" s="76"/>
      <x:c r="N31" s="78" t="str">
        <x:f>IF(B31="","",TODAY())</x:f>
      </x:c>
      <x:c r="O31" s="76"/>
      <x:c r="P31" s="76" t="str">
        <x:f>IF(B31="","",IF(OR(C31="",D31="",E31="",F31="",I31="",J31="",K31="",M31&lt;&gt;"Validé humainement"),"ALERTE: données/preuves/statut",IF(OR(E31&lt;0,E31&gt;50,H31&lt;0),"ALERTE: valeur anormale","OK")))</x:f>
      </x:c>
      <x:c r="Q31" s="76" t="str">
        <x:f>IF(B31="","",IF(M31="Validé humainement","Oui","Non"))</x:f>
      </x:c>
    </x:row>
    <x:row r="32">
      <x:c r="A32" s="76" t="str">
        <x:f>IF(B32="","","COTE-"&amp;TEXT(ROW()-4,"0000"))</x:f>
      </x:c>
      <x:c r="B32" s="76"/>
      <x:c r="C32" s="76"/>
      <x:c r="D32" s="76"/>
      <x:c r="E32" s="77"/>
      <x:c r="F32" s="76"/>
      <x:c r="G32" s="76"/>
      <x:c r="H32" s="81"/>
      <x:c r="I32" s="76"/>
      <x:c r="J32" s="76"/>
      <x:c r="K32" s="76"/>
      <x:c r="L32" s="76"/>
      <x:c r="M32" s="76"/>
      <x:c r="N32" s="78" t="str">
        <x:f>IF(B32="","",TODAY())</x:f>
      </x:c>
      <x:c r="O32" s="76"/>
      <x:c r="P32" s="76" t="str">
        <x:f>IF(B32="","",IF(OR(C32="",D32="",E32="",F32="",I32="",J32="",K32="",M32&lt;&gt;"Validé humainement"),"ALERTE: données/preuves/statut",IF(OR(E32&lt;0,E32&gt;50,H32&lt;0),"ALERTE: valeur anormale","OK")))</x:f>
      </x:c>
      <x:c r="Q32" s="76" t="str">
        <x:f>IF(B32="","",IF(M32="Validé humainement","Oui","Non"))</x:f>
      </x:c>
    </x:row>
    <x:row r="33">
      <x:c r="A33" s="76" t="str">
        <x:f>IF(B33="","","COTE-"&amp;TEXT(ROW()-4,"0000"))</x:f>
      </x:c>
      <x:c r="B33" s="76"/>
      <x:c r="C33" s="76"/>
      <x:c r="D33" s="76"/>
      <x:c r="E33" s="77"/>
      <x:c r="F33" s="76"/>
      <x:c r="G33" s="76"/>
      <x:c r="H33" s="81"/>
      <x:c r="I33" s="76"/>
      <x:c r="J33" s="76"/>
      <x:c r="K33" s="76"/>
      <x:c r="L33" s="76"/>
      <x:c r="M33" s="76"/>
      <x:c r="N33" s="78" t="str">
        <x:f>IF(B33="","",TODAY())</x:f>
      </x:c>
      <x:c r="O33" s="76"/>
      <x:c r="P33" s="76" t="str">
        <x:f>IF(B33="","",IF(OR(C33="",D33="",E33="",F33="",I33="",J33="",K33="",M33&lt;&gt;"Validé humainement"),"ALERTE: données/preuves/statut",IF(OR(E33&lt;0,E33&gt;50,H33&lt;0),"ALERTE: valeur anormale","OK")))</x:f>
      </x:c>
      <x:c r="Q33" s="76" t="str">
        <x:f>IF(B33="","",IF(M33="Validé humainement","Oui","Non"))</x:f>
      </x:c>
    </x:row>
    <x:row r="34">
      <x:c r="A34" s="76" t="str">
        <x:f>IF(B34="","","COTE-"&amp;TEXT(ROW()-4,"0000"))</x:f>
      </x:c>
      <x:c r="B34" s="76"/>
      <x:c r="C34" s="76"/>
      <x:c r="D34" s="76"/>
      <x:c r="E34" s="77"/>
      <x:c r="F34" s="76"/>
      <x:c r="G34" s="76"/>
      <x:c r="H34" s="81"/>
      <x:c r="I34" s="76"/>
      <x:c r="J34" s="76"/>
      <x:c r="K34" s="76"/>
      <x:c r="L34" s="76"/>
      <x:c r="M34" s="76"/>
      <x:c r="N34" s="78" t="str">
        <x:f>IF(B34="","",TODAY())</x:f>
      </x:c>
      <x:c r="O34" s="76"/>
      <x:c r="P34" s="76" t="str">
        <x:f>IF(B34="","",IF(OR(C34="",D34="",E34="",F34="",I34="",J34="",K34="",M34&lt;&gt;"Validé humainement"),"ALERTE: données/preuves/statut",IF(OR(E34&lt;0,E34&gt;50,H34&lt;0),"ALERTE: valeur anormale","OK")))</x:f>
      </x:c>
      <x:c r="Q34" s="76" t="str">
        <x:f>IF(B34="","",IF(M34="Validé humainement","Oui","Non"))</x:f>
      </x:c>
    </x:row>
    <x:row r="35">
      <x:c r="A35" s="76" t="str">
        <x:f>IF(B35="","","COTE-"&amp;TEXT(ROW()-4,"0000"))</x:f>
      </x:c>
      <x:c r="B35" s="76"/>
      <x:c r="C35" s="76"/>
      <x:c r="D35" s="76"/>
      <x:c r="E35" s="77"/>
      <x:c r="F35" s="76"/>
      <x:c r="G35" s="76"/>
      <x:c r="H35" s="81"/>
      <x:c r="I35" s="76"/>
      <x:c r="J35" s="76"/>
      <x:c r="K35" s="76"/>
      <x:c r="L35" s="76"/>
      <x:c r="M35" s="76"/>
      <x:c r="N35" s="78" t="str">
        <x:f>IF(B35="","",TODAY())</x:f>
      </x:c>
      <x:c r="O35" s="76"/>
      <x:c r="P35" s="76" t="str">
        <x:f>IF(B35="","",IF(OR(C35="",D35="",E35="",F35="",I35="",J35="",K35="",M35&lt;&gt;"Validé humainement"),"ALERTE: données/preuves/statut",IF(OR(E35&lt;0,E35&gt;50,H35&lt;0),"ALERTE: valeur anormale","OK")))</x:f>
      </x:c>
      <x:c r="Q35" s="76" t="str">
        <x:f>IF(B35="","",IF(M35="Validé humainement","Oui","Non"))</x:f>
      </x:c>
    </x:row>
    <x:row r="36">
      <x:c r="A36" s="76" t="str">
        <x:f>IF(B36="","","COTE-"&amp;TEXT(ROW()-4,"0000"))</x:f>
      </x:c>
      <x:c r="B36" s="76"/>
      <x:c r="C36" s="76"/>
      <x:c r="D36" s="76"/>
      <x:c r="E36" s="77"/>
      <x:c r="F36" s="76"/>
      <x:c r="G36" s="76"/>
      <x:c r="H36" s="81"/>
      <x:c r="I36" s="76"/>
      <x:c r="J36" s="76"/>
      <x:c r="K36" s="76"/>
      <x:c r="L36" s="76"/>
      <x:c r="M36" s="76"/>
      <x:c r="N36" s="78" t="str">
        <x:f>IF(B36="","",TODAY())</x:f>
      </x:c>
      <x:c r="O36" s="76"/>
      <x:c r="P36" s="76" t="str">
        <x:f>IF(B36="","",IF(OR(C36="",D36="",E36="",F36="",I36="",J36="",K36="",M36&lt;&gt;"Validé humainement"),"ALERTE: données/preuves/statut",IF(OR(E36&lt;0,E36&gt;50,H36&lt;0),"ALERTE: valeur anormale","OK")))</x:f>
      </x:c>
      <x:c r="Q36" s="76" t="str">
        <x:f>IF(B36="","",IF(M36="Validé humainement","Oui","Non"))</x:f>
      </x:c>
    </x:row>
    <x:row r="37">
      <x:c r="A37" s="76" t="str">
        <x:f>IF(B37="","","COTE-"&amp;TEXT(ROW()-4,"0000"))</x:f>
      </x:c>
      <x:c r="B37" s="76"/>
      <x:c r="C37" s="76"/>
      <x:c r="D37" s="76"/>
      <x:c r="E37" s="77"/>
      <x:c r="F37" s="76"/>
      <x:c r="G37" s="76"/>
      <x:c r="H37" s="81"/>
      <x:c r="I37" s="76"/>
      <x:c r="J37" s="76"/>
      <x:c r="K37" s="76"/>
      <x:c r="L37" s="76"/>
      <x:c r="M37" s="76"/>
      <x:c r="N37" s="78" t="str">
        <x:f>IF(B37="","",TODAY())</x:f>
      </x:c>
      <x:c r="O37" s="76"/>
      <x:c r="P37" s="76" t="str">
        <x:f>IF(B37="","",IF(OR(C37="",D37="",E37="",F37="",I37="",J37="",K37="",M37&lt;&gt;"Validé humainement"),"ALERTE: données/preuves/statut",IF(OR(E37&lt;0,E37&gt;50,H37&lt;0),"ALERTE: valeur anormale","OK")))</x:f>
      </x:c>
      <x:c r="Q37" s="76" t="str">
        <x:f>IF(B37="","",IF(M37="Validé humainement","Oui","Non"))</x:f>
      </x:c>
    </x:row>
    <x:row r="38">
      <x:c r="A38" s="76" t="str">
        <x:f>IF(B38="","","COTE-"&amp;TEXT(ROW()-4,"0000"))</x:f>
      </x:c>
      <x:c r="B38" s="76"/>
      <x:c r="C38" s="76"/>
      <x:c r="D38" s="76"/>
      <x:c r="E38" s="77"/>
      <x:c r="F38" s="76"/>
      <x:c r="G38" s="76"/>
      <x:c r="H38" s="81"/>
      <x:c r="I38" s="76"/>
      <x:c r="J38" s="76"/>
      <x:c r="K38" s="76"/>
      <x:c r="L38" s="76"/>
      <x:c r="M38" s="76"/>
      <x:c r="N38" s="78" t="str">
        <x:f>IF(B38="","",TODAY())</x:f>
      </x:c>
      <x:c r="O38" s="76"/>
      <x:c r="P38" s="76" t="str">
        <x:f>IF(B38="","",IF(OR(C38="",D38="",E38="",F38="",I38="",J38="",K38="",M38&lt;&gt;"Validé humainement"),"ALERTE: données/preuves/statut",IF(OR(E38&lt;0,E38&gt;50,H38&lt;0),"ALERTE: valeur anormale","OK")))</x:f>
      </x:c>
      <x:c r="Q38" s="76" t="str">
        <x:f>IF(B38="","",IF(M38="Validé humainement","Oui","Non"))</x:f>
      </x:c>
    </x:row>
    <x:row r="39">
      <x:c r="A39" s="76" t="str">
        <x:f>IF(B39="","","COTE-"&amp;TEXT(ROW()-4,"0000"))</x:f>
      </x:c>
      <x:c r="B39" s="76"/>
      <x:c r="C39" s="76"/>
      <x:c r="D39" s="76"/>
      <x:c r="E39" s="77"/>
      <x:c r="F39" s="76"/>
      <x:c r="G39" s="76"/>
      <x:c r="H39" s="81"/>
      <x:c r="I39" s="76"/>
      <x:c r="J39" s="76"/>
      <x:c r="K39" s="76"/>
      <x:c r="L39" s="76"/>
      <x:c r="M39" s="76"/>
      <x:c r="N39" s="78" t="str">
        <x:f>IF(B39="","",TODAY())</x:f>
      </x:c>
      <x:c r="O39" s="76"/>
      <x:c r="P39" s="76" t="str">
        <x:f>IF(B39="","",IF(OR(C39="",D39="",E39="",F39="",I39="",J39="",K39="",M39&lt;&gt;"Validé humainement"),"ALERTE: données/preuves/statut",IF(OR(E39&lt;0,E39&gt;50,H39&lt;0),"ALERTE: valeur anormale","OK")))</x:f>
      </x:c>
      <x:c r="Q39" s="76" t="str">
        <x:f>IF(B39="","",IF(M39="Validé humainement","Oui","Non"))</x:f>
      </x:c>
    </x:row>
    <x:row r="40">
      <x:c r="A40" s="76" t="str">
        <x:f>IF(B40="","","COTE-"&amp;TEXT(ROW()-4,"0000"))</x:f>
      </x:c>
      <x:c r="B40" s="76"/>
      <x:c r="C40" s="76"/>
      <x:c r="D40" s="76"/>
      <x:c r="E40" s="77"/>
      <x:c r="F40" s="76"/>
      <x:c r="G40" s="76"/>
      <x:c r="H40" s="81"/>
      <x:c r="I40" s="76"/>
      <x:c r="J40" s="76"/>
      <x:c r="K40" s="76"/>
      <x:c r="L40" s="76"/>
      <x:c r="M40" s="76"/>
      <x:c r="N40" s="78" t="str">
        <x:f>IF(B40="","",TODAY())</x:f>
      </x:c>
      <x:c r="O40" s="76"/>
      <x:c r="P40" s="76" t="str">
        <x:f>IF(B40="","",IF(OR(C40="",D40="",E40="",F40="",I40="",J40="",K40="",M40&lt;&gt;"Validé humainement"),"ALERTE: données/preuves/statut",IF(OR(E40&lt;0,E40&gt;50,H40&lt;0),"ALERTE: valeur anormale","OK")))</x:f>
      </x:c>
      <x:c r="Q40" s="76" t="str">
        <x:f>IF(B40="","",IF(M40="Validé humainement","Oui","Non"))</x:f>
      </x:c>
    </x:row>
    <x:row r="41">
      <x:c r="A41" s="76" t="str">
        <x:f>IF(B41="","","COTE-"&amp;TEXT(ROW()-4,"0000"))</x:f>
      </x:c>
      <x:c r="B41" s="76"/>
      <x:c r="C41" s="76"/>
      <x:c r="D41" s="76"/>
      <x:c r="E41" s="77"/>
      <x:c r="F41" s="76"/>
      <x:c r="G41" s="76"/>
      <x:c r="H41" s="81"/>
      <x:c r="I41" s="76"/>
      <x:c r="J41" s="76"/>
      <x:c r="K41" s="76"/>
      <x:c r="L41" s="76"/>
      <x:c r="M41" s="76"/>
      <x:c r="N41" s="78" t="str">
        <x:f>IF(B41="","",TODAY())</x:f>
      </x:c>
      <x:c r="O41" s="76"/>
      <x:c r="P41" s="76" t="str">
        <x:f>IF(B41="","",IF(OR(C41="",D41="",E41="",F41="",I41="",J41="",K41="",M41&lt;&gt;"Validé humainement"),"ALERTE: données/preuves/statut",IF(OR(E41&lt;0,E41&gt;50,H41&lt;0),"ALERTE: valeur anormale","OK")))</x:f>
      </x:c>
      <x:c r="Q41" s="76" t="str">
        <x:f>IF(B41="","",IF(M41="Validé humainement","Oui","Non"))</x:f>
      </x:c>
    </x:row>
    <x:row r="42">
      <x:c r="A42" s="76" t="str">
        <x:f>IF(B42="","","COTE-"&amp;TEXT(ROW()-4,"0000"))</x:f>
      </x:c>
      <x:c r="B42" s="76"/>
      <x:c r="C42" s="76"/>
      <x:c r="D42" s="76"/>
      <x:c r="E42" s="77"/>
      <x:c r="F42" s="76"/>
      <x:c r="G42" s="76"/>
      <x:c r="H42" s="81"/>
      <x:c r="I42" s="76"/>
      <x:c r="J42" s="76"/>
      <x:c r="K42" s="76"/>
      <x:c r="L42" s="76"/>
      <x:c r="M42" s="76"/>
      <x:c r="N42" s="78" t="str">
        <x:f>IF(B42="","",TODAY())</x:f>
      </x:c>
      <x:c r="O42" s="76"/>
      <x:c r="P42" s="76" t="str">
        <x:f>IF(B42="","",IF(OR(C42="",D42="",E42="",F42="",I42="",J42="",K42="",M42&lt;&gt;"Validé humainement"),"ALERTE: données/preuves/statut",IF(OR(E42&lt;0,E42&gt;50,H42&lt;0),"ALERTE: valeur anormale","OK")))</x:f>
      </x:c>
      <x:c r="Q42" s="76" t="str">
        <x:f>IF(B42="","",IF(M42="Validé humainement","Oui","Non"))</x:f>
      </x:c>
    </x:row>
    <x:row r="43">
      <x:c r="A43" s="76" t="str">
        <x:f>IF(B43="","","COTE-"&amp;TEXT(ROW()-4,"0000"))</x:f>
      </x:c>
      <x:c r="B43" s="76"/>
      <x:c r="C43" s="76"/>
      <x:c r="D43" s="76"/>
      <x:c r="E43" s="77"/>
      <x:c r="F43" s="76"/>
      <x:c r="G43" s="76"/>
      <x:c r="H43" s="81"/>
      <x:c r="I43" s="76"/>
      <x:c r="J43" s="76"/>
      <x:c r="K43" s="76"/>
      <x:c r="L43" s="76"/>
      <x:c r="M43" s="76"/>
      <x:c r="N43" s="78" t="str">
        <x:f>IF(B43="","",TODAY())</x:f>
      </x:c>
      <x:c r="O43" s="76"/>
      <x:c r="P43" s="76" t="str">
        <x:f>IF(B43="","",IF(OR(C43="",D43="",E43="",F43="",I43="",J43="",K43="",M43&lt;&gt;"Validé humainement"),"ALERTE: données/preuves/statut",IF(OR(E43&lt;0,E43&gt;50,H43&lt;0),"ALERTE: valeur anormale","OK")))</x:f>
      </x:c>
      <x:c r="Q43" s="76" t="str">
        <x:f>IF(B43="","",IF(M43="Validé humainement","Oui","Non"))</x:f>
      </x:c>
    </x:row>
    <x:row r="44">
      <x:c r="A44" s="76" t="str">
        <x:f>IF(B44="","","COTE-"&amp;TEXT(ROW()-4,"0000"))</x:f>
      </x:c>
      <x:c r="B44" s="76"/>
      <x:c r="C44" s="76"/>
      <x:c r="D44" s="76"/>
      <x:c r="E44" s="77"/>
      <x:c r="F44" s="76"/>
      <x:c r="G44" s="76"/>
      <x:c r="H44" s="81"/>
      <x:c r="I44" s="76"/>
      <x:c r="J44" s="76"/>
      <x:c r="K44" s="76"/>
      <x:c r="L44" s="76"/>
      <x:c r="M44" s="76"/>
      <x:c r="N44" s="78" t="str">
        <x:f>IF(B44="","",TODAY())</x:f>
      </x:c>
      <x:c r="O44" s="76"/>
      <x:c r="P44" s="76" t="str">
        <x:f>IF(B44="","",IF(OR(C44="",D44="",E44="",F44="",I44="",J44="",K44="",M44&lt;&gt;"Validé humainement"),"ALERTE: données/preuves/statut",IF(OR(E44&lt;0,E44&gt;50,H44&lt;0),"ALERTE: valeur anormale","OK")))</x:f>
      </x:c>
      <x:c r="Q44" s="76" t="str">
        <x:f>IF(B44="","",IF(M44="Validé humainement","Oui","Non"))</x:f>
      </x:c>
    </x:row>
    <x:row r="45">
      <x:c r="A45" s="76" t="str">
        <x:f>IF(B45="","","COTE-"&amp;TEXT(ROW()-4,"0000"))</x:f>
      </x:c>
      <x:c r="B45" s="76"/>
      <x:c r="C45" s="76"/>
      <x:c r="D45" s="76"/>
      <x:c r="E45" s="77"/>
      <x:c r="F45" s="76"/>
      <x:c r="G45" s="76"/>
      <x:c r="H45" s="81"/>
      <x:c r="I45" s="76"/>
      <x:c r="J45" s="76"/>
      <x:c r="K45" s="76"/>
      <x:c r="L45" s="76"/>
      <x:c r="M45" s="76"/>
      <x:c r="N45" s="78" t="str">
        <x:f>IF(B45="","",TODAY())</x:f>
      </x:c>
      <x:c r="O45" s="76"/>
      <x:c r="P45" s="76" t="str">
        <x:f>IF(B45="","",IF(OR(C45="",D45="",E45="",F45="",I45="",J45="",K45="",M45&lt;&gt;"Validé humainement"),"ALERTE: données/preuves/statut",IF(OR(E45&lt;0,E45&gt;50,H45&lt;0),"ALERTE: valeur anormale","OK")))</x:f>
      </x:c>
      <x:c r="Q45" s="76" t="str">
        <x:f>IF(B45="","",IF(M45="Validé humainement","Oui","Non"))</x:f>
      </x:c>
    </x:row>
    <x:row r="46">
      <x:c r="A46" s="76" t="str">
        <x:f>IF(B46="","","COTE-"&amp;TEXT(ROW()-4,"0000"))</x:f>
      </x:c>
      <x:c r="B46" s="76"/>
      <x:c r="C46" s="76"/>
      <x:c r="D46" s="76"/>
      <x:c r="E46" s="77"/>
      <x:c r="F46" s="76"/>
      <x:c r="G46" s="76"/>
      <x:c r="H46" s="81"/>
      <x:c r="I46" s="76"/>
      <x:c r="J46" s="76"/>
      <x:c r="K46" s="76"/>
      <x:c r="L46" s="76"/>
      <x:c r="M46" s="76"/>
      <x:c r="N46" s="78" t="str">
        <x:f>IF(B46="","",TODAY())</x:f>
      </x:c>
      <x:c r="O46" s="76"/>
      <x:c r="P46" s="76" t="str">
        <x:f>IF(B46="","",IF(OR(C46="",D46="",E46="",F46="",I46="",J46="",K46="",M46&lt;&gt;"Validé humainement"),"ALERTE: données/preuves/statut",IF(OR(E46&lt;0,E46&gt;50,H46&lt;0),"ALERTE: valeur anormale","OK")))</x:f>
      </x:c>
      <x:c r="Q46" s="76" t="str">
        <x:f>IF(B46="","",IF(M46="Validé humainement","Oui","Non"))</x:f>
      </x:c>
    </x:row>
    <x:row r="47">
      <x:c r="A47" s="76" t="str">
        <x:f>IF(B47="","","COTE-"&amp;TEXT(ROW()-4,"0000"))</x:f>
      </x:c>
      <x:c r="B47" s="76"/>
      <x:c r="C47" s="76"/>
      <x:c r="D47" s="76"/>
      <x:c r="E47" s="77"/>
      <x:c r="F47" s="76"/>
      <x:c r="G47" s="76"/>
      <x:c r="H47" s="81"/>
      <x:c r="I47" s="76"/>
      <x:c r="J47" s="76"/>
      <x:c r="K47" s="76"/>
      <x:c r="L47" s="76"/>
      <x:c r="M47" s="76"/>
      <x:c r="N47" s="78" t="str">
        <x:f>IF(B47="","",TODAY())</x:f>
      </x:c>
      <x:c r="O47" s="76"/>
      <x:c r="P47" s="76" t="str">
        <x:f>IF(B47="","",IF(OR(C47="",D47="",E47="",F47="",I47="",J47="",K47="",M47&lt;&gt;"Validé humainement"),"ALERTE: données/preuves/statut",IF(OR(E47&lt;0,E47&gt;50,H47&lt;0),"ALERTE: valeur anormale","OK")))</x:f>
      </x:c>
      <x:c r="Q47" s="76" t="str">
        <x:f>IF(B47="","",IF(M47="Validé humainement","Oui","Non"))</x:f>
      </x:c>
    </x:row>
    <x:row r="48">
      <x:c r="A48" s="76" t="str">
        <x:f>IF(B48="","","COTE-"&amp;TEXT(ROW()-4,"0000"))</x:f>
      </x:c>
      <x:c r="B48" s="76"/>
      <x:c r="C48" s="76"/>
      <x:c r="D48" s="76"/>
      <x:c r="E48" s="77"/>
      <x:c r="F48" s="76"/>
      <x:c r="G48" s="76"/>
      <x:c r="H48" s="81"/>
      <x:c r="I48" s="76"/>
      <x:c r="J48" s="76"/>
      <x:c r="K48" s="76"/>
      <x:c r="L48" s="76"/>
      <x:c r="M48" s="76"/>
      <x:c r="N48" s="78" t="str">
        <x:f>IF(B48="","",TODAY())</x:f>
      </x:c>
      <x:c r="O48" s="76"/>
      <x:c r="P48" s="76" t="str">
        <x:f>IF(B48="","",IF(OR(C48="",D48="",E48="",F48="",I48="",J48="",K48="",M48&lt;&gt;"Validé humainement"),"ALERTE: données/preuves/statut",IF(OR(E48&lt;0,E48&gt;50,H48&lt;0),"ALERTE: valeur anormale","OK")))</x:f>
      </x:c>
      <x:c r="Q48" s="76" t="str">
        <x:f>IF(B48="","",IF(M48="Validé humainement","Oui","Non"))</x:f>
      </x:c>
    </x:row>
    <x:row r="49">
      <x:c r="A49" s="76" t="str">
        <x:f>IF(B49="","","COTE-"&amp;TEXT(ROW()-4,"0000"))</x:f>
      </x:c>
      <x:c r="B49" s="76"/>
      <x:c r="C49" s="76"/>
      <x:c r="D49" s="76"/>
      <x:c r="E49" s="77"/>
      <x:c r="F49" s="76"/>
      <x:c r="G49" s="76"/>
      <x:c r="H49" s="81"/>
      <x:c r="I49" s="76"/>
      <x:c r="J49" s="76"/>
      <x:c r="K49" s="76"/>
      <x:c r="L49" s="76"/>
      <x:c r="M49" s="76"/>
      <x:c r="N49" s="78" t="str">
        <x:f>IF(B49="","",TODAY())</x:f>
      </x:c>
      <x:c r="O49" s="76"/>
      <x:c r="P49" s="76" t="str">
        <x:f>IF(B49="","",IF(OR(C49="",D49="",E49="",F49="",I49="",J49="",K49="",M49&lt;&gt;"Validé humainement"),"ALERTE: données/preuves/statut",IF(OR(E49&lt;0,E49&gt;50,H49&lt;0),"ALERTE: valeur anormale","OK")))</x:f>
      </x:c>
      <x:c r="Q49" s="76" t="str">
        <x:f>IF(B49="","",IF(M49="Validé humainement","Oui","Non"))</x:f>
      </x:c>
    </x:row>
    <x:row r="50">
      <x:c r="A50" s="76" t="str">
        <x:f>IF(B50="","","COTE-"&amp;TEXT(ROW()-4,"0000"))</x:f>
      </x:c>
      <x:c r="B50" s="76"/>
      <x:c r="C50" s="76"/>
      <x:c r="D50" s="76"/>
      <x:c r="E50" s="77"/>
      <x:c r="F50" s="76"/>
      <x:c r="G50" s="76"/>
      <x:c r="H50" s="81"/>
      <x:c r="I50" s="76"/>
      <x:c r="J50" s="76"/>
      <x:c r="K50" s="76"/>
      <x:c r="L50" s="76"/>
      <x:c r="M50" s="76"/>
      <x:c r="N50" s="78" t="str">
        <x:f>IF(B50="","",TODAY())</x:f>
      </x:c>
      <x:c r="O50" s="76"/>
      <x:c r="P50" s="76" t="str">
        <x:f>IF(B50="","",IF(OR(C50="",D50="",E50="",F50="",I50="",J50="",K50="",M50&lt;&gt;"Validé humainement"),"ALERTE: données/preuves/statut",IF(OR(E50&lt;0,E50&gt;50,H50&lt;0),"ALERTE: valeur anormale","OK")))</x:f>
      </x:c>
      <x:c r="Q50" s="76" t="str">
        <x:f>IF(B50="","",IF(M50="Validé humainement","Oui","Non"))</x:f>
      </x:c>
    </x:row>
    <x:row r="51">
      <x:c r="A51" s="76" t="str">
        <x:f>IF(B51="","","COTE-"&amp;TEXT(ROW()-4,"0000"))</x:f>
      </x:c>
      <x:c r="B51" s="76"/>
      <x:c r="C51" s="76"/>
      <x:c r="D51" s="76"/>
      <x:c r="E51" s="77"/>
      <x:c r="F51" s="76"/>
      <x:c r="G51" s="76"/>
      <x:c r="H51" s="81"/>
      <x:c r="I51" s="76"/>
      <x:c r="J51" s="76"/>
      <x:c r="K51" s="76"/>
      <x:c r="L51" s="76"/>
      <x:c r="M51" s="76"/>
      <x:c r="N51" s="78" t="str">
        <x:f>IF(B51="","",TODAY())</x:f>
      </x:c>
      <x:c r="O51" s="76"/>
      <x:c r="P51" s="76" t="str">
        <x:f>IF(B51="","",IF(OR(C51="",D51="",E51="",F51="",I51="",J51="",K51="",M51&lt;&gt;"Validé humainement"),"ALERTE: données/preuves/statut",IF(OR(E51&lt;0,E51&gt;50,H51&lt;0),"ALERTE: valeur anormale","OK")))</x:f>
      </x:c>
      <x:c r="Q51" s="76" t="str">
        <x:f>IF(B51="","",IF(M51="Validé humainement","Oui","Non"))</x:f>
      </x:c>
    </x:row>
    <x:row r="52">
      <x:c r="A52" s="76" t="str">
        <x:f>IF(B52="","","COTE-"&amp;TEXT(ROW()-4,"0000"))</x:f>
      </x:c>
      <x:c r="B52" s="76"/>
      <x:c r="C52" s="76"/>
      <x:c r="D52" s="76"/>
      <x:c r="E52" s="77"/>
      <x:c r="F52" s="76"/>
      <x:c r="G52" s="76"/>
      <x:c r="H52" s="81"/>
      <x:c r="I52" s="76"/>
      <x:c r="J52" s="76"/>
      <x:c r="K52" s="76"/>
      <x:c r="L52" s="76"/>
      <x:c r="M52" s="76"/>
      <x:c r="N52" s="78" t="str">
        <x:f>IF(B52="","",TODAY())</x:f>
      </x:c>
      <x:c r="O52" s="76"/>
      <x:c r="P52" s="76" t="str">
        <x:f>IF(B52="","",IF(OR(C52="",D52="",E52="",F52="",I52="",J52="",K52="",M52&lt;&gt;"Validé humainement"),"ALERTE: données/preuves/statut",IF(OR(E52&lt;0,E52&gt;50,H52&lt;0),"ALERTE: valeur anormale","OK")))</x:f>
      </x:c>
      <x:c r="Q52" s="76" t="str">
        <x:f>IF(B52="","",IF(M52="Validé humainement","Oui","Non"))</x:f>
      </x:c>
    </x:row>
    <x:row r="53">
      <x:c r="A53" s="76" t="str">
        <x:f>IF(B53="","","COTE-"&amp;TEXT(ROW()-4,"0000"))</x:f>
      </x:c>
      <x:c r="B53" s="76"/>
      <x:c r="C53" s="76"/>
      <x:c r="D53" s="76"/>
      <x:c r="E53" s="77"/>
      <x:c r="F53" s="76"/>
      <x:c r="G53" s="76"/>
      <x:c r="H53" s="81"/>
      <x:c r="I53" s="76"/>
      <x:c r="J53" s="76"/>
      <x:c r="K53" s="76"/>
      <x:c r="L53" s="76"/>
      <x:c r="M53" s="76"/>
      <x:c r="N53" s="78" t="str">
        <x:f>IF(B53="","",TODAY())</x:f>
      </x:c>
      <x:c r="O53" s="76"/>
      <x:c r="P53" s="76" t="str">
        <x:f>IF(B53="","",IF(OR(C53="",D53="",E53="",F53="",I53="",J53="",K53="",M53&lt;&gt;"Validé humainement"),"ALERTE: données/preuves/statut",IF(OR(E53&lt;0,E53&gt;50,H53&lt;0),"ALERTE: valeur anormale","OK")))</x:f>
      </x:c>
      <x:c r="Q53" s="76" t="str">
        <x:f>IF(B53="","",IF(M53="Validé humainement","Oui","Non"))</x:f>
      </x:c>
    </x:row>
    <x:row r="54">
      <x:c r="A54" s="76" t="str">
        <x:f>IF(B54="","","COTE-"&amp;TEXT(ROW()-4,"0000"))</x:f>
      </x:c>
      <x:c r="B54" s="76"/>
      <x:c r="C54" s="76"/>
      <x:c r="D54" s="76"/>
      <x:c r="E54" s="77"/>
      <x:c r="F54" s="76"/>
      <x:c r="G54" s="76"/>
      <x:c r="H54" s="81"/>
      <x:c r="I54" s="76"/>
      <x:c r="J54" s="76"/>
      <x:c r="K54" s="76"/>
      <x:c r="L54" s="76"/>
      <x:c r="M54" s="76"/>
      <x:c r="N54" s="78" t="str">
        <x:f>IF(B54="","",TODAY())</x:f>
      </x:c>
      <x:c r="O54" s="76"/>
      <x:c r="P54" s="76" t="str">
        <x:f>IF(B54="","",IF(OR(C54="",D54="",E54="",F54="",I54="",J54="",K54="",M54&lt;&gt;"Validé humainement"),"ALERTE: données/preuves/statut",IF(OR(E54&lt;0,E54&gt;50,H54&lt;0),"ALERTE: valeur anormale","OK")))</x:f>
      </x:c>
      <x:c r="Q54" s="76" t="str">
        <x:f>IF(B54="","",IF(M54="Validé humainement","Oui","Non"))</x:f>
      </x:c>
    </x:row>
    <x:row r="55">
      <x:c r="A55" s="76" t="str">
        <x:f>IF(B55="","","COTE-"&amp;TEXT(ROW()-4,"0000"))</x:f>
      </x:c>
      <x:c r="B55" s="76"/>
      <x:c r="C55" s="76"/>
      <x:c r="D55" s="76"/>
      <x:c r="E55" s="77"/>
      <x:c r="F55" s="76"/>
      <x:c r="G55" s="76"/>
      <x:c r="H55" s="81"/>
      <x:c r="I55" s="76"/>
      <x:c r="J55" s="76"/>
      <x:c r="K55" s="76"/>
      <x:c r="L55" s="76"/>
      <x:c r="M55" s="76"/>
      <x:c r="N55" s="78" t="str">
        <x:f>IF(B55="","",TODAY())</x:f>
      </x:c>
      <x:c r="O55" s="76"/>
      <x:c r="P55" s="76" t="str">
        <x:f>IF(B55="","",IF(OR(C55="",D55="",E55="",F55="",I55="",J55="",K55="",M55&lt;&gt;"Validé humainement"),"ALERTE: données/preuves/statut",IF(OR(E55&lt;0,E55&gt;50,H55&lt;0),"ALERTE: valeur anormale","OK")))</x:f>
      </x:c>
      <x:c r="Q55" s="76" t="str">
        <x:f>IF(B55="","",IF(M55="Validé humainement","Oui","Non"))</x:f>
      </x:c>
    </x:row>
    <x:row r="56">
      <x:c r="A56" s="76" t="str">
        <x:f>IF(B56="","","COTE-"&amp;TEXT(ROW()-4,"0000"))</x:f>
      </x:c>
      <x:c r="B56" s="76"/>
      <x:c r="C56" s="76"/>
      <x:c r="D56" s="76"/>
      <x:c r="E56" s="77"/>
      <x:c r="F56" s="76"/>
      <x:c r="G56" s="76"/>
      <x:c r="H56" s="81"/>
      <x:c r="I56" s="76"/>
      <x:c r="J56" s="76"/>
      <x:c r="K56" s="76"/>
      <x:c r="L56" s="76"/>
      <x:c r="M56" s="76"/>
      <x:c r="N56" s="78" t="str">
        <x:f>IF(B56="","",TODAY())</x:f>
      </x:c>
      <x:c r="O56" s="76"/>
      <x:c r="P56" s="76" t="str">
        <x:f>IF(B56="","",IF(OR(C56="",D56="",E56="",F56="",I56="",J56="",K56="",M56&lt;&gt;"Validé humainement"),"ALERTE: données/preuves/statut",IF(OR(E56&lt;0,E56&gt;50,H56&lt;0),"ALERTE: valeur anormale","OK")))</x:f>
      </x:c>
      <x:c r="Q56" s="76" t="str">
        <x:f>IF(B56="","",IF(M56="Validé humainement","Oui","Non"))</x:f>
      </x:c>
    </x:row>
    <x:row r="57">
      <x:c r="A57" s="76" t="str">
        <x:f>IF(B57="","","COTE-"&amp;TEXT(ROW()-4,"0000"))</x:f>
      </x:c>
      <x:c r="B57" s="76"/>
      <x:c r="C57" s="76"/>
      <x:c r="D57" s="76"/>
      <x:c r="E57" s="77"/>
      <x:c r="F57" s="76"/>
      <x:c r="G57" s="76"/>
      <x:c r="H57" s="81"/>
      <x:c r="I57" s="76"/>
      <x:c r="J57" s="76"/>
      <x:c r="K57" s="76"/>
      <x:c r="L57" s="76"/>
      <x:c r="M57" s="76"/>
      <x:c r="N57" s="78" t="str">
        <x:f>IF(B57="","",TODAY())</x:f>
      </x:c>
      <x:c r="O57" s="76"/>
      <x:c r="P57" s="76" t="str">
        <x:f>IF(B57="","",IF(OR(C57="",D57="",E57="",F57="",I57="",J57="",K57="",M57&lt;&gt;"Validé humainement"),"ALERTE: données/preuves/statut",IF(OR(E57&lt;0,E57&gt;50,H57&lt;0),"ALERTE: valeur anormale","OK")))</x:f>
      </x:c>
      <x:c r="Q57" s="76" t="str">
        <x:f>IF(B57="","",IF(M57="Validé humainement","Oui","Non"))</x:f>
      </x:c>
    </x:row>
    <x:row r="58">
      <x:c r="A58" s="76" t="str">
        <x:f>IF(B58="","","COTE-"&amp;TEXT(ROW()-4,"0000"))</x:f>
      </x:c>
      <x:c r="B58" s="76"/>
      <x:c r="C58" s="76"/>
      <x:c r="D58" s="76"/>
      <x:c r="E58" s="77"/>
      <x:c r="F58" s="76"/>
      <x:c r="G58" s="76"/>
      <x:c r="H58" s="81"/>
      <x:c r="I58" s="76"/>
      <x:c r="J58" s="76"/>
      <x:c r="K58" s="76"/>
      <x:c r="L58" s="76"/>
      <x:c r="M58" s="76"/>
      <x:c r="N58" s="78" t="str">
        <x:f>IF(B58="","",TODAY())</x:f>
      </x:c>
      <x:c r="O58" s="76"/>
      <x:c r="P58" s="76" t="str">
        <x:f>IF(B58="","",IF(OR(C58="",D58="",E58="",F58="",I58="",J58="",K58="",M58&lt;&gt;"Validé humainement"),"ALERTE: données/preuves/statut",IF(OR(E58&lt;0,E58&gt;50,H58&lt;0),"ALERTE: valeur anormale","OK")))</x:f>
      </x:c>
      <x:c r="Q58" s="76" t="str">
        <x:f>IF(B58="","",IF(M58="Validé humainement","Oui","Non"))</x:f>
      </x:c>
    </x:row>
    <x:row r="59">
      <x:c r="A59" s="76" t="str">
        <x:f>IF(B59="","","COTE-"&amp;TEXT(ROW()-4,"0000"))</x:f>
      </x:c>
      <x:c r="B59" s="76"/>
      <x:c r="C59" s="76"/>
      <x:c r="D59" s="76"/>
      <x:c r="E59" s="77"/>
      <x:c r="F59" s="76"/>
      <x:c r="G59" s="76"/>
      <x:c r="H59" s="81"/>
      <x:c r="I59" s="76"/>
      <x:c r="J59" s="76"/>
      <x:c r="K59" s="76"/>
      <x:c r="L59" s="76"/>
      <x:c r="M59" s="76"/>
      <x:c r="N59" s="78" t="str">
        <x:f>IF(B59="","",TODAY())</x:f>
      </x:c>
      <x:c r="O59" s="76"/>
      <x:c r="P59" s="76" t="str">
        <x:f>IF(B59="","",IF(OR(C59="",D59="",E59="",F59="",I59="",J59="",K59="",M59&lt;&gt;"Validé humainement"),"ALERTE: données/preuves/statut",IF(OR(E59&lt;0,E59&gt;50,H59&lt;0),"ALERTE: valeur anormale","OK")))</x:f>
      </x:c>
      <x:c r="Q59" s="76" t="str">
        <x:f>IF(B59="","",IF(M59="Validé humainement","Oui","Non"))</x:f>
      </x:c>
    </x:row>
    <x:row r="60">
      <x:c r="A60" s="76" t="str">
        <x:f>IF(B60="","","COTE-"&amp;TEXT(ROW()-4,"0000"))</x:f>
      </x:c>
      <x:c r="B60" s="76"/>
      <x:c r="C60" s="76"/>
      <x:c r="D60" s="76"/>
      <x:c r="E60" s="77"/>
      <x:c r="F60" s="76"/>
      <x:c r="G60" s="76"/>
      <x:c r="H60" s="81"/>
      <x:c r="I60" s="76"/>
      <x:c r="J60" s="76"/>
      <x:c r="K60" s="76"/>
      <x:c r="L60" s="76"/>
      <x:c r="M60" s="76"/>
      <x:c r="N60" s="78" t="str">
        <x:f>IF(B60="","",TODAY())</x:f>
      </x:c>
      <x:c r="O60" s="76"/>
      <x:c r="P60" s="76" t="str">
        <x:f>IF(B60="","",IF(OR(C60="",D60="",E60="",F60="",I60="",J60="",K60="",M60&lt;&gt;"Validé humainement"),"ALERTE: données/preuves/statut",IF(OR(E60&lt;0,E60&gt;50,H60&lt;0),"ALERTE: valeur anormale","OK")))</x:f>
      </x:c>
      <x:c r="Q60" s="76" t="str">
        <x:f>IF(B60="","",IF(M60="Validé humainement","Oui","Non"))</x:f>
      </x:c>
    </x:row>
    <x:row r="61">
      <x:c r="A61" s="76" t="str">
        <x:f>IF(B61="","","COTE-"&amp;TEXT(ROW()-4,"0000"))</x:f>
      </x:c>
      <x:c r="B61" s="76"/>
      <x:c r="C61" s="76"/>
      <x:c r="D61" s="76"/>
      <x:c r="E61" s="77"/>
      <x:c r="F61" s="76"/>
      <x:c r="G61" s="76"/>
      <x:c r="H61" s="81"/>
      <x:c r="I61" s="76"/>
      <x:c r="J61" s="76"/>
      <x:c r="K61" s="76"/>
      <x:c r="L61" s="76"/>
      <x:c r="M61" s="76"/>
      <x:c r="N61" s="78" t="str">
        <x:f>IF(B61="","",TODAY())</x:f>
      </x:c>
      <x:c r="O61" s="76"/>
      <x:c r="P61" s="76" t="str">
        <x:f>IF(B61="","",IF(OR(C61="",D61="",E61="",F61="",I61="",J61="",K61="",M61&lt;&gt;"Validé humainement"),"ALERTE: données/preuves/statut",IF(OR(E61&lt;0,E61&gt;50,H61&lt;0),"ALERTE: valeur anormale","OK")))</x:f>
      </x:c>
      <x:c r="Q61" s="76" t="str">
        <x:f>IF(B61="","",IF(M61="Validé humainement","Oui","Non"))</x:f>
      </x:c>
    </x:row>
    <x:row r="62">
      <x:c r="A62" s="76" t="str">
        <x:f>IF(B62="","","COTE-"&amp;TEXT(ROW()-4,"0000"))</x:f>
      </x:c>
      <x:c r="B62" s="76"/>
      <x:c r="C62" s="76"/>
      <x:c r="D62" s="76"/>
      <x:c r="E62" s="77"/>
      <x:c r="F62" s="76"/>
      <x:c r="G62" s="76"/>
      <x:c r="H62" s="81"/>
      <x:c r="I62" s="76"/>
      <x:c r="J62" s="76"/>
      <x:c r="K62" s="76"/>
      <x:c r="L62" s="76"/>
      <x:c r="M62" s="76"/>
      <x:c r="N62" s="78" t="str">
        <x:f>IF(B62="","",TODAY())</x:f>
      </x:c>
      <x:c r="O62" s="76"/>
      <x:c r="P62" s="76" t="str">
        <x:f>IF(B62="","",IF(OR(C62="",D62="",E62="",F62="",I62="",J62="",K62="",M62&lt;&gt;"Validé humainement"),"ALERTE: données/preuves/statut",IF(OR(E62&lt;0,E62&gt;50,H62&lt;0),"ALERTE: valeur anormale","OK")))</x:f>
      </x:c>
      <x:c r="Q62" s="76" t="str">
        <x:f>IF(B62="","",IF(M62="Validé humainement","Oui","Non"))</x:f>
      </x:c>
    </x:row>
    <x:row r="63">
      <x:c r="A63" s="76" t="str">
        <x:f>IF(B63="","","COTE-"&amp;TEXT(ROW()-4,"0000"))</x:f>
      </x:c>
      <x:c r="B63" s="76"/>
      <x:c r="C63" s="76"/>
      <x:c r="D63" s="76"/>
      <x:c r="E63" s="77"/>
      <x:c r="F63" s="76"/>
      <x:c r="G63" s="76"/>
      <x:c r="H63" s="81"/>
      <x:c r="I63" s="76"/>
      <x:c r="J63" s="76"/>
      <x:c r="K63" s="76"/>
      <x:c r="L63" s="76"/>
      <x:c r="M63" s="76"/>
      <x:c r="N63" s="78" t="str">
        <x:f>IF(B63="","",TODAY())</x:f>
      </x:c>
      <x:c r="O63" s="76"/>
      <x:c r="P63" s="76" t="str">
        <x:f>IF(B63="","",IF(OR(C63="",D63="",E63="",F63="",I63="",J63="",K63="",M63&lt;&gt;"Validé humainement"),"ALERTE: données/preuves/statut",IF(OR(E63&lt;0,E63&gt;50,H63&lt;0),"ALERTE: valeur anormale","OK")))</x:f>
      </x:c>
      <x:c r="Q63" s="76" t="str">
        <x:f>IF(B63="","",IF(M63="Validé humainement","Oui","Non"))</x:f>
      </x:c>
    </x:row>
    <x:row r="64">
      <x:c r="A64" s="76" t="str">
        <x:f>IF(B64="","","COTE-"&amp;TEXT(ROW()-4,"0000"))</x:f>
      </x:c>
      <x:c r="B64" s="76"/>
      <x:c r="C64" s="76"/>
      <x:c r="D64" s="76"/>
      <x:c r="E64" s="77"/>
      <x:c r="F64" s="76"/>
      <x:c r="G64" s="76"/>
      <x:c r="H64" s="81"/>
      <x:c r="I64" s="76"/>
      <x:c r="J64" s="76"/>
      <x:c r="K64" s="76"/>
      <x:c r="L64" s="76"/>
      <x:c r="M64" s="76"/>
      <x:c r="N64" s="78" t="str">
        <x:f>IF(B64="","",TODAY())</x:f>
      </x:c>
      <x:c r="O64" s="76"/>
      <x:c r="P64" s="76" t="str">
        <x:f>IF(B64="","",IF(OR(C64="",D64="",E64="",F64="",I64="",J64="",K64="",M64&lt;&gt;"Validé humainement"),"ALERTE: données/preuves/statut",IF(OR(E64&lt;0,E64&gt;50,H64&lt;0),"ALERTE: valeur anormale","OK")))</x:f>
      </x:c>
      <x:c r="Q64" s="76" t="str">
        <x:f>IF(B64="","",IF(M64="Validé humainement","Oui","Non"))</x:f>
      </x:c>
    </x:row>
    <x:row r="65">
      <x:c r="A65" s="76" t="str">
        <x:f>IF(B65="","","COTE-"&amp;TEXT(ROW()-4,"0000"))</x:f>
      </x:c>
      <x:c r="B65" s="76"/>
      <x:c r="C65" s="76"/>
      <x:c r="D65" s="76"/>
      <x:c r="E65" s="77"/>
      <x:c r="F65" s="76"/>
      <x:c r="G65" s="76"/>
      <x:c r="H65" s="81"/>
      <x:c r="I65" s="76"/>
      <x:c r="J65" s="76"/>
      <x:c r="K65" s="76"/>
      <x:c r="L65" s="76"/>
      <x:c r="M65" s="76"/>
      <x:c r="N65" s="78" t="str">
        <x:f>IF(B65="","",TODAY())</x:f>
      </x:c>
      <x:c r="O65" s="76"/>
      <x:c r="P65" s="76" t="str">
        <x:f>IF(B65="","",IF(OR(C65="",D65="",E65="",F65="",I65="",J65="",K65="",M65&lt;&gt;"Validé humainement"),"ALERTE: données/preuves/statut",IF(OR(E65&lt;0,E65&gt;50,H65&lt;0),"ALERTE: valeur anormale","OK")))</x:f>
      </x:c>
      <x:c r="Q65" s="76" t="str">
        <x:f>IF(B65="","",IF(M65="Validé humainement","Oui","Non"))</x:f>
      </x:c>
    </x:row>
    <x:row r="66">
      <x:c r="A66" s="76" t="str">
        <x:f>IF(B66="","","COTE-"&amp;TEXT(ROW()-4,"0000"))</x:f>
      </x:c>
      <x:c r="B66" s="76"/>
      <x:c r="C66" s="76"/>
      <x:c r="D66" s="76"/>
      <x:c r="E66" s="77"/>
      <x:c r="F66" s="76"/>
      <x:c r="G66" s="76"/>
      <x:c r="H66" s="81"/>
      <x:c r="I66" s="76"/>
      <x:c r="J66" s="76"/>
      <x:c r="K66" s="76"/>
      <x:c r="L66" s="76"/>
      <x:c r="M66" s="76"/>
      <x:c r="N66" s="78" t="str">
        <x:f>IF(B66="","",TODAY())</x:f>
      </x:c>
      <x:c r="O66" s="76"/>
      <x:c r="P66" s="76" t="str">
        <x:f>IF(B66="","",IF(OR(C66="",D66="",E66="",F66="",I66="",J66="",K66="",M66&lt;&gt;"Validé humainement"),"ALERTE: données/preuves/statut",IF(OR(E66&lt;0,E66&gt;50,H66&lt;0),"ALERTE: valeur anormale","OK")))</x:f>
      </x:c>
      <x:c r="Q66" s="76" t="str">
        <x:f>IF(B66="","",IF(M66="Validé humainement","Oui","Non"))</x:f>
      </x:c>
    </x:row>
    <x:row r="67">
      <x:c r="A67" s="76" t="str">
        <x:f>IF(B67="","","COTE-"&amp;TEXT(ROW()-4,"0000"))</x:f>
      </x:c>
      <x:c r="B67" s="76"/>
      <x:c r="C67" s="76"/>
      <x:c r="D67" s="76"/>
      <x:c r="E67" s="77"/>
      <x:c r="F67" s="76"/>
      <x:c r="G67" s="76"/>
      <x:c r="H67" s="81"/>
      <x:c r="I67" s="76"/>
      <x:c r="J67" s="76"/>
      <x:c r="K67" s="76"/>
      <x:c r="L67" s="76"/>
      <x:c r="M67" s="76"/>
      <x:c r="N67" s="78" t="str">
        <x:f>IF(B67="","",TODAY())</x:f>
      </x:c>
      <x:c r="O67" s="76"/>
      <x:c r="P67" s="76" t="str">
        <x:f>IF(B67="","",IF(OR(C67="",D67="",E67="",F67="",I67="",J67="",K67="",M67&lt;&gt;"Validé humainement"),"ALERTE: données/preuves/statut",IF(OR(E67&lt;0,E67&gt;50,H67&lt;0),"ALERTE: valeur anormale","OK")))</x:f>
      </x:c>
      <x:c r="Q67" s="76" t="str">
        <x:f>IF(B67="","",IF(M67="Validé humainement","Oui","Non"))</x:f>
      </x:c>
    </x:row>
    <x:row r="68">
      <x:c r="A68" s="76" t="str">
        <x:f>IF(B68="","","COTE-"&amp;TEXT(ROW()-4,"0000"))</x:f>
      </x:c>
      <x:c r="B68" s="76"/>
      <x:c r="C68" s="76"/>
      <x:c r="D68" s="76"/>
      <x:c r="E68" s="77"/>
      <x:c r="F68" s="76"/>
      <x:c r="G68" s="76"/>
      <x:c r="H68" s="81"/>
      <x:c r="I68" s="76"/>
      <x:c r="J68" s="76"/>
      <x:c r="K68" s="76"/>
      <x:c r="L68" s="76"/>
      <x:c r="M68" s="76"/>
      <x:c r="N68" s="78" t="str">
        <x:f>IF(B68="","",TODAY())</x:f>
      </x:c>
      <x:c r="O68" s="76"/>
      <x:c r="P68" s="76" t="str">
        <x:f>IF(B68="","",IF(OR(C68="",D68="",E68="",F68="",I68="",J68="",K68="",M68&lt;&gt;"Validé humainement"),"ALERTE: données/preuves/statut",IF(OR(E68&lt;0,E68&gt;50,H68&lt;0),"ALERTE: valeur anormale","OK")))</x:f>
      </x:c>
      <x:c r="Q68" s="76" t="str">
        <x:f>IF(B68="","",IF(M68="Validé humainement","Oui","Non"))</x:f>
      </x:c>
    </x:row>
    <x:row r="69">
      <x:c r="A69" s="76" t="str">
        <x:f>IF(B69="","","COTE-"&amp;TEXT(ROW()-4,"0000"))</x:f>
      </x:c>
      <x:c r="B69" s="76"/>
      <x:c r="C69" s="76"/>
      <x:c r="D69" s="76"/>
      <x:c r="E69" s="77"/>
      <x:c r="F69" s="76"/>
      <x:c r="G69" s="76"/>
      <x:c r="H69" s="81"/>
      <x:c r="I69" s="76"/>
      <x:c r="J69" s="76"/>
      <x:c r="K69" s="76"/>
      <x:c r="L69" s="76"/>
      <x:c r="M69" s="76"/>
      <x:c r="N69" s="78" t="str">
        <x:f>IF(B69="","",TODAY())</x:f>
      </x:c>
      <x:c r="O69" s="76"/>
      <x:c r="P69" s="76" t="str">
        <x:f>IF(B69="","",IF(OR(C69="",D69="",E69="",F69="",I69="",J69="",K69="",M69&lt;&gt;"Validé humainement"),"ALERTE: données/preuves/statut",IF(OR(E69&lt;0,E69&gt;50,H69&lt;0),"ALERTE: valeur anormale","OK")))</x:f>
      </x:c>
      <x:c r="Q69" s="76" t="str">
        <x:f>IF(B69="","",IF(M69="Validé humainement","Oui","Non"))</x:f>
      </x:c>
    </x:row>
    <x:row r="70">
      <x:c r="A70" s="76" t="str">
        <x:f>IF(B70="","","COTE-"&amp;TEXT(ROW()-4,"0000"))</x:f>
      </x:c>
      <x:c r="B70" s="76"/>
      <x:c r="C70" s="76"/>
      <x:c r="D70" s="76"/>
      <x:c r="E70" s="77"/>
      <x:c r="F70" s="76"/>
      <x:c r="G70" s="76"/>
      <x:c r="H70" s="81"/>
      <x:c r="I70" s="76"/>
      <x:c r="J70" s="76"/>
      <x:c r="K70" s="76"/>
      <x:c r="L70" s="76"/>
      <x:c r="M70" s="76"/>
      <x:c r="N70" s="78" t="str">
        <x:f>IF(B70="","",TODAY())</x:f>
      </x:c>
      <x:c r="O70" s="76"/>
      <x:c r="P70" s="76" t="str">
        <x:f>IF(B70="","",IF(OR(C70="",D70="",E70="",F70="",I70="",J70="",K70="",M70&lt;&gt;"Validé humainement"),"ALERTE: données/preuves/statut",IF(OR(E70&lt;0,E70&gt;50,H70&lt;0),"ALERTE: valeur anormale","OK")))</x:f>
      </x:c>
      <x:c r="Q70" s="76" t="str">
        <x:f>IF(B70="","",IF(M70="Validé humainement","Oui","Non"))</x:f>
      </x:c>
    </x:row>
    <x:row r="71">
      <x:c r="A71" s="76" t="str">
        <x:f>IF(B71="","","COTE-"&amp;TEXT(ROW()-4,"0000"))</x:f>
      </x:c>
      <x:c r="B71" s="76"/>
      <x:c r="C71" s="76"/>
      <x:c r="D71" s="76"/>
      <x:c r="E71" s="77"/>
      <x:c r="F71" s="76"/>
      <x:c r="G71" s="76"/>
      <x:c r="H71" s="81"/>
      <x:c r="I71" s="76"/>
      <x:c r="J71" s="76"/>
      <x:c r="K71" s="76"/>
      <x:c r="L71" s="76"/>
      <x:c r="M71" s="76"/>
      <x:c r="N71" s="78" t="str">
        <x:f>IF(B71="","",TODAY())</x:f>
      </x:c>
      <x:c r="O71" s="76"/>
      <x:c r="P71" s="76" t="str">
        <x:f>IF(B71="","",IF(OR(C71="",D71="",E71="",F71="",I71="",J71="",K71="",M71&lt;&gt;"Validé humainement"),"ALERTE: données/preuves/statut",IF(OR(E71&lt;0,E71&gt;50,H71&lt;0),"ALERTE: valeur anormale","OK")))</x:f>
      </x:c>
      <x:c r="Q71" s="76" t="str">
        <x:f>IF(B71="","",IF(M71="Validé humainement","Oui","Non"))</x:f>
      </x:c>
    </x:row>
    <x:row r="72">
      <x:c r="A72" s="76" t="str">
        <x:f>IF(B72="","","COTE-"&amp;TEXT(ROW()-4,"0000"))</x:f>
      </x:c>
      <x:c r="B72" s="76"/>
      <x:c r="C72" s="76"/>
      <x:c r="D72" s="76"/>
      <x:c r="E72" s="77"/>
      <x:c r="F72" s="76"/>
      <x:c r="G72" s="76"/>
      <x:c r="H72" s="81"/>
      <x:c r="I72" s="76"/>
      <x:c r="J72" s="76"/>
      <x:c r="K72" s="76"/>
      <x:c r="L72" s="76"/>
      <x:c r="M72" s="76"/>
      <x:c r="N72" s="78" t="str">
        <x:f>IF(B72="","",TODAY())</x:f>
      </x:c>
      <x:c r="O72" s="76"/>
      <x:c r="P72" s="76" t="str">
        <x:f>IF(B72="","",IF(OR(C72="",D72="",E72="",F72="",I72="",J72="",K72="",M72&lt;&gt;"Validé humainement"),"ALERTE: données/preuves/statut",IF(OR(E72&lt;0,E72&gt;50,H72&lt;0),"ALERTE: valeur anormale","OK")))</x:f>
      </x:c>
      <x:c r="Q72" s="76" t="str">
        <x:f>IF(B72="","",IF(M72="Validé humainement","Oui","Non"))</x:f>
      </x:c>
    </x:row>
    <x:row r="73">
      <x:c r="A73" s="76" t="str">
        <x:f>IF(B73="","","COTE-"&amp;TEXT(ROW()-4,"0000"))</x:f>
      </x:c>
      <x:c r="B73" s="76"/>
      <x:c r="C73" s="76"/>
      <x:c r="D73" s="76"/>
      <x:c r="E73" s="77"/>
      <x:c r="F73" s="76"/>
      <x:c r="G73" s="76"/>
      <x:c r="H73" s="81"/>
      <x:c r="I73" s="76"/>
      <x:c r="J73" s="76"/>
      <x:c r="K73" s="76"/>
      <x:c r="L73" s="76"/>
      <x:c r="M73" s="76"/>
      <x:c r="N73" s="78" t="str">
        <x:f>IF(B73="","",TODAY())</x:f>
      </x:c>
      <x:c r="O73" s="76"/>
      <x:c r="P73" s="76" t="str">
        <x:f>IF(B73="","",IF(OR(C73="",D73="",E73="",F73="",I73="",J73="",K73="",M73&lt;&gt;"Validé humainement"),"ALERTE: données/preuves/statut",IF(OR(E73&lt;0,E73&gt;50,H73&lt;0),"ALERTE: valeur anormale","OK")))</x:f>
      </x:c>
      <x:c r="Q73" s="76" t="str">
        <x:f>IF(B73="","",IF(M73="Validé humainement","Oui","Non"))</x:f>
      </x:c>
    </x:row>
    <x:row r="74">
      <x:c r="A74" s="76" t="str">
        <x:f>IF(B74="","","COTE-"&amp;TEXT(ROW()-4,"0000"))</x:f>
      </x:c>
      <x:c r="B74" s="76"/>
      <x:c r="C74" s="76"/>
      <x:c r="D74" s="76"/>
      <x:c r="E74" s="77"/>
      <x:c r="F74" s="76"/>
      <x:c r="G74" s="76"/>
      <x:c r="H74" s="81"/>
      <x:c r="I74" s="76"/>
      <x:c r="J74" s="76"/>
      <x:c r="K74" s="76"/>
      <x:c r="L74" s="76"/>
      <x:c r="M74" s="76"/>
      <x:c r="N74" s="78" t="str">
        <x:f>IF(B74="","",TODAY())</x:f>
      </x:c>
      <x:c r="O74" s="76"/>
      <x:c r="P74" s="76" t="str">
        <x:f>IF(B74="","",IF(OR(C74="",D74="",E74="",F74="",I74="",J74="",K74="",M74&lt;&gt;"Validé humainement"),"ALERTE: données/preuves/statut",IF(OR(E74&lt;0,E74&gt;50,H74&lt;0),"ALERTE: valeur anormale","OK")))</x:f>
      </x:c>
      <x:c r="Q74" s="76" t="str">
        <x:f>IF(B74="","",IF(M74="Validé humainement","Oui","Non"))</x:f>
      </x:c>
    </x:row>
    <x:row r="75">
      <x:c r="A75" s="76" t="str">
        <x:f>IF(B75="","","COTE-"&amp;TEXT(ROW()-4,"0000"))</x:f>
      </x:c>
      <x:c r="B75" s="76"/>
      <x:c r="C75" s="76"/>
      <x:c r="D75" s="76"/>
      <x:c r="E75" s="77"/>
      <x:c r="F75" s="76"/>
      <x:c r="G75" s="76"/>
      <x:c r="H75" s="81"/>
      <x:c r="I75" s="76"/>
      <x:c r="J75" s="76"/>
      <x:c r="K75" s="76"/>
      <x:c r="L75" s="76"/>
      <x:c r="M75" s="76"/>
      <x:c r="N75" s="78" t="str">
        <x:f>IF(B75="","",TODAY())</x:f>
      </x:c>
      <x:c r="O75" s="76"/>
      <x:c r="P75" s="76" t="str">
        <x:f>IF(B75="","",IF(OR(C75="",D75="",E75="",F75="",I75="",J75="",K75="",M75&lt;&gt;"Validé humainement"),"ALERTE: données/preuves/statut",IF(OR(E75&lt;0,E75&gt;50,H75&lt;0),"ALERTE: valeur anormale","OK")))</x:f>
      </x:c>
      <x:c r="Q75" s="76" t="str">
        <x:f>IF(B75="","",IF(M75="Validé humainement","Oui","Non"))</x:f>
      </x:c>
    </x:row>
    <x:row r="76">
      <x:c r="A76" s="76" t="str">
        <x:f>IF(B76="","","COTE-"&amp;TEXT(ROW()-4,"0000"))</x:f>
      </x:c>
      <x:c r="B76" s="76"/>
      <x:c r="C76" s="76"/>
      <x:c r="D76" s="76"/>
      <x:c r="E76" s="77"/>
      <x:c r="F76" s="76"/>
      <x:c r="G76" s="76"/>
      <x:c r="H76" s="81"/>
      <x:c r="I76" s="76"/>
      <x:c r="J76" s="76"/>
      <x:c r="K76" s="76"/>
      <x:c r="L76" s="76"/>
      <x:c r="M76" s="76"/>
      <x:c r="N76" s="78" t="str">
        <x:f>IF(B76="","",TODAY())</x:f>
      </x:c>
      <x:c r="O76" s="76"/>
      <x:c r="P76" s="76" t="str">
        <x:f>IF(B76="","",IF(OR(C76="",D76="",E76="",F76="",I76="",J76="",K76="",M76&lt;&gt;"Validé humainement"),"ALERTE: données/preuves/statut",IF(OR(E76&lt;0,E76&gt;50,H76&lt;0),"ALERTE: valeur anormale","OK")))</x:f>
      </x:c>
      <x:c r="Q76" s="76" t="str">
        <x:f>IF(B76="","",IF(M76="Validé humainement","Oui","Non"))</x:f>
      </x:c>
    </x:row>
    <x:row r="77">
      <x:c r="A77" s="76" t="str">
        <x:f>IF(B77="","","COTE-"&amp;TEXT(ROW()-4,"0000"))</x:f>
      </x:c>
      <x:c r="B77" s="76"/>
      <x:c r="C77" s="76"/>
      <x:c r="D77" s="76"/>
      <x:c r="E77" s="77"/>
      <x:c r="F77" s="76"/>
      <x:c r="G77" s="76"/>
      <x:c r="H77" s="81"/>
      <x:c r="I77" s="76"/>
      <x:c r="J77" s="76"/>
      <x:c r="K77" s="76"/>
      <x:c r="L77" s="76"/>
      <x:c r="M77" s="76"/>
      <x:c r="N77" s="78" t="str">
        <x:f>IF(B77="","",TODAY())</x:f>
      </x:c>
      <x:c r="O77" s="76"/>
      <x:c r="P77" s="76" t="str">
        <x:f>IF(B77="","",IF(OR(C77="",D77="",E77="",F77="",I77="",J77="",K77="",M77&lt;&gt;"Validé humainement"),"ALERTE: données/preuves/statut",IF(OR(E77&lt;0,E77&gt;50,H77&lt;0),"ALERTE: valeur anormale","OK")))</x:f>
      </x:c>
      <x:c r="Q77" s="76" t="str">
        <x:f>IF(B77="","",IF(M77="Validé humainement","Oui","Non"))</x:f>
      </x:c>
    </x:row>
    <x:row r="78">
      <x:c r="A78" s="76" t="str">
        <x:f>IF(B78="","","COTE-"&amp;TEXT(ROW()-4,"0000"))</x:f>
      </x:c>
      <x:c r="B78" s="76"/>
      <x:c r="C78" s="76"/>
      <x:c r="D78" s="76"/>
      <x:c r="E78" s="77"/>
      <x:c r="F78" s="76"/>
      <x:c r="G78" s="76"/>
      <x:c r="H78" s="81"/>
      <x:c r="I78" s="76"/>
      <x:c r="J78" s="76"/>
      <x:c r="K78" s="76"/>
      <x:c r="L78" s="76"/>
      <x:c r="M78" s="76"/>
      <x:c r="N78" s="78" t="str">
        <x:f>IF(B78="","",TODAY())</x:f>
      </x:c>
      <x:c r="O78" s="76"/>
      <x:c r="P78" s="76" t="str">
        <x:f>IF(B78="","",IF(OR(C78="",D78="",E78="",F78="",I78="",J78="",K78="",M78&lt;&gt;"Validé humainement"),"ALERTE: données/preuves/statut",IF(OR(E78&lt;0,E78&gt;50,H78&lt;0),"ALERTE: valeur anormale","OK")))</x:f>
      </x:c>
      <x:c r="Q78" s="76" t="str">
        <x:f>IF(B78="","",IF(M78="Validé humainement","Oui","Non"))</x:f>
      </x:c>
    </x:row>
    <x:row r="79">
      <x:c r="A79" s="76" t="str">
        <x:f>IF(B79="","","COTE-"&amp;TEXT(ROW()-4,"0000"))</x:f>
      </x:c>
      <x:c r="B79" s="76"/>
      <x:c r="C79" s="76"/>
      <x:c r="D79" s="76"/>
      <x:c r="E79" s="77"/>
      <x:c r="F79" s="76"/>
      <x:c r="G79" s="76"/>
      <x:c r="H79" s="81"/>
      <x:c r="I79" s="76"/>
      <x:c r="J79" s="76"/>
      <x:c r="K79" s="76"/>
      <x:c r="L79" s="76"/>
      <x:c r="M79" s="76"/>
      <x:c r="N79" s="78" t="str">
        <x:f>IF(B79="","",TODAY())</x:f>
      </x:c>
      <x:c r="O79" s="76"/>
      <x:c r="P79" s="76" t="str">
        <x:f>IF(B79="","",IF(OR(C79="",D79="",E79="",F79="",I79="",J79="",K79="",M79&lt;&gt;"Validé humainement"),"ALERTE: données/preuves/statut",IF(OR(E79&lt;0,E79&gt;50,H79&lt;0),"ALERTE: valeur anormale","OK")))</x:f>
      </x:c>
      <x:c r="Q79" s="76" t="str">
        <x:f>IF(B79="","",IF(M79="Validé humainement","Oui","Non"))</x:f>
      </x:c>
    </x:row>
    <x:row r="80">
      <x:c r="A80" s="76" t="str">
        <x:f>IF(B80="","","COTE-"&amp;TEXT(ROW()-4,"0000"))</x:f>
      </x:c>
      <x:c r="B80" s="76"/>
      <x:c r="C80" s="76"/>
      <x:c r="D80" s="76"/>
      <x:c r="E80" s="77"/>
      <x:c r="F80" s="76"/>
      <x:c r="G80" s="76"/>
      <x:c r="H80" s="81"/>
      <x:c r="I80" s="76"/>
      <x:c r="J80" s="76"/>
      <x:c r="K80" s="76"/>
      <x:c r="L80" s="76"/>
      <x:c r="M80" s="76"/>
      <x:c r="N80" s="78" t="str">
        <x:f>IF(B80="","",TODAY())</x:f>
      </x:c>
      <x:c r="O80" s="76"/>
      <x:c r="P80" s="76" t="str">
        <x:f>IF(B80="","",IF(OR(C80="",D80="",E80="",F80="",I80="",J80="",K80="",M80&lt;&gt;"Validé humainement"),"ALERTE: données/preuves/statut",IF(OR(E80&lt;0,E80&gt;50,H80&lt;0),"ALERTE: valeur anormale","OK")))</x:f>
      </x:c>
      <x:c r="Q80" s="76" t="str">
        <x:f>IF(B80="","",IF(M80="Validé humainement","Oui","Non"))</x:f>
      </x:c>
    </x:row>
    <x:row r="81">
      <x:c r="A81" s="76" t="str">
        <x:f>IF(B81="","","COTE-"&amp;TEXT(ROW()-4,"0000"))</x:f>
      </x:c>
      <x:c r="B81" s="76"/>
      <x:c r="C81" s="76"/>
      <x:c r="D81" s="76"/>
      <x:c r="E81" s="77"/>
      <x:c r="F81" s="76"/>
      <x:c r="G81" s="76"/>
      <x:c r="H81" s="81"/>
      <x:c r="I81" s="76"/>
      <x:c r="J81" s="76"/>
      <x:c r="K81" s="76"/>
      <x:c r="L81" s="76"/>
      <x:c r="M81" s="76"/>
      <x:c r="N81" s="78" t="str">
        <x:f>IF(B81="","",TODAY())</x:f>
      </x:c>
      <x:c r="O81" s="76"/>
      <x:c r="P81" s="76" t="str">
        <x:f>IF(B81="","",IF(OR(C81="",D81="",E81="",F81="",I81="",J81="",K81="",M81&lt;&gt;"Validé humainement"),"ALERTE: données/preuves/statut",IF(OR(E81&lt;0,E81&gt;50,H81&lt;0),"ALERTE: valeur anormale","OK")))</x:f>
      </x:c>
      <x:c r="Q81" s="76" t="str">
        <x:f>IF(B81="","",IF(M81="Validé humainement","Oui","Non"))</x:f>
      </x:c>
    </x:row>
    <x:row r="82">
      <x:c r="A82" s="76" t="str">
        <x:f>IF(B82="","","COTE-"&amp;TEXT(ROW()-4,"0000"))</x:f>
      </x:c>
      <x:c r="B82" s="76"/>
      <x:c r="C82" s="76"/>
      <x:c r="D82" s="76"/>
      <x:c r="E82" s="77"/>
      <x:c r="F82" s="76"/>
      <x:c r="G82" s="76"/>
      <x:c r="H82" s="81"/>
      <x:c r="I82" s="76"/>
      <x:c r="J82" s="76"/>
      <x:c r="K82" s="76"/>
      <x:c r="L82" s="76"/>
      <x:c r="M82" s="76"/>
      <x:c r="N82" s="78" t="str">
        <x:f>IF(B82="","",TODAY())</x:f>
      </x:c>
      <x:c r="O82" s="76"/>
      <x:c r="P82" s="76" t="str">
        <x:f>IF(B82="","",IF(OR(C82="",D82="",E82="",F82="",I82="",J82="",K82="",M82&lt;&gt;"Validé humainement"),"ALERTE: données/preuves/statut",IF(OR(E82&lt;0,E82&gt;50,H82&lt;0),"ALERTE: valeur anormale","OK")))</x:f>
      </x:c>
      <x:c r="Q82" s="76" t="str">
        <x:f>IF(B82="","",IF(M82="Validé humainement","Oui","Non"))</x:f>
      </x:c>
    </x:row>
    <x:row r="83">
      <x:c r="A83" s="76" t="str">
        <x:f>IF(B83="","","COTE-"&amp;TEXT(ROW()-4,"0000"))</x:f>
      </x:c>
      <x:c r="B83" s="76"/>
      <x:c r="C83" s="76"/>
      <x:c r="D83" s="76"/>
      <x:c r="E83" s="77"/>
      <x:c r="F83" s="76"/>
      <x:c r="G83" s="76"/>
      <x:c r="H83" s="81"/>
      <x:c r="I83" s="76"/>
      <x:c r="J83" s="76"/>
      <x:c r="K83" s="76"/>
      <x:c r="L83" s="76"/>
      <x:c r="M83" s="76"/>
      <x:c r="N83" s="78" t="str">
        <x:f>IF(B83="","",TODAY())</x:f>
      </x:c>
      <x:c r="O83" s="76"/>
      <x:c r="P83" s="76" t="str">
        <x:f>IF(B83="","",IF(OR(C83="",D83="",E83="",F83="",I83="",J83="",K83="",M83&lt;&gt;"Validé humainement"),"ALERTE: données/preuves/statut",IF(OR(E83&lt;0,E83&gt;50,H83&lt;0),"ALERTE: valeur anormale","OK")))</x:f>
      </x:c>
      <x:c r="Q83" s="76" t="str">
        <x:f>IF(B83="","",IF(M83="Validé humainement","Oui","Non"))</x:f>
      </x:c>
    </x:row>
    <x:row r="84">
      <x:c r="A84" s="76" t="str">
        <x:f>IF(B84="","","COTE-"&amp;TEXT(ROW()-4,"0000"))</x:f>
      </x:c>
      <x:c r="B84" s="76"/>
      <x:c r="C84" s="76"/>
      <x:c r="D84" s="76"/>
      <x:c r="E84" s="77"/>
      <x:c r="F84" s="76"/>
      <x:c r="G84" s="76"/>
      <x:c r="H84" s="81"/>
      <x:c r="I84" s="76"/>
      <x:c r="J84" s="76"/>
      <x:c r="K84" s="76"/>
      <x:c r="L84" s="76"/>
      <x:c r="M84" s="76"/>
      <x:c r="N84" s="78" t="str">
        <x:f>IF(B84="","",TODAY())</x:f>
      </x:c>
      <x:c r="O84" s="76"/>
      <x:c r="P84" s="76" t="str">
        <x:f>IF(B84="","",IF(OR(C84="",D84="",E84="",F84="",I84="",J84="",K84="",M84&lt;&gt;"Validé humainement"),"ALERTE: données/preuves/statut",IF(OR(E84&lt;0,E84&gt;50,H84&lt;0),"ALERTE: valeur anormale","OK")))</x:f>
      </x:c>
      <x:c r="Q84" s="76" t="str">
        <x:f>IF(B84="","",IF(M84="Validé humainement","Oui","Non"))</x:f>
      </x:c>
    </x:row>
    <x:row r="85">
      <x:c r="A85" s="76" t="str">
        <x:f>IF(B85="","","COTE-"&amp;TEXT(ROW()-4,"0000"))</x:f>
      </x:c>
      <x:c r="B85" s="76"/>
      <x:c r="C85" s="76"/>
      <x:c r="D85" s="76"/>
      <x:c r="E85" s="77"/>
      <x:c r="F85" s="76"/>
      <x:c r="G85" s="76"/>
      <x:c r="H85" s="81"/>
      <x:c r="I85" s="76"/>
      <x:c r="J85" s="76"/>
      <x:c r="K85" s="76"/>
      <x:c r="L85" s="76"/>
      <x:c r="M85" s="76"/>
      <x:c r="N85" s="78" t="str">
        <x:f>IF(B85="","",TODAY())</x:f>
      </x:c>
      <x:c r="O85" s="76"/>
      <x:c r="P85" s="76" t="str">
        <x:f>IF(B85="","",IF(OR(C85="",D85="",E85="",F85="",I85="",J85="",K85="",M85&lt;&gt;"Validé humainement"),"ALERTE: données/preuves/statut",IF(OR(E85&lt;0,E85&gt;50,H85&lt;0),"ALERTE: valeur anormale","OK")))</x:f>
      </x:c>
      <x:c r="Q85" s="76" t="str">
        <x:f>IF(B85="","",IF(M85="Validé humainement","Oui","Non"))</x:f>
      </x:c>
    </x:row>
    <x:row r="86">
      <x:c r="A86" s="76" t="str">
        <x:f>IF(B86="","","COTE-"&amp;TEXT(ROW()-4,"0000"))</x:f>
      </x:c>
      <x:c r="B86" s="76"/>
      <x:c r="C86" s="76"/>
      <x:c r="D86" s="76"/>
      <x:c r="E86" s="77"/>
      <x:c r="F86" s="76"/>
      <x:c r="G86" s="76"/>
      <x:c r="H86" s="81"/>
      <x:c r="I86" s="76"/>
      <x:c r="J86" s="76"/>
      <x:c r="K86" s="76"/>
      <x:c r="L86" s="76"/>
      <x:c r="M86" s="76"/>
      <x:c r="N86" s="78" t="str">
        <x:f>IF(B86="","",TODAY())</x:f>
      </x:c>
      <x:c r="O86" s="76"/>
      <x:c r="P86" s="76" t="str">
        <x:f>IF(B86="","",IF(OR(C86="",D86="",E86="",F86="",I86="",J86="",K86="",M86&lt;&gt;"Validé humainement"),"ALERTE: données/preuves/statut",IF(OR(E86&lt;0,E86&gt;50,H86&lt;0),"ALERTE: valeur anormale","OK")))</x:f>
      </x:c>
      <x:c r="Q86" s="76" t="str">
        <x:f>IF(B86="","",IF(M86="Validé humainement","Oui","Non"))</x:f>
      </x:c>
    </x:row>
    <x:row r="87">
      <x:c r="A87" s="76" t="str">
        <x:f>IF(B87="","","COTE-"&amp;TEXT(ROW()-4,"0000"))</x:f>
      </x:c>
      <x:c r="B87" s="76"/>
      <x:c r="C87" s="76"/>
      <x:c r="D87" s="76"/>
      <x:c r="E87" s="77"/>
      <x:c r="F87" s="76"/>
      <x:c r="G87" s="76"/>
      <x:c r="H87" s="81"/>
      <x:c r="I87" s="76"/>
      <x:c r="J87" s="76"/>
      <x:c r="K87" s="76"/>
      <x:c r="L87" s="76"/>
      <x:c r="M87" s="76"/>
      <x:c r="N87" s="78" t="str">
        <x:f>IF(B87="","",TODAY())</x:f>
      </x:c>
      <x:c r="O87" s="76"/>
      <x:c r="P87" s="76" t="str">
        <x:f>IF(B87="","",IF(OR(C87="",D87="",E87="",F87="",I87="",J87="",K87="",M87&lt;&gt;"Validé humainement"),"ALERTE: données/preuves/statut",IF(OR(E87&lt;0,E87&gt;50,H87&lt;0),"ALERTE: valeur anormale","OK")))</x:f>
      </x:c>
      <x:c r="Q87" s="76" t="str">
        <x:f>IF(B87="","",IF(M87="Validé humainement","Oui","Non"))</x:f>
      </x:c>
    </x:row>
    <x:row r="88">
      <x:c r="A88" s="76" t="str">
        <x:f>IF(B88="","","COTE-"&amp;TEXT(ROW()-4,"0000"))</x:f>
      </x:c>
      <x:c r="B88" s="76"/>
      <x:c r="C88" s="76"/>
      <x:c r="D88" s="76"/>
      <x:c r="E88" s="77"/>
      <x:c r="F88" s="76"/>
      <x:c r="G88" s="76"/>
      <x:c r="H88" s="81"/>
      <x:c r="I88" s="76"/>
      <x:c r="J88" s="76"/>
      <x:c r="K88" s="76"/>
      <x:c r="L88" s="76"/>
      <x:c r="M88" s="76"/>
      <x:c r="N88" s="78" t="str">
        <x:f>IF(B88="","",TODAY())</x:f>
      </x:c>
      <x:c r="O88" s="76"/>
      <x:c r="P88" s="76" t="str">
        <x:f>IF(B88="","",IF(OR(C88="",D88="",E88="",F88="",I88="",J88="",K88="",M88&lt;&gt;"Validé humainement"),"ALERTE: données/preuves/statut",IF(OR(E88&lt;0,E88&gt;50,H88&lt;0),"ALERTE: valeur anormale","OK")))</x:f>
      </x:c>
      <x:c r="Q88" s="76" t="str">
        <x:f>IF(B88="","",IF(M88="Validé humainement","Oui","Non"))</x:f>
      </x:c>
    </x:row>
    <x:row r="89">
      <x:c r="A89" s="76" t="str">
        <x:f>IF(B89="","","COTE-"&amp;TEXT(ROW()-4,"0000"))</x:f>
      </x:c>
      <x:c r="B89" s="76"/>
      <x:c r="C89" s="76"/>
      <x:c r="D89" s="76"/>
      <x:c r="E89" s="77"/>
      <x:c r="F89" s="76"/>
      <x:c r="G89" s="76"/>
      <x:c r="H89" s="81"/>
      <x:c r="I89" s="76"/>
      <x:c r="J89" s="76"/>
      <x:c r="K89" s="76"/>
      <x:c r="L89" s="76"/>
      <x:c r="M89" s="76"/>
      <x:c r="N89" s="78" t="str">
        <x:f>IF(B89="","",TODAY())</x:f>
      </x:c>
      <x:c r="O89" s="76"/>
      <x:c r="P89" s="76" t="str">
        <x:f>IF(B89="","",IF(OR(C89="",D89="",E89="",F89="",I89="",J89="",K89="",M89&lt;&gt;"Validé humainement"),"ALERTE: données/preuves/statut",IF(OR(E89&lt;0,E89&gt;50,H89&lt;0),"ALERTE: valeur anormale","OK")))</x:f>
      </x:c>
      <x:c r="Q89" s="76" t="str">
        <x:f>IF(B89="","",IF(M89="Validé humainement","Oui","Non"))</x:f>
      </x:c>
    </x:row>
    <x:row r="90">
      <x:c r="A90" s="76" t="str">
        <x:f>IF(B90="","","COTE-"&amp;TEXT(ROW()-4,"0000"))</x:f>
      </x:c>
      <x:c r="B90" s="76"/>
      <x:c r="C90" s="76"/>
      <x:c r="D90" s="76"/>
      <x:c r="E90" s="77"/>
      <x:c r="F90" s="76"/>
      <x:c r="G90" s="76"/>
      <x:c r="H90" s="81"/>
      <x:c r="I90" s="76"/>
      <x:c r="J90" s="76"/>
      <x:c r="K90" s="76"/>
      <x:c r="L90" s="76"/>
      <x:c r="M90" s="76"/>
      <x:c r="N90" s="78" t="str">
        <x:f>IF(B90="","",TODAY())</x:f>
      </x:c>
      <x:c r="O90" s="76"/>
      <x:c r="P90" s="76" t="str">
        <x:f>IF(B90="","",IF(OR(C90="",D90="",E90="",F90="",I90="",J90="",K90="",M90&lt;&gt;"Validé humainement"),"ALERTE: données/preuves/statut",IF(OR(E90&lt;0,E90&gt;50,H90&lt;0),"ALERTE: valeur anormale","OK")))</x:f>
      </x:c>
      <x:c r="Q90" s="76" t="str">
        <x:f>IF(B90="","",IF(M90="Validé humainement","Oui","Non"))</x:f>
      </x:c>
    </x:row>
    <x:row r="91">
      <x:c r="A91" s="76" t="str">
        <x:f>IF(B91="","","COTE-"&amp;TEXT(ROW()-4,"0000"))</x:f>
      </x:c>
      <x:c r="B91" s="76"/>
      <x:c r="C91" s="76"/>
      <x:c r="D91" s="76"/>
      <x:c r="E91" s="77"/>
      <x:c r="F91" s="76"/>
      <x:c r="G91" s="76"/>
      <x:c r="H91" s="81"/>
      <x:c r="I91" s="76"/>
      <x:c r="J91" s="76"/>
      <x:c r="K91" s="76"/>
      <x:c r="L91" s="76"/>
      <x:c r="M91" s="76"/>
      <x:c r="N91" s="78" t="str">
        <x:f>IF(B91="","",TODAY())</x:f>
      </x:c>
      <x:c r="O91" s="76"/>
      <x:c r="P91" s="76" t="str">
        <x:f>IF(B91="","",IF(OR(C91="",D91="",E91="",F91="",I91="",J91="",K91="",M91&lt;&gt;"Validé humainement"),"ALERTE: données/preuves/statut",IF(OR(E91&lt;0,E91&gt;50,H91&lt;0),"ALERTE: valeur anormale","OK")))</x:f>
      </x:c>
      <x:c r="Q91" s="76" t="str">
        <x:f>IF(B91="","",IF(M91="Validé humainement","Oui","Non"))</x:f>
      </x:c>
    </x:row>
    <x:row r="92">
      <x:c r="A92" s="76" t="str">
        <x:f>IF(B92="","","COTE-"&amp;TEXT(ROW()-4,"0000"))</x:f>
      </x:c>
      <x:c r="B92" s="76"/>
      <x:c r="C92" s="76"/>
      <x:c r="D92" s="76"/>
      <x:c r="E92" s="77"/>
      <x:c r="F92" s="76"/>
      <x:c r="G92" s="76"/>
      <x:c r="H92" s="81"/>
      <x:c r="I92" s="76"/>
      <x:c r="J92" s="76"/>
      <x:c r="K92" s="76"/>
      <x:c r="L92" s="76"/>
      <x:c r="M92" s="76"/>
      <x:c r="N92" s="78" t="str">
        <x:f>IF(B92="","",TODAY())</x:f>
      </x:c>
      <x:c r="O92" s="76"/>
      <x:c r="P92" s="76" t="str">
        <x:f>IF(B92="","",IF(OR(C92="",D92="",E92="",F92="",I92="",J92="",K92="",M92&lt;&gt;"Validé humainement"),"ALERTE: données/preuves/statut",IF(OR(E92&lt;0,E92&gt;50,H92&lt;0),"ALERTE: valeur anormale","OK")))</x:f>
      </x:c>
      <x:c r="Q92" s="76" t="str">
        <x:f>IF(B92="","",IF(M92="Validé humainement","Oui","Non"))</x:f>
      </x:c>
    </x:row>
    <x:row r="93">
      <x:c r="A93" s="76" t="str">
        <x:f>IF(B93="","","COTE-"&amp;TEXT(ROW()-4,"0000"))</x:f>
      </x:c>
      <x:c r="B93" s="76"/>
      <x:c r="C93" s="76"/>
      <x:c r="D93" s="76"/>
      <x:c r="E93" s="77"/>
      <x:c r="F93" s="76"/>
      <x:c r="G93" s="76"/>
      <x:c r="H93" s="81"/>
      <x:c r="I93" s="76"/>
      <x:c r="J93" s="76"/>
      <x:c r="K93" s="76"/>
      <x:c r="L93" s="76"/>
      <x:c r="M93" s="76"/>
      <x:c r="N93" s="78" t="str">
        <x:f>IF(B93="","",TODAY())</x:f>
      </x:c>
      <x:c r="O93" s="76"/>
      <x:c r="P93" s="76" t="str">
        <x:f>IF(B93="","",IF(OR(C93="",D93="",E93="",F93="",I93="",J93="",K93="",M93&lt;&gt;"Validé humainement"),"ALERTE: données/preuves/statut",IF(OR(E93&lt;0,E93&gt;50,H93&lt;0),"ALERTE: valeur anormale","OK")))</x:f>
      </x:c>
      <x:c r="Q93" s="76" t="str">
        <x:f>IF(B93="","",IF(M93="Validé humainement","Oui","Non"))</x:f>
      </x:c>
    </x:row>
    <x:row r="94">
      <x:c r="A94" s="76" t="str">
        <x:f>IF(B94="","","COTE-"&amp;TEXT(ROW()-4,"0000"))</x:f>
      </x:c>
      <x:c r="B94" s="76"/>
      <x:c r="C94" s="76"/>
      <x:c r="D94" s="76"/>
      <x:c r="E94" s="77"/>
      <x:c r="F94" s="76"/>
      <x:c r="G94" s="76"/>
      <x:c r="H94" s="81"/>
      <x:c r="I94" s="76"/>
      <x:c r="J94" s="76"/>
      <x:c r="K94" s="76"/>
      <x:c r="L94" s="76"/>
      <x:c r="M94" s="76"/>
      <x:c r="N94" s="78" t="str">
        <x:f>IF(B94="","",TODAY())</x:f>
      </x:c>
      <x:c r="O94" s="76"/>
      <x:c r="P94" s="76" t="str">
        <x:f>IF(B94="","",IF(OR(C94="",D94="",E94="",F94="",I94="",J94="",K94="",M94&lt;&gt;"Validé humainement"),"ALERTE: données/preuves/statut",IF(OR(E94&lt;0,E94&gt;50,H94&lt;0),"ALERTE: valeur anormale","OK")))</x:f>
      </x:c>
      <x:c r="Q94" s="76" t="str">
        <x:f>IF(B94="","",IF(M94="Validé humainement","Oui","Non"))</x:f>
      </x:c>
    </x:row>
    <x:row r="95">
      <x:c r="A95" s="76" t="str">
        <x:f>IF(B95="","","COTE-"&amp;TEXT(ROW()-4,"0000"))</x:f>
      </x:c>
      <x:c r="B95" s="76"/>
      <x:c r="C95" s="76"/>
      <x:c r="D95" s="76"/>
      <x:c r="E95" s="77"/>
      <x:c r="F95" s="76"/>
      <x:c r="G95" s="76"/>
      <x:c r="H95" s="81"/>
      <x:c r="I95" s="76"/>
      <x:c r="J95" s="76"/>
      <x:c r="K95" s="76"/>
      <x:c r="L95" s="76"/>
      <x:c r="M95" s="76"/>
      <x:c r="N95" s="78" t="str">
        <x:f>IF(B95="","",TODAY())</x:f>
      </x:c>
      <x:c r="O95" s="76"/>
      <x:c r="P95" s="76" t="str">
        <x:f>IF(B95="","",IF(OR(C95="",D95="",E95="",F95="",I95="",J95="",K95="",M95&lt;&gt;"Validé humainement"),"ALERTE: données/preuves/statut",IF(OR(E95&lt;0,E95&gt;50,H95&lt;0),"ALERTE: valeur anormale","OK")))</x:f>
      </x:c>
      <x:c r="Q95" s="76" t="str">
        <x:f>IF(B95="","",IF(M95="Validé humainement","Oui","Non"))</x:f>
      </x:c>
    </x:row>
    <x:row r="96">
      <x:c r="A96" s="76" t="str">
        <x:f>IF(B96="","","COTE-"&amp;TEXT(ROW()-4,"0000"))</x:f>
      </x:c>
      <x:c r="B96" s="76"/>
      <x:c r="C96" s="76"/>
      <x:c r="D96" s="76"/>
      <x:c r="E96" s="77"/>
      <x:c r="F96" s="76"/>
      <x:c r="G96" s="76"/>
      <x:c r="H96" s="81"/>
      <x:c r="I96" s="76"/>
      <x:c r="J96" s="76"/>
      <x:c r="K96" s="76"/>
      <x:c r="L96" s="76"/>
      <x:c r="M96" s="76"/>
      <x:c r="N96" s="78" t="str">
        <x:f>IF(B96="","",TODAY())</x:f>
      </x:c>
      <x:c r="O96" s="76"/>
      <x:c r="P96" s="76" t="str">
        <x:f>IF(B96="","",IF(OR(C96="",D96="",E96="",F96="",I96="",J96="",K96="",M96&lt;&gt;"Validé humainement"),"ALERTE: données/preuves/statut",IF(OR(E96&lt;0,E96&gt;50,H96&lt;0),"ALERTE: valeur anormale","OK")))</x:f>
      </x:c>
      <x:c r="Q96" s="76" t="str">
        <x:f>IF(B96="","",IF(M96="Validé humainement","Oui","Non"))</x:f>
      </x:c>
    </x:row>
    <x:row r="97">
      <x:c r="A97" s="76" t="str">
        <x:f>IF(B97="","","COTE-"&amp;TEXT(ROW()-4,"0000"))</x:f>
      </x:c>
      <x:c r="B97" s="76"/>
      <x:c r="C97" s="76"/>
      <x:c r="D97" s="76"/>
      <x:c r="E97" s="77"/>
      <x:c r="F97" s="76"/>
      <x:c r="G97" s="76"/>
      <x:c r="H97" s="81"/>
      <x:c r="I97" s="76"/>
      <x:c r="J97" s="76"/>
      <x:c r="K97" s="76"/>
      <x:c r="L97" s="76"/>
      <x:c r="M97" s="76"/>
      <x:c r="N97" s="78" t="str">
        <x:f>IF(B97="","",TODAY())</x:f>
      </x:c>
      <x:c r="O97" s="76"/>
      <x:c r="P97" s="76" t="str">
        <x:f>IF(B97="","",IF(OR(C97="",D97="",E97="",F97="",I97="",J97="",K97="",M97&lt;&gt;"Validé humainement"),"ALERTE: données/preuves/statut",IF(OR(E97&lt;0,E97&gt;50,H97&lt;0),"ALERTE: valeur anormale","OK")))</x:f>
      </x:c>
      <x:c r="Q97" s="76" t="str">
        <x:f>IF(B97="","",IF(M97="Validé humainement","Oui","Non"))</x:f>
      </x:c>
    </x:row>
    <x:row r="98">
      <x:c r="A98" s="76" t="str">
        <x:f>IF(B98="","","COTE-"&amp;TEXT(ROW()-4,"0000"))</x:f>
      </x:c>
      <x:c r="B98" s="76"/>
      <x:c r="C98" s="76"/>
      <x:c r="D98" s="76"/>
      <x:c r="E98" s="77"/>
      <x:c r="F98" s="76"/>
      <x:c r="G98" s="76"/>
      <x:c r="H98" s="81"/>
      <x:c r="I98" s="76"/>
      <x:c r="J98" s="76"/>
      <x:c r="K98" s="76"/>
      <x:c r="L98" s="76"/>
      <x:c r="M98" s="76"/>
      <x:c r="N98" s="78" t="str">
        <x:f>IF(B98="","",TODAY())</x:f>
      </x:c>
      <x:c r="O98" s="76"/>
      <x:c r="P98" s="76" t="str">
        <x:f>IF(B98="","",IF(OR(C98="",D98="",E98="",F98="",I98="",J98="",K98="",M98&lt;&gt;"Validé humainement"),"ALERTE: données/preuves/statut",IF(OR(E98&lt;0,E98&gt;50,H98&lt;0),"ALERTE: valeur anormale","OK")))</x:f>
      </x:c>
      <x:c r="Q98" s="76" t="str">
        <x:f>IF(B98="","",IF(M98="Validé humainement","Oui","Non"))</x:f>
      </x:c>
    </x:row>
    <x:row r="99">
      <x:c r="A99" s="76" t="str">
        <x:f>IF(B99="","","COTE-"&amp;TEXT(ROW()-4,"0000"))</x:f>
      </x:c>
      <x:c r="B99" s="76"/>
      <x:c r="C99" s="76"/>
      <x:c r="D99" s="76"/>
      <x:c r="E99" s="77"/>
      <x:c r="F99" s="76"/>
      <x:c r="G99" s="76"/>
      <x:c r="H99" s="81"/>
      <x:c r="I99" s="76"/>
      <x:c r="J99" s="76"/>
      <x:c r="K99" s="76"/>
      <x:c r="L99" s="76"/>
      <x:c r="M99" s="76"/>
      <x:c r="N99" s="78" t="str">
        <x:f>IF(B99="","",TODAY())</x:f>
      </x:c>
      <x:c r="O99" s="76"/>
      <x:c r="P99" s="76" t="str">
        <x:f>IF(B99="","",IF(OR(C99="",D99="",E99="",F99="",I99="",J99="",K99="",M99&lt;&gt;"Validé humainement"),"ALERTE: données/preuves/statut",IF(OR(E99&lt;0,E99&gt;50,H99&lt;0),"ALERTE: valeur anormale","OK")))</x:f>
      </x:c>
      <x:c r="Q99" s="76" t="str">
        <x:f>IF(B99="","",IF(M99="Validé humainement","Oui","Non"))</x:f>
      </x:c>
    </x:row>
    <x:row r="100">
      <x:c r="A100" s="76" t="str">
        <x:f>IF(B100="","","COTE-"&amp;TEXT(ROW()-4,"0000"))</x:f>
      </x:c>
      <x:c r="B100" s="76"/>
      <x:c r="C100" s="76"/>
      <x:c r="D100" s="76"/>
      <x:c r="E100" s="77"/>
      <x:c r="F100" s="76"/>
      <x:c r="G100" s="76"/>
      <x:c r="H100" s="81"/>
      <x:c r="I100" s="76"/>
      <x:c r="J100" s="76"/>
      <x:c r="K100" s="76"/>
      <x:c r="L100" s="76"/>
      <x:c r="M100" s="76"/>
      <x:c r="N100" s="78" t="str">
        <x:f>IF(B100="","",TODAY())</x:f>
      </x:c>
      <x:c r="O100" s="76"/>
      <x:c r="P100" s="76" t="str">
        <x:f>IF(B100="","",IF(OR(C100="",D100="",E100="",F100="",I100="",J100="",K100="",M100&lt;&gt;"Validé humainement"),"ALERTE: données/preuves/statut",IF(OR(E100&lt;0,E100&gt;50,H100&lt;0),"ALERTE: valeur anormale","OK")))</x:f>
      </x:c>
      <x:c r="Q100" s="76" t="str">
        <x:f>IF(B100="","",IF(M100="Validé humainement","Oui","Non"))</x:f>
      </x:c>
    </x:row>
    <x:row r="101">
      <x:c r="A101" s="76" t="str">
        <x:f>IF(B101="","","COTE-"&amp;TEXT(ROW()-4,"0000"))</x:f>
      </x:c>
      <x:c r="B101" s="76"/>
      <x:c r="C101" s="76"/>
      <x:c r="D101" s="76"/>
      <x:c r="E101" s="77"/>
      <x:c r="F101" s="76"/>
      <x:c r="G101" s="76"/>
      <x:c r="H101" s="81"/>
      <x:c r="I101" s="76"/>
      <x:c r="J101" s="76"/>
      <x:c r="K101" s="76"/>
      <x:c r="L101" s="76"/>
      <x:c r="M101" s="76"/>
      <x:c r="N101" s="78" t="str">
        <x:f>IF(B101="","",TODAY())</x:f>
      </x:c>
      <x:c r="O101" s="76"/>
      <x:c r="P101" s="76" t="str">
        <x:f>IF(B101="","",IF(OR(C101="",D101="",E101="",F101="",I101="",J101="",K101="",M101&lt;&gt;"Validé humainement"),"ALERTE: données/preuves/statut",IF(OR(E101&lt;0,E101&gt;50,H101&lt;0),"ALERTE: valeur anormale","OK")))</x:f>
      </x:c>
      <x:c r="Q101" s="76" t="str">
        <x:f>IF(B101="","",IF(M101="Validé humainement","Oui","Non"))</x:f>
      </x:c>
    </x:row>
    <x:row r="102">
      <x:c r="A102" s="76" t="str">
        <x:f>IF(B102="","","COTE-"&amp;TEXT(ROW()-4,"0000"))</x:f>
      </x:c>
      <x:c r="B102" s="76"/>
      <x:c r="C102" s="76"/>
      <x:c r="D102" s="76"/>
      <x:c r="E102" s="77"/>
      <x:c r="F102" s="76"/>
      <x:c r="G102" s="76"/>
      <x:c r="H102" s="81"/>
      <x:c r="I102" s="76"/>
      <x:c r="J102" s="76"/>
      <x:c r="K102" s="76"/>
      <x:c r="L102" s="76"/>
      <x:c r="M102" s="76"/>
      <x:c r="N102" s="78" t="str">
        <x:f>IF(B102="","",TODAY())</x:f>
      </x:c>
      <x:c r="O102" s="76"/>
      <x:c r="P102" s="76" t="str">
        <x:f>IF(B102="","",IF(OR(C102="",D102="",E102="",F102="",I102="",J102="",K102="",M102&lt;&gt;"Validé humainement"),"ALERTE: données/preuves/statut",IF(OR(E102&lt;0,E102&gt;50,H102&lt;0),"ALERTE: valeur anormale","OK")))</x:f>
      </x:c>
      <x:c r="Q102" s="76" t="str">
        <x:f>IF(B102="","",IF(M102="Validé humainement","Oui","Non"))</x:f>
      </x:c>
    </x:row>
    <x:row r="103">
      <x:c r="A103" s="76" t="str">
        <x:f>IF(B103="","","COTE-"&amp;TEXT(ROW()-4,"0000"))</x:f>
      </x:c>
      <x:c r="B103" s="76"/>
      <x:c r="C103" s="76"/>
      <x:c r="D103" s="76"/>
      <x:c r="E103" s="77"/>
      <x:c r="F103" s="76"/>
      <x:c r="G103" s="76"/>
      <x:c r="H103" s="81"/>
      <x:c r="I103" s="76"/>
      <x:c r="J103" s="76"/>
      <x:c r="K103" s="76"/>
      <x:c r="L103" s="76"/>
      <x:c r="M103" s="76"/>
      <x:c r="N103" s="78" t="str">
        <x:f>IF(B103="","",TODAY())</x:f>
      </x:c>
      <x:c r="O103" s="76"/>
      <x:c r="P103" s="76" t="str">
        <x:f>IF(B103="","",IF(OR(C103="",D103="",E103="",F103="",I103="",J103="",K103="",M103&lt;&gt;"Validé humainement"),"ALERTE: données/preuves/statut",IF(OR(E103&lt;0,E103&gt;50,H103&lt;0),"ALERTE: valeur anormale","OK")))</x:f>
      </x:c>
      <x:c r="Q103" s="76" t="str">
        <x:f>IF(B103="","",IF(M103="Validé humainement","Oui","Non"))</x:f>
      </x:c>
    </x:row>
    <x:row r="104">
      <x:c r="A104" s="76" t="str">
        <x:f>IF(B104="","","COTE-"&amp;TEXT(ROW()-4,"0000"))</x:f>
      </x:c>
      <x:c r="B104" s="76"/>
      <x:c r="C104" s="76"/>
      <x:c r="D104" s="76"/>
      <x:c r="E104" s="77"/>
      <x:c r="F104" s="76"/>
      <x:c r="G104" s="76"/>
      <x:c r="H104" s="81"/>
      <x:c r="I104" s="76"/>
      <x:c r="J104" s="76"/>
      <x:c r="K104" s="76"/>
      <x:c r="L104" s="76"/>
      <x:c r="M104" s="76"/>
      <x:c r="N104" s="78" t="str">
        <x:f>IF(B104="","",TODAY())</x:f>
      </x:c>
      <x:c r="O104" s="76"/>
      <x:c r="P104" s="76" t="str">
        <x:f>IF(B104="","",IF(OR(C104="",D104="",E104="",F104="",I104="",J104="",K104="",M104&lt;&gt;"Validé humainement"),"ALERTE: données/preuves/statut",IF(OR(E104&lt;0,E104&gt;50,H104&lt;0),"ALERTE: valeur anormale","OK")))</x:f>
      </x:c>
      <x:c r="Q104" s="76" t="str">
        <x:f>IF(B104="","",IF(M104="Validé humainement","Oui","Non"))</x:f>
      </x:c>
    </x:row>
  </x:sheetData>
  <x:mergeCells>
    <x:mergeCell ref="A1:Q1"/>
    <x:mergeCell ref="A2:Q2"/>
  </x:mergeCells>
  <x:conditionalFormatting sqref="P5:P104">
    <x:cfRule type="containsText" dxfId="232" priority="1" operator="containsText" text="ALERTE"/>
    <x:cfRule type="containsText" dxfId="233" priority="2" operator="containsText" text="OK"/>
    <x:cfRule type="containsText" dxfId="234" priority="3" operator="containsText" text="Validé"/>
    <x:cfRule type="containsText" dxfId="235" priority="4" operator="containsText" text="À vérifier"/>
    <x:cfRule type="containsText" dxfId="236" priority="5" operator="containsText" text="Rejeté"/>
  </x:conditionalFormatting>
  <x:conditionalFormatting sqref="M5:M104">
    <x:cfRule type="containsText" dxfId="237" priority="6" operator="containsText" text="ALERTE"/>
    <x:cfRule type="containsText" dxfId="238" priority="7" operator="containsText" text="OK"/>
    <x:cfRule type="containsText" dxfId="239" priority="8" operator="containsText" text="Validé"/>
    <x:cfRule type="containsText" dxfId="240" priority="9" operator="containsText" text="À vérifier"/>
    <x:cfRule type="containsText" dxfId="241" priority="10" operator="containsText" text="Rejeté"/>
  </x:conditionalFormatting>
  <x:dataValidations count="6">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D5:D104">
      <x:formula1>"Dakar-Plateau,Médina,Gueule Tapée-Fass-Colobane,Fann-Point E-Amitié,Grand Dakar,Biscuiterie,HLM,Hann Bel-Air,Sicap-Liberté,Dieuppeul-Derklé,Mermoz-Sacré-Coeur,Ouakam,Ngor,Yoff,Cambérène,Parcelles Assainies,Patte d'Oie,Grand-Yoff,Ville de Dakar"</x:formula1>
    </x:dataValidation>
    <x:dataValidation type="list" errorStyle="warning" showInputMessage="1" showErrorMessage="1" errorTitle="Valeur inattendue" error="Veuillez choisir une valeur de la liste." promptTitle="Liste contrôlée" prompt="Choisir une valeur autorisée." sqref="M5:M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"tCO2e,kgCO2e,kWh,MWh,tonnes,kg,mm,°C,µg/m3,km,m,FCFA,%,nombre"</x:formula1>
    </x:dataValidation>
    <x:dataValidation type="list" errorStyle="warning" showInputMessage="1" showErrorMessage="1" errorTitle="Valeur inattendue" error="Veuillez choisir une valeur de la liste." promptTitle="Liste contrôlée" prompt="Choisir une valeur autorisée." sqref="I5:I104">
      <x:formula1>"Faible,Moyen,Élevé,Critique"</x:formula1>
    </x:dataValidation>
  </x:dataValidations>
  <x:pageMargins left="0.7" right="0.7" top="0.75" bottom="0.75" header="0.3" footer="0.3"/>
  <x:tableParts count="1">
    <x:tablePart xmlns:r="http://schemas.openxmlformats.org/officeDocument/2006/relationships" r:id="R9ec5905ef7cf4887"/>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13.75" hidden="0" customWidth="1"/>
    <x:col min="2" max="2" width="26.25" hidden="0" customWidth="1"/>
    <x:col min="3" max="3" width="18.75" hidden="0" customWidth="1"/>
    <x:col min="4" max="4" width="20" hidden="0" customWidth="1"/>
    <x:col min="5" max="5" width="16.8799991607666" hidden="0" customWidth="1"/>
    <x:col min="6" max="6" width="21.25" hidden="0" customWidth="1"/>
    <x:col min="7" max="7" width="13.75" hidden="0" customWidth="1"/>
    <x:col min="8" max="8" width="13.75" hidden="0" customWidth="1"/>
    <x:col min="9" max="9" width="18.75" hidden="0" customWidth="1"/>
    <x:col min="10" max="10" width="20.6299991607666" hidden="0" customWidth="1"/>
    <x:col min="11" max="11" width="20" hidden="0" customWidth="1"/>
    <x:col min="12" max="12" width="14.380000114440918" hidden="0" customWidth="1"/>
    <x:col min="13" max="13" width="20" hidden="0" customWidth="1"/>
    <x:col min="14" max="14" width="26.25" hidden="0" customWidth="1"/>
    <x:col min="15" max="15" width="26.25" hidden="0" customWidth="1"/>
    <x:col min="16" max="16" width="20" hidden="0" customWidth="1"/>
    <x:col min="17" max="17" width="31.25" hidden="0" customWidth="1"/>
    <x:col min="18" max="18" width="15" hidden="0" customWidth="1"/>
    <x:col min="19" max="19" width="19.3799991607666" hidden="0" customWidth="1"/>
    <x:col min="20" max="20" width="23.75" hidden="0" customWidth="1"/>
    <x:col min="21" max="21" width="15" hidden="0" customWidth="1"/>
  </x:cols>
  <x:sheetData>
    <x:row r="1" ht="25.5" customHeight="1">
      <x:c r="A1" s="68" t="str">
        <x:v>Formulaire projets climat</x:v>
      </x:c>
      <x:c r="B1" s="68"/>
      <x:c r="C1" s="68"/>
      <x:c r="D1" s="68"/>
      <x:c r="E1" s="68"/>
      <x:c r="F1" s="68"/>
      <x:c r="G1" s="68"/>
      <x:c r="H1" s="68"/>
      <x:c r="I1" s="68"/>
      <x:c r="J1" s="68"/>
      <x:c r="K1" s="68"/>
      <x:c r="L1" s="68"/>
      <x:c r="M1" s="68"/>
      <x:c r="N1" s="68"/>
      <x:c r="O1" s="68"/>
      <x:c r="P1" s="68"/>
      <x:c r="Q1" s="68"/>
      <x:c r="R1" s="68"/>
      <x:c r="S1" s="68"/>
      <x:c r="T1" s="68"/>
      <x:c r="U1" s="68"/>
    </x:row>
    <x:row r="2" ht="33" customHeight="1">
      <x:c r="A2" s="71" t="str">
        <x:v>Saisie des projets climat, maturité, budget, financement et avancement.</x:v>
      </x:c>
      <x:c r="B2" s="71"/>
      <x:c r="C2" s="71"/>
      <x:c r="D2" s="71"/>
      <x:c r="E2" s="71"/>
      <x:c r="F2" s="71"/>
      <x:c r="G2" s="71"/>
      <x:c r="H2" s="71"/>
      <x:c r="I2" s="71"/>
      <x:c r="J2" s="71"/>
      <x:c r="K2" s="71"/>
      <x:c r="L2" s="71"/>
      <x:c r="M2" s="71"/>
      <x:c r="N2" s="71"/>
      <x:c r="O2" s="71"/>
      <x:c r="P2" s="71"/>
      <x:c r="Q2" s="71"/>
      <x:c r="R2" s="71"/>
      <x:c r="S2" s="71"/>
      <x:c r="T2" s="71"/>
      <x:c r="U2" s="71"/>
    </x:row>
    <x:row r="4">
      <x:c r="A4" s="74" t="str">
        <x:v>Projet_ID</x:v>
      </x:c>
      <x:c r="B4" s="74" t="str">
        <x:v>Nom projet</x:v>
      </x:c>
      <x:c r="C4" s="74" t="str">
        <x:v>Domaine</x:v>
      </x:c>
      <x:c r="D4" s="74" t="str">
        <x:v>Type action</x:v>
      </x:c>
      <x:c r="E4" s="74" t="str">
        <x:v>Statut projet</x:v>
      </x:c>
      <x:c r="F4" s="74" t="str">
        <x:v>Niveau de maturité</x:v>
      </x:c>
      <x:c r="G4" s="74" t="str">
        <x:v>Date début</x:v>
      </x:c>
      <x:c r="H4" s="74" t="str">
        <x:v>Date fin</x:v>
      </x:c>
      <x:c r="I4" s="74" t="str">
        <x:v>Budget total FCFA</x:v>
      </x:c>
      <x:c r="J4" s="74" t="str">
        <x:v>Financement acquis FCFA</x:v>
      </x:c>
      <x:c r="K4" s="74" t="str">
        <x:v>Gap financement FCFA</x:v>
      </x:c>
      <x:c r="L4" s="74" t="str">
        <x:v>Avancement %</x:v>
      </x:c>
      <x:c r="M4" s="74" t="str">
        <x:v>Responsable projet</x:v>
      </x:c>
      <x:c r="N4" s="74" t="str">
        <x:v>Partenaires</x:v>
      </x:c>
      <x:c r="O4" s="74" t="str">
        <x:v>Document source</x:v>
      </x:c>
      <x:c r="P4" s="74" t="str">
        <x:v>Statut validation</x:v>
      </x:c>
      <x:c r="Q4" s="74" t="str">
        <x:v>Observations</x:v>
      </x:c>
      <x:c r="R4" s="74" t="str">
        <x:v>Date de saisie</x:v>
      </x:c>
      <x:c r="S4" s="74" t="str">
        <x:v>Responsable saisie</x:v>
      </x:c>
      <x:c r="T4" s="74" t="str">
        <x:v>Alerte_QC</x:v>
      </x:c>
      <x:c r="U4" s="74" t="str">
        <x:v>Alimente_Rapports</x:v>
      </x:c>
    </x:row>
    <x:row r="5">
      <x:c r="A5" s="76" t="str">
        <x:f>IF(B5="","","PRJ-"&amp;TEXT(ROW()-4,"0000"))</x:f>
      </x:c>
      <x:c r="B5" s="76"/>
      <x:c r="C5" s="76"/>
      <x:c r="D5" s="76"/>
      <x:c r="E5" s="76"/>
      <x:c r="F5" s="76"/>
      <x:c r="G5" s="78"/>
      <x:c r="H5" s="78"/>
      <x:c r="I5" s="81"/>
      <x:c r="J5" s="81"/>
      <x:c r="K5" s="81" t="str">
        <x:f>IF(I5="","",MAX(0,I5-J5))</x:f>
      </x:c>
      <x:c r="L5" s="84"/>
      <x:c r="M5" s="76"/>
      <x:c r="N5" s="76"/>
      <x:c r="O5" s="76"/>
      <x:c r="P5" s="76"/>
      <x:c r="Q5" s="76"/>
      <x:c r="R5" s="78" t="str">
        <x:f>IF(B5="","",TODAY())</x:f>
      </x:c>
      <x:c r="S5" s="76"/>
      <x:c r="T5" s="76" t="str">
        <x:f>IF(B5="","",IF(OR(C5="",E5="",F5="",I5="",M5="",O5="",P5&lt;&gt;"Validé humainement"),"ALERTE: données/preuves/statut",IF(OR(I5&lt;0,J5&lt;0,L5&lt;0,L5&gt;1),"ALERTE: valeur anormale","OK")))</x:f>
      </x:c>
      <x:c r="U5" s="76" t="str">
        <x:f>IF(B5="","",IF(P5="Validé humainement","Oui","Non"))</x:f>
      </x:c>
    </x:row>
    <x:row r="6">
      <x:c r="A6" s="76" t="str">
        <x:f>IF(B6="","","PRJ-"&amp;TEXT(ROW()-4,"0000"))</x:f>
      </x:c>
      <x:c r="B6" s="76"/>
      <x:c r="C6" s="76"/>
      <x:c r="D6" s="76"/>
      <x:c r="E6" s="76"/>
      <x:c r="F6" s="76"/>
      <x:c r="G6" s="78"/>
      <x:c r="H6" s="78"/>
      <x:c r="I6" s="81"/>
      <x:c r="J6" s="81"/>
      <x:c r="K6" s="81" t="str">
        <x:f>IF(I6="","",MAX(0,I6-J6))</x:f>
      </x:c>
      <x:c r="L6" s="84"/>
      <x:c r="M6" s="76"/>
      <x:c r="N6" s="76"/>
      <x:c r="O6" s="76"/>
      <x:c r="P6" s="76"/>
      <x:c r="Q6" s="76"/>
      <x:c r="R6" s="78" t="str">
        <x:f>IF(B6="","",TODAY())</x:f>
      </x:c>
      <x:c r="S6" s="76"/>
      <x:c r="T6" s="76" t="str">
        <x:f>IF(B6="","",IF(OR(C6="",E6="",F6="",I6="",M6="",O6="",P6&lt;&gt;"Validé humainement"),"ALERTE: données/preuves/statut",IF(OR(I6&lt;0,J6&lt;0,L6&lt;0,L6&gt;1),"ALERTE: valeur anormale","OK")))</x:f>
      </x:c>
      <x:c r="U6" s="76" t="str">
        <x:f>IF(B6="","",IF(P6="Validé humainement","Oui","Non"))</x:f>
      </x:c>
    </x:row>
    <x:row r="7">
      <x:c r="A7" s="76" t="str">
        <x:f>IF(B7="","","PRJ-"&amp;TEXT(ROW()-4,"0000"))</x:f>
      </x:c>
      <x:c r="B7" s="76"/>
      <x:c r="C7" s="76"/>
      <x:c r="D7" s="76"/>
      <x:c r="E7" s="76"/>
      <x:c r="F7" s="76"/>
      <x:c r="G7" s="78"/>
      <x:c r="H7" s="78"/>
      <x:c r="I7" s="81"/>
      <x:c r="J7" s="81"/>
      <x:c r="K7" s="81" t="str">
        <x:f>IF(I7="","",MAX(0,I7-J7))</x:f>
      </x:c>
      <x:c r="L7" s="84"/>
      <x:c r="M7" s="76"/>
      <x:c r="N7" s="76"/>
      <x:c r="O7" s="76"/>
      <x:c r="P7" s="76"/>
      <x:c r="Q7" s="76"/>
      <x:c r="R7" s="78" t="str">
        <x:f>IF(B7="","",TODAY())</x:f>
      </x:c>
      <x:c r="S7" s="76"/>
      <x:c r="T7" s="76" t="str">
        <x:f>IF(B7="","",IF(OR(C7="",E7="",F7="",I7="",M7="",O7="",P7&lt;&gt;"Validé humainement"),"ALERTE: données/preuves/statut",IF(OR(I7&lt;0,J7&lt;0,L7&lt;0,L7&gt;1),"ALERTE: valeur anormale","OK")))</x:f>
      </x:c>
      <x:c r="U7" s="76" t="str">
        <x:f>IF(B7="","",IF(P7="Validé humainement","Oui","Non"))</x:f>
      </x:c>
    </x:row>
    <x:row r="8">
      <x:c r="A8" s="76" t="str">
        <x:f>IF(B8="","","PRJ-"&amp;TEXT(ROW()-4,"0000"))</x:f>
      </x:c>
      <x:c r="B8" s="76"/>
      <x:c r="C8" s="76"/>
      <x:c r="D8" s="76"/>
      <x:c r="E8" s="76"/>
      <x:c r="F8" s="76"/>
      <x:c r="G8" s="78"/>
      <x:c r="H8" s="78"/>
      <x:c r="I8" s="81"/>
      <x:c r="J8" s="81"/>
      <x:c r="K8" s="81" t="str">
        <x:f>IF(I8="","",MAX(0,I8-J8))</x:f>
      </x:c>
      <x:c r="L8" s="84"/>
      <x:c r="M8" s="76"/>
      <x:c r="N8" s="76"/>
      <x:c r="O8" s="76"/>
      <x:c r="P8" s="76"/>
      <x:c r="Q8" s="76"/>
      <x:c r="R8" s="78" t="str">
        <x:f>IF(B8="","",TODAY())</x:f>
      </x:c>
      <x:c r="S8" s="76"/>
      <x:c r="T8" s="76" t="str">
        <x:f>IF(B8="","",IF(OR(C8="",E8="",F8="",I8="",M8="",O8="",P8&lt;&gt;"Validé humainement"),"ALERTE: données/preuves/statut",IF(OR(I8&lt;0,J8&lt;0,L8&lt;0,L8&gt;1),"ALERTE: valeur anormale","OK")))</x:f>
      </x:c>
      <x:c r="U8" s="76" t="str">
        <x:f>IF(B8="","",IF(P8="Validé humainement","Oui","Non"))</x:f>
      </x:c>
    </x:row>
    <x:row r="9">
      <x:c r="A9" s="76" t="str">
        <x:f>IF(B9="","","PRJ-"&amp;TEXT(ROW()-4,"0000"))</x:f>
      </x:c>
      <x:c r="B9" s="76"/>
      <x:c r="C9" s="76"/>
      <x:c r="D9" s="76"/>
      <x:c r="E9" s="76"/>
      <x:c r="F9" s="76"/>
      <x:c r="G9" s="78"/>
      <x:c r="H9" s="78"/>
      <x:c r="I9" s="81"/>
      <x:c r="J9" s="81"/>
      <x:c r="K9" s="81" t="str">
        <x:f>IF(I9="","",MAX(0,I9-J9))</x:f>
      </x:c>
      <x:c r="L9" s="84"/>
      <x:c r="M9" s="76"/>
      <x:c r="N9" s="76"/>
      <x:c r="O9" s="76"/>
      <x:c r="P9" s="76"/>
      <x:c r="Q9" s="76"/>
      <x:c r="R9" s="78" t="str">
        <x:f>IF(B9="","",TODAY())</x:f>
      </x:c>
      <x:c r="S9" s="76"/>
      <x:c r="T9" s="76" t="str">
        <x:f>IF(B9="","",IF(OR(C9="",E9="",F9="",I9="",M9="",O9="",P9&lt;&gt;"Validé humainement"),"ALERTE: données/preuves/statut",IF(OR(I9&lt;0,J9&lt;0,L9&lt;0,L9&gt;1),"ALERTE: valeur anormale","OK")))</x:f>
      </x:c>
      <x:c r="U9" s="76" t="str">
        <x:f>IF(B9="","",IF(P9="Validé humainement","Oui","Non"))</x:f>
      </x:c>
    </x:row>
    <x:row r="10">
      <x:c r="A10" s="76" t="str">
        <x:f>IF(B10="","","PRJ-"&amp;TEXT(ROW()-4,"0000"))</x:f>
      </x:c>
      <x:c r="B10" s="76"/>
      <x:c r="C10" s="76"/>
      <x:c r="D10" s="76"/>
      <x:c r="E10" s="76"/>
      <x:c r="F10" s="76"/>
      <x:c r="G10" s="78"/>
      <x:c r="H10" s="78"/>
      <x:c r="I10" s="81"/>
      <x:c r="J10" s="81"/>
      <x:c r="K10" s="81" t="str">
        <x:f>IF(I10="","",MAX(0,I10-J10))</x:f>
      </x:c>
      <x:c r="L10" s="84"/>
      <x:c r="M10" s="76"/>
      <x:c r="N10" s="76"/>
      <x:c r="O10" s="76"/>
      <x:c r="P10" s="76"/>
      <x:c r="Q10" s="76"/>
      <x:c r="R10" s="78" t="str">
        <x:f>IF(B10="","",TODAY())</x:f>
      </x:c>
      <x:c r="S10" s="76"/>
      <x:c r="T10" s="76" t="str">
        <x:f>IF(B10="","",IF(OR(C10="",E10="",F10="",I10="",M10="",O10="",P10&lt;&gt;"Validé humainement"),"ALERTE: données/preuves/statut",IF(OR(I10&lt;0,J10&lt;0,L10&lt;0,L10&gt;1),"ALERTE: valeur anormale","OK")))</x:f>
      </x:c>
      <x:c r="U10" s="76" t="str">
        <x:f>IF(B10="","",IF(P10="Validé humainement","Oui","Non"))</x:f>
      </x:c>
    </x:row>
    <x:row r="11">
      <x:c r="A11" s="76" t="str">
        <x:f>IF(B11="","","PRJ-"&amp;TEXT(ROW()-4,"0000"))</x:f>
      </x:c>
      <x:c r="B11" s="76"/>
      <x:c r="C11" s="76"/>
      <x:c r="D11" s="76"/>
      <x:c r="E11" s="76"/>
      <x:c r="F11" s="76"/>
      <x:c r="G11" s="78"/>
      <x:c r="H11" s="78"/>
      <x:c r="I11" s="81"/>
      <x:c r="J11" s="81"/>
      <x:c r="K11" s="81" t="str">
        <x:f>IF(I11="","",MAX(0,I11-J11))</x:f>
      </x:c>
      <x:c r="L11" s="84"/>
      <x:c r="M11" s="76"/>
      <x:c r="N11" s="76"/>
      <x:c r="O11" s="76"/>
      <x:c r="P11" s="76"/>
      <x:c r="Q11" s="76"/>
      <x:c r="R11" s="78" t="str">
        <x:f>IF(B11="","",TODAY())</x:f>
      </x:c>
      <x:c r="S11" s="76"/>
      <x:c r="T11" s="76" t="str">
        <x:f>IF(B11="","",IF(OR(C11="",E11="",F11="",I11="",M11="",O11="",P11&lt;&gt;"Validé humainement"),"ALERTE: données/preuves/statut",IF(OR(I11&lt;0,J11&lt;0,L11&lt;0,L11&gt;1),"ALERTE: valeur anormale","OK")))</x:f>
      </x:c>
      <x:c r="U11" s="76" t="str">
        <x:f>IF(B11="","",IF(P11="Validé humainement","Oui","Non"))</x:f>
      </x:c>
    </x:row>
    <x:row r="12">
      <x:c r="A12" s="76" t="str">
        <x:f>IF(B12="","","PRJ-"&amp;TEXT(ROW()-4,"0000"))</x:f>
      </x:c>
      <x:c r="B12" s="76"/>
      <x:c r="C12" s="76"/>
      <x:c r="D12" s="76"/>
      <x:c r="E12" s="76"/>
      <x:c r="F12" s="76"/>
      <x:c r="G12" s="78"/>
      <x:c r="H12" s="78"/>
      <x:c r="I12" s="81"/>
      <x:c r="J12" s="81"/>
      <x:c r="K12" s="81" t="str">
        <x:f>IF(I12="","",MAX(0,I12-J12))</x:f>
      </x:c>
      <x:c r="L12" s="84"/>
      <x:c r="M12" s="76"/>
      <x:c r="N12" s="76"/>
      <x:c r="O12" s="76"/>
      <x:c r="P12" s="76"/>
      <x:c r="Q12" s="76"/>
      <x:c r="R12" s="78" t="str">
        <x:f>IF(B12="","",TODAY())</x:f>
      </x:c>
      <x:c r="S12" s="76"/>
      <x:c r="T12" s="76" t="str">
        <x:f>IF(B12="","",IF(OR(C12="",E12="",F12="",I12="",M12="",O12="",P12&lt;&gt;"Validé humainement"),"ALERTE: données/preuves/statut",IF(OR(I12&lt;0,J12&lt;0,L12&lt;0,L12&gt;1),"ALERTE: valeur anormale","OK")))</x:f>
      </x:c>
      <x:c r="U12" s="76" t="str">
        <x:f>IF(B12="","",IF(P12="Validé humainement","Oui","Non"))</x:f>
      </x:c>
    </x:row>
    <x:row r="13">
      <x:c r="A13" s="76" t="str">
        <x:f>IF(B13="","","PRJ-"&amp;TEXT(ROW()-4,"0000"))</x:f>
      </x:c>
      <x:c r="B13" s="76"/>
      <x:c r="C13" s="76"/>
      <x:c r="D13" s="76"/>
      <x:c r="E13" s="76"/>
      <x:c r="F13" s="76"/>
      <x:c r="G13" s="78"/>
      <x:c r="H13" s="78"/>
      <x:c r="I13" s="81"/>
      <x:c r="J13" s="81"/>
      <x:c r="K13" s="81" t="str">
        <x:f>IF(I13="","",MAX(0,I13-J13))</x:f>
      </x:c>
      <x:c r="L13" s="84"/>
      <x:c r="M13" s="76"/>
      <x:c r="N13" s="76"/>
      <x:c r="O13" s="76"/>
      <x:c r="P13" s="76"/>
      <x:c r="Q13" s="76"/>
      <x:c r="R13" s="78" t="str">
        <x:f>IF(B13="","",TODAY())</x:f>
      </x:c>
      <x:c r="S13" s="76"/>
      <x:c r="T13" s="76" t="str">
        <x:f>IF(B13="","",IF(OR(C13="",E13="",F13="",I13="",M13="",O13="",P13&lt;&gt;"Validé humainement"),"ALERTE: données/preuves/statut",IF(OR(I13&lt;0,J13&lt;0,L13&lt;0,L13&gt;1),"ALERTE: valeur anormale","OK")))</x:f>
      </x:c>
      <x:c r="U13" s="76" t="str">
        <x:f>IF(B13="","",IF(P13="Validé humainement","Oui","Non"))</x:f>
      </x:c>
    </x:row>
    <x:row r="14">
      <x:c r="A14" s="76" t="str">
        <x:f>IF(B14="","","PRJ-"&amp;TEXT(ROW()-4,"0000"))</x:f>
      </x:c>
      <x:c r="B14" s="76"/>
      <x:c r="C14" s="76"/>
      <x:c r="D14" s="76"/>
      <x:c r="E14" s="76"/>
      <x:c r="F14" s="76"/>
      <x:c r="G14" s="78"/>
      <x:c r="H14" s="78"/>
      <x:c r="I14" s="81"/>
      <x:c r="J14" s="81"/>
      <x:c r="K14" s="81" t="str">
        <x:f>IF(I14="","",MAX(0,I14-J14))</x:f>
      </x:c>
      <x:c r="L14" s="84"/>
      <x:c r="M14" s="76"/>
      <x:c r="N14" s="76"/>
      <x:c r="O14" s="76"/>
      <x:c r="P14" s="76"/>
      <x:c r="Q14" s="76"/>
      <x:c r="R14" s="78" t="str">
        <x:f>IF(B14="","",TODAY())</x:f>
      </x:c>
      <x:c r="S14" s="76"/>
      <x:c r="T14" s="76" t="str">
        <x:f>IF(B14="","",IF(OR(C14="",E14="",F14="",I14="",M14="",O14="",P14&lt;&gt;"Validé humainement"),"ALERTE: données/preuves/statut",IF(OR(I14&lt;0,J14&lt;0,L14&lt;0,L14&gt;1),"ALERTE: valeur anormale","OK")))</x:f>
      </x:c>
      <x:c r="U14" s="76" t="str">
        <x:f>IF(B14="","",IF(P14="Validé humainement","Oui","Non"))</x:f>
      </x:c>
    </x:row>
    <x:row r="15">
      <x:c r="A15" s="76" t="str">
        <x:f>IF(B15="","","PRJ-"&amp;TEXT(ROW()-4,"0000"))</x:f>
      </x:c>
      <x:c r="B15" s="76"/>
      <x:c r="C15" s="76"/>
      <x:c r="D15" s="76"/>
      <x:c r="E15" s="76"/>
      <x:c r="F15" s="76"/>
      <x:c r="G15" s="78"/>
      <x:c r="H15" s="78"/>
      <x:c r="I15" s="81"/>
      <x:c r="J15" s="81"/>
      <x:c r="K15" s="81" t="str">
        <x:f>IF(I15="","",MAX(0,I15-J15))</x:f>
      </x:c>
      <x:c r="L15" s="84"/>
      <x:c r="M15" s="76"/>
      <x:c r="N15" s="76"/>
      <x:c r="O15" s="76"/>
      <x:c r="P15" s="76"/>
      <x:c r="Q15" s="76"/>
      <x:c r="R15" s="78" t="str">
        <x:f>IF(B15="","",TODAY())</x:f>
      </x:c>
      <x:c r="S15" s="76"/>
      <x:c r="T15" s="76" t="str">
        <x:f>IF(B15="","",IF(OR(C15="",E15="",F15="",I15="",M15="",O15="",P15&lt;&gt;"Validé humainement"),"ALERTE: données/preuves/statut",IF(OR(I15&lt;0,J15&lt;0,L15&lt;0,L15&gt;1),"ALERTE: valeur anormale","OK")))</x:f>
      </x:c>
      <x:c r="U15" s="76" t="str">
        <x:f>IF(B15="","",IF(P15="Validé humainement","Oui","Non"))</x:f>
      </x:c>
    </x:row>
    <x:row r="16">
      <x:c r="A16" s="76" t="str">
        <x:f>IF(B16="","","PRJ-"&amp;TEXT(ROW()-4,"0000"))</x:f>
      </x:c>
      <x:c r="B16" s="76"/>
      <x:c r="C16" s="76"/>
      <x:c r="D16" s="76"/>
      <x:c r="E16" s="76"/>
      <x:c r="F16" s="76"/>
      <x:c r="G16" s="78"/>
      <x:c r="H16" s="78"/>
      <x:c r="I16" s="81"/>
      <x:c r="J16" s="81"/>
      <x:c r="K16" s="81" t="str">
        <x:f>IF(I16="","",MAX(0,I16-J16))</x:f>
      </x:c>
      <x:c r="L16" s="84"/>
      <x:c r="M16" s="76"/>
      <x:c r="N16" s="76"/>
      <x:c r="O16" s="76"/>
      <x:c r="P16" s="76"/>
      <x:c r="Q16" s="76"/>
      <x:c r="R16" s="78" t="str">
        <x:f>IF(B16="","",TODAY())</x:f>
      </x:c>
      <x:c r="S16" s="76"/>
      <x:c r="T16" s="76" t="str">
        <x:f>IF(B16="","",IF(OR(C16="",E16="",F16="",I16="",M16="",O16="",P16&lt;&gt;"Validé humainement"),"ALERTE: données/preuves/statut",IF(OR(I16&lt;0,J16&lt;0,L16&lt;0,L16&gt;1),"ALERTE: valeur anormale","OK")))</x:f>
      </x:c>
      <x:c r="U16" s="76" t="str">
        <x:f>IF(B16="","",IF(P16="Validé humainement","Oui","Non"))</x:f>
      </x:c>
    </x:row>
    <x:row r="17">
      <x:c r="A17" s="76" t="str">
        <x:f>IF(B17="","","PRJ-"&amp;TEXT(ROW()-4,"0000"))</x:f>
      </x:c>
      <x:c r="B17" s="76"/>
      <x:c r="C17" s="76"/>
      <x:c r="D17" s="76"/>
      <x:c r="E17" s="76"/>
      <x:c r="F17" s="76"/>
      <x:c r="G17" s="78"/>
      <x:c r="H17" s="78"/>
      <x:c r="I17" s="81"/>
      <x:c r="J17" s="81"/>
      <x:c r="K17" s="81" t="str">
        <x:f>IF(I17="","",MAX(0,I17-J17))</x:f>
      </x:c>
      <x:c r="L17" s="84"/>
      <x:c r="M17" s="76"/>
      <x:c r="N17" s="76"/>
      <x:c r="O17" s="76"/>
      <x:c r="P17" s="76"/>
      <x:c r="Q17" s="76"/>
      <x:c r="R17" s="78" t="str">
        <x:f>IF(B17="","",TODAY())</x:f>
      </x:c>
      <x:c r="S17" s="76"/>
      <x:c r="T17" s="76" t="str">
        <x:f>IF(B17="","",IF(OR(C17="",E17="",F17="",I17="",M17="",O17="",P17&lt;&gt;"Validé humainement"),"ALERTE: données/preuves/statut",IF(OR(I17&lt;0,J17&lt;0,L17&lt;0,L17&gt;1),"ALERTE: valeur anormale","OK")))</x:f>
      </x:c>
      <x:c r="U17" s="76" t="str">
        <x:f>IF(B17="","",IF(P17="Validé humainement","Oui","Non"))</x:f>
      </x:c>
    </x:row>
    <x:row r="18">
      <x:c r="A18" s="76" t="str">
        <x:f>IF(B18="","","PRJ-"&amp;TEXT(ROW()-4,"0000"))</x:f>
      </x:c>
      <x:c r="B18" s="76"/>
      <x:c r="C18" s="76"/>
      <x:c r="D18" s="76"/>
      <x:c r="E18" s="76"/>
      <x:c r="F18" s="76"/>
      <x:c r="G18" s="78"/>
      <x:c r="H18" s="78"/>
      <x:c r="I18" s="81"/>
      <x:c r="J18" s="81"/>
      <x:c r="K18" s="81" t="str">
        <x:f>IF(I18="","",MAX(0,I18-J18))</x:f>
      </x:c>
      <x:c r="L18" s="84"/>
      <x:c r="M18" s="76"/>
      <x:c r="N18" s="76"/>
      <x:c r="O18" s="76"/>
      <x:c r="P18" s="76"/>
      <x:c r="Q18" s="76"/>
      <x:c r="R18" s="78" t="str">
        <x:f>IF(B18="","",TODAY())</x:f>
      </x:c>
      <x:c r="S18" s="76"/>
      <x:c r="T18" s="76" t="str">
        <x:f>IF(B18="","",IF(OR(C18="",E18="",F18="",I18="",M18="",O18="",P18&lt;&gt;"Validé humainement"),"ALERTE: données/preuves/statut",IF(OR(I18&lt;0,J18&lt;0,L18&lt;0,L18&gt;1),"ALERTE: valeur anormale","OK")))</x:f>
      </x:c>
      <x:c r="U18" s="76" t="str">
        <x:f>IF(B18="","",IF(P18="Validé humainement","Oui","Non"))</x:f>
      </x:c>
    </x:row>
    <x:row r="19">
      <x:c r="A19" s="76" t="str">
        <x:f>IF(B19="","","PRJ-"&amp;TEXT(ROW()-4,"0000"))</x:f>
      </x:c>
      <x:c r="B19" s="76"/>
      <x:c r="C19" s="76"/>
      <x:c r="D19" s="76"/>
      <x:c r="E19" s="76"/>
      <x:c r="F19" s="76"/>
      <x:c r="G19" s="78"/>
      <x:c r="H19" s="78"/>
      <x:c r="I19" s="81"/>
      <x:c r="J19" s="81"/>
      <x:c r="K19" s="81" t="str">
        <x:f>IF(I19="","",MAX(0,I19-J19))</x:f>
      </x:c>
      <x:c r="L19" s="84"/>
      <x:c r="M19" s="76"/>
      <x:c r="N19" s="76"/>
      <x:c r="O19" s="76"/>
      <x:c r="P19" s="76"/>
      <x:c r="Q19" s="76"/>
      <x:c r="R19" s="78" t="str">
        <x:f>IF(B19="","",TODAY())</x:f>
      </x:c>
      <x:c r="S19" s="76"/>
      <x:c r="T19" s="76" t="str">
        <x:f>IF(B19="","",IF(OR(C19="",E19="",F19="",I19="",M19="",O19="",P19&lt;&gt;"Validé humainement"),"ALERTE: données/preuves/statut",IF(OR(I19&lt;0,J19&lt;0,L19&lt;0,L19&gt;1),"ALERTE: valeur anormale","OK")))</x:f>
      </x:c>
      <x:c r="U19" s="76" t="str">
        <x:f>IF(B19="","",IF(P19="Validé humainement","Oui","Non"))</x:f>
      </x:c>
    </x:row>
    <x:row r="20">
      <x:c r="A20" s="76" t="str">
        <x:f>IF(B20="","","PRJ-"&amp;TEXT(ROW()-4,"0000"))</x:f>
      </x:c>
      <x:c r="B20" s="76"/>
      <x:c r="C20" s="76"/>
      <x:c r="D20" s="76"/>
      <x:c r="E20" s="76"/>
      <x:c r="F20" s="76"/>
      <x:c r="G20" s="78"/>
      <x:c r="H20" s="78"/>
      <x:c r="I20" s="81"/>
      <x:c r="J20" s="81"/>
      <x:c r="K20" s="81" t="str">
        <x:f>IF(I20="","",MAX(0,I20-J20))</x:f>
      </x:c>
      <x:c r="L20" s="84"/>
      <x:c r="M20" s="76"/>
      <x:c r="N20" s="76"/>
      <x:c r="O20" s="76"/>
      <x:c r="P20" s="76"/>
      <x:c r="Q20" s="76"/>
      <x:c r="R20" s="78" t="str">
        <x:f>IF(B20="","",TODAY())</x:f>
      </x:c>
      <x:c r="S20" s="76"/>
      <x:c r="T20" s="76" t="str">
        <x:f>IF(B20="","",IF(OR(C20="",E20="",F20="",I20="",M20="",O20="",P20&lt;&gt;"Validé humainement"),"ALERTE: données/preuves/statut",IF(OR(I20&lt;0,J20&lt;0,L20&lt;0,L20&gt;1),"ALERTE: valeur anormale","OK")))</x:f>
      </x:c>
      <x:c r="U20" s="76" t="str">
        <x:f>IF(B20="","",IF(P20="Validé humainement","Oui","Non"))</x:f>
      </x:c>
    </x:row>
    <x:row r="21">
      <x:c r="A21" s="76" t="str">
        <x:f>IF(B21="","","PRJ-"&amp;TEXT(ROW()-4,"0000"))</x:f>
      </x:c>
      <x:c r="B21" s="76"/>
      <x:c r="C21" s="76"/>
      <x:c r="D21" s="76"/>
      <x:c r="E21" s="76"/>
      <x:c r="F21" s="76"/>
      <x:c r="G21" s="78"/>
      <x:c r="H21" s="78"/>
      <x:c r="I21" s="81"/>
      <x:c r="J21" s="81"/>
      <x:c r="K21" s="81" t="str">
        <x:f>IF(I21="","",MAX(0,I21-J21))</x:f>
      </x:c>
      <x:c r="L21" s="84"/>
      <x:c r="M21" s="76"/>
      <x:c r="N21" s="76"/>
      <x:c r="O21" s="76"/>
      <x:c r="P21" s="76"/>
      <x:c r="Q21" s="76"/>
      <x:c r="R21" s="78" t="str">
        <x:f>IF(B21="","",TODAY())</x:f>
      </x:c>
      <x:c r="S21" s="76"/>
      <x:c r="T21" s="76" t="str">
        <x:f>IF(B21="","",IF(OR(C21="",E21="",F21="",I21="",M21="",O21="",P21&lt;&gt;"Validé humainement"),"ALERTE: données/preuves/statut",IF(OR(I21&lt;0,J21&lt;0,L21&lt;0,L21&gt;1),"ALERTE: valeur anormale","OK")))</x:f>
      </x:c>
      <x:c r="U21" s="76" t="str">
        <x:f>IF(B21="","",IF(P21="Validé humainement","Oui","Non"))</x:f>
      </x:c>
    </x:row>
    <x:row r="22">
      <x:c r="A22" s="76" t="str">
        <x:f>IF(B22="","","PRJ-"&amp;TEXT(ROW()-4,"0000"))</x:f>
      </x:c>
      <x:c r="B22" s="76"/>
      <x:c r="C22" s="76"/>
      <x:c r="D22" s="76"/>
      <x:c r="E22" s="76"/>
      <x:c r="F22" s="76"/>
      <x:c r="G22" s="78"/>
      <x:c r="H22" s="78"/>
      <x:c r="I22" s="81"/>
      <x:c r="J22" s="81"/>
      <x:c r="K22" s="81" t="str">
        <x:f>IF(I22="","",MAX(0,I22-J22))</x:f>
      </x:c>
      <x:c r="L22" s="84"/>
      <x:c r="M22" s="76"/>
      <x:c r="N22" s="76"/>
      <x:c r="O22" s="76"/>
      <x:c r="P22" s="76"/>
      <x:c r="Q22" s="76"/>
      <x:c r="R22" s="78" t="str">
        <x:f>IF(B22="","",TODAY())</x:f>
      </x:c>
      <x:c r="S22" s="76"/>
      <x:c r="T22" s="76" t="str">
        <x:f>IF(B22="","",IF(OR(C22="",E22="",F22="",I22="",M22="",O22="",P22&lt;&gt;"Validé humainement"),"ALERTE: données/preuves/statut",IF(OR(I22&lt;0,J22&lt;0,L22&lt;0,L22&gt;1),"ALERTE: valeur anormale","OK")))</x:f>
      </x:c>
      <x:c r="U22" s="76" t="str">
        <x:f>IF(B22="","",IF(P22="Validé humainement","Oui","Non"))</x:f>
      </x:c>
    </x:row>
    <x:row r="23">
      <x:c r="A23" s="76" t="str">
        <x:f>IF(B23="","","PRJ-"&amp;TEXT(ROW()-4,"0000"))</x:f>
      </x:c>
      <x:c r="B23" s="76"/>
      <x:c r="C23" s="76"/>
      <x:c r="D23" s="76"/>
      <x:c r="E23" s="76"/>
      <x:c r="F23" s="76"/>
      <x:c r="G23" s="78"/>
      <x:c r="H23" s="78"/>
      <x:c r="I23" s="81"/>
      <x:c r="J23" s="81"/>
      <x:c r="K23" s="81" t="str">
        <x:f>IF(I23="","",MAX(0,I23-J23))</x:f>
      </x:c>
      <x:c r="L23" s="84"/>
      <x:c r="M23" s="76"/>
      <x:c r="N23" s="76"/>
      <x:c r="O23" s="76"/>
      <x:c r="P23" s="76"/>
      <x:c r="Q23" s="76"/>
      <x:c r="R23" s="78" t="str">
        <x:f>IF(B23="","",TODAY())</x:f>
      </x:c>
      <x:c r="S23" s="76"/>
      <x:c r="T23" s="76" t="str">
        <x:f>IF(B23="","",IF(OR(C23="",E23="",F23="",I23="",M23="",O23="",P23&lt;&gt;"Validé humainement"),"ALERTE: données/preuves/statut",IF(OR(I23&lt;0,J23&lt;0,L23&lt;0,L23&gt;1),"ALERTE: valeur anormale","OK")))</x:f>
      </x:c>
      <x:c r="U23" s="76" t="str">
        <x:f>IF(B23="","",IF(P23="Validé humainement","Oui","Non"))</x:f>
      </x:c>
    </x:row>
    <x:row r="24">
      <x:c r="A24" s="76" t="str">
        <x:f>IF(B24="","","PRJ-"&amp;TEXT(ROW()-4,"0000"))</x:f>
      </x:c>
      <x:c r="B24" s="76"/>
      <x:c r="C24" s="76"/>
      <x:c r="D24" s="76"/>
      <x:c r="E24" s="76"/>
      <x:c r="F24" s="76"/>
      <x:c r="G24" s="78"/>
      <x:c r="H24" s="78"/>
      <x:c r="I24" s="81"/>
      <x:c r="J24" s="81"/>
      <x:c r="K24" s="81" t="str">
        <x:f>IF(I24="","",MAX(0,I24-J24))</x:f>
      </x:c>
      <x:c r="L24" s="84"/>
      <x:c r="M24" s="76"/>
      <x:c r="N24" s="76"/>
      <x:c r="O24" s="76"/>
      <x:c r="P24" s="76"/>
      <x:c r="Q24" s="76"/>
      <x:c r="R24" s="78" t="str">
        <x:f>IF(B24="","",TODAY())</x:f>
      </x:c>
      <x:c r="S24" s="76"/>
      <x:c r="T24" s="76" t="str">
        <x:f>IF(B24="","",IF(OR(C24="",E24="",F24="",I24="",M24="",O24="",P24&lt;&gt;"Validé humainement"),"ALERTE: données/preuves/statut",IF(OR(I24&lt;0,J24&lt;0,L24&lt;0,L24&gt;1),"ALERTE: valeur anormale","OK")))</x:f>
      </x:c>
      <x:c r="U24" s="76" t="str">
        <x:f>IF(B24="","",IF(P24="Validé humainement","Oui","Non"))</x:f>
      </x:c>
    </x:row>
    <x:row r="25">
      <x:c r="A25" s="76" t="str">
        <x:f>IF(B25="","","PRJ-"&amp;TEXT(ROW()-4,"0000"))</x:f>
      </x:c>
      <x:c r="B25" s="76"/>
      <x:c r="C25" s="76"/>
      <x:c r="D25" s="76"/>
      <x:c r="E25" s="76"/>
      <x:c r="F25" s="76"/>
      <x:c r="G25" s="78"/>
      <x:c r="H25" s="78"/>
      <x:c r="I25" s="81"/>
      <x:c r="J25" s="81"/>
      <x:c r="K25" s="81" t="str">
        <x:f>IF(I25="","",MAX(0,I25-J25))</x:f>
      </x:c>
      <x:c r="L25" s="84"/>
      <x:c r="M25" s="76"/>
      <x:c r="N25" s="76"/>
      <x:c r="O25" s="76"/>
      <x:c r="P25" s="76"/>
      <x:c r="Q25" s="76"/>
      <x:c r="R25" s="78" t="str">
        <x:f>IF(B25="","",TODAY())</x:f>
      </x:c>
      <x:c r="S25" s="76"/>
      <x:c r="T25" s="76" t="str">
        <x:f>IF(B25="","",IF(OR(C25="",E25="",F25="",I25="",M25="",O25="",P25&lt;&gt;"Validé humainement"),"ALERTE: données/preuves/statut",IF(OR(I25&lt;0,J25&lt;0,L25&lt;0,L25&gt;1),"ALERTE: valeur anormale","OK")))</x:f>
      </x:c>
      <x:c r="U25" s="76" t="str">
        <x:f>IF(B25="","",IF(P25="Validé humainement","Oui","Non"))</x:f>
      </x:c>
    </x:row>
    <x:row r="26">
      <x:c r="A26" s="76" t="str">
        <x:f>IF(B26="","","PRJ-"&amp;TEXT(ROW()-4,"0000"))</x:f>
      </x:c>
      <x:c r="B26" s="76"/>
      <x:c r="C26" s="76"/>
      <x:c r="D26" s="76"/>
      <x:c r="E26" s="76"/>
      <x:c r="F26" s="76"/>
      <x:c r="G26" s="78"/>
      <x:c r="H26" s="78"/>
      <x:c r="I26" s="81"/>
      <x:c r="J26" s="81"/>
      <x:c r="K26" s="81" t="str">
        <x:f>IF(I26="","",MAX(0,I26-J26))</x:f>
      </x:c>
      <x:c r="L26" s="84"/>
      <x:c r="M26" s="76"/>
      <x:c r="N26" s="76"/>
      <x:c r="O26" s="76"/>
      <x:c r="P26" s="76"/>
      <x:c r="Q26" s="76"/>
      <x:c r="R26" s="78" t="str">
        <x:f>IF(B26="","",TODAY())</x:f>
      </x:c>
      <x:c r="S26" s="76"/>
      <x:c r="T26" s="76" t="str">
        <x:f>IF(B26="","",IF(OR(C26="",E26="",F26="",I26="",M26="",O26="",P26&lt;&gt;"Validé humainement"),"ALERTE: données/preuves/statut",IF(OR(I26&lt;0,J26&lt;0,L26&lt;0,L26&gt;1),"ALERTE: valeur anormale","OK")))</x:f>
      </x:c>
      <x:c r="U26" s="76" t="str">
        <x:f>IF(B26="","",IF(P26="Validé humainement","Oui","Non"))</x:f>
      </x:c>
    </x:row>
    <x:row r="27">
      <x:c r="A27" s="76" t="str">
        <x:f>IF(B27="","","PRJ-"&amp;TEXT(ROW()-4,"0000"))</x:f>
      </x:c>
      <x:c r="B27" s="76"/>
      <x:c r="C27" s="76"/>
      <x:c r="D27" s="76"/>
      <x:c r="E27" s="76"/>
      <x:c r="F27" s="76"/>
      <x:c r="G27" s="78"/>
      <x:c r="H27" s="78"/>
      <x:c r="I27" s="81"/>
      <x:c r="J27" s="81"/>
      <x:c r="K27" s="81" t="str">
        <x:f>IF(I27="","",MAX(0,I27-J27))</x:f>
      </x:c>
      <x:c r="L27" s="84"/>
      <x:c r="M27" s="76"/>
      <x:c r="N27" s="76"/>
      <x:c r="O27" s="76"/>
      <x:c r="P27" s="76"/>
      <x:c r="Q27" s="76"/>
      <x:c r="R27" s="78" t="str">
        <x:f>IF(B27="","",TODAY())</x:f>
      </x:c>
      <x:c r="S27" s="76"/>
      <x:c r="T27" s="76" t="str">
        <x:f>IF(B27="","",IF(OR(C27="",E27="",F27="",I27="",M27="",O27="",P27&lt;&gt;"Validé humainement"),"ALERTE: données/preuves/statut",IF(OR(I27&lt;0,J27&lt;0,L27&lt;0,L27&gt;1),"ALERTE: valeur anormale","OK")))</x:f>
      </x:c>
      <x:c r="U27" s="76" t="str">
        <x:f>IF(B27="","",IF(P27="Validé humainement","Oui","Non"))</x:f>
      </x:c>
    </x:row>
    <x:row r="28">
      <x:c r="A28" s="76" t="str">
        <x:f>IF(B28="","","PRJ-"&amp;TEXT(ROW()-4,"0000"))</x:f>
      </x:c>
      <x:c r="B28" s="76"/>
      <x:c r="C28" s="76"/>
      <x:c r="D28" s="76"/>
      <x:c r="E28" s="76"/>
      <x:c r="F28" s="76"/>
      <x:c r="G28" s="78"/>
      <x:c r="H28" s="78"/>
      <x:c r="I28" s="81"/>
      <x:c r="J28" s="81"/>
      <x:c r="K28" s="81" t="str">
        <x:f>IF(I28="","",MAX(0,I28-J28))</x:f>
      </x:c>
      <x:c r="L28" s="84"/>
      <x:c r="M28" s="76"/>
      <x:c r="N28" s="76"/>
      <x:c r="O28" s="76"/>
      <x:c r="P28" s="76"/>
      <x:c r="Q28" s="76"/>
      <x:c r="R28" s="78" t="str">
        <x:f>IF(B28="","",TODAY())</x:f>
      </x:c>
      <x:c r="S28" s="76"/>
      <x:c r="T28" s="76" t="str">
        <x:f>IF(B28="","",IF(OR(C28="",E28="",F28="",I28="",M28="",O28="",P28&lt;&gt;"Validé humainement"),"ALERTE: données/preuves/statut",IF(OR(I28&lt;0,J28&lt;0,L28&lt;0,L28&gt;1),"ALERTE: valeur anormale","OK")))</x:f>
      </x:c>
      <x:c r="U28" s="76" t="str">
        <x:f>IF(B28="","",IF(P28="Validé humainement","Oui","Non"))</x:f>
      </x:c>
    </x:row>
    <x:row r="29">
      <x:c r="A29" s="76" t="str">
        <x:f>IF(B29="","","PRJ-"&amp;TEXT(ROW()-4,"0000"))</x:f>
      </x:c>
      <x:c r="B29" s="76"/>
      <x:c r="C29" s="76"/>
      <x:c r="D29" s="76"/>
      <x:c r="E29" s="76"/>
      <x:c r="F29" s="76"/>
      <x:c r="G29" s="78"/>
      <x:c r="H29" s="78"/>
      <x:c r="I29" s="81"/>
      <x:c r="J29" s="81"/>
      <x:c r="K29" s="81" t="str">
        <x:f>IF(I29="","",MAX(0,I29-J29))</x:f>
      </x:c>
      <x:c r="L29" s="84"/>
      <x:c r="M29" s="76"/>
      <x:c r="N29" s="76"/>
      <x:c r="O29" s="76"/>
      <x:c r="P29" s="76"/>
      <x:c r="Q29" s="76"/>
      <x:c r="R29" s="78" t="str">
        <x:f>IF(B29="","",TODAY())</x:f>
      </x:c>
      <x:c r="S29" s="76"/>
      <x:c r="T29" s="76" t="str">
        <x:f>IF(B29="","",IF(OR(C29="",E29="",F29="",I29="",M29="",O29="",P29&lt;&gt;"Validé humainement"),"ALERTE: données/preuves/statut",IF(OR(I29&lt;0,J29&lt;0,L29&lt;0,L29&gt;1),"ALERTE: valeur anormale","OK")))</x:f>
      </x:c>
      <x:c r="U29" s="76" t="str">
        <x:f>IF(B29="","",IF(P29="Validé humainement","Oui","Non"))</x:f>
      </x:c>
    </x:row>
    <x:row r="30">
      <x:c r="A30" s="76" t="str">
        <x:f>IF(B30="","","PRJ-"&amp;TEXT(ROW()-4,"0000"))</x:f>
      </x:c>
      <x:c r="B30" s="76"/>
      <x:c r="C30" s="76"/>
      <x:c r="D30" s="76"/>
      <x:c r="E30" s="76"/>
      <x:c r="F30" s="76"/>
      <x:c r="G30" s="78"/>
      <x:c r="H30" s="78"/>
      <x:c r="I30" s="81"/>
      <x:c r="J30" s="81"/>
      <x:c r="K30" s="81" t="str">
        <x:f>IF(I30="","",MAX(0,I30-J30))</x:f>
      </x:c>
      <x:c r="L30" s="84"/>
      <x:c r="M30" s="76"/>
      <x:c r="N30" s="76"/>
      <x:c r="O30" s="76"/>
      <x:c r="P30" s="76"/>
      <x:c r="Q30" s="76"/>
      <x:c r="R30" s="78" t="str">
        <x:f>IF(B30="","",TODAY())</x:f>
      </x:c>
      <x:c r="S30" s="76"/>
      <x:c r="T30" s="76" t="str">
        <x:f>IF(B30="","",IF(OR(C30="",E30="",F30="",I30="",M30="",O30="",P30&lt;&gt;"Validé humainement"),"ALERTE: données/preuves/statut",IF(OR(I30&lt;0,J30&lt;0,L30&lt;0,L30&gt;1),"ALERTE: valeur anormale","OK")))</x:f>
      </x:c>
      <x:c r="U30" s="76" t="str">
        <x:f>IF(B30="","",IF(P30="Validé humainement","Oui","Non"))</x:f>
      </x:c>
    </x:row>
    <x:row r="31">
      <x:c r="A31" s="76" t="str">
        <x:f>IF(B31="","","PRJ-"&amp;TEXT(ROW()-4,"0000"))</x:f>
      </x:c>
      <x:c r="B31" s="76"/>
      <x:c r="C31" s="76"/>
      <x:c r="D31" s="76"/>
      <x:c r="E31" s="76"/>
      <x:c r="F31" s="76"/>
      <x:c r="G31" s="78"/>
      <x:c r="H31" s="78"/>
      <x:c r="I31" s="81"/>
      <x:c r="J31" s="81"/>
      <x:c r="K31" s="81" t="str">
        <x:f>IF(I31="","",MAX(0,I31-J31))</x:f>
      </x:c>
      <x:c r="L31" s="84"/>
      <x:c r="M31" s="76"/>
      <x:c r="N31" s="76"/>
      <x:c r="O31" s="76"/>
      <x:c r="P31" s="76"/>
      <x:c r="Q31" s="76"/>
      <x:c r="R31" s="78" t="str">
        <x:f>IF(B31="","",TODAY())</x:f>
      </x:c>
      <x:c r="S31" s="76"/>
      <x:c r="T31" s="76" t="str">
        <x:f>IF(B31="","",IF(OR(C31="",E31="",F31="",I31="",M31="",O31="",P31&lt;&gt;"Validé humainement"),"ALERTE: données/preuves/statut",IF(OR(I31&lt;0,J31&lt;0,L31&lt;0,L31&gt;1),"ALERTE: valeur anormale","OK")))</x:f>
      </x:c>
      <x:c r="U31" s="76" t="str">
        <x:f>IF(B31="","",IF(P31="Validé humainement","Oui","Non"))</x:f>
      </x:c>
    </x:row>
    <x:row r="32">
      <x:c r="A32" s="76" t="str">
        <x:f>IF(B32="","","PRJ-"&amp;TEXT(ROW()-4,"0000"))</x:f>
      </x:c>
      <x:c r="B32" s="76"/>
      <x:c r="C32" s="76"/>
      <x:c r="D32" s="76"/>
      <x:c r="E32" s="76"/>
      <x:c r="F32" s="76"/>
      <x:c r="G32" s="78"/>
      <x:c r="H32" s="78"/>
      <x:c r="I32" s="81"/>
      <x:c r="J32" s="81"/>
      <x:c r="K32" s="81" t="str">
        <x:f>IF(I32="","",MAX(0,I32-J32))</x:f>
      </x:c>
      <x:c r="L32" s="84"/>
      <x:c r="M32" s="76"/>
      <x:c r="N32" s="76"/>
      <x:c r="O32" s="76"/>
      <x:c r="P32" s="76"/>
      <x:c r="Q32" s="76"/>
      <x:c r="R32" s="78" t="str">
        <x:f>IF(B32="","",TODAY())</x:f>
      </x:c>
      <x:c r="S32" s="76"/>
      <x:c r="T32" s="76" t="str">
        <x:f>IF(B32="","",IF(OR(C32="",E32="",F32="",I32="",M32="",O32="",P32&lt;&gt;"Validé humainement"),"ALERTE: données/preuves/statut",IF(OR(I32&lt;0,J32&lt;0,L32&lt;0,L32&gt;1),"ALERTE: valeur anormale","OK")))</x:f>
      </x:c>
      <x:c r="U32" s="76" t="str">
        <x:f>IF(B32="","",IF(P32="Validé humainement","Oui","Non"))</x:f>
      </x:c>
    </x:row>
    <x:row r="33">
      <x:c r="A33" s="76" t="str">
        <x:f>IF(B33="","","PRJ-"&amp;TEXT(ROW()-4,"0000"))</x:f>
      </x:c>
      <x:c r="B33" s="76"/>
      <x:c r="C33" s="76"/>
      <x:c r="D33" s="76"/>
      <x:c r="E33" s="76"/>
      <x:c r="F33" s="76"/>
      <x:c r="G33" s="78"/>
      <x:c r="H33" s="78"/>
      <x:c r="I33" s="81"/>
      <x:c r="J33" s="81"/>
      <x:c r="K33" s="81" t="str">
        <x:f>IF(I33="","",MAX(0,I33-J33))</x:f>
      </x:c>
      <x:c r="L33" s="84"/>
      <x:c r="M33" s="76"/>
      <x:c r="N33" s="76"/>
      <x:c r="O33" s="76"/>
      <x:c r="P33" s="76"/>
      <x:c r="Q33" s="76"/>
      <x:c r="R33" s="78" t="str">
        <x:f>IF(B33="","",TODAY())</x:f>
      </x:c>
      <x:c r="S33" s="76"/>
      <x:c r="T33" s="76" t="str">
        <x:f>IF(B33="","",IF(OR(C33="",E33="",F33="",I33="",M33="",O33="",P33&lt;&gt;"Validé humainement"),"ALERTE: données/preuves/statut",IF(OR(I33&lt;0,J33&lt;0,L33&lt;0,L33&gt;1),"ALERTE: valeur anormale","OK")))</x:f>
      </x:c>
      <x:c r="U33" s="76" t="str">
        <x:f>IF(B33="","",IF(P33="Validé humainement","Oui","Non"))</x:f>
      </x:c>
    </x:row>
    <x:row r="34">
      <x:c r="A34" s="76" t="str">
        <x:f>IF(B34="","","PRJ-"&amp;TEXT(ROW()-4,"0000"))</x:f>
      </x:c>
      <x:c r="B34" s="76"/>
      <x:c r="C34" s="76"/>
      <x:c r="D34" s="76"/>
      <x:c r="E34" s="76"/>
      <x:c r="F34" s="76"/>
      <x:c r="G34" s="78"/>
      <x:c r="H34" s="78"/>
      <x:c r="I34" s="81"/>
      <x:c r="J34" s="81"/>
      <x:c r="K34" s="81" t="str">
        <x:f>IF(I34="","",MAX(0,I34-J34))</x:f>
      </x:c>
      <x:c r="L34" s="84"/>
      <x:c r="M34" s="76"/>
      <x:c r="N34" s="76"/>
      <x:c r="O34" s="76"/>
      <x:c r="P34" s="76"/>
      <x:c r="Q34" s="76"/>
      <x:c r="R34" s="78" t="str">
        <x:f>IF(B34="","",TODAY())</x:f>
      </x:c>
      <x:c r="S34" s="76"/>
      <x:c r="T34" s="76" t="str">
        <x:f>IF(B34="","",IF(OR(C34="",E34="",F34="",I34="",M34="",O34="",P34&lt;&gt;"Validé humainement"),"ALERTE: données/preuves/statut",IF(OR(I34&lt;0,J34&lt;0,L34&lt;0,L34&gt;1),"ALERTE: valeur anormale","OK")))</x:f>
      </x:c>
      <x:c r="U34" s="76" t="str">
        <x:f>IF(B34="","",IF(P34="Validé humainement","Oui","Non"))</x:f>
      </x:c>
    </x:row>
    <x:row r="35">
      <x:c r="A35" s="76" t="str">
        <x:f>IF(B35="","","PRJ-"&amp;TEXT(ROW()-4,"0000"))</x:f>
      </x:c>
      <x:c r="B35" s="76"/>
      <x:c r="C35" s="76"/>
      <x:c r="D35" s="76"/>
      <x:c r="E35" s="76"/>
      <x:c r="F35" s="76"/>
      <x:c r="G35" s="78"/>
      <x:c r="H35" s="78"/>
      <x:c r="I35" s="81"/>
      <x:c r="J35" s="81"/>
      <x:c r="K35" s="81" t="str">
        <x:f>IF(I35="","",MAX(0,I35-J35))</x:f>
      </x:c>
      <x:c r="L35" s="84"/>
      <x:c r="M35" s="76"/>
      <x:c r="N35" s="76"/>
      <x:c r="O35" s="76"/>
      <x:c r="P35" s="76"/>
      <x:c r="Q35" s="76"/>
      <x:c r="R35" s="78" t="str">
        <x:f>IF(B35="","",TODAY())</x:f>
      </x:c>
      <x:c r="S35" s="76"/>
      <x:c r="T35" s="76" t="str">
        <x:f>IF(B35="","",IF(OR(C35="",E35="",F35="",I35="",M35="",O35="",P35&lt;&gt;"Validé humainement"),"ALERTE: données/preuves/statut",IF(OR(I35&lt;0,J35&lt;0,L35&lt;0,L35&gt;1),"ALERTE: valeur anormale","OK")))</x:f>
      </x:c>
      <x:c r="U35" s="76" t="str">
        <x:f>IF(B35="","",IF(P35="Validé humainement","Oui","Non"))</x:f>
      </x:c>
    </x:row>
    <x:row r="36">
      <x:c r="A36" s="76" t="str">
        <x:f>IF(B36="","","PRJ-"&amp;TEXT(ROW()-4,"0000"))</x:f>
      </x:c>
      <x:c r="B36" s="76"/>
      <x:c r="C36" s="76"/>
      <x:c r="D36" s="76"/>
      <x:c r="E36" s="76"/>
      <x:c r="F36" s="76"/>
      <x:c r="G36" s="78"/>
      <x:c r="H36" s="78"/>
      <x:c r="I36" s="81"/>
      <x:c r="J36" s="81"/>
      <x:c r="K36" s="81" t="str">
        <x:f>IF(I36="","",MAX(0,I36-J36))</x:f>
      </x:c>
      <x:c r="L36" s="84"/>
      <x:c r="M36" s="76"/>
      <x:c r="N36" s="76"/>
      <x:c r="O36" s="76"/>
      <x:c r="P36" s="76"/>
      <x:c r="Q36" s="76"/>
      <x:c r="R36" s="78" t="str">
        <x:f>IF(B36="","",TODAY())</x:f>
      </x:c>
      <x:c r="S36" s="76"/>
      <x:c r="T36" s="76" t="str">
        <x:f>IF(B36="","",IF(OR(C36="",E36="",F36="",I36="",M36="",O36="",P36&lt;&gt;"Validé humainement"),"ALERTE: données/preuves/statut",IF(OR(I36&lt;0,J36&lt;0,L36&lt;0,L36&gt;1),"ALERTE: valeur anormale","OK")))</x:f>
      </x:c>
      <x:c r="U36" s="76" t="str">
        <x:f>IF(B36="","",IF(P36="Validé humainement","Oui","Non"))</x:f>
      </x:c>
    </x:row>
    <x:row r="37">
      <x:c r="A37" s="76" t="str">
        <x:f>IF(B37="","","PRJ-"&amp;TEXT(ROW()-4,"0000"))</x:f>
      </x:c>
      <x:c r="B37" s="76"/>
      <x:c r="C37" s="76"/>
      <x:c r="D37" s="76"/>
      <x:c r="E37" s="76"/>
      <x:c r="F37" s="76"/>
      <x:c r="G37" s="78"/>
      <x:c r="H37" s="78"/>
      <x:c r="I37" s="81"/>
      <x:c r="J37" s="81"/>
      <x:c r="K37" s="81" t="str">
        <x:f>IF(I37="","",MAX(0,I37-J37))</x:f>
      </x:c>
      <x:c r="L37" s="84"/>
      <x:c r="M37" s="76"/>
      <x:c r="N37" s="76"/>
      <x:c r="O37" s="76"/>
      <x:c r="P37" s="76"/>
      <x:c r="Q37" s="76"/>
      <x:c r="R37" s="78" t="str">
        <x:f>IF(B37="","",TODAY())</x:f>
      </x:c>
      <x:c r="S37" s="76"/>
      <x:c r="T37" s="76" t="str">
        <x:f>IF(B37="","",IF(OR(C37="",E37="",F37="",I37="",M37="",O37="",P37&lt;&gt;"Validé humainement"),"ALERTE: données/preuves/statut",IF(OR(I37&lt;0,J37&lt;0,L37&lt;0,L37&gt;1),"ALERTE: valeur anormale","OK")))</x:f>
      </x:c>
      <x:c r="U37" s="76" t="str">
        <x:f>IF(B37="","",IF(P37="Validé humainement","Oui","Non"))</x:f>
      </x:c>
    </x:row>
    <x:row r="38">
      <x:c r="A38" s="76" t="str">
        <x:f>IF(B38="","","PRJ-"&amp;TEXT(ROW()-4,"0000"))</x:f>
      </x:c>
      <x:c r="B38" s="76"/>
      <x:c r="C38" s="76"/>
      <x:c r="D38" s="76"/>
      <x:c r="E38" s="76"/>
      <x:c r="F38" s="76"/>
      <x:c r="G38" s="78"/>
      <x:c r="H38" s="78"/>
      <x:c r="I38" s="81"/>
      <x:c r="J38" s="81"/>
      <x:c r="K38" s="81" t="str">
        <x:f>IF(I38="","",MAX(0,I38-J38))</x:f>
      </x:c>
      <x:c r="L38" s="84"/>
      <x:c r="M38" s="76"/>
      <x:c r="N38" s="76"/>
      <x:c r="O38" s="76"/>
      <x:c r="P38" s="76"/>
      <x:c r="Q38" s="76"/>
      <x:c r="R38" s="78" t="str">
        <x:f>IF(B38="","",TODAY())</x:f>
      </x:c>
      <x:c r="S38" s="76"/>
      <x:c r="T38" s="76" t="str">
        <x:f>IF(B38="","",IF(OR(C38="",E38="",F38="",I38="",M38="",O38="",P38&lt;&gt;"Validé humainement"),"ALERTE: données/preuves/statut",IF(OR(I38&lt;0,J38&lt;0,L38&lt;0,L38&gt;1),"ALERTE: valeur anormale","OK")))</x:f>
      </x:c>
      <x:c r="U38" s="76" t="str">
        <x:f>IF(B38="","",IF(P38="Validé humainement","Oui","Non"))</x:f>
      </x:c>
    </x:row>
    <x:row r="39">
      <x:c r="A39" s="76" t="str">
        <x:f>IF(B39="","","PRJ-"&amp;TEXT(ROW()-4,"0000"))</x:f>
      </x:c>
      <x:c r="B39" s="76"/>
      <x:c r="C39" s="76"/>
      <x:c r="D39" s="76"/>
      <x:c r="E39" s="76"/>
      <x:c r="F39" s="76"/>
      <x:c r="G39" s="78"/>
      <x:c r="H39" s="78"/>
      <x:c r="I39" s="81"/>
      <x:c r="J39" s="81"/>
      <x:c r="K39" s="81" t="str">
        <x:f>IF(I39="","",MAX(0,I39-J39))</x:f>
      </x:c>
      <x:c r="L39" s="84"/>
      <x:c r="M39" s="76"/>
      <x:c r="N39" s="76"/>
      <x:c r="O39" s="76"/>
      <x:c r="P39" s="76"/>
      <x:c r="Q39" s="76"/>
      <x:c r="R39" s="78" t="str">
        <x:f>IF(B39="","",TODAY())</x:f>
      </x:c>
      <x:c r="S39" s="76"/>
      <x:c r="T39" s="76" t="str">
        <x:f>IF(B39="","",IF(OR(C39="",E39="",F39="",I39="",M39="",O39="",P39&lt;&gt;"Validé humainement"),"ALERTE: données/preuves/statut",IF(OR(I39&lt;0,J39&lt;0,L39&lt;0,L39&gt;1),"ALERTE: valeur anormale","OK")))</x:f>
      </x:c>
      <x:c r="U39" s="76" t="str">
        <x:f>IF(B39="","",IF(P39="Validé humainement","Oui","Non"))</x:f>
      </x:c>
    </x:row>
    <x:row r="40">
      <x:c r="A40" s="76" t="str">
        <x:f>IF(B40="","","PRJ-"&amp;TEXT(ROW()-4,"0000"))</x:f>
      </x:c>
      <x:c r="B40" s="76"/>
      <x:c r="C40" s="76"/>
      <x:c r="D40" s="76"/>
      <x:c r="E40" s="76"/>
      <x:c r="F40" s="76"/>
      <x:c r="G40" s="78"/>
      <x:c r="H40" s="78"/>
      <x:c r="I40" s="81"/>
      <x:c r="J40" s="81"/>
      <x:c r="K40" s="81" t="str">
        <x:f>IF(I40="","",MAX(0,I40-J40))</x:f>
      </x:c>
      <x:c r="L40" s="84"/>
      <x:c r="M40" s="76"/>
      <x:c r="N40" s="76"/>
      <x:c r="O40" s="76"/>
      <x:c r="P40" s="76"/>
      <x:c r="Q40" s="76"/>
      <x:c r="R40" s="78" t="str">
        <x:f>IF(B40="","",TODAY())</x:f>
      </x:c>
      <x:c r="S40" s="76"/>
      <x:c r="T40" s="76" t="str">
        <x:f>IF(B40="","",IF(OR(C40="",E40="",F40="",I40="",M40="",O40="",P40&lt;&gt;"Validé humainement"),"ALERTE: données/preuves/statut",IF(OR(I40&lt;0,J40&lt;0,L40&lt;0,L40&gt;1),"ALERTE: valeur anormale","OK")))</x:f>
      </x:c>
      <x:c r="U40" s="76" t="str">
        <x:f>IF(B40="","",IF(P40="Validé humainement","Oui","Non"))</x:f>
      </x:c>
    </x:row>
    <x:row r="41">
      <x:c r="A41" s="76" t="str">
        <x:f>IF(B41="","","PRJ-"&amp;TEXT(ROW()-4,"0000"))</x:f>
      </x:c>
      <x:c r="B41" s="76"/>
      <x:c r="C41" s="76"/>
      <x:c r="D41" s="76"/>
      <x:c r="E41" s="76"/>
      <x:c r="F41" s="76"/>
      <x:c r="G41" s="78"/>
      <x:c r="H41" s="78"/>
      <x:c r="I41" s="81"/>
      <x:c r="J41" s="81"/>
      <x:c r="K41" s="81" t="str">
        <x:f>IF(I41="","",MAX(0,I41-J41))</x:f>
      </x:c>
      <x:c r="L41" s="84"/>
      <x:c r="M41" s="76"/>
      <x:c r="N41" s="76"/>
      <x:c r="O41" s="76"/>
      <x:c r="P41" s="76"/>
      <x:c r="Q41" s="76"/>
      <x:c r="R41" s="78" t="str">
        <x:f>IF(B41="","",TODAY())</x:f>
      </x:c>
      <x:c r="S41" s="76"/>
      <x:c r="T41" s="76" t="str">
        <x:f>IF(B41="","",IF(OR(C41="",E41="",F41="",I41="",M41="",O41="",P41&lt;&gt;"Validé humainement"),"ALERTE: données/preuves/statut",IF(OR(I41&lt;0,J41&lt;0,L41&lt;0,L41&gt;1),"ALERTE: valeur anormale","OK")))</x:f>
      </x:c>
      <x:c r="U41" s="76" t="str">
        <x:f>IF(B41="","",IF(P41="Validé humainement","Oui","Non"))</x:f>
      </x:c>
    </x:row>
    <x:row r="42">
      <x:c r="A42" s="76" t="str">
        <x:f>IF(B42="","","PRJ-"&amp;TEXT(ROW()-4,"0000"))</x:f>
      </x:c>
      <x:c r="B42" s="76"/>
      <x:c r="C42" s="76"/>
      <x:c r="D42" s="76"/>
      <x:c r="E42" s="76"/>
      <x:c r="F42" s="76"/>
      <x:c r="G42" s="78"/>
      <x:c r="H42" s="78"/>
      <x:c r="I42" s="81"/>
      <x:c r="J42" s="81"/>
      <x:c r="K42" s="81" t="str">
        <x:f>IF(I42="","",MAX(0,I42-J42))</x:f>
      </x:c>
      <x:c r="L42" s="84"/>
      <x:c r="M42" s="76"/>
      <x:c r="N42" s="76"/>
      <x:c r="O42" s="76"/>
      <x:c r="P42" s="76"/>
      <x:c r="Q42" s="76"/>
      <x:c r="R42" s="78" t="str">
        <x:f>IF(B42="","",TODAY())</x:f>
      </x:c>
      <x:c r="S42" s="76"/>
      <x:c r="T42" s="76" t="str">
        <x:f>IF(B42="","",IF(OR(C42="",E42="",F42="",I42="",M42="",O42="",P42&lt;&gt;"Validé humainement"),"ALERTE: données/preuves/statut",IF(OR(I42&lt;0,J42&lt;0,L42&lt;0,L42&gt;1),"ALERTE: valeur anormale","OK")))</x:f>
      </x:c>
      <x:c r="U42" s="76" t="str">
        <x:f>IF(B42="","",IF(P42="Validé humainement","Oui","Non"))</x:f>
      </x:c>
    </x:row>
    <x:row r="43">
      <x:c r="A43" s="76" t="str">
        <x:f>IF(B43="","","PRJ-"&amp;TEXT(ROW()-4,"0000"))</x:f>
      </x:c>
      <x:c r="B43" s="76"/>
      <x:c r="C43" s="76"/>
      <x:c r="D43" s="76"/>
      <x:c r="E43" s="76"/>
      <x:c r="F43" s="76"/>
      <x:c r="G43" s="78"/>
      <x:c r="H43" s="78"/>
      <x:c r="I43" s="81"/>
      <x:c r="J43" s="81"/>
      <x:c r="K43" s="81" t="str">
        <x:f>IF(I43="","",MAX(0,I43-J43))</x:f>
      </x:c>
      <x:c r="L43" s="84"/>
      <x:c r="M43" s="76"/>
      <x:c r="N43" s="76"/>
      <x:c r="O43" s="76"/>
      <x:c r="P43" s="76"/>
      <x:c r="Q43" s="76"/>
      <x:c r="R43" s="78" t="str">
        <x:f>IF(B43="","",TODAY())</x:f>
      </x:c>
      <x:c r="S43" s="76"/>
      <x:c r="T43" s="76" t="str">
        <x:f>IF(B43="","",IF(OR(C43="",E43="",F43="",I43="",M43="",O43="",P43&lt;&gt;"Validé humainement"),"ALERTE: données/preuves/statut",IF(OR(I43&lt;0,J43&lt;0,L43&lt;0,L43&gt;1),"ALERTE: valeur anormale","OK")))</x:f>
      </x:c>
      <x:c r="U43" s="76" t="str">
        <x:f>IF(B43="","",IF(P43="Validé humainement","Oui","Non"))</x:f>
      </x:c>
    </x:row>
    <x:row r="44">
      <x:c r="A44" s="76" t="str">
        <x:f>IF(B44="","","PRJ-"&amp;TEXT(ROW()-4,"0000"))</x:f>
      </x:c>
      <x:c r="B44" s="76"/>
      <x:c r="C44" s="76"/>
      <x:c r="D44" s="76"/>
      <x:c r="E44" s="76"/>
      <x:c r="F44" s="76"/>
      <x:c r="G44" s="78"/>
      <x:c r="H44" s="78"/>
      <x:c r="I44" s="81"/>
      <x:c r="J44" s="81"/>
      <x:c r="K44" s="81" t="str">
        <x:f>IF(I44="","",MAX(0,I44-J44))</x:f>
      </x:c>
      <x:c r="L44" s="84"/>
      <x:c r="M44" s="76"/>
      <x:c r="N44" s="76"/>
      <x:c r="O44" s="76"/>
      <x:c r="P44" s="76"/>
      <x:c r="Q44" s="76"/>
      <x:c r="R44" s="78" t="str">
        <x:f>IF(B44="","",TODAY())</x:f>
      </x:c>
      <x:c r="S44" s="76"/>
      <x:c r="T44" s="76" t="str">
        <x:f>IF(B44="","",IF(OR(C44="",E44="",F44="",I44="",M44="",O44="",P44&lt;&gt;"Validé humainement"),"ALERTE: données/preuves/statut",IF(OR(I44&lt;0,J44&lt;0,L44&lt;0,L44&gt;1),"ALERTE: valeur anormale","OK")))</x:f>
      </x:c>
      <x:c r="U44" s="76" t="str">
        <x:f>IF(B44="","",IF(P44="Validé humainement","Oui","Non"))</x:f>
      </x:c>
    </x:row>
    <x:row r="45">
      <x:c r="A45" s="76" t="str">
        <x:f>IF(B45="","","PRJ-"&amp;TEXT(ROW()-4,"0000"))</x:f>
      </x:c>
      <x:c r="B45" s="76"/>
      <x:c r="C45" s="76"/>
      <x:c r="D45" s="76"/>
      <x:c r="E45" s="76"/>
      <x:c r="F45" s="76"/>
      <x:c r="G45" s="78"/>
      <x:c r="H45" s="78"/>
      <x:c r="I45" s="81"/>
      <x:c r="J45" s="81"/>
      <x:c r="K45" s="81" t="str">
        <x:f>IF(I45="","",MAX(0,I45-J45))</x:f>
      </x:c>
      <x:c r="L45" s="84"/>
      <x:c r="M45" s="76"/>
      <x:c r="N45" s="76"/>
      <x:c r="O45" s="76"/>
      <x:c r="P45" s="76"/>
      <x:c r="Q45" s="76"/>
      <x:c r="R45" s="78" t="str">
        <x:f>IF(B45="","",TODAY())</x:f>
      </x:c>
      <x:c r="S45" s="76"/>
      <x:c r="T45" s="76" t="str">
        <x:f>IF(B45="","",IF(OR(C45="",E45="",F45="",I45="",M45="",O45="",P45&lt;&gt;"Validé humainement"),"ALERTE: données/preuves/statut",IF(OR(I45&lt;0,J45&lt;0,L45&lt;0,L45&gt;1),"ALERTE: valeur anormale","OK")))</x:f>
      </x:c>
      <x:c r="U45" s="76" t="str">
        <x:f>IF(B45="","",IF(P45="Validé humainement","Oui","Non"))</x:f>
      </x:c>
    </x:row>
    <x:row r="46">
      <x:c r="A46" s="76" t="str">
        <x:f>IF(B46="","","PRJ-"&amp;TEXT(ROW()-4,"0000"))</x:f>
      </x:c>
      <x:c r="B46" s="76"/>
      <x:c r="C46" s="76"/>
      <x:c r="D46" s="76"/>
      <x:c r="E46" s="76"/>
      <x:c r="F46" s="76"/>
      <x:c r="G46" s="78"/>
      <x:c r="H46" s="78"/>
      <x:c r="I46" s="81"/>
      <x:c r="J46" s="81"/>
      <x:c r="K46" s="81" t="str">
        <x:f>IF(I46="","",MAX(0,I46-J46))</x:f>
      </x:c>
      <x:c r="L46" s="84"/>
      <x:c r="M46" s="76"/>
      <x:c r="N46" s="76"/>
      <x:c r="O46" s="76"/>
      <x:c r="P46" s="76"/>
      <x:c r="Q46" s="76"/>
      <x:c r="R46" s="78" t="str">
        <x:f>IF(B46="","",TODAY())</x:f>
      </x:c>
      <x:c r="S46" s="76"/>
      <x:c r="T46" s="76" t="str">
        <x:f>IF(B46="","",IF(OR(C46="",E46="",F46="",I46="",M46="",O46="",P46&lt;&gt;"Validé humainement"),"ALERTE: données/preuves/statut",IF(OR(I46&lt;0,J46&lt;0,L46&lt;0,L46&gt;1),"ALERTE: valeur anormale","OK")))</x:f>
      </x:c>
      <x:c r="U46" s="76" t="str">
        <x:f>IF(B46="","",IF(P46="Validé humainement","Oui","Non"))</x:f>
      </x:c>
    </x:row>
    <x:row r="47">
      <x:c r="A47" s="76" t="str">
        <x:f>IF(B47="","","PRJ-"&amp;TEXT(ROW()-4,"0000"))</x:f>
      </x:c>
      <x:c r="B47" s="76"/>
      <x:c r="C47" s="76"/>
      <x:c r="D47" s="76"/>
      <x:c r="E47" s="76"/>
      <x:c r="F47" s="76"/>
      <x:c r="G47" s="78"/>
      <x:c r="H47" s="78"/>
      <x:c r="I47" s="81"/>
      <x:c r="J47" s="81"/>
      <x:c r="K47" s="81" t="str">
        <x:f>IF(I47="","",MAX(0,I47-J47))</x:f>
      </x:c>
      <x:c r="L47" s="84"/>
      <x:c r="M47" s="76"/>
      <x:c r="N47" s="76"/>
      <x:c r="O47" s="76"/>
      <x:c r="P47" s="76"/>
      <x:c r="Q47" s="76"/>
      <x:c r="R47" s="78" t="str">
        <x:f>IF(B47="","",TODAY())</x:f>
      </x:c>
      <x:c r="S47" s="76"/>
      <x:c r="T47" s="76" t="str">
        <x:f>IF(B47="","",IF(OR(C47="",E47="",F47="",I47="",M47="",O47="",P47&lt;&gt;"Validé humainement"),"ALERTE: données/preuves/statut",IF(OR(I47&lt;0,J47&lt;0,L47&lt;0,L47&gt;1),"ALERTE: valeur anormale","OK")))</x:f>
      </x:c>
      <x:c r="U47" s="76" t="str">
        <x:f>IF(B47="","",IF(P47="Validé humainement","Oui","Non"))</x:f>
      </x:c>
    </x:row>
    <x:row r="48">
      <x:c r="A48" s="76" t="str">
        <x:f>IF(B48="","","PRJ-"&amp;TEXT(ROW()-4,"0000"))</x:f>
      </x:c>
      <x:c r="B48" s="76"/>
      <x:c r="C48" s="76"/>
      <x:c r="D48" s="76"/>
      <x:c r="E48" s="76"/>
      <x:c r="F48" s="76"/>
      <x:c r="G48" s="78"/>
      <x:c r="H48" s="78"/>
      <x:c r="I48" s="81"/>
      <x:c r="J48" s="81"/>
      <x:c r="K48" s="81" t="str">
        <x:f>IF(I48="","",MAX(0,I48-J48))</x:f>
      </x:c>
      <x:c r="L48" s="84"/>
      <x:c r="M48" s="76"/>
      <x:c r="N48" s="76"/>
      <x:c r="O48" s="76"/>
      <x:c r="P48" s="76"/>
      <x:c r="Q48" s="76"/>
      <x:c r="R48" s="78" t="str">
        <x:f>IF(B48="","",TODAY())</x:f>
      </x:c>
      <x:c r="S48" s="76"/>
      <x:c r="T48" s="76" t="str">
        <x:f>IF(B48="","",IF(OR(C48="",E48="",F48="",I48="",M48="",O48="",P48&lt;&gt;"Validé humainement"),"ALERTE: données/preuves/statut",IF(OR(I48&lt;0,J48&lt;0,L48&lt;0,L48&gt;1),"ALERTE: valeur anormale","OK")))</x:f>
      </x:c>
      <x:c r="U48" s="76" t="str">
        <x:f>IF(B48="","",IF(P48="Validé humainement","Oui","Non"))</x:f>
      </x:c>
    </x:row>
    <x:row r="49">
      <x:c r="A49" s="76" t="str">
        <x:f>IF(B49="","","PRJ-"&amp;TEXT(ROW()-4,"0000"))</x:f>
      </x:c>
      <x:c r="B49" s="76"/>
      <x:c r="C49" s="76"/>
      <x:c r="D49" s="76"/>
      <x:c r="E49" s="76"/>
      <x:c r="F49" s="76"/>
      <x:c r="G49" s="78"/>
      <x:c r="H49" s="78"/>
      <x:c r="I49" s="81"/>
      <x:c r="J49" s="81"/>
      <x:c r="K49" s="81" t="str">
        <x:f>IF(I49="","",MAX(0,I49-J49))</x:f>
      </x:c>
      <x:c r="L49" s="84"/>
      <x:c r="M49" s="76"/>
      <x:c r="N49" s="76"/>
      <x:c r="O49" s="76"/>
      <x:c r="P49" s="76"/>
      <x:c r="Q49" s="76"/>
      <x:c r="R49" s="78" t="str">
        <x:f>IF(B49="","",TODAY())</x:f>
      </x:c>
      <x:c r="S49" s="76"/>
      <x:c r="T49" s="76" t="str">
        <x:f>IF(B49="","",IF(OR(C49="",E49="",F49="",I49="",M49="",O49="",P49&lt;&gt;"Validé humainement"),"ALERTE: données/preuves/statut",IF(OR(I49&lt;0,J49&lt;0,L49&lt;0,L49&gt;1),"ALERTE: valeur anormale","OK")))</x:f>
      </x:c>
      <x:c r="U49" s="76" t="str">
        <x:f>IF(B49="","",IF(P49="Validé humainement","Oui","Non"))</x:f>
      </x:c>
    </x:row>
    <x:row r="50">
      <x:c r="A50" s="76" t="str">
        <x:f>IF(B50="","","PRJ-"&amp;TEXT(ROW()-4,"0000"))</x:f>
      </x:c>
      <x:c r="B50" s="76"/>
      <x:c r="C50" s="76"/>
      <x:c r="D50" s="76"/>
      <x:c r="E50" s="76"/>
      <x:c r="F50" s="76"/>
      <x:c r="G50" s="78"/>
      <x:c r="H50" s="78"/>
      <x:c r="I50" s="81"/>
      <x:c r="J50" s="81"/>
      <x:c r="K50" s="81" t="str">
        <x:f>IF(I50="","",MAX(0,I50-J50))</x:f>
      </x:c>
      <x:c r="L50" s="84"/>
      <x:c r="M50" s="76"/>
      <x:c r="N50" s="76"/>
      <x:c r="O50" s="76"/>
      <x:c r="P50" s="76"/>
      <x:c r="Q50" s="76"/>
      <x:c r="R50" s="78" t="str">
        <x:f>IF(B50="","",TODAY())</x:f>
      </x:c>
      <x:c r="S50" s="76"/>
      <x:c r="T50" s="76" t="str">
        <x:f>IF(B50="","",IF(OR(C50="",E50="",F50="",I50="",M50="",O50="",P50&lt;&gt;"Validé humainement"),"ALERTE: données/preuves/statut",IF(OR(I50&lt;0,J50&lt;0,L50&lt;0,L50&gt;1),"ALERTE: valeur anormale","OK")))</x:f>
      </x:c>
      <x:c r="U50" s="76" t="str">
        <x:f>IF(B50="","",IF(P50="Validé humainement","Oui","Non"))</x:f>
      </x:c>
    </x:row>
    <x:row r="51">
      <x:c r="A51" s="76" t="str">
        <x:f>IF(B51="","","PRJ-"&amp;TEXT(ROW()-4,"0000"))</x:f>
      </x:c>
      <x:c r="B51" s="76"/>
      <x:c r="C51" s="76"/>
      <x:c r="D51" s="76"/>
      <x:c r="E51" s="76"/>
      <x:c r="F51" s="76"/>
      <x:c r="G51" s="78"/>
      <x:c r="H51" s="78"/>
      <x:c r="I51" s="81"/>
      <x:c r="J51" s="81"/>
      <x:c r="K51" s="81" t="str">
        <x:f>IF(I51="","",MAX(0,I51-J51))</x:f>
      </x:c>
      <x:c r="L51" s="84"/>
      <x:c r="M51" s="76"/>
      <x:c r="N51" s="76"/>
      <x:c r="O51" s="76"/>
      <x:c r="P51" s="76"/>
      <x:c r="Q51" s="76"/>
      <x:c r="R51" s="78" t="str">
        <x:f>IF(B51="","",TODAY())</x:f>
      </x:c>
      <x:c r="S51" s="76"/>
      <x:c r="T51" s="76" t="str">
        <x:f>IF(B51="","",IF(OR(C51="",E51="",F51="",I51="",M51="",O51="",P51&lt;&gt;"Validé humainement"),"ALERTE: données/preuves/statut",IF(OR(I51&lt;0,J51&lt;0,L51&lt;0,L51&gt;1),"ALERTE: valeur anormale","OK")))</x:f>
      </x:c>
      <x:c r="U51" s="76" t="str">
        <x:f>IF(B51="","",IF(P51="Validé humainement","Oui","Non"))</x:f>
      </x:c>
    </x:row>
    <x:row r="52">
      <x:c r="A52" s="76" t="str">
        <x:f>IF(B52="","","PRJ-"&amp;TEXT(ROW()-4,"0000"))</x:f>
      </x:c>
      <x:c r="B52" s="76"/>
      <x:c r="C52" s="76"/>
      <x:c r="D52" s="76"/>
      <x:c r="E52" s="76"/>
      <x:c r="F52" s="76"/>
      <x:c r="G52" s="78"/>
      <x:c r="H52" s="78"/>
      <x:c r="I52" s="81"/>
      <x:c r="J52" s="81"/>
      <x:c r="K52" s="81" t="str">
        <x:f>IF(I52="","",MAX(0,I52-J52))</x:f>
      </x:c>
      <x:c r="L52" s="84"/>
      <x:c r="M52" s="76"/>
      <x:c r="N52" s="76"/>
      <x:c r="O52" s="76"/>
      <x:c r="P52" s="76"/>
      <x:c r="Q52" s="76"/>
      <x:c r="R52" s="78" t="str">
        <x:f>IF(B52="","",TODAY())</x:f>
      </x:c>
      <x:c r="S52" s="76"/>
      <x:c r="T52" s="76" t="str">
        <x:f>IF(B52="","",IF(OR(C52="",E52="",F52="",I52="",M52="",O52="",P52&lt;&gt;"Validé humainement"),"ALERTE: données/preuves/statut",IF(OR(I52&lt;0,J52&lt;0,L52&lt;0,L52&gt;1),"ALERTE: valeur anormale","OK")))</x:f>
      </x:c>
      <x:c r="U52" s="76" t="str">
        <x:f>IF(B52="","",IF(P52="Validé humainement","Oui","Non"))</x:f>
      </x:c>
    </x:row>
    <x:row r="53">
      <x:c r="A53" s="76" t="str">
        <x:f>IF(B53="","","PRJ-"&amp;TEXT(ROW()-4,"0000"))</x:f>
      </x:c>
      <x:c r="B53" s="76"/>
      <x:c r="C53" s="76"/>
      <x:c r="D53" s="76"/>
      <x:c r="E53" s="76"/>
      <x:c r="F53" s="76"/>
      <x:c r="G53" s="78"/>
      <x:c r="H53" s="78"/>
      <x:c r="I53" s="81"/>
      <x:c r="J53" s="81"/>
      <x:c r="K53" s="81" t="str">
        <x:f>IF(I53="","",MAX(0,I53-J53))</x:f>
      </x:c>
      <x:c r="L53" s="84"/>
      <x:c r="M53" s="76"/>
      <x:c r="N53" s="76"/>
      <x:c r="O53" s="76"/>
      <x:c r="P53" s="76"/>
      <x:c r="Q53" s="76"/>
      <x:c r="R53" s="78" t="str">
        <x:f>IF(B53="","",TODAY())</x:f>
      </x:c>
      <x:c r="S53" s="76"/>
      <x:c r="T53" s="76" t="str">
        <x:f>IF(B53="","",IF(OR(C53="",E53="",F53="",I53="",M53="",O53="",P53&lt;&gt;"Validé humainement"),"ALERTE: données/preuves/statut",IF(OR(I53&lt;0,J53&lt;0,L53&lt;0,L53&gt;1),"ALERTE: valeur anormale","OK")))</x:f>
      </x:c>
      <x:c r="U53" s="76" t="str">
        <x:f>IF(B53="","",IF(P53="Validé humainement","Oui","Non"))</x:f>
      </x:c>
    </x:row>
    <x:row r="54">
      <x:c r="A54" s="76" t="str">
        <x:f>IF(B54="","","PRJ-"&amp;TEXT(ROW()-4,"0000"))</x:f>
      </x:c>
      <x:c r="B54" s="76"/>
      <x:c r="C54" s="76"/>
      <x:c r="D54" s="76"/>
      <x:c r="E54" s="76"/>
      <x:c r="F54" s="76"/>
      <x:c r="G54" s="78"/>
      <x:c r="H54" s="78"/>
      <x:c r="I54" s="81"/>
      <x:c r="J54" s="81"/>
      <x:c r="K54" s="81" t="str">
        <x:f>IF(I54="","",MAX(0,I54-J54))</x:f>
      </x:c>
      <x:c r="L54" s="84"/>
      <x:c r="M54" s="76"/>
      <x:c r="N54" s="76"/>
      <x:c r="O54" s="76"/>
      <x:c r="P54" s="76"/>
      <x:c r="Q54" s="76"/>
      <x:c r="R54" s="78" t="str">
        <x:f>IF(B54="","",TODAY())</x:f>
      </x:c>
      <x:c r="S54" s="76"/>
      <x:c r="T54" s="76" t="str">
        <x:f>IF(B54="","",IF(OR(C54="",E54="",F54="",I54="",M54="",O54="",P54&lt;&gt;"Validé humainement"),"ALERTE: données/preuves/statut",IF(OR(I54&lt;0,J54&lt;0,L54&lt;0,L54&gt;1),"ALERTE: valeur anormale","OK")))</x:f>
      </x:c>
      <x:c r="U54" s="76" t="str">
        <x:f>IF(B54="","",IF(P54="Validé humainement","Oui","Non"))</x:f>
      </x:c>
    </x:row>
    <x:row r="55">
      <x:c r="A55" s="76" t="str">
        <x:f>IF(B55="","","PRJ-"&amp;TEXT(ROW()-4,"0000"))</x:f>
      </x:c>
      <x:c r="B55" s="76"/>
      <x:c r="C55" s="76"/>
      <x:c r="D55" s="76"/>
      <x:c r="E55" s="76"/>
      <x:c r="F55" s="76"/>
      <x:c r="G55" s="78"/>
      <x:c r="H55" s="78"/>
      <x:c r="I55" s="81"/>
      <x:c r="J55" s="81"/>
      <x:c r="K55" s="81" t="str">
        <x:f>IF(I55="","",MAX(0,I55-J55))</x:f>
      </x:c>
      <x:c r="L55" s="84"/>
      <x:c r="M55" s="76"/>
      <x:c r="N55" s="76"/>
      <x:c r="O55" s="76"/>
      <x:c r="P55" s="76"/>
      <x:c r="Q55" s="76"/>
      <x:c r="R55" s="78" t="str">
        <x:f>IF(B55="","",TODAY())</x:f>
      </x:c>
      <x:c r="S55" s="76"/>
      <x:c r="T55" s="76" t="str">
        <x:f>IF(B55="","",IF(OR(C55="",E55="",F55="",I55="",M55="",O55="",P55&lt;&gt;"Validé humainement"),"ALERTE: données/preuves/statut",IF(OR(I55&lt;0,J55&lt;0,L55&lt;0,L55&gt;1),"ALERTE: valeur anormale","OK")))</x:f>
      </x:c>
      <x:c r="U55" s="76" t="str">
        <x:f>IF(B55="","",IF(P55="Validé humainement","Oui","Non"))</x:f>
      </x:c>
    </x:row>
    <x:row r="56">
      <x:c r="A56" s="76" t="str">
        <x:f>IF(B56="","","PRJ-"&amp;TEXT(ROW()-4,"0000"))</x:f>
      </x:c>
      <x:c r="B56" s="76"/>
      <x:c r="C56" s="76"/>
      <x:c r="D56" s="76"/>
      <x:c r="E56" s="76"/>
      <x:c r="F56" s="76"/>
      <x:c r="G56" s="78"/>
      <x:c r="H56" s="78"/>
      <x:c r="I56" s="81"/>
      <x:c r="J56" s="81"/>
      <x:c r="K56" s="81" t="str">
        <x:f>IF(I56="","",MAX(0,I56-J56))</x:f>
      </x:c>
      <x:c r="L56" s="84"/>
      <x:c r="M56" s="76"/>
      <x:c r="N56" s="76"/>
      <x:c r="O56" s="76"/>
      <x:c r="P56" s="76"/>
      <x:c r="Q56" s="76"/>
      <x:c r="R56" s="78" t="str">
        <x:f>IF(B56="","",TODAY())</x:f>
      </x:c>
      <x:c r="S56" s="76"/>
      <x:c r="T56" s="76" t="str">
        <x:f>IF(B56="","",IF(OR(C56="",E56="",F56="",I56="",M56="",O56="",P56&lt;&gt;"Validé humainement"),"ALERTE: données/preuves/statut",IF(OR(I56&lt;0,J56&lt;0,L56&lt;0,L56&gt;1),"ALERTE: valeur anormale","OK")))</x:f>
      </x:c>
      <x:c r="U56" s="76" t="str">
        <x:f>IF(B56="","",IF(P56="Validé humainement","Oui","Non"))</x:f>
      </x:c>
    </x:row>
    <x:row r="57">
      <x:c r="A57" s="76" t="str">
        <x:f>IF(B57="","","PRJ-"&amp;TEXT(ROW()-4,"0000"))</x:f>
      </x:c>
      <x:c r="B57" s="76"/>
      <x:c r="C57" s="76"/>
      <x:c r="D57" s="76"/>
      <x:c r="E57" s="76"/>
      <x:c r="F57" s="76"/>
      <x:c r="G57" s="78"/>
      <x:c r="H57" s="78"/>
      <x:c r="I57" s="81"/>
      <x:c r="J57" s="81"/>
      <x:c r="K57" s="81" t="str">
        <x:f>IF(I57="","",MAX(0,I57-J57))</x:f>
      </x:c>
      <x:c r="L57" s="84"/>
      <x:c r="M57" s="76"/>
      <x:c r="N57" s="76"/>
      <x:c r="O57" s="76"/>
      <x:c r="P57" s="76"/>
      <x:c r="Q57" s="76"/>
      <x:c r="R57" s="78" t="str">
        <x:f>IF(B57="","",TODAY())</x:f>
      </x:c>
      <x:c r="S57" s="76"/>
      <x:c r="T57" s="76" t="str">
        <x:f>IF(B57="","",IF(OR(C57="",E57="",F57="",I57="",M57="",O57="",P57&lt;&gt;"Validé humainement"),"ALERTE: données/preuves/statut",IF(OR(I57&lt;0,J57&lt;0,L57&lt;0,L57&gt;1),"ALERTE: valeur anormale","OK")))</x:f>
      </x:c>
      <x:c r="U57" s="76" t="str">
        <x:f>IF(B57="","",IF(P57="Validé humainement","Oui","Non"))</x:f>
      </x:c>
    </x:row>
    <x:row r="58">
      <x:c r="A58" s="76" t="str">
        <x:f>IF(B58="","","PRJ-"&amp;TEXT(ROW()-4,"0000"))</x:f>
      </x:c>
      <x:c r="B58" s="76"/>
      <x:c r="C58" s="76"/>
      <x:c r="D58" s="76"/>
      <x:c r="E58" s="76"/>
      <x:c r="F58" s="76"/>
      <x:c r="G58" s="78"/>
      <x:c r="H58" s="78"/>
      <x:c r="I58" s="81"/>
      <x:c r="J58" s="81"/>
      <x:c r="K58" s="81" t="str">
        <x:f>IF(I58="","",MAX(0,I58-J58))</x:f>
      </x:c>
      <x:c r="L58" s="84"/>
      <x:c r="M58" s="76"/>
      <x:c r="N58" s="76"/>
      <x:c r="O58" s="76"/>
      <x:c r="P58" s="76"/>
      <x:c r="Q58" s="76"/>
      <x:c r="R58" s="78" t="str">
        <x:f>IF(B58="","",TODAY())</x:f>
      </x:c>
      <x:c r="S58" s="76"/>
      <x:c r="T58" s="76" t="str">
        <x:f>IF(B58="","",IF(OR(C58="",E58="",F58="",I58="",M58="",O58="",P58&lt;&gt;"Validé humainement"),"ALERTE: données/preuves/statut",IF(OR(I58&lt;0,J58&lt;0,L58&lt;0,L58&gt;1),"ALERTE: valeur anormale","OK")))</x:f>
      </x:c>
      <x:c r="U58" s="76" t="str">
        <x:f>IF(B58="","",IF(P58="Validé humainement","Oui","Non"))</x:f>
      </x:c>
    </x:row>
    <x:row r="59">
      <x:c r="A59" s="76" t="str">
        <x:f>IF(B59="","","PRJ-"&amp;TEXT(ROW()-4,"0000"))</x:f>
      </x:c>
      <x:c r="B59" s="76"/>
      <x:c r="C59" s="76"/>
      <x:c r="D59" s="76"/>
      <x:c r="E59" s="76"/>
      <x:c r="F59" s="76"/>
      <x:c r="G59" s="78"/>
      <x:c r="H59" s="78"/>
      <x:c r="I59" s="81"/>
      <x:c r="J59" s="81"/>
      <x:c r="K59" s="81" t="str">
        <x:f>IF(I59="","",MAX(0,I59-J59))</x:f>
      </x:c>
      <x:c r="L59" s="84"/>
      <x:c r="M59" s="76"/>
      <x:c r="N59" s="76"/>
      <x:c r="O59" s="76"/>
      <x:c r="P59" s="76"/>
      <x:c r="Q59" s="76"/>
      <x:c r="R59" s="78" t="str">
        <x:f>IF(B59="","",TODAY())</x:f>
      </x:c>
      <x:c r="S59" s="76"/>
      <x:c r="T59" s="76" t="str">
        <x:f>IF(B59="","",IF(OR(C59="",E59="",F59="",I59="",M59="",O59="",P59&lt;&gt;"Validé humainement"),"ALERTE: données/preuves/statut",IF(OR(I59&lt;0,J59&lt;0,L59&lt;0,L59&gt;1),"ALERTE: valeur anormale","OK")))</x:f>
      </x:c>
      <x:c r="U59" s="76" t="str">
        <x:f>IF(B59="","",IF(P59="Validé humainement","Oui","Non"))</x:f>
      </x:c>
    </x:row>
    <x:row r="60">
      <x:c r="A60" s="76" t="str">
        <x:f>IF(B60="","","PRJ-"&amp;TEXT(ROW()-4,"0000"))</x:f>
      </x:c>
      <x:c r="B60" s="76"/>
      <x:c r="C60" s="76"/>
      <x:c r="D60" s="76"/>
      <x:c r="E60" s="76"/>
      <x:c r="F60" s="76"/>
      <x:c r="G60" s="78"/>
      <x:c r="H60" s="78"/>
      <x:c r="I60" s="81"/>
      <x:c r="J60" s="81"/>
      <x:c r="K60" s="81" t="str">
        <x:f>IF(I60="","",MAX(0,I60-J60))</x:f>
      </x:c>
      <x:c r="L60" s="84"/>
      <x:c r="M60" s="76"/>
      <x:c r="N60" s="76"/>
      <x:c r="O60" s="76"/>
      <x:c r="P60" s="76"/>
      <x:c r="Q60" s="76"/>
      <x:c r="R60" s="78" t="str">
        <x:f>IF(B60="","",TODAY())</x:f>
      </x:c>
      <x:c r="S60" s="76"/>
      <x:c r="T60" s="76" t="str">
        <x:f>IF(B60="","",IF(OR(C60="",E60="",F60="",I60="",M60="",O60="",P60&lt;&gt;"Validé humainement"),"ALERTE: données/preuves/statut",IF(OR(I60&lt;0,J60&lt;0,L60&lt;0,L60&gt;1),"ALERTE: valeur anormale","OK")))</x:f>
      </x:c>
      <x:c r="U60" s="76" t="str">
        <x:f>IF(B60="","",IF(P60="Validé humainement","Oui","Non"))</x:f>
      </x:c>
    </x:row>
    <x:row r="61">
      <x:c r="A61" s="76" t="str">
        <x:f>IF(B61="","","PRJ-"&amp;TEXT(ROW()-4,"0000"))</x:f>
      </x:c>
      <x:c r="B61" s="76"/>
      <x:c r="C61" s="76"/>
      <x:c r="D61" s="76"/>
      <x:c r="E61" s="76"/>
      <x:c r="F61" s="76"/>
      <x:c r="G61" s="78"/>
      <x:c r="H61" s="78"/>
      <x:c r="I61" s="81"/>
      <x:c r="J61" s="81"/>
      <x:c r="K61" s="81" t="str">
        <x:f>IF(I61="","",MAX(0,I61-J61))</x:f>
      </x:c>
      <x:c r="L61" s="84"/>
      <x:c r="M61" s="76"/>
      <x:c r="N61" s="76"/>
      <x:c r="O61" s="76"/>
      <x:c r="P61" s="76"/>
      <x:c r="Q61" s="76"/>
      <x:c r="R61" s="78" t="str">
        <x:f>IF(B61="","",TODAY())</x:f>
      </x:c>
      <x:c r="S61" s="76"/>
      <x:c r="T61" s="76" t="str">
        <x:f>IF(B61="","",IF(OR(C61="",E61="",F61="",I61="",M61="",O61="",P61&lt;&gt;"Validé humainement"),"ALERTE: données/preuves/statut",IF(OR(I61&lt;0,J61&lt;0,L61&lt;0,L61&gt;1),"ALERTE: valeur anormale","OK")))</x:f>
      </x:c>
      <x:c r="U61" s="76" t="str">
        <x:f>IF(B61="","",IF(P61="Validé humainement","Oui","Non"))</x:f>
      </x:c>
    </x:row>
    <x:row r="62">
      <x:c r="A62" s="76" t="str">
        <x:f>IF(B62="","","PRJ-"&amp;TEXT(ROW()-4,"0000"))</x:f>
      </x:c>
      <x:c r="B62" s="76"/>
      <x:c r="C62" s="76"/>
      <x:c r="D62" s="76"/>
      <x:c r="E62" s="76"/>
      <x:c r="F62" s="76"/>
      <x:c r="G62" s="78"/>
      <x:c r="H62" s="78"/>
      <x:c r="I62" s="81"/>
      <x:c r="J62" s="81"/>
      <x:c r="K62" s="81" t="str">
        <x:f>IF(I62="","",MAX(0,I62-J62))</x:f>
      </x:c>
      <x:c r="L62" s="84"/>
      <x:c r="M62" s="76"/>
      <x:c r="N62" s="76"/>
      <x:c r="O62" s="76"/>
      <x:c r="P62" s="76"/>
      <x:c r="Q62" s="76"/>
      <x:c r="R62" s="78" t="str">
        <x:f>IF(B62="","",TODAY())</x:f>
      </x:c>
      <x:c r="S62" s="76"/>
      <x:c r="T62" s="76" t="str">
        <x:f>IF(B62="","",IF(OR(C62="",E62="",F62="",I62="",M62="",O62="",P62&lt;&gt;"Validé humainement"),"ALERTE: données/preuves/statut",IF(OR(I62&lt;0,J62&lt;0,L62&lt;0,L62&gt;1),"ALERTE: valeur anormale","OK")))</x:f>
      </x:c>
      <x:c r="U62" s="76" t="str">
        <x:f>IF(B62="","",IF(P62="Validé humainement","Oui","Non"))</x:f>
      </x:c>
    </x:row>
    <x:row r="63">
      <x:c r="A63" s="76" t="str">
        <x:f>IF(B63="","","PRJ-"&amp;TEXT(ROW()-4,"0000"))</x:f>
      </x:c>
      <x:c r="B63" s="76"/>
      <x:c r="C63" s="76"/>
      <x:c r="D63" s="76"/>
      <x:c r="E63" s="76"/>
      <x:c r="F63" s="76"/>
      <x:c r="G63" s="78"/>
      <x:c r="H63" s="78"/>
      <x:c r="I63" s="81"/>
      <x:c r="J63" s="81"/>
      <x:c r="K63" s="81" t="str">
        <x:f>IF(I63="","",MAX(0,I63-J63))</x:f>
      </x:c>
      <x:c r="L63" s="84"/>
      <x:c r="M63" s="76"/>
      <x:c r="N63" s="76"/>
      <x:c r="O63" s="76"/>
      <x:c r="P63" s="76"/>
      <x:c r="Q63" s="76"/>
      <x:c r="R63" s="78" t="str">
        <x:f>IF(B63="","",TODAY())</x:f>
      </x:c>
      <x:c r="S63" s="76"/>
      <x:c r="T63" s="76" t="str">
        <x:f>IF(B63="","",IF(OR(C63="",E63="",F63="",I63="",M63="",O63="",P63&lt;&gt;"Validé humainement"),"ALERTE: données/preuves/statut",IF(OR(I63&lt;0,J63&lt;0,L63&lt;0,L63&gt;1),"ALERTE: valeur anormale","OK")))</x:f>
      </x:c>
      <x:c r="U63" s="76" t="str">
        <x:f>IF(B63="","",IF(P63="Validé humainement","Oui","Non"))</x:f>
      </x:c>
    </x:row>
    <x:row r="64">
      <x:c r="A64" s="76" t="str">
        <x:f>IF(B64="","","PRJ-"&amp;TEXT(ROW()-4,"0000"))</x:f>
      </x:c>
      <x:c r="B64" s="76"/>
      <x:c r="C64" s="76"/>
      <x:c r="D64" s="76"/>
      <x:c r="E64" s="76"/>
      <x:c r="F64" s="76"/>
      <x:c r="G64" s="78"/>
      <x:c r="H64" s="78"/>
      <x:c r="I64" s="81"/>
      <x:c r="J64" s="81"/>
      <x:c r="K64" s="81" t="str">
        <x:f>IF(I64="","",MAX(0,I64-J64))</x:f>
      </x:c>
      <x:c r="L64" s="84"/>
      <x:c r="M64" s="76"/>
      <x:c r="N64" s="76"/>
      <x:c r="O64" s="76"/>
      <x:c r="P64" s="76"/>
      <x:c r="Q64" s="76"/>
      <x:c r="R64" s="78" t="str">
        <x:f>IF(B64="","",TODAY())</x:f>
      </x:c>
      <x:c r="S64" s="76"/>
      <x:c r="T64" s="76" t="str">
        <x:f>IF(B64="","",IF(OR(C64="",E64="",F64="",I64="",M64="",O64="",P64&lt;&gt;"Validé humainement"),"ALERTE: données/preuves/statut",IF(OR(I64&lt;0,J64&lt;0,L64&lt;0,L64&gt;1),"ALERTE: valeur anormale","OK")))</x:f>
      </x:c>
      <x:c r="U64" s="76" t="str">
        <x:f>IF(B64="","",IF(P64="Validé humainement","Oui","Non"))</x:f>
      </x:c>
    </x:row>
    <x:row r="65">
      <x:c r="A65" s="76" t="str">
        <x:f>IF(B65="","","PRJ-"&amp;TEXT(ROW()-4,"0000"))</x:f>
      </x:c>
      <x:c r="B65" s="76"/>
      <x:c r="C65" s="76"/>
      <x:c r="D65" s="76"/>
      <x:c r="E65" s="76"/>
      <x:c r="F65" s="76"/>
      <x:c r="G65" s="78"/>
      <x:c r="H65" s="78"/>
      <x:c r="I65" s="81"/>
      <x:c r="J65" s="81"/>
      <x:c r="K65" s="81" t="str">
        <x:f>IF(I65="","",MAX(0,I65-J65))</x:f>
      </x:c>
      <x:c r="L65" s="84"/>
      <x:c r="M65" s="76"/>
      <x:c r="N65" s="76"/>
      <x:c r="O65" s="76"/>
      <x:c r="P65" s="76"/>
      <x:c r="Q65" s="76"/>
      <x:c r="R65" s="78" t="str">
        <x:f>IF(B65="","",TODAY())</x:f>
      </x:c>
      <x:c r="S65" s="76"/>
      <x:c r="T65" s="76" t="str">
        <x:f>IF(B65="","",IF(OR(C65="",E65="",F65="",I65="",M65="",O65="",P65&lt;&gt;"Validé humainement"),"ALERTE: données/preuves/statut",IF(OR(I65&lt;0,J65&lt;0,L65&lt;0,L65&gt;1),"ALERTE: valeur anormale","OK")))</x:f>
      </x:c>
      <x:c r="U65" s="76" t="str">
        <x:f>IF(B65="","",IF(P65="Validé humainement","Oui","Non"))</x:f>
      </x:c>
    </x:row>
    <x:row r="66">
      <x:c r="A66" s="76" t="str">
        <x:f>IF(B66="","","PRJ-"&amp;TEXT(ROW()-4,"0000"))</x:f>
      </x:c>
      <x:c r="B66" s="76"/>
      <x:c r="C66" s="76"/>
      <x:c r="D66" s="76"/>
      <x:c r="E66" s="76"/>
      <x:c r="F66" s="76"/>
      <x:c r="G66" s="78"/>
      <x:c r="H66" s="78"/>
      <x:c r="I66" s="81"/>
      <x:c r="J66" s="81"/>
      <x:c r="K66" s="81" t="str">
        <x:f>IF(I66="","",MAX(0,I66-J66))</x:f>
      </x:c>
      <x:c r="L66" s="84"/>
      <x:c r="M66" s="76"/>
      <x:c r="N66" s="76"/>
      <x:c r="O66" s="76"/>
      <x:c r="P66" s="76"/>
      <x:c r="Q66" s="76"/>
      <x:c r="R66" s="78" t="str">
        <x:f>IF(B66="","",TODAY())</x:f>
      </x:c>
      <x:c r="S66" s="76"/>
      <x:c r="T66" s="76" t="str">
        <x:f>IF(B66="","",IF(OR(C66="",E66="",F66="",I66="",M66="",O66="",P66&lt;&gt;"Validé humainement"),"ALERTE: données/preuves/statut",IF(OR(I66&lt;0,J66&lt;0,L66&lt;0,L66&gt;1),"ALERTE: valeur anormale","OK")))</x:f>
      </x:c>
      <x:c r="U66" s="76" t="str">
        <x:f>IF(B66="","",IF(P66="Validé humainement","Oui","Non"))</x:f>
      </x:c>
    </x:row>
    <x:row r="67">
      <x:c r="A67" s="76" t="str">
        <x:f>IF(B67="","","PRJ-"&amp;TEXT(ROW()-4,"0000"))</x:f>
      </x:c>
      <x:c r="B67" s="76"/>
      <x:c r="C67" s="76"/>
      <x:c r="D67" s="76"/>
      <x:c r="E67" s="76"/>
      <x:c r="F67" s="76"/>
      <x:c r="G67" s="78"/>
      <x:c r="H67" s="78"/>
      <x:c r="I67" s="81"/>
      <x:c r="J67" s="81"/>
      <x:c r="K67" s="81" t="str">
        <x:f>IF(I67="","",MAX(0,I67-J67))</x:f>
      </x:c>
      <x:c r="L67" s="84"/>
      <x:c r="M67" s="76"/>
      <x:c r="N67" s="76"/>
      <x:c r="O67" s="76"/>
      <x:c r="P67" s="76"/>
      <x:c r="Q67" s="76"/>
      <x:c r="R67" s="78" t="str">
        <x:f>IF(B67="","",TODAY())</x:f>
      </x:c>
      <x:c r="S67" s="76"/>
      <x:c r="T67" s="76" t="str">
        <x:f>IF(B67="","",IF(OR(C67="",E67="",F67="",I67="",M67="",O67="",P67&lt;&gt;"Validé humainement"),"ALERTE: données/preuves/statut",IF(OR(I67&lt;0,J67&lt;0,L67&lt;0,L67&gt;1),"ALERTE: valeur anormale","OK")))</x:f>
      </x:c>
      <x:c r="U67" s="76" t="str">
        <x:f>IF(B67="","",IF(P67="Validé humainement","Oui","Non"))</x:f>
      </x:c>
    </x:row>
    <x:row r="68">
      <x:c r="A68" s="76" t="str">
        <x:f>IF(B68="","","PRJ-"&amp;TEXT(ROW()-4,"0000"))</x:f>
      </x:c>
      <x:c r="B68" s="76"/>
      <x:c r="C68" s="76"/>
      <x:c r="D68" s="76"/>
      <x:c r="E68" s="76"/>
      <x:c r="F68" s="76"/>
      <x:c r="G68" s="78"/>
      <x:c r="H68" s="78"/>
      <x:c r="I68" s="81"/>
      <x:c r="J68" s="81"/>
      <x:c r="K68" s="81" t="str">
        <x:f>IF(I68="","",MAX(0,I68-J68))</x:f>
      </x:c>
      <x:c r="L68" s="84"/>
      <x:c r="M68" s="76"/>
      <x:c r="N68" s="76"/>
      <x:c r="O68" s="76"/>
      <x:c r="P68" s="76"/>
      <x:c r="Q68" s="76"/>
      <x:c r="R68" s="78" t="str">
        <x:f>IF(B68="","",TODAY())</x:f>
      </x:c>
      <x:c r="S68" s="76"/>
      <x:c r="T68" s="76" t="str">
        <x:f>IF(B68="","",IF(OR(C68="",E68="",F68="",I68="",M68="",O68="",P68&lt;&gt;"Validé humainement"),"ALERTE: données/preuves/statut",IF(OR(I68&lt;0,J68&lt;0,L68&lt;0,L68&gt;1),"ALERTE: valeur anormale","OK")))</x:f>
      </x:c>
      <x:c r="U68" s="76" t="str">
        <x:f>IF(B68="","",IF(P68="Validé humainement","Oui","Non"))</x:f>
      </x:c>
    </x:row>
    <x:row r="69">
      <x:c r="A69" s="76" t="str">
        <x:f>IF(B69="","","PRJ-"&amp;TEXT(ROW()-4,"0000"))</x:f>
      </x:c>
      <x:c r="B69" s="76"/>
      <x:c r="C69" s="76"/>
      <x:c r="D69" s="76"/>
      <x:c r="E69" s="76"/>
      <x:c r="F69" s="76"/>
      <x:c r="G69" s="78"/>
      <x:c r="H69" s="78"/>
      <x:c r="I69" s="81"/>
      <x:c r="J69" s="81"/>
      <x:c r="K69" s="81" t="str">
        <x:f>IF(I69="","",MAX(0,I69-J69))</x:f>
      </x:c>
      <x:c r="L69" s="84"/>
      <x:c r="M69" s="76"/>
      <x:c r="N69" s="76"/>
      <x:c r="O69" s="76"/>
      <x:c r="P69" s="76"/>
      <x:c r="Q69" s="76"/>
      <x:c r="R69" s="78" t="str">
        <x:f>IF(B69="","",TODAY())</x:f>
      </x:c>
      <x:c r="S69" s="76"/>
      <x:c r="T69" s="76" t="str">
        <x:f>IF(B69="","",IF(OR(C69="",E69="",F69="",I69="",M69="",O69="",P69&lt;&gt;"Validé humainement"),"ALERTE: données/preuves/statut",IF(OR(I69&lt;0,J69&lt;0,L69&lt;0,L69&gt;1),"ALERTE: valeur anormale","OK")))</x:f>
      </x:c>
      <x:c r="U69" s="76" t="str">
        <x:f>IF(B69="","",IF(P69="Validé humainement","Oui","Non"))</x:f>
      </x:c>
    </x:row>
    <x:row r="70">
      <x:c r="A70" s="76" t="str">
        <x:f>IF(B70="","","PRJ-"&amp;TEXT(ROW()-4,"0000"))</x:f>
      </x:c>
      <x:c r="B70" s="76"/>
      <x:c r="C70" s="76"/>
      <x:c r="D70" s="76"/>
      <x:c r="E70" s="76"/>
      <x:c r="F70" s="76"/>
      <x:c r="G70" s="78"/>
      <x:c r="H70" s="78"/>
      <x:c r="I70" s="81"/>
      <x:c r="J70" s="81"/>
      <x:c r="K70" s="81" t="str">
        <x:f>IF(I70="","",MAX(0,I70-J70))</x:f>
      </x:c>
      <x:c r="L70" s="84"/>
      <x:c r="M70" s="76"/>
      <x:c r="N70" s="76"/>
      <x:c r="O70" s="76"/>
      <x:c r="P70" s="76"/>
      <x:c r="Q70" s="76"/>
      <x:c r="R70" s="78" t="str">
        <x:f>IF(B70="","",TODAY())</x:f>
      </x:c>
      <x:c r="S70" s="76"/>
      <x:c r="T70" s="76" t="str">
        <x:f>IF(B70="","",IF(OR(C70="",E70="",F70="",I70="",M70="",O70="",P70&lt;&gt;"Validé humainement"),"ALERTE: données/preuves/statut",IF(OR(I70&lt;0,J70&lt;0,L70&lt;0,L70&gt;1),"ALERTE: valeur anormale","OK")))</x:f>
      </x:c>
      <x:c r="U70" s="76" t="str">
        <x:f>IF(B70="","",IF(P70="Validé humainement","Oui","Non"))</x:f>
      </x:c>
    </x:row>
    <x:row r="71">
      <x:c r="A71" s="76" t="str">
        <x:f>IF(B71="","","PRJ-"&amp;TEXT(ROW()-4,"0000"))</x:f>
      </x:c>
      <x:c r="B71" s="76"/>
      <x:c r="C71" s="76"/>
      <x:c r="D71" s="76"/>
      <x:c r="E71" s="76"/>
      <x:c r="F71" s="76"/>
      <x:c r="G71" s="78"/>
      <x:c r="H71" s="78"/>
      <x:c r="I71" s="81"/>
      <x:c r="J71" s="81"/>
      <x:c r="K71" s="81" t="str">
        <x:f>IF(I71="","",MAX(0,I71-J71))</x:f>
      </x:c>
      <x:c r="L71" s="84"/>
      <x:c r="M71" s="76"/>
      <x:c r="N71" s="76"/>
      <x:c r="O71" s="76"/>
      <x:c r="P71" s="76"/>
      <x:c r="Q71" s="76"/>
      <x:c r="R71" s="78" t="str">
        <x:f>IF(B71="","",TODAY())</x:f>
      </x:c>
      <x:c r="S71" s="76"/>
      <x:c r="T71" s="76" t="str">
        <x:f>IF(B71="","",IF(OR(C71="",E71="",F71="",I71="",M71="",O71="",P71&lt;&gt;"Validé humainement"),"ALERTE: données/preuves/statut",IF(OR(I71&lt;0,J71&lt;0,L71&lt;0,L71&gt;1),"ALERTE: valeur anormale","OK")))</x:f>
      </x:c>
      <x:c r="U71" s="76" t="str">
        <x:f>IF(B71="","",IF(P71="Validé humainement","Oui","Non"))</x:f>
      </x:c>
    </x:row>
    <x:row r="72">
      <x:c r="A72" s="76" t="str">
        <x:f>IF(B72="","","PRJ-"&amp;TEXT(ROW()-4,"0000"))</x:f>
      </x:c>
      <x:c r="B72" s="76"/>
      <x:c r="C72" s="76"/>
      <x:c r="D72" s="76"/>
      <x:c r="E72" s="76"/>
      <x:c r="F72" s="76"/>
      <x:c r="G72" s="78"/>
      <x:c r="H72" s="78"/>
      <x:c r="I72" s="81"/>
      <x:c r="J72" s="81"/>
      <x:c r="K72" s="81" t="str">
        <x:f>IF(I72="","",MAX(0,I72-J72))</x:f>
      </x:c>
      <x:c r="L72" s="84"/>
      <x:c r="M72" s="76"/>
      <x:c r="N72" s="76"/>
      <x:c r="O72" s="76"/>
      <x:c r="P72" s="76"/>
      <x:c r="Q72" s="76"/>
      <x:c r="R72" s="78" t="str">
        <x:f>IF(B72="","",TODAY())</x:f>
      </x:c>
      <x:c r="S72" s="76"/>
      <x:c r="T72" s="76" t="str">
        <x:f>IF(B72="","",IF(OR(C72="",E72="",F72="",I72="",M72="",O72="",P72&lt;&gt;"Validé humainement"),"ALERTE: données/preuves/statut",IF(OR(I72&lt;0,J72&lt;0,L72&lt;0,L72&gt;1),"ALERTE: valeur anormale","OK")))</x:f>
      </x:c>
      <x:c r="U72" s="76" t="str">
        <x:f>IF(B72="","",IF(P72="Validé humainement","Oui","Non"))</x:f>
      </x:c>
    </x:row>
    <x:row r="73">
      <x:c r="A73" s="76" t="str">
        <x:f>IF(B73="","","PRJ-"&amp;TEXT(ROW()-4,"0000"))</x:f>
      </x:c>
      <x:c r="B73" s="76"/>
      <x:c r="C73" s="76"/>
      <x:c r="D73" s="76"/>
      <x:c r="E73" s="76"/>
      <x:c r="F73" s="76"/>
      <x:c r="G73" s="78"/>
      <x:c r="H73" s="78"/>
      <x:c r="I73" s="81"/>
      <x:c r="J73" s="81"/>
      <x:c r="K73" s="81" t="str">
        <x:f>IF(I73="","",MAX(0,I73-J73))</x:f>
      </x:c>
      <x:c r="L73" s="84"/>
      <x:c r="M73" s="76"/>
      <x:c r="N73" s="76"/>
      <x:c r="O73" s="76"/>
      <x:c r="P73" s="76"/>
      <x:c r="Q73" s="76"/>
      <x:c r="R73" s="78" t="str">
        <x:f>IF(B73="","",TODAY())</x:f>
      </x:c>
      <x:c r="S73" s="76"/>
      <x:c r="T73" s="76" t="str">
        <x:f>IF(B73="","",IF(OR(C73="",E73="",F73="",I73="",M73="",O73="",P73&lt;&gt;"Validé humainement"),"ALERTE: données/preuves/statut",IF(OR(I73&lt;0,J73&lt;0,L73&lt;0,L73&gt;1),"ALERTE: valeur anormale","OK")))</x:f>
      </x:c>
      <x:c r="U73" s="76" t="str">
        <x:f>IF(B73="","",IF(P73="Validé humainement","Oui","Non"))</x:f>
      </x:c>
    </x:row>
    <x:row r="74">
      <x:c r="A74" s="76" t="str">
        <x:f>IF(B74="","","PRJ-"&amp;TEXT(ROW()-4,"0000"))</x:f>
      </x:c>
      <x:c r="B74" s="76"/>
      <x:c r="C74" s="76"/>
      <x:c r="D74" s="76"/>
      <x:c r="E74" s="76"/>
      <x:c r="F74" s="76"/>
      <x:c r="G74" s="78"/>
      <x:c r="H74" s="78"/>
      <x:c r="I74" s="81"/>
      <x:c r="J74" s="81"/>
      <x:c r="K74" s="81" t="str">
        <x:f>IF(I74="","",MAX(0,I74-J74))</x:f>
      </x:c>
      <x:c r="L74" s="84"/>
      <x:c r="M74" s="76"/>
      <x:c r="N74" s="76"/>
      <x:c r="O74" s="76"/>
      <x:c r="P74" s="76"/>
      <x:c r="Q74" s="76"/>
      <x:c r="R74" s="78" t="str">
        <x:f>IF(B74="","",TODAY())</x:f>
      </x:c>
      <x:c r="S74" s="76"/>
      <x:c r="T74" s="76" t="str">
        <x:f>IF(B74="","",IF(OR(C74="",E74="",F74="",I74="",M74="",O74="",P74&lt;&gt;"Validé humainement"),"ALERTE: données/preuves/statut",IF(OR(I74&lt;0,J74&lt;0,L74&lt;0,L74&gt;1),"ALERTE: valeur anormale","OK")))</x:f>
      </x:c>
      <x:c r="U74" s="76" t="str">
        <x:f>IF(B74="","",IF(P74="Validé humainement","Oui","Non"))</x:f>
      </x:c>
    </x:row>
    <x:row r="75">
      <x:c r="A75" s="76" t="str">
        <x:f>IF(B75="","","PRJ-"&amp;TEXT(ROW()-4,"0000"))</x:f>
      </x:c>
      <x:c r="B75" s="76"/>
      <x:c r="C75" s="76"/>
      <x:c r="D75" s="76"/>
      <x:c r="E75" s="76"/>
      <x:c r="F75" s="76"/>
      <x:c r="G75" s="78"/>
      <x:c r="H75" s="78"/>
      <x:c r="I75" s="81"/>
      <x:c r="J75" s="81"/>
      <x:c r="K75" s="81" t="str">
        <x:f>IF(I75="","",MAX(0,I75-J75))</x:f>
      </x:c>
      <x:c r="L75" s="84"/>
      <x:c r="M75" s="76"/>
      <x:c r="N75" s="76"/>
      <x:c r="O75" s="76"/>
      <x:c r="P75" s="76"/>
      <x:c r="Q75" s="76"/>
      <x:c r="R75" s="78" t="str">
        <x:f>IF(B75="","",TODAY())</x:f>
      </x:c>
      <x:c r="S75" s="76"/>
      <x:c r="T75" s="76" t="str">
        <x:f>IF(B75="","",IF(OR(C75="",E75="",F75="",I75="",M75="",O75="",P75&lt;&gt;"Validé humainement"),"ALERTE: données/preuves/statut",IF(OR(I75&lt;0,J75&lt;0,L75&lt;0,L75&gt;1),"ALERTE: valeur anormale","OK")))</x:f>
      </x:c>
      <x:c r="U75" s="76" t="str">
        <x:f>IF(B75="","",IF(P75="Validé humainement","Oui","Non"))</x:f>
      </x:c>
    </x:row>
    <x:row r="76">
      <x:c r="A76" s="76" t="str">
        <x:f>IF(B76="","","PRJ-"&amp;TEXT(ROW()-4,"0000"))</x:f>
      </x:c>
      <x:c r="B76" s="76"/>
      <x:c r="C76" s="76"/>
      <x:c r="D76" s="76"/>
      <x:c r="E76" s="76"/>
      <x:c r="F76" s="76"/>
      <x:c r="G76" s="78"/>
      <x:c r="H76" s="78"/>
      <x:c r="I76" s="81"/>
      <x:c r="J76" s="81"/>
      <x:c r="K76" s="81" t="str">
        <x:f>IF(I76="","",MAX(0,I76-J76))</x:f>
      </x:c>
      <x:c r="L76" s="84"/>
      <x:c r="M76" s="76"/>
      <x:c r="N76" s="76"/>
      <x:c r="O76" s="76"/>
      <x:c r="P76" s="76"/>
      <x:c r="Q76" s="76"/>
      <x:c r="R76" s="78" t="str">
        <x:f>IF(B76="","",TODAY())</x:f>
      </x:c>
      <x:c r="S76" s="76"/>
      <x:c r="T76" s="76" t="str">
        <x:f>IF(B76="","",IF(OR(C76="",E76="",F76="",I76="",M76="",O76="",P76&lt;&gt;"Validé humainement"),"ALERTE: données/preuves/statut",IF(OR(I76&lt;0,J76&lt;0,L76&lt;0,L76&gt;1),"ALERTE: valeur anormale","OK")))</x:f>
      </x:c>
      <x:c r="U76" s="76" t="str">
        <x:f>IF(B76="","",IF(P76="Validé humainement","Oui","Non"))</x:f>
      </x:c>
    </x:row>
    <x:row r="77">
      <x:c r="A77" s="76" t="str">
        <x:f>IF(B77="","","PRJ-"&amp;TEXT(ROW()-4,"0000"))</x:f>
      </x:c>
      <x:c r="B77" s="76"/>
      <x:c r="C77" s="76"/>
      <x:c r="D77" s="76"/>
      <x:c r="E77" s="76"/>
      <x:c r="F77" s="76"/>
      <x:c r="G77" s="78"/>
      <x:c r="H77" s="78"/>
      <x:c r="I77" s="81"/>
      <x:c r="J77" s="81"/>
      <x:c r="K77" s="81" t="str">
        <x:f>IF(I77="","",MAX(0,I77-J77))</x:f>
      </x:c>
      <x:c r="L77" s="84"/>
      <x:c r="M77" s="76"/>
      <x:c r="N77" s="76"/>
      <x:c r="O77" s="76"/>
      <x:c r="P77" s="76"/>
      <x:c r="Q77" s="76"/>
      <x:c r="R77" s="78" t="str">
        <x:f>IF(B77="","",TODAY())</x:f>
      </x:c>
      <x:c r="S77" s="76"/>
      <x:c r="T77" s="76" t="str">
        <x:f>IF(B77="","",IF(OR(C77="",E77="",F77="",I77="",M77="",O77="",P77&lt;&gt;"Validé humainement"),"ALERTE: données/preuves/statut",IF(OR(I77&lt;0,J77&lt;0,L77&lt;0,L77&gt;1),"ALERTE: valeur anormale","OK")))</x:f>
      </x:c>
      <x:c r="U77" s="76" t="str">
        <x:f>IF(B77="","",IF(P77="Validé humainement","Oui","Non"))</x:f>
      </x:c>
    </x:row>
    <x:row r="78">
      <x:c r="A78" s="76" t="str">
        <x:f>IF(B78="","","PRJ-"&amp;TEXT(ROW()-4,"0000"))</x:f>
      </x:c>
      <x:c r="B78" s="76"/>
      <x:c r="C78" s="76"/>
      <x:c r="D78" s="76"/>
      <x:c r="E78" s="76"/>
      <x:c r="F78" s="76"/>
      <x:c r="G78" s="78"/>
      <x:c r="H78" s="78"/>
      <x:c r="I78" s="81"/>
      <x:c r="J78" s="81"/>
      <x:c r="K78" s="81" t="str">
        <x:f>IF(I78="","",MAX(0,I78-J78))</x:f>
      </x:c>
      <x:c r="L78" s="84"/>
      <x:c r="M78" s="76"/>
      <x:c r="N78" s="76"/>
      <x:c r="O78" s="76"/>
      <x:c r="P78" s="76"/>
      <x:c r="Q78" s="76"/>
      <x:c r="R78" s="78" t="str">
        <x:f>IF(B78="","",TODAY())</x:f>
      </x:c>
      <x:c r="S78" s="76"/>
      <x:c r="T78" s="76" t="str">
        <x:f>IF(B78="","",IF(OR(C78="",E78="",F78="",I78="",M78="",O78="",P78&lt;&gt;"Validé humainement"),"ALERTE: données/preuves/statut",IF(OR(I78&lt;0,J78&lt;0,L78&lt;0,L78&gt;1),"ALERTE: valeur anormale","OK")))</x:f>
      </x:c>
      <x:c r="U78" s="76" t="str">
        <x:f>IF(B78="","",IF(P78="Validé humainement","Oui","Non"))</x:f>
      </x:c>
    </x:row>
    <x:row r="79">
      <x:c r="A79" s="76" t="str">
        <x:f>IF(B79="","","PRJ-"&amp;TEXT(ROW()-4,"0000"))</x:f>
      </x:c>
      <x:c r="B79" s="76"/>
      <x:c r="C79" s="76"/>
      <x:c r="D79" s="76"/>
      <x:c r="E79" s="76"/>
      <x:c r="F79" s="76"/>
      <x:c r="G79" s="78"/>
      <x:c r="H79" s="78"/>
      <x:c r="I79" s="81"/>
      <x:c r="J79" s="81"/>
      <x:c r="K79" s="81" t="str">
        <x:f>IF(I79="","",MAX(0,I79-J79))</x:f>
      </x:c>
      <x:c r="L79" s="84"/>
      <x:c r="M79" s="76"/>
      <x:c r="N79" s="76"/>
      <x:c r="O79" s="76"/>
      <x:c r="P79" s="76"/>
      <x:c r="Q79" s="76"/>
      <x:c r="R79" s="78" t="str">
        <x:f>IF(B79="","",TODAY())</x:f>
      </x:c>
      <x:c r="S79" s="76"/>
      <x:c r="T79" s="76" t="str">
        <x:f>IF(B79="","",IF(OR(C79="",E79="",F79="",I79="",M79="",O79="",P79&lt;&gt;"Validé humainement"),"ALERTE: données/preuves/statut",IF(OR(I79&lt;0,J79&lt;0,L79&lt;0,L79&gt;1),"ALERTE: valeur anormale","OK")))</x:f>
      </x:c>
      <x:c r="U79" s="76" t="str">
        <x:f>IF(B79="","",IF(P79="Validé humainement","Oui","Non"))</x:f>
      </x:c>
    </x:row>
    <x:row r="80">
      <x:c r="A80" s="76" t="str">
        <x:f>IF(B80="","","PRJ-"&amp;TEXT(ROW()-4,"0000"))</x:f>
      </x:c>
      <x:c r="B80" s="76"/>
      <x:c r="C80" s="76"/>
      <x:c r="D80" s="76"/>
      <x:c r="E80" s="76"/>
      <x:c r="F80" s="76"/>
      <x:c r="G80" s="78"/>
      <x:c r="H80" s="78"/>
      <x:c r="I80" s="81"/>
      <x:c r="J80" s="81"/>
      <x:c r="K80" s="81" t="str">
        <x:f>IF(I80="","",MAX(0,I80-J80))</x:f>
      </x:c>
      <x:c r="L80" s="84"/>
      <x:c r="M80" s="76"/>
      <x:c r="N80" s="76"/>
      <x:c r="O80" s="76"/>
      <x:c r="P80" s="76"/>
      <x:c r="Q80" s="76"/>
      <x:c r="R80" s="78" t="str">
        <x:f>IF(B80="","",TODAY())</x:f>
      </x:c>
      <x:c r="S80" s="76"/>
      <x:c r="T80" s="76" t="str">
        <x:f>IF(B80="","",IF(OR(C80="",E80="",F80="",I80="",M80="",O80="",P80&lt;&gt;"Validé humainement"),"ALERTE: données/preuves/statut",IF(OR(I80&lt;0,J80&lt;0,L80&lt;0,L80&gt;1),"ALERTE: valeur anormale","OK")))</x:f>
      </x:c>
      <x:c r="U80" s="76" t="str">
        <x:f>IF(B80="","",IF(P80="Validé humainement","Oui","Non"))</x:f>
      </x:c>
    </x:row>
    <x:row r="81">
      <x:c r="A81" s="76" t="str">
        <x:f>IF(B81="","","PRJ-"&amp;TEXT(ROW()-4,"0000"))</x:f>
      </x:c>
      <x:c r="B81" s="76"/>
      <x:c r="C81" s="76"/>
      <x:c r="D81" s="76"/>
      <x:c r="E81" s="76"/>
      <x:c r="F81" s="76"/>
      <x:c r="G81" s="78"/>
      <x:c r="H81" s="78"/>
      <x:c r="I81" s="81"/>
      <x:c r="J81" s="81"/>
      <x:c r="K81" s="81" t="str">
        <x:f>IF(I81="","",MAX(0,I81-J81))</x:f>
      </x:c>
      <x:c r="L81" s="84"/>
      <x:c r="M81" s="76"/>
      <x:c r="N81" s="76"/>
      <x:c r="O81" s="76"/>
      <x:c r="P81" s="76"/>
      <x:c r="Q81" s="76"/>
      <x:c r="R81" s="78" t="str">
        <x:f>IF(B81="","",TODAY())</x:f>
      </x:c>
      <x:c r="S81" s="76"/>
      <x:c r="T81" s="76" t="str">
        <x:f>IF(B81="","",IF(OR(C81="",E81="",F81="",I81="",M81="",O81="",P81&lt;&gt;"Validé humainement"),"ALERTE: données/preuves/statut",IF(OR(I81&lt;0,J81&lt;0,L81&lt;0,L81&gt;1),"ALERTE: valeur anormale","OK")))</x:f>
      </x:c>
      <x:c r="U81" s="76" t="str">
        <x:f>IF(B81="","",IF(P81="Validé humainement","Oui","Non"))</x:f>
      </x:c>
    </x:row>
    <x:row r="82">
      <x:c r="A82" s="76" t="str">
        <x:f>IF(B82="","","PRJ-"&amp;TEXT(ROW()-4,"0000"))</x:f>
      </x:c>
      <x:c r="B82" s="76"/>
      <x:c r="C82" s="76"/>
      <x:c r="D82" s="76"/>
      <x:c r="E82" s="76"/>
      <x:c r="F82" s="76"/>
      <x:c r="G82" s="78"/>
      <x:c r="H82" s="78"/>
      <x:c r="I82" s="81"/>
      <x:c r="J82" s="81"/>
      <x:c r="K82" s="81" t="str">
        <x:f>IF(I82="","",MAX(0,I82-J82))</x:f>
      </x:c>
      <x:c r="L82" s="84"/>
      <x:c r="M82" s="76"/>
      <x:c r="N82" s="76"/>
      <x:c r="O82" s="76"/>
      <x:c r="P82" s="76"/>
      <x:c r="Q82" s="76"/>
      <x:c r="R82" s="78" t="str">
        <x:f>IF(B82="","",TODAY())</x:f>
      </x:c>
      <x:c r="S82" s="76"/>
      <x:c r="T82" s="76" t="str">
        <x:f>IF(B82="","",IF(OR(C82="",E82="",F82="",I82="",M82="",O82="",P82&lt;&gt;"Validé humainement"),"ALERTE: données/preuves/statut",IF(OR(I82&lt;0,J82&lt;0,L82&lt;0,L82&gt;1),"ALERTE: valeur anormale","OK")))</x:f>
      </x:c>
      <x:c r="U82" s="76" t="str">
        <x:f>IF(B82="","",IF(P82="Validé humainement","Oui","Non"))</x:f>
      </x:c>
    </x:row>
    <x:row r="83">
      <x:c r="A83" s="76" t="str">
        <x:f>IF(B83="","","PRJ-"&amp;TEXT(ROW()-4,"0000"))</x:f>
      </x:c>
      <x:c r="B83" s="76"/>
      <x:c r="C83" s="76"/>
      <x:c r="D83" s="76"/>
      <x:c r="E83" s="76"/>
      <x:c r="F83" s="76"/>
      <x:c r="G83" s="78"/>
      <x:c r="H83" s="78"/>
      <x:c r="I83" s="81"/>
      <x:c r="J83" s="81"/>
      <x:c r="K83" s="81" t="str">
        <x:f>IF(I83="","",MAX(0,I83-J83))</x:f>
      </x:c>
      <x:c r="L83" s="84"/>
      <x:c r="M83" s="76"/>
      <x:c r="N83" s="76"/>
      <x:c r="O83" s="76"/>
      <x:c r="P83" s="76"/>
      <x:c r="Q83" s="76"/>
      <x:c r="R83" s="78" t="str">
        <x:f>IF(B83="","",TODAY())</x:f>
      </x:c>
      <x:c r="S83" s="76"/>
      <x:c r="T83" s="76" t="str">
        <x:f>IF(B83="","",IF(OR(C83="",E83="",F83="",I83="",M83="",O83="",P83&lt;&gt;"Validé humainement"),"ALERTE: données/preuves/statut",IF(OR(I83&lt;0,J83&lt;0,L83&lt;0,L83&gt;1),"ALERTE: valeur anormale","OK")))</x:f>
      </x:c>
      <x:c r="U83" s="76" t="str">
        <x:f>IF(B83="","",IF(P83="Validé humainement","Oui","Non"))</x:f>
      </x:c>
    </x:row>
    <x:row r="84">
      <x:c r="A84" s="76" t="str">
        <x:f>IF(B84="","","PRJ-"&amp;TEXT(ROW()-4,"0000"))</x:f>
      </x:c>
      <x:c r="B84" s="76"/>
      <x:c r="C84" s="76"/>
      <x:c r="D84" s="76"/>
      <x:c r="E84" s="76"/>
      <x:c r="F84" s="76"/>
      <x:c r="G84" s="78"/>
      <x:c r="H84" s="78"/>
      <x:c r="I84" s="81"/>
      <x:c r="J84" s="81"/>
      <x:c r="K84" s="81" t="str">
        <x:f>IF(I84="","",MAX(0,I84-J84))</x:f>
      </x:c>
      <x:c r="L84" s="84"/>
      <x:c r="M84" s="76"/>
      <x:c r="N84" s="76"/>
      <x:c r="O84" s="76"/>
      <x:c r="P84" s="76"/>
      <x:c r="Q84" s="76"/>
      <x:c r="R84" s="78" t="str">
        <x:f>IF(B84="","",TODAY())</x:f>
      </x:c>
      <x:c r="S84" s="76"/>
      <x:c r="T84" s="76" t="str">
        <x:f>IF(B84="","",IF(OR(C84="",E84="",F84="",I84="",M84="",O84="",P84&lt;&gt;"Validé humainement"),"ALERTE: données/preuves/statut",IF(OR(I84&lt;0,J84&lt;0,L84&lt;0,L84&gt;1),"ALERTE: valeur anormale","OK")))</x:f>
      </x:c>
      <x:c r="U84" s="76" t="str">
        <x:f>IF(B84="","",IF(P84="Validé humainement","Oui","Non"))</x:f>
      </x:c>
    </x:row>
    <x:row r="85">
      <x:c r="A85" s="76" t="str">
        <x:f>IF(B85="","","PRJ-"&amp;TEXT(ROW()-4,"0000"))</x:f>
      </x:c>
      <x:c r="B85" s="76"/>
      <x:c r="C85" s="76"/>
      <x:c r="D85" s="76"/>
      <x:c r="E85" s="76"/>
      <x:c r="F85" s="76"/>
      <x:c r="G85" s="78"/>
      <x:c r="H85" s="78"/>
      <x:c r="I85" s="81"/>
      <x:c r="J85" s="81"/>
      <x:c r="K85" s="81" t="str">
        <x:f>IF(I85="","",MAX(0,I85-J85))</x:f>
      </x:c>
      <x:c r="L85" s="84"/>
      <x:c r="M85" s="76"/>
      <x:c r="N85" s="76"/>
      <x:c r="O85" s="76"/>
      <x:c r="P85" s="76"/>
      <x:c r="Q85" s="76"/>
      <x:c r="R85" s="78" t="str">
        <x:f>IF(B85="","",TODAY())</x:f>
      </x:c>
      <x:c r="S85" s="76"/>
      <x:c r="T85" s="76" t="str">
        <x:f>IF(B85="","",IF(OR(C85="",E85="",F85="",I85="",M85="",O85="",P85&lt;&gt;"Validé humainement"),"ALERTE: données/preuves/statut",IF(OR(I85&lt;0,J85&lt;0,L85&lt;0,L85&gt;1),"ALERTE: valeur anormale","OK")))</x:f>
      </x:c>
      <x:c r="U85" s="76" t="str">
        <x:f>IF(B85="","",IF(P85="Validé humainement","Oui","Non"))</x:f>
      </x:c>
    </x:row>
    <x:row r="86">
      <x:c r="A86" s="76" t="str">
        <x:f>IF(B86="","","PRJ-"&amp;TEXT(ROW()-4,"0000"))</x:f>
      </x:c>
      <x:c r="B86" s="76"/>
      <x:c r="C86" s="76"/>
      <x:c r="D86" s="76"/>
      <x:c r="E86" s="76"/>
      <x:c r="F86" s="76"/>
      <x:c r="G86" s="78"/>
      <x:c r="H86" s="78"/>
      <x:c r="I86" s="81"/>
      <x:c r="J86" s="81"/>
      <x:c r="K86" s="81" t="str">
        <x:f>IF(I86="","",MAX(0,I86-J86))</x:f>
      </x:c>
      <x:c r="L86" s="84"/>
      <x:c r="M86" s="76"/>
      <x:c r="N86" s="76"/>
      <x:c r="O86" s="76"/>
      <x:c r="P86" s="76"/>
      <x:c r="Q86" s="76"/>
      <x:c r="R86" s="78" t="str">
        <x:f>IF(B86="","",TODAY())</x:f>
      </x:c>
      <x:c r="S86" s="76"/>
      <x:c r="T86" s="76" t="str">
        <x:f>IF(B86="","",IF(OR(C86="",E86="",F86="",I86="",M86="",O86="",P86&lt;&gt;"Validé humainement"),"ALERTE: données/preuves/statut",IF(OR(I86&lt;0,J86&lt;0,L86&lt;0,L86&gt;1),"ALERTE: valeur anormale","OK")))</x:f>
      </x:c>
      <x:c r="U86" s="76" t="str">
        <x:f>IF(B86="","",IF(P86="Validé humainement","Oui","Non"))</x:f>
      </x:c>
    </x:row>
    <x:row r="87">
      <x:c r="A87" s="76" t="str">
        <x:f>IF(B87="","","PRJ-"&amp;TEXT(ROW()-4,"0000"))</x:f>
      </x:c>
      <x:c r="B87" s="76"/>
      <x:c r="C87" s="76"/>
      <x:c r="D87" s="76"/>
      <x:c r="E87" s="76"/>
      <x:c r="F87" s="76"/>
      <x:c r="G87" s="78"/>
      <x:c r="H87" s="78"/>
      <x:c r="I87" s="81"/>
      <x:c r="J87" s="81"/>
      <x:c r="K87" s="81" t="str">
        <x:f>IF(I87="","",MAX(0,I87-J87))</x:f>
      </x:c>
      <x:c r="L87" s="84"/>
      <x:c r="M87" s="76"/>
      <x:c r="N87" s="76"/>
      <x:c r="O87" s="76"/>
      <x:c r="P87" s="76"/>
      <x:c r="Q87" s="76"/>
      <x:c r="R87" s="78" t="str">
        <x:f>IF(B87="","",TODAY())</x:f>
      </x:c>
      <x:c r="S87" s="76"/>
      <x:c r="T87" s="76" t="str">
        <x:f>IF(B87="","",IF(OR(C87="",E87="",F87="",I87="",M87="",O87="",P87&lt;&gt;"Validé humainement"),"ALERTE: données/preuves/statut",IF(OR(I87&lt;0,J87&lt;0,L87&lt;0,L87&gt;1),"ALERTE: valeur anormale","OK")))</x:f>
      </x:c>
      <x:c r="U87" s="76" t="str">
        <x:f>IF(B87="","",IF(P87="Validé humainement","Oui","Non"))</x:f>
      </x:c>
    </x:row>
    <x:row r="88">
      <x:c r="A88" s="76" t="str">
        <x:f>IF(B88="","","PRJ-"&amp;TEXT(ROW()-4,"0000"))</x:f>
      </x:c>
      <x:c r="B88" s="76"/>
      <x:c r="C88" s="76"/>
      <x:c r="D88" s="76"/>
      <x:c r="E88" s="76"/>
      <x:c r="F88" s="76"/>
      <x:c r="G88" s="78"/>
      <x:c r="H88" s="78"/>
      <x:c r="I88" s="81"/>
      <x:c r="J88" s="81"/>
      <x:c r="K88" s="81" t="str">
        <x:f>IF(I88="","",MAX(0,I88-J88))</x:f>
      </x:c>
      <x:c r="L88" s="84"/>
      <x:c r="M88" s="76"/>
      <x:c r="N88" s="76"/>
      <x:c r="O88" s="76"/>
      <x:c r="P88" s="76"/>
      <x:c r="Q88" s="76"/>
      <x:c r="R88" s="78" t="str">
        <x:f>IF(B88="","",TODAY())</x:f>
      </x:c>
      <x:c r="S88" s="76"/>
      <x:c r="T88" s="76" t="str">
        <x:f>IF(B88="","",IF(OR(C88="",E88="",F88="",I88="",M88="",O88="",P88&lt;&gt;"Validé humainement"),"ALERTE: données/preuves/statut",IF(OR(I88&lt;0,J88&lt;0,L88&lt;0,L88&gt;1),"ALERTE: valeur anormale","OK")))</x:f>
      </x:c>
      <x:c r="U88" s="76" t="str">
        <x:f>IF(B88="","",IF(P88="Validé humainement","Oui","Non"))</x:f>
      </x:c>
    </x:row>
    <x:row r="89">
      <x:c r="A89" s="76" t="str">
        <x:f>IF(B89="","","PRJ-"&amp;TEXT(ROW()-4,"0000"))</x:f>
      </x:c>
      <x:c r="B89" s="76"/>
      <x:c r="C89" s="76"/>
      <x:c r="D89" s="76"/>
      <x:c r="E89" s="76"/>
      <x:c r="F89" s="76"/>
      <x:c r="G89" s="78"/>
      <x:c r="H89" s="78"/>
      <x:c r="I89" s="81"/>
      <x:c r="J89" s="81"/>
      <x:c r="K89" s="81" t="str">
        <x:f>IF(I89="","",MAX(0,I89-J89))</x:f>
      </x:c>
      <x:c r="L89" s="84"/>
      <x:c r="M89" s="76"/>
      <x:c r="N89" s="76"/>
      <x:c r="O89" s="76"/>
      <x:c r="P89" s="76"/>
      <x:c r="Q89" s="76"/>
      <x:c r="R89" s="78" t="str">
        <x:f>IF(B89="","",TODAY())</x:f>
      </x:c>
      <x:c r="S89" s="76"/>
      <x:c r="T89" s="76" t="str">
        <x:f>IF(B89="","",IF(OR(C89="",E89="",F89="",I89="",M89="",O89="",P89&lt;&gt;"Validé humainement"),"ALERTE: données/preuves/statut",IF(OR(I89&lt;0,J89&lt;0,L89&lt;0,L89&gt;1),"ALERTE: valeur anormale","OK")))</x:f>
      </x:c>
      <x:c r="U89" s="76" t="str">
        <x:f>IF(B89="","",IF(P89="Validé humainement","Oui","Non"))</x:f>
      </x:c>
    </x:row>
    <x:row r="90">
      <x:c r="A90" s="76" t="str">
        <x:f>IF(B90="","","PRJ-"&amp;TEXT(ROW()-4,"0000"))</x:f>
      </x:c>
      <x:c r="B90" s="76"/>
      <x:c r="C90" s="76"/>
      <x:c r="D90" s="76"/>
      <x:c r="E90" s="76"/>
      <x:c r="F90" s="76"/>
      <x:c r="G90" s="78"/>
      <x:c r="H90" s="78"/>
      <x:c r="I90" s="81"/>
      <x:c r="J90" s="81"/>
      <x:c r="K90" s="81" t="str">
        <x:f>IF(I90="","",MAX(0,I90-J90))</x:f>
      </x:c>
      <x:c r="L90" s="84"/>
      <x:c r="M90" s="76"/>
      <x:c r="N90" s="76"/>
      <x:c r="O90" s="76"/>
      <x:c r="P90" s="76"/>
      <x:c r="Q90" s="76"/>
      <x:c r="R90" s="78" t="str">
        <x:f>IF(B90="","",TODAY())</x:f>
      </x:c>
      <x:c r="S90" s="76"/>
      <x:c r="T90" s="76" t="str">
        <x:f>IF(B90="","",IF(OR(C90="",E90="",F90="",I90="",M90="",O90="",P90&lt;&gt;"Validé humainement"),"ALERTE: données/preuves/statut",IF(OR(I90&lt;0,J90&lt;0,L90&lt;0,L90&gt;1),"ALERTE: valeur anormale","OK")))</x:f>
      </x:c>
      <x:c r="U90" s="76" t="str">
        <x:f>IF(B90="","",IF(P90="Validé humainement","Oui","Non"))</x:f>
      </x:c>
    </x:row>
    <x:row r="91">
      <x:c r="A91" s="76" t="str">
        <x:f>IF(B91="","","PRJ-"&amp;TEXT(ROW()-4,"0000"))</x:f>
      </x:c>
      <x:c r="B91" s="76"/>
      <x:c r="C91" s="76"/>
      <x:c r="D91" s="76"/>
      <x:c r="E91" s="76"/>
      <x:c r="F91" s="76"/>
      <x:c r="G91" s="78"/>
      <x:c r="H91" s="78"/>
      <x:c r="I91" s="81"/>
      <x:c r="J91" s="81"/>
      <x:c r="K91" s="81" t="str">
        <x:f>IF(I91="","",MAX(0,I91-J91))</x:f>
      </x:c>
      <x:c r="L91" s="84"/>
      <x:c r="M91" s="76"/>
      <x:c r="N91" s="76"/>
      <x:c r="O91" s="76"/>
      <x:c r="P91" s="76"/>
      <x:c r="Q91" s="76"/>
      <x:c r="R91" s="78" t="str">
        <x:f>IF(B91="","",TODAY())</x:f>
      </x:c>
      <x:c r="S91" s="76"/>
      <x:c r="T91" s="76" t="str">
        <x:f>IF(B91="","",IF(OR(C91="",E91="",F91="",I91="",M91="",O91="",P91&lt;&gt;"Validé humainement"),"ALERTE: données/preuves/statut",IF(OR(I91&lt;0,J91&lt;0,L91&lt;0,L91&gt;1),"ALERTE: valeur anormale","OK")))</x:f>
      </x:c>
      <x:c r="U91" s="76" t="str">
        <x:f>IF(B91="","",IF(P91="Validé humainement","Oui","Non"))</x:f>
      </x:c>
    </x:row>
    <x:row r="92">
      <x:c r="A92" s="76" t="str">
        <x:f>IF(B92="","","PRJ-"&amp;TEXT(ROW()-4,"0000"))</x:f>
      </x:c>
      <x:c r="B92" s="76"/>
      <x:c r="C92" s="76"/>
      <x:c r="D92" s="76"/>
      <x:c r="E92" s="76"/>
      <x:c r="F92" s="76"/>
      <x:c r="G92" s="78"/>
      <x:c r="H92" s="78"/>
      <x:c r="I92" s="81"/>
      <x:c r="J92" s="81"/>
      <x:c r="K92" s="81" t="str">
        <x:f>IF(I92="","",MAX(0,I92-J92))</x:f>
      </x:c>
      <x:c r="L92" s="84"/>
      <x:c r="M92" s="76"/>
      <x:c r="N92" s="76"/>
      <x:c r="O92" s="76"/>
      <x:c r="P92" s="76"/>
      <x:c r="Q92" s="76"/>
      <x:c r="R92" s="78" t="str">
        <x:f>IF(B92="","",TODAY())</x:f>
      </x:c>
      <x:c r="S92" s="76"/>
      <x:c r="T92" s="76" t="str">
        <x:f>IF(B92="","",IF(OR(C92="",E92="",F92="",I92="",M92="",O92="",P92&lt;&gt;"Validé humainement"),"ALERTE: données/preuves/statut",IF(OR(I92&lt;0,J92&lt;0,L92&lt;0,L92&gt;1),"ALERTE: valeur anormale","OK")))</x:f>
      </x:c>
      <x:c r="U92" s="76" t="str">
        <x:f>IF(B92="","",IF(P92="Validé humainement","Oui","Non"))</x:f>
      </x:c>
    </x:row>
    <x:row r="93">
      <x:c r="A93" s="76" t="str">
        <x:f>IF(B93="","","PRJ-"&amp;TEXT(ROW()-4,"0000"))</x:f>
      </x:c>
      <x:c r="B93" s="76"/>
      <x:c r="C93" s="76"/>
      <x:c r="D93" s="76"/>
      <x:c r="E93" s="76"/>
      <x:c r="F93" s="76"/>
      <x:c r="G93" s="78"/>
      <x:c r="H93" s="78"/>
      <x:c r="I93" s="81"/>
      <x:c r="J93" s="81"/>
      <x:c r="K93" s="81" t="str">
        <x:f>IF(I93="","",MAX(0,I93-J93))</x:f>
      </x:c>
      <x:c r="L93" s="84"/>
      <x:c r="M93" s="76"/>
      <x:c r="N93" s="76"/>
      <x:c r="O93" s="76"/>
      <x:c r="P93" s="76"/>
      <x:c r="Q93" s="76"/>
      <x:c r="R93" s="78" t="str">
        <x:f>IF(B93="","",TODAY())</x:f>
      </x:c>
      <x:c r="S93" s="76"/>
      <x:c r="T93" s="76" t="str">
        <x:f>IF(B93="","",IF(OR(C93="",E93="",F93="",I93="",M93="",O93="",P93&lt;&gt;"Validé humainement"),"ALERTE: données/preuves/statut",IF(OR(I93&lt;0,J93&lt;0,L93&lt;0,L93&gt;1),"ALERTE: valeur anormale","OK")))</x:f>
      </x:c>
      <x:c r="U93" s="76" t="str">
        <x:f>IF(B93="","",IF(P93="Validé humainement","Oui","Non"))</x:f>
      </x:c>
    </x:row>
    <x:row r="94">
      <x:c r="A94" s="76" t="str">
        <x:f>IF(B94="","","PRJ-"&amp;TEXT(ROW()-4,"0000"))</x:f>
      </x:c>
      <x:c r="B94" s="76"/>
      <x:c r="C94" s="76"/>
      <x:c r="D94" s="76"/>
      <x:c r="E94" s="76"/>
      <x:c r="F94" s="76"/>
      <x:c r="G94" s="78"/>
      <x:c r="H94" s="78"/>
      <x:c r="I94" s="81"/>
      <x:c r="J94" s="81"/>
      <x:c r="K94" s="81" t="str">
        <x:f>IF(I94="","",MAX(0,I94-J94))</x:f>
      </x:c>
      <x:c r="L94" s="84"/>
      <x:c r="M94" s="76"/>
      <x:c r="N94" s="76"/>
      <x:c r="O94" s="76"/>
      <x:c r="P94" s="76"/>
      <x:c r="Q94" s="76"/>
      <x:c r="R94" s="78" t="str">
        <x:f>IF(B94="","",TODAY())</x:f>
      </x:c>
      <x:c r="S94" s="76"/>
      <x:c r="T94" s="76" t="str">
        <x:f>IF(B94="","",IF(OR(C94="",E94="",F94="",I94="",M94="",O94="",P94&lt;&gt;"Validé humainement"),"ALERTE: données/preuves/statut",IF(OR(I94&lt;0,J94&lt;0,L94&lt;0,L94&gt;1),"ALERTE: valeur anormale","OK")))</x:f>
      </x:c>
      <x:c r="U94" s="76" t="str">
        <x:f>IF(B94="","",IF(P94="Validé humainement","Oui","Non"))</x:f>
      </x:c>
    </x:row>
    <x:row r="95">
      <x:c r="A95" s="76" t="str">
        <x:f>IF(B95="","","PRJ-"&amp;TEXT(ROW()-4,"0000"))</x:f>
      </x:c>
      <x:c r="B95" s="76"/>
      <x:c r="C95" s="76"/>
      <x:c r="D95" s="76"/>
      <x:c r="E95" s="76"/>
      <x:c r="F95" s="76"/>
      <x:c r="G95" s="78"/>
      <x:c r="H95" s="78"/>
      <x:c r="I95" s="81"/>
      <x:c r="J95" s="81"/>
      <x:c r="K95" s="81" t="str">
        <x:f>IF(I95="","",MAX(0,I95-J95))</x:f>
      </x:c>
      <x:c r="L95" s="84"/>
      <x:c r="M95" s="76"/>
      <x:c r="N95" s="76"/>
      <x:c r="O95" s="76"/>
      <x:c r="P95" s="76"/>
      <x:c r="Q95" s="76"/>
      <x:c r="R95" s="78" t="str">
        <x:f>IF(B95="","",TODAY())</x:f>
      </x:c>
      <x:c r="S95" s="76"/>
      <x:c r="T95" s="76" t="str">
        <x:f>IF(B95="","",IF(OR(C95="",E95="",F95="",I95="",M95="",O95="",P95&lt;&gt;"Validé humainement"),"ALERTE: données/preuves/statut",IF(OR(I95&lt;0,J95&lt;0,L95&lt;0,L95&gt;1),"ALERTE: valeur anormale","OK")))</x:f>
      </x:c>
      <x:c r="U95" s="76" t="str">
        <x:f>IF(B95="","",IF(P95="Validé humainement","Oui","Non"))</x:f>
      </x:c>
    </x:row>
    <x:row r="96">
      <x:c r="A96" s="76" t="str">
        <x:f>IF(B96="","","PRJ-"&amp;TEXT(ROW()-4,"0000"))</x:f>
      </x:c>
      <x:c r="B96" s="76"/>
      <x:c r="C96" s="76"/>
      <x:c r="D96" s="76"/>
      <x:c r="E96" s="76"/>
      <x:c r="F96" s="76"/>
      <x:c r="G96" s="78"/>
      <x:c r="H96" s="78"/>
      <x:c r="I96" s="81"/>
      <x:c r="J96" s="81"/>
      <x:c r="K96" s="81" t="str">
        <x:f>IF(I96="","",MAX(0,I96-J96))</x:f>
      </x:c>
      <x:c r="L96" s="84"/>
      <x:c r="M96" s="76"/>
      <x:c r="N96" s="76"/>
      <x:c r="O96" s="76"/>
      <x:c r="P96" s="76"/>
      <x:c r="Q96" s="76"/>
      <x:c r="R96" s="78" t="str">
        <x:f>IF(B96="","",TODAY())</x:f>
      </x:c>
      <x:c r="S96" s="76"/>
      <x:c r="T96" s="76" t="str">
        <x:f>IF(B96="","",IF(OR(C96="",E96="",F96="",I96="",M96="",O96="",P96&lt;&gt;"Validé humainement"),"ALERTE: données/preuves/statut",IF(OR(I96&lt;0,J96&lt;0,L96&lt;0,L96&gt;1),"ALERTE: valeur anormale","OK")))</x:f>
      </x:c>
      <x:c r="U96" s="76" t="str">
        <x:f>IF(B96="","",IF(P96="Validé humainement","Oui","Non"))</x:f>
      </x:c>
    </x:row>
    <x:row r="97">
      <x:c r="A97" s="76" t="str">
        <x:f>IF(B97="","","PRJ-"&amp;TEXT(ROW()-4,"0000"))</x:f>
      </x:c>
      <x:c r="B97" s="76"/>
      <x:c r="C97" s="76"/>
      <x:c r="D97" s="76"/>
      <x:c r="E97" s="76"/>
      <x:c r="F97" s="76"/>
      <x:c r="G97" s="78"/>
      <x:c r="H97" s="78"/>
      <x:c r="I97" s="81"/>
      <x:c r="J97" s="81"/>
      <x:c r="K97" s="81" t="str">
        <x:f>IF(I97="","",MAX(0,I97-J97))</x:f>
      </x:c>
      <x:c r="L97" s="84"/>
      <x:c r="M97" s="76"/>
      <x:c r="N97" s="76"/>
      <x:c r="O97" s="76"/>
      <x:c r="P97" s="76"/>
      <x:c r="Q97" s="76"/>
      <x:c r="R97" s="78" t="str">
        <x:f>IF(B97="","",TODAY())</x:f>
      </x:c>
      <x:c r="S97" s="76"/>
      <x:c r="T97" s="76" t="str">
        <x:f>IF(B97="","",IF(OR(C97="",E97="",F97="",I97="",M97="",O97="",P97&lt;&gt;"Validé humainement"),"ALERTE: données/preuves/statut",IF(OR(I97&lt;0,J97&lt;0,L97&lt;0,L97&gt;1),"ALERTE: valeur anormale","OK")))</x:f>
      </x:c>
      <x:c r="U97" s="76" t="str">
        <x:f>IF(B97="","",IF(P97="Validé humainement","Oui","Non"))</x:f>
      </x:c>
    </x:row>
    <x:row r="98">
      <x:c r="A98" s="76" t="str">
        <x:f>IF(B98="","","PRJ-"&amp;TEXT(ROW()-4,"0000"))</x:f>
      </x:c>
      <x:c r="B98" s="76"/>
      <x:c r="C98" s="76"/>
      <x:c r="D98" s="76"/>
      <x:c r="E98" s="76"/>
      <x:c r="F98" s="76"/>
      <x:c r="G98" s="78"/>
      <x:c r="H98" s="78"/>
      <x:c r="I98" s="81"/>
      <x:c r="J98" s="81"/>
      <x:c r="K98" s="81" t="str">
        <x:f>IF(I98="","",MAX(0,I98-J98))</x:f>
      </x:c>
      <x:c r="L98" s="84"/>
      <x:c r="M98" s="76"/>
      <x:c r="N98" s="76"/>
      <x:c r="O98" s="76"/>
      <x:c r="P98" s="76"/>
      <x:c r="Q98" s="76"/>
      <x:c r="R98" s="78" t="str">
        <x:f>IF(B98="","",TODAY())</x:f>
      </x:c>
      <x:c r="S98" s="76"/>
      <x:c r="T98" s="76" t="str">
        <x:f>IF(B98="","",IF(OR(C98="",E98="",F98="",I98="",M98="",O98="",P98&lt;&gt;"Validé humainement"),"ALERTE: données/preuves/statut",IF(OR(I98&lt;0,J98&lt;0,L98&lt;0,L98&gt;1),"ALERTE: valeur anormale","OK")))</x:f>
      </x:c>
      <x:c r="U98" s="76" t="str">
        <x:f>IF(B98="","",IF(P98="Validé humainement","Oui","Non"))</x:f>
      </x:c>
    </x:row>
    <x:row r="99">
      <x:c r="A99" s="76" t="str">
        <x:f>IF(B99="","","PRJ-"&amp;TEXT(ROW()-4,"0000"))</x:f>
      </x:c>
      <x:c r="B99" s="76"/>
      <x:c r="C99" s="76"/>
      <x:c r="D99" s="76"/>
      <x:c r="E99" s="76"/>
      <x:c r="F99" s="76"/>
      <x:c r="G99" s="78"/>
      <x:c r="H99" s="78"/>
      <x:c r="I99" s="81"/>
      <x:c r="J99" s="81"/>
      <x:c r="K99" s="81" t="str">
        <x:f>IF(I99="","",MAX(0,I99-J99))</x:f>
      </x:c>
      <x:c r="L99" s="84"/>
      <x:c r="M99" s="76"/>
      <x:c r="N99" s="76"/>
      <x:c r="O99" s="76"/>
      <x:c r="P99" s="76"/>
      <x:c r="Q99" s="76"/>
      <x:c r="R99" s="78" t="str">
        <x:f>IF(B99="","",TODAY())</x:f>
      </x:c>
      <x:c r="S99" s="76"/>
      <x:c r="T99" s="76" t="str">
        <x:f>IF(B99="","",IF(OR(C99="",E99="",F99="",I99="",M99="",O99="",P99&lt;&gt;"Validé humainement"),"ALERTE: données/preuves/statut",IF(OR(I99&lt;0,J99&lt;0,L99&lt;0,L99&gt;1),"ALERTE: valeur anormale","OK")))</x:f>
      </x:c>
      <x:c r="U99" s="76" t="str">
        <x:f>IF(B99="","",IF(P99="Validé humainement","Oui","Non"))</x:f>
      </x:c>
    </x:row>
    <x:row r="100">
      <x:c r="A100" s="76" t="str">
        <x:f>IF(B100="","","PRJ-"&amp;TEXT(ROW()-4,"0000"))</x:f>
      </x:c>
      <x:c r="B100" s="76"/>
      <x:c r="C100" s="76"/>
      <x:c r="D100" s="76"/>
      <x:c r="E100" s="76"/>
      <x:c r="F100" s="76"/>
      <x:c r="G100" s="78"/>
      <x:c r="H100" s="78"/>
      <x:c r="I100" s="81"/>
      <x:c r="J100" s="81"/>
      <x:c r="K100" s="81" t="str">
        <x:f>IF(I100="","",MAX(0,I100-J100))</x:f>
      </x:c>
      <x:c r="L100" s="84"/>
      <x:c r="M100" s="76"/>
      <x:c r="N100" s="76"/>
      <x:c r="O100" s="76"/>
      <x:c r="P100" s="76"/>
      <x:c r="Q100" s="76"/>
      <x:c r="R100" s="78" t="str">
        <x:f>IF(B100="","",TODAY())</x:f>
      </x:c>
      <x:c r="S100" s="76"/>
      <x:c r="T100" s="76" t="str">
        <x:f>IF(B100="","",IF(OR(C100="",E100="",F100="",I100="",M100="",O100="",P100&lt;&gt;"Validé humainement"),"ALERTE: données/preuves/statut",IF(OR(I100&lt;0,J100&lt;0,L100&lt;0,L100&gt;1),"ALERTE: valeur anormale","OK")))</x:f>
      </x:c>
      <x:c r="U100" s="76" t="str">
        <x:f>IF(B100="","",IF(P100="Validé humainement","Oui","Non"))</x:f>
      </x:c>
    </x:row>
    <x:row r="101">
      <x:c r="A101" s="76" t="str">
        <x:f>IF(B101="","","PRJ-"&amp;TEXT(ROW()-4,"0000"))</x:f>
      </x:c>
      <x:c r="B101" s="76"/>
      <x:c r="C101" s="76"/>
      <x:c r="D101" s="76"/>
      <x:c r="E101" s="76"/>
      <x:c r="F101" s="76"/>
      <x:c r="G101" s="78"/>
      <x:c r="H101" s="78"/>
      <x:c r="I101" s="81"/>
      <x:c r="J101" s="81"/>
      <x:c r="K101" s="81" t="str">
        <x:f>IF(I101="","",MAX(0,I101-J101))</x:f>
      </x:c>
      <x:c r="L101" s="84"/>
      <x:c r="M101" s="76"/>
      <x:c r="N101" s="76"/>
      <x:c r="O101" s="76"/>
      <x:c r="P101" s="76"/>
      <x:c r="Q101" s="76"/>
      <x:c r="R101" s="78" t="str">
        <x:f>IF(B101="","",TODAY())</x:f>
      </x:c>
      <x:c r="S101" s="76"/>
      <x:c r="T101" s="76" t="str">
        <x:f>IF(B101="","",IF(OR(C101="",E101="",F101="",I101="",M101="",O101="",P101&lt;&gt;"Validé humainement"),"ALERTE: données/preuves/statut",IF(OR(I101&lt;0,J101&lt;0,L101&lt;0,L101&gt;1),"ALERTE: valeur anormale","OK")))</x:f>
      </x:c>
      <x:c r="U101" s="76" t="str">
        <x:f>IF(B101="","",IF(P101="Validé humainement","Oui","Non"))</x:f>
      </x:c>
    </x:row>
    <x:row r="102">
      <x:c r="A102" s="76" t="str">
        <x:f>IF(B102="","","PRJ-"&amp;TEXT(ROW()-4,"0000"))</x:f>
      </x:c>
      <x:c r="B102" s="76"/>
      <x:c r="C102" s="76"/>
      <x:c r="D102" s="76"/>
      <x:c r="E102" s="76"/>
      <x:c r="F102" s="76"/>
      <x:c r="G102" s="78"/>
      <x:c r="H102" s="78"/>
      <x:c r="I102" s="81"/>
      <x:c r="J102" s="81"/>
      <x:c r="K102" s="81" t="str">
        <x:f>IF(I102="","",MAX(0,I102-J102))</x:f>
      </x:c>
      <x:c r="L102" s="84"/>
      <x:c r="M102" s="76"/>
      <x:c r="N102" s="76"/>
      <x:c r="O102" s="76"/>
      <x:c r="P102" s="76"/>
      <x:c r="Q102" s="76"/>
      <x:c r="R102" s="78" t="str">
        <x:f>IF(B102="","",TODAY())</x:f>
      </x:c>
      <x:c r="S102" s="76"/>
      <x:c r="T102" s="76" t="str">
        <x:f>IF(B102="","",IF(OR(C102="",E102="",F102="",I102="",M102="",O102="",P102&lt;&gt;"Validé humainement"),"ALERTE: données/preuves/statut",IF(OR(I102&lt;0,J102&lt;0,L102&lt;0,L102&gt;1),"ALERTE: valeur anormale","OK")))</x:f>
      </x:c>
      <x:c r="U102" s="76" t="str">
        <x:f>IF(B102="","",IF(P102="Validé humainement","Oui","Non"))</x:f>
      </x:c>
    </x:row>
    <x:row r="103">
      <x:c r="A103" s="76" t="str">
        <x:f>IF(B103="","","PRJ-"&amp;TEXT(ROW()-4,"0000"))</x:f>
      </x:c>
      <x:c r="B103" s="76"/>
      <x:c r="C103" s="76"/>
      <x:c r="D103" s="76"/>
      <x:c r="E103" s="76"/>
      <x:c r="F103" s="76"/>
      <x:c r="G103" s="78"/>
      <x:c r="H103" s="78"/>
      <x:c r="I103" s="81"/>
      <x:c r="J103" s="81"/>
      <x:c r="K103" s="81" t="str">
        <x:f>IF(I103="","",MAX(0,I103-J103))</x:f>
      </x:c>
      <x:c r="L103" s="84"/>
      <x:c r="M103" s="76"/>
      <x:c r="N103" s="76"/>
      <x:c r="O103" s="76"/>
      <x:c r="P103" s="76"/>
      <x:c r="Q103" s="76"/>
      <x:c r="R103" s="78" t="str">
        <x:f>IF(B103="","",TODAY())</x:f>
      </x:c>
      <x:c r="S103" s="76"/>
      <x:c r="T103" s="76" t="str">
        <x:f>IF(B103="","",IF(OR(C103="",E103="",F103="",I103="",M103="",O103="",P103&lt;&gt;"Validé humainement"),"ALERTE: données/preuves/statut",IF(OR(I103&lt;0,J103&lt;0,L103&lt;0,L103&gt;1),"ALERTE: valeur anormale","OK")))</x:f>
      </x:c>
      <x:c r="U103" s="76" t="str">
        <x:f>IF(B103="","",IF(P103="Validé humainement","Oui","Non"))</x:f>
      </x:c>
    </x:row>
    <x:row r="104">
      <x:c r="A104" s="76" t="str">
        <x:f>IF(B104="","","PRJ-"&amp;TEXT(ROW()-4,"0000"))</x:f>
      </x:c>
      <x:c r="B104" s="76"/>
      <x:c r="C104" s="76"/>
      <x:c r="D104" s="76"/>
      <x:c r="E104" s="76"/>
      <x:c r="F104" s="76"/>
      <x:c r="G104" s="78"/>
      <x:c r="H104" s="78"/>
      <x:c r="I104" s="81"/>
      <x:c r="J104" s="81"/>
      <x:c r="K104" s="81" t="str">
        <x:f>IF(I104="","",MAX(0,I104-J104))</x:f>
      </x:c>
      <x:c r="L104" s="84"/>
      <x:c r="M104" s="76"/>
      <x:c r="N104" s="76"/>
      <x:c r="O104" s="76"/>
      <x:c r="P104" s="76"/>
      <x:c r="Q104" s="76"/>
      <x:c r="R104" s="78" t="str">
        <x:f>IF(B104="","",TODAY())</x:f>
      </x:c>
      <x:c r="S104" s="76"/>
      <x:c r="T104" s="76" t="str">
        <x:f>IF(B104="","",IF(OR(C104="",E104="",F104="",I104="",M104="",O104="",P104&lt;&gt;"Validé humainement"),"ALERTE: données/preuves/statut",IF(OR(I104&lt;0,J104&lt;0,L104&lt;0,L104&gt;1),"ALERTE: valeur anormale","OK")))</x:f>
      </x:c>
      <x:c r="U104" s="76" t="str">
        <x:f>IF(B104="","",IF(P104="Validé humainement","Oui","Non"))</x:f>
      </x:c>
    </x:row>
  </x:sheetData>
  <x:mergeCells>
    <x:mergeCell ref="A1:U1"/>
    <x:mergeCell ref="A2:U2"/>
  </x:mergeCells>
  <x:conditionalFormatting sqref="T5:T104">
    <x:cfRule type="containsText" dxfId="242" priority="1" operator="containsText" text="ALERTE"/>
    <x:cfRule type="containsText" dxfId="243" priority="2" operator="containsText" text="OK"/>
    <x:cfRule type="containsText" dxfId="244" priority="3" operator="containsText" text="Validé"/>
    <x:cfRule type="containsText" dxfId="245" priority="4" operator="containsText" text="À vérifier"/>
    <x:cfRule type="containsText" dxfId="246" priority="5" operator="containsText" text="Rejeté"/>
  </x:conditionalFormatting>
  <x:conditionalFormatting sqref="P5:P104">
    <x:cfRule type="containsText" dxfId="247" priority="6" operator="containsText" text="ALERTE"/>
    <x:cfRule type="containsText" dxfId="248" priority="7" operator="containsText" text="OK"/>
    <x:cfRule type="containsText" dxfId="249" priority="8" operator="containsText" text="Validé"/>
    <x:cfRule type="containsText" dxfId="250" priority="9" operator="containsText" text="À vérifier"/>
    <x:cfRule type="containsText" dxfId="251" priority="10" operator="containsText" text="Rejeté"/>
  </x:conditionalFormatting>
  <x:dataValidations count="4">
    <x:dataValidation type="list" errorStyle="warning" showInputMessage="1" showErrorMessage="1" errorTitle="Valeur inattendue" error="Veuillez choisir une valeur de la liste." promptTitle="Liste contrôlée" prompt="Choisir une valeur autorisée." sqref="C5:C104">
      <x:formula1>"Climat,Énergie,Déchets,Mobilité,Qualité de l'air,GES,Adaptation / Résilience,Érosion côtière,Finance climat,Projets climat"</x:formula1>
    </x:dataValidation>
    <x:dataValidation type="list" errorStyle="warning" showInputMessage="1" showErrorMessage="1" errorTitle="Valeur inattendue" error="Veuillez choisir une valeur de la liste." promptTitle="Liste contrôlée" prompt="Choisir une valeur autorisée." sqref="P5:P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E5:E104">
      <x:formula1>"Idée,En préparation,Actif,Suspendu,Clôturé"</x:formula1>
    </x:dataValidation>
    <x:dataValidation type="list" errorStyle="warning" showInputMessage="1" showErrorMessage="1" errorTitle="Valeur inattendue" error="Veuillez choisir une valeur de la liste." promptTitle="Liste contrôlée" prompt="Choisir une valeur autorisée." sqref="F5:F104">
      <x:formula1>"Concept,Pré-faisabilité,Faisabilité,Financement recherché,Financé,En mise en oeuvre,Achevé"</x:formula1>
    </x:dataValidation>
  </x:dataValidations>
  <x:pageMargins left="0.7" right="0.7" top="0.75" bottom="0.75" header="0.3" footer="0.3"/>
  <x:tableParts count="1">
    <x:tablePart xmlns:r="http://schemas.openxmlformats.org/officeDocument/2006/relationships" r:id="Rc1eb1286162c46dd"/>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13.75" hidden="0" customWidth="1"/>
    <x:col min="5" max="5" width="22.5" hidden="0" customWidth="1"/>
    <x:col min="6" max="6" width="18.75" hidden="0" customWidth="1"/>
    <x:col min="7" max="7" width="20" hidden="0" customWidth="1"/>
    <x:col min="8" max="8" width="20" hidden="0" customWidth="1"/>
    <x:col min="9" max="9" width="20" hidden="0" customWidth="1"/>
    <x:col min="10" max="10" width="18.75" hidden="0" customWidth="1"/>
    <x:col min="11" max="11" width="11.880000114440918" hidden="0" customWidth="1"/>
    <x:col min="12" max="12" width="18.75" hidden="0" customWidth="1"/>
    <x:col min="13" max="13" width="15" hidden="0" customWidth="1"/>
    <x:col min="14" max="14" width="26.25"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Formulaire finance climat</x:v>
      </x:c>
      <x:c r="B1" s="68"/>
      <x:c r="C1" s="68"/>
      <x:c r="D1" s="68"/>
      <x:c r="E1" s="68"/>
      <x:c r="F1" s="68"/>
      <x:c r="G1" s="68"/>
      <x:c r="H1" s="68"/>
      <x:c r="I1" s="68"/>
      <x:c r="J1" s="68"/>
      <x:c r="K1" s="68"/>
      <x:c r="L1" s="68"/>
      <x:c r="M1" s="68"/>
      <x:c r="N1" s="68"/>
      <x:c r="O1" s="68"/>
      <x:c r="P1" s="68"/>
      <x:c r="Q1" s="68"/>
      <x:c r="R1" s="68"/>
      <x:c r="S1" s="68"/>
      <x:c r="T1" s="68"/>
    </x:row>
    <x:row r="2" ht="33" customHeight="1">
      <x:c r="A2" s="71" t="str">
        <x:v>Saisie des demandes, approbations et décaissements liés aux financements climat.</x:v>
      </x:c>
      <x:c r="B2" s="71"/>
      <x:c r="C2" s="71"/>
      <x:c r="D2" s="71"/>
      <x:c r="E2" s="71"/>
      <x:c r="F2" s="71"/>
      <x:c r="G2" s="71"/>
      <x:c r="H2" s="71"/>
      <x:c r="I2" s="71"/>
      <x:c r="J2" s="71"/>
      <x:c r="K2" s="71"/>
      <x:c r="L2" s="71"/>
      <x:c r="M2" s="71"/>
      <x:c r="N2" s="71"/>
      <x:c r="O2" s="71"/>
      <x:c r="P2" s="71"/>
      <x:c r="Q2" s="71"/>
      <x:c r="R2" s="71"/>
      <x:c r="S2" s="71"/>
      <x:c r="T2" s="71"/>
    </x:row>
    <x:row r="4">
      <x:c r="A4" s="74" t="str">
        <x:v>ID_Saisie</x:v>
      </x:c>
      <x:c r="B4" s="74" t="str">
        <x:v>Année</x:v>
      </x:c>
      <x:c r="C4" s="74" t="str">
        <x:v>Mois</x:v>
      </x:c>
      <x:c r="D4" s="74" t="str">
        <x:v>Projet_ID</x:v>
      </x:c>
      <x:c r="E4" s="74" t="str">
        <x:v>Bailleur</x:v>
      </x:c>
      <x:c r="F4" s="74" t="str">
        <x:v>Instrument</x:v>
      </x:c>
      <x:c r="G4" s="74" t="str">
        <x:v>Montant demandé FCFA</x:v>
      </x:c>
      <x:c r="H4" s="74" t="str">
        <x:v>Montant approuvé FCFA</x:v>
      </x:c>
      <x:c r="I4" s="74" t="str">
        <x:v>Montant décaissé FCFA</x:v>
      </x:c>
      <x:c r="J4" s="74" t="str">
        <x:v>Cofinancement FCFA</x:v>
      </x:c>
      <x:c r="K4" s="74" t="str">
        <x:v>Devise</x:v>
      </x:c>
      <x:c r="L4" s="74" t="str">
        <x:v>Statut financement</x:v>
      </x:c>
      <x:c r="M4" s="74" t="str">
        <x:v>Date décision</x:v>
      </x:c>
      <x:c r="N4" s="74" t="str">
        <x:v>Document source</x:v>
      </x:c>
      <x:c r="O4" s="74" t="str">
        <x:v>Statut validation</x:v>
      </x:c>
      <x:c r="P4" s="74" t="str">
        <x:v>Observations</x:v>
      </x:c>
      <x:c r="Q4" s="74" t="str">
        <x:v>Date de saisie</x:v>
      </x:c>
      <x:c r="R4" s="74" t="str">
        <x:v>Responsable</x:v>
      </x:c>
      <x:c r="S4" s="74" t="str">
        <x:v>Alerte_QC</x:v>
      </x:c>
      <x:c r="T4" s="74" t="str">
        <x:v>Alimente_Rapports</x:v>
      </x:c>
    </x:row>
    <x:row r="5">
      <x:c r="A5" s="76" t="str">
        <x:f>IF(B5="","","FIN-"&amp;TEXT(ROW()-4,"0000"))</x:f>
      </x:c>
      <x:c r="B5" s="76"/>
      <x:c r="C5" s="76"/>
      <x:c r="D5" s="76"/>
      <x:c r="E5" s="76"/>
      <x:c r="F5" s="76"/>
      <x:c r="G5" s="81"/>
      <x:c r="H5" s="81"/>
      <x:c r="I5" s="81"/>
      <x:c r="J5" s="81"/>
      <x:c r="K5" s="76"/>
      <x:c r="L5" s="76"/>
      <x:c r="M5" s="78"/>
      <x:c r="N5" s="76"/>
      <x:c r="O5" s="76"/>
      <x:c r="P5" s="76"/>
      <x:c r="Q5" s="78" t="str">
        <x:f>IF(B5="","",TODAY())</x:f>
      </x:c>
      <x:c r="R5" s="76"/>
      <x:c r="S5" s="76" t="str">
        <x:f>IF(B5="","",IF(OR(C5="",D5="",E5="",F5="",G5="",K5="",L5="",N5="",O5&lt;&gt;"Validé humainement"),"ALERTE: données/preuves/statut",IF(OR(G5&lt;0,H5&lt;0,I5&lt;0,J5&lt;0,AND(G5&lt;&gt;"",H5&gt;G5),AND(H5&lt;&gt;"",I5&gt;H5)),"ALERTE: valeur anormale","OK")))</x:f>
      </x:c>
      <x:c r="T5" s="76" t="str">
        <x:f>IF(B5="","",IF(O5="Validé humainement","Oui","Non"))</x:f>
      </x:c>
    </x:row>
    <x:row r="6">
      <x:c r="A6" s="76" t="str">
        <x:f>IF(B6="","","FIN-"&amp;TEXT(ROW()-4,"0000"))</x:f>
      </x:c>
      <x:c r="B6" s="76"/>
      <x:c r="C6" s="76"/>
      <x:c r="D6" s="76"/>
      <x:c r="E6" s="76"/>
      <x:c r="F6" s="76"/>
      <x:c r="G6" s="81"/>
      <x:c r="H6" s="81"/>
      <x:c r="I6" s="81"/>
      <x:c r="J6" s="81"/>
      <x:c r="K6" s="76"/>
      <x:c r="L6" s="76"/>
      <x:c r="M6" s="78"/>
      <x:c r="N6" s="76"/>
      <x:c r="O6" s="76"/>
      <x:c r="P6" s="76"/>
      <x:c r="Q6" s="78" t="str">
        <x:f>IF(B6="","",TODAY())</x:f>
      </x:c>
      <x:c r="R6" s="76"/>
      <x:c r="S6" s="76" t="str">
        <x:f>IF(B6="","",IF(OR(C6="",D6="",E6="",F6="",G6="",K6="",L6="",N6="",O6&lt;&gt;"Validé humainement"),"ALERTE: données/preuves/statut",IF(OR(G6&lt;0,H6&lt;0,I6&lt;0,J6&lt;0,AND(G6&lt;&gt;"",H6&gt;G6),AND(H6&lt;&gt;"",I6&gt;H6)),"ALERTE: valeur anormale","OK")))</x:f>
      </x:c>
      <x:c r="T6" s="76" t="str">
        <x:f>IF(B6="","",IF(O6="Validé humainement","Oui","Non"))</x:f>
      </x:c>
    </x:row>
    <x:row r="7">
      <x:c r="A7" s="76" t="str">
        <x:f>IF(B7="","","FIN-"&amp;TEXT(ROW()-4,"0000"))</x:f>
      </x:c>
      <x:c r="B7" s="76"/>
      <x:c r="C7" s="76"/>
      <x:c r="D7" s="76"/>
      <x:c r="E7" s="76"/>
      <x:c r="F7" s="76"/>
      <x:c r="G7" s="81"/>
      <x:c r="H7" s="81"/>
      <x:c r="I7" s="81"/>
      <x:c r="J7" s="81"/>
      <x:c r="K7" s="76"/>
      <x:c r="L7" s="76"/>
      <x:c r="M7" s="78"/>
      <x:c r="N7" s="76"/>
      <x:c r="O7" s="76"/>
      <x:c r="P7" s="76"/>
      <x:c r="Q7" s="78" t="str">
        <x:f>IF(B7="","",TODAY())</x:f>
      </x:c>
      <x:c r="R7" s="76"/>
      <x:c r="S7" s="76" t="str">
        <x:f>IF(B7="","",IF(OR(C7="",D7="",E7="",F7="",G7="",K7="",L7="",N7="",O7&lt;&gt;"Validé humainement"),"ALERTE: données/preuves/statut",IF(OR(G7&lt;0,H7&lt;0,I7&lt;0,J7&lt;0,AND(G7&lt;&gt;"",H7&gt;G7),AND(H7&lt;&gt;"",I7&gt;H7)),"ALERTE: valeur anormale","OK")))</x:f>
      </x:c>
      <x:c r="T7" s="76" t="str">
        <x:f>IF(B7="","",IF(O7="Validé humainement","Oui","Non"))</x:f>
      </x:c>
    </x:row>
    <x:row r="8">
      <x:c r="A8" s="76" t="str">
        <x:f>IF(B8="","","FIN-"&amp;TEXT(ROW()-4,"0000"))</x:f>
      </x:c>
      <x:c r="B8" s="76"/>
      <x:c r="C8" s="76"/>
      <x:c r="D8" s="76"/>
      <x:c r="E8" s="76"/>
      <x:c r="F8" s="76"/>
      <x:c r="G8" s="81"/>
      <x:c r="H8" s="81"/>
      <x:c r="I8" s="81"/>
      <x:c r="J8" s="81"/>
      <x:c r="K8" s="76"/>
      <x:c r="L8" s="76"/>
      <x:c r="M8" s="78"/>
      <x:c r="N8" s="76"/>
      <x:c r="O8" s="76"/>
      <x:c r="P8" s="76"/>
      <x:c r="Q8" s="78" t="str">
        <x:f>IF(B8="","",TODAY())</x:f>
      </x:c>
      <x:c r="R8" s="76"/>
      <x:c r="S8" s="76" t="str">
        <x:f>IF(B8="","",IF(OR(C8="",D8="",E8="",F8="",G8="",K8="",L8="",N8="",O8&lt;&gt;"Validé humainement"),"ALERTE: données/preuves/statut",IF(OR(G8&lt;0,H8&lt;0,I8&lt;0,J8&lt;0,AND(G8&lt;&gt;"",H8&gt;G8),AND(H8&lt;&gt;"",I8&gt;H8)),"ALERTE: valeur anormale","OK")))</x:f>
      </x:c>
      <x:c r="T8" s="76" t="str">
        <x:f>IF(B8="","",IF(O8="Validé humainement","Oui","Non"))</x:f>
      </x:c>
    </x:row>
    <x:row r="9">
      <x:c r="A9" s="76" t="str">
        <x:f>IF(B9="","","FIN-"&amp;TEXT(ROW()-4,"0000"))</x:f>
      </x:c>
      <x:c r="B9" s="76"/>
      <x:c r="C9" s="76"/>
      <x:c r="D9" s="76"/>
      <x:c r="E9" s="76"/>
      <x:c r="F9" s="76"/>
      <x:c r="G9" s="81"/>
      <x:c r="H9" s="81"/>
      <x:c r="I9" s="81"/>
      <x:c r="J9" s="81"/>
      <x:c r="K9" s="76"/>
      <x:c r="L9" s="76"/>
      <x:c r="M9" s="78"/>
      <x:c r="N9" s="76"/>
      <x:c r="O9" s="76"/>
      <x:c r="P9" s="76"/>
      <x:c r="Q9" s="78" t="str">
        <x:f>IF(B9="","",TODAY())</x:f>
      </x:c>
      <x:c r="R9" s="76"/>
      <x:c r="S9" s="76" t="str">
        <x:f>IF(B9="","",IF(OR(C9="",D9="",E9="",F9="",G9="",K9="",L9="",N9="",O9&lt;&gt;"Validé humainement"),"ALERTE: données/preuves/statut",IF(OR(G9&lt;0,H9&lt;0,I9&lt;0,J9&lt;0,AND(G9&lt;&gt;"",H9&gt;G9),AND(H9&lt;&gt;"",I9&gt;H9)),"ALERTE: valeur anormale","OK")))</x:f>
      </x:c>
      <x:c r="T9" s="76" t="str">
        <x:f>IF(B9="","",IF(O9="Validé humainement","Oui","Non"))</x:f>
      </x:c>
    </x:row>
    <x:row r="10">
      <x:c r="A10" s="76" t="str">
        <x:f>IF(B10="","","FIN-"&amp;TEXT(ROW()-4,"0000"))</x:f>
      </x:c>
      <x:c r="B10" s="76"/>
      <x:c r="C10" s="76"/>
      <x:c r="D10" s="76"/>
      <x:c r="E10" s="76"/>
      <x:c r="F10" s="76"/>
      <x:c r="G10" s="81"/>
      <x:c r="H10" s="81"/>
      <x:c r="I10" s="81"/>
      <x:c r="J10" s="81"/>
      <x:c r="K10" s="76"/>
      <x:c r="L10" s="76"/>
      <x:c r="M10" s="78"/>
      <x:c r="N10" s="76"/>
      <x:c r="O10" s="76"/>
      <x:c r="P10" s="76"/>
      <x:c r="Q10" s="78" t="str">
        <x:f>IF(B10="","",TODAY())</x:f>
      </x:c>
      <x:c r="R10" s="76"/>
      <x:c r="S10" s="76" t="str">
        <x:f>IF(B10="","",IF(OR(C10="",D10="",E10="",F10="",G10="",K10="",L10="",N10="",O10&lt;&gt;"Validé humainement"),"ALERTE: données/preuves/statut",IF(OR(G10&lt;0,H10&lt;0,I10&lt;0,J10&lt;0,AND(G10&lt;&gt;"",H10&gt;G10),AND(H10&lt;&gt;"",I10&gt;H10)),"ALERTE: valeur anormale","OK")))</x:f>
      </x:c>
      <x:c r="T10" s="76" t="str">
        <x:f>IF(B10="","",IF(O10="Validé humainement","Oui","Non"))</x:f>
      </x:c>
    </x:row>
    <x:row r="11">
      <x:c r="A11" s="76" t="str">
        <x:f>IF(B11="","","FIN-"&amp;TEXT(ROW()-4,"0000"))</x:f>
      </x:c>
      <x:c r="B11" s="76"/>
      <x:c r="C11" s="76"/>
      <x:c r="D11" s="76"/>
      <x:c r="E11" s="76"/>
      <x:c r="F11" s="76"/>
      <x:c r="G11" s="81"/>
      <x:c r="H11" s="81"/>
      <x:c r="I11" s="81"/>
      <x:c r="J11" s="81"/>
      <x:c r="K11" s="76"/>
      <x:c r="L11" s="76"/>
      <x:c r="M11" s="78"/>
      <x:c r="N11" s="76"/>
      <x:c r="O11" s="76"/>
      <x:c r="P11" s="76"/>
      <x:c r="Q11" s="78" t="str">
        <x:f>IF(B11="","",TODAY())</x:f>
      </x:c>
      <x:c r="R11" s="76"/>
      <x:c r="S11" s="76" t="str">
        <x:f>IF(B11="","",IF(OR(C11="",D11="",E11="",F11="",G11="",K11="",L11="",N11="",O11&lt;&gt;"Validé humainement"),"ALERTE: données/preuves/statut",IF(OR(G11&lt;0,H11&lt;0,I11&lt;0,J11&lt;0,AND(G11&lt;&gt;"",H11&gt;G11),AND(H11&lt;&gt;"",I11&gt;H11)),"ALERTE: valeur anormale","OK")))</x:f>
      </x:c>
      <x:c r="T11" s="76" t="str">
        <x:f>IF(B11="","",IF(O11="Validé humainement","Oui","Non"))</x:f>
      </x:c>
    </x:row>
    <x:row r="12">
      <x:c r="A12" s="76" t="str">
        <x:f>IF(B12="","","FIN-"&amp;TEXT(ROW()-4,"0000"))</x:f>
      </x:c>
      <x:c r="B12" s="76"/>
      <x:c r="C12" s="76"/>
      <x:c r="D12" s="76"/>
      <x:c r="E12" s="76"/>
      <x:c r="F12" s="76"/>
      <x:c r="G12" s="81"/>
      <x:c r="H12" s="81"/>
      <x:c r="I12" s="81"/>
      <x:c r="J12" s="81"/>
      <x:c r="K12" s="76"/>
      <x:c r="L12" s="76"/>
      <x:c r="M12" s="78"/>
      <x:c r="N12" s="76"/>
      <x:c r="O12" s="76"/>
      <x:c r="P12" s="76"/>
      <x:c r="Q12" s="78" t="str">
        <x:f>IF(B12="","",TODAY())</x:f>
      </x:c>
      <x:c r="R12" s="76"/>
      <x:c r="S12" s="76" t="str">
        <x:f>IF(B12="","",IF(OR(C12="",D12="",E12="",F12="",G12="",K12="",L12="",N12="",O12&lt;&gt;"Validé humainement"),"ALERTE: données/preuves/statut",IF(OR(G12&lt;0,H12&lt;0,I12&lt;0,J12&lt;0,AND(G12&lt;&gt;"",H12&gt;G12),AND(H12&lt;&gt;"",I12&gt;H12)),"ALERTE: valeur anormale","OK")))</x:f>
      </x:c>
      <x:c r="T12" s="76" t="str">
        <x:f>IF(B12="","",IF(O12="Validé humainement","Oui","Non"))</x:f>
      </x:c>
    </x:row>
    <x:row r="13">
      <x:c r="A13" s="76" t="str">
        <x:f>IF(B13="","","FIN-"&amp;TEXT(ROW()-4,"0000"))</x:f>
      </x:c>
      <x:c r="B13" s="76"/>
      <x:c r="C13" s="76"/>
      <x:c r="D13" s="76"/>
      <x:c r="E13" s="76"/>
      <x:c r="F13" s="76"/>
      <x:c r="G13" s="81"/>
      <x:c r="H13" s="81"/>
      <x:c r="I13" s="81"/>
      <x:c r="J13" s="81"/>
      <x:c r="K13" s="76"/>
      <x:c r="L13" s="76"/>
      <x:c r="M13" s="78"/>
      <x:c r="N13" s="76"/>
      <x:c r="O13" s="76"/>
      <x:c r="P13" s="76"/>
      <x:c r="Q13" s="78" t="str">
        <x:f>IF(B13="","",TODAY())</x:f>
      </x:c>
      <x:c r="R13" s="76"/>
      <x:c r="S13" s="76" t="str">
        <x:f>IF(B13="","",IF(OR(C13="",D13="",E13="",F13="",G13="",K13="",L13="",N13="",O13&lt;&gt;"Validé humainement"),"ALERTE: données/preuves/statut",IF(OR(G13&lt;0,H13&lt;0,I13&lt;0,J13&lt;0,AND(G13&lt;&gt;"",H13&gt;G13),AND(H13&lt;&gt;"",I13&gt;H13)),"ALERTE: valeur anormale","OK")))</x:f>
      </x:c>
      <x:c r="T13" s="76" t="str">
        <x:f>IF(B13="","",IF(O13="Validé humainement","Oui","Non"))</x:f>
      </x:c>
    </x:row>
    <x:row r="14">
      <x:c r="A14" s="76" t="str">
        <x:f>IF(B14="","","FIN-"&amp;TEXT(ROW()-4,"0000"))</x:f>
      </x:c>
      <x:c r="B14" s="76"/>
      <x:c r="C14" s="76"/>
      <x:c r="D14" s="76"/>
      <x:c r="E14" s="76"/>
      <x:c r="F14" s="76"/>
      <x:c r="G14" s="81"/>
      <x:c r="H14" s="81"/>
      <x:c r="I14" s="81"/>
      <x:c r="J14" s="81"/>
      <x:c r="K14" s="76"/>
      <x:c r="L14" s="76"/>
      <x:c r="M14" s="78"/>
      <x:c r="N14" s="76"/>
      <x:c r="O14" s="76"/>
      <x:c r="P14" s="76"/>
      <x:c r="Q14" s="78" t="str">
        <x:f>IF(B14="","",TODAY())</x:f>
      </x:c>
      <x:c r="R14" s="76"/>
      <x:c r="S14" s="76" t="str">
        <x:f>IF(B14="","",IF(OR(C14="",D14="",E14="",F14="",G14="",K14="",L14="",N14="",O14&lt;&gt;"Validé humainement"),"ALERTE: données/preuves/statut",IF(OR(G14&lt;0,H14&lt;0,I14&lt;0,J14&lt;0,AND(G14&lt;&gt;"",H14&gt;G14),AND(H14&lt;&gt;"",I14&gt;H14)),"ALERTE: valeur anormale","OK")))</x:f>
      </x:c>
      <x:c r="T14" s="76" t="str">
        <x:f>IF(B14="","",IF(O14="Validé humainement","Oui","Non"))</x:f>
      </x:c>
    </x:row>
    <x:row r="15">
      <x:c r="A15" s="76" t="str">
        <x:f>IF(B15="","","FIN-"&amp;TEXT(ROW()-4,"0000"))</x:f>
      </x:c>
      <x:c r="B15" s="76"/>
      <x:c r="C15" s="76"/>
      <x:c r="D15" s="76"/>
      <x:c r="E15" s="76"/>
      <x:c r="F15" s="76"/>
      <x:c r="G15" s="81"/>
      <x:c r="H15" s="81"/>
      <x:c r="I15" s="81"/>
      <x:c r="J15" s="81"/>
      <x:c r="K15" s="76"/>
      <x:c r="L15" s="76"/>
      <x:c r="M15" s="78"/>
      <x:c r="N15" s="76"/>
      <x:c r="O15" s="76"/>
      <x:c r="P15" s="76"/>
      <x:c r="Q15" s="78" t="str">
        <x:f>IF(B15="","",TODAY())</x:f>
      </x:c>
      <x:c r="R15" s="76"/>
      <x:c r="S15" s="76" t="str">
        <x:f>IF(B15="","",IF(OR(C15="",D15="",E15="",F15="",G15="",K15="",L15="",N15="",O15&lt;&gt;"Validé humainement"),"ALERTE: données/preuves/statut",IF(OR(G15&lt;0,H15&lt;0,I15&lt;0,J15&lt;0,AND(G15&lt;&gt;"",H15&gt;G15),AND(H15&lt;&gt;"",I15&gt;H15)),"ALERTE: valeur anormale","OK")))</x:f>
      </x:c>
      <x:c r="T15" s="76" t="str">
        <x:f>IF(B15="","",IF(O15="Validé humainement","Oui","Non"))</x:f>
      </x:c>
    </x:row>
    <x:row r="16">
      <x:c r="A16" s="76" t="str">
        <x:f>IF(B16="","","FIN-"&amp;TEXT(ROW()-4,"0000"))</x:f>
      </x:c>
      <x:c r="B16" s="76"/>
      <x:c r="C16" s="76"/>
      <x:c r="D16" s="76"/>
      <x:c r="E16" s="76"/>
      <x:c r="F16" s="76"/>
      <x:c r="G16" s="81"/>
      <x:c r="H16" s="81"/>
      <x:c r="I16" s="81"/>
      <x:c r="J16" s="81"/>
      <x:c r="K16" s="76"/>
      <x:c r="L16" s="76"/>
      <x:c r="M16" s="78"/>
      <x:c r="N16" s="76"/>
      <x:c r="O16" s="76"/>
      <x:c r="P16" s="76"/>
      <x:c r="Q16" s="78" t="str">
        <x:f>IF(B16="","",TODAY())</x:f>
      </x:c>
      <x:c r="R16" s="76"/>
      <x:c r="S16" s="76" t="str">
        <x:f>IF(B16="","",IF(OR(C16="",D16="",E16="",F16="",G16="",K16="",L16="",N16="",O16&lt;&gt;"Validé humainement"),"ALERTE: données/preuves/statut",IF(OR(G16&lt;0,H16&lt;0,I16&lt;0,J16&lt;0,AND(G16&lt;&gt;"",H16&gt;G16),AND(H16&lt;&gt;"",I16&gt;H16)),"ALERTE: valeur anormale","OK")))</x:f>
      </x:c>
      <x:c r="T16" s="76" t="str">
        <x:f>IF(B16="","",IF(O16="Validé humainement","Oui","Non"))</x:f>
      </x:c>
    </x:row>
    <x:row r="17">
      <x:c r="A17" s="76" t="str">
        <x:f>IF(B17="","","FIN-"&amp;TEXT(ROW()-4,"0000"))</x:f>
      </x:c>
      <x:c r="B17" s="76"/>
      <x:c r="C17" s="76"/>
      <x:c r="D17" s="76"/>
      <x:c r="E17" s="76"/>
      <x:c r="F17" s="76"/>
      <x:c r="G17" s="81"/>
      <x:c r="H17" s="81"/>
      <x:c r="I17" s="81"/>
      <x:c r="J17" s="81"/>
      <x:c r="K17" s="76"/>
      <x:c r="L17" s="76"/>
      <x:c r="M17" s="78"/>
      <x:c r="N17" s="76"/>
      <x:c r="O17" s="76"/>
      <x:c r="P17" s="76"/>
      <x:c r="Q17" s="78" t="str">
        <x:f>IF(B17="","",TODAY())</x:f>
      </x:c>
      <x:c r="R17" s="76"/>
      <x:c r="S17" s="76" t="str">
        <x:f>IF(B17="","",IF(OR(C17="",D17="",E17="",F17="",G17="",K17="",L17="",N17="",O17&lt;&gt;"Validé humainement"),"ALERTE: données/preuves/statut",IF(OR(G17&lt;0,H17&lt;0,I17&lt;0,J17&lt;0,AND(G17&lt;&gt;"",H17&gt;G17),AND(H17&lt;&gt;"",I17&gt;H17)),"ALERTE: valeur anormale","OK")))</x:f>
      </x:c>
      <x:c r="T17" s="76" t="str">
        <x:f>IF(B17="","",IF(O17="Validé humainement","Oui","Non"))</x:f>
      </x:c>
    </x:row>
    <x:row r="18">
      <x:c r="A18" s="76" t="str">
        <x:f>IF(B18="","","FIN-"&amp;TEXT(ROW()-4,"0000"))</x:f>
      </x:c>
      <x:c r="B18" s="76"/>
      <x:c r="C18" s="76"/>
      <x:c r="D18" s="76"/>
      <x:c r="E18" s="76"/>
      <x:c r="F18" s="76"/>
      <x:c r="G18" s="81"/>
      <x:c r="H18" s="81"/>
      <x:c r="I18" s="81"/>
      <x:c r="J18" s="81"/>
      <x:c r="K18" s="76"/>
      <x:c r="L18" s="76"/>
      <x:c r="M18" s="78"/>
      <x:c r="N18" s="76"/>
      <x:c r="O18" s="76"/>
      <x:c r="P18" s="76"/>
      <x:c r="Q18" s="78" t="str">
        <x:f>IF(B18="","",TODAY())</x:f>
      </x:c>
      <x:c r="R18" s="76"/>
      <x:c r="S18" s="76" t="str">
        <x:f>IF(B18="","",IF(OR(C18="",D18="",E18="",F18="",G18="",K18="",L18="",N18="",O18&lt;&gt;"Validé humainement"),"ALERTE: données/preuves/statut",IF(OR(G18&lt;0,H18&lt;0,I18&lt;0,J18&lt;0,AND(G18&lt;&gt;"",H18&gt;G18),AND(H18&lt;&gt;"",I18&gt;H18)),"ALERTE: valeur anormale","OK")))</x:f>
      </x:c>
      <x:c r="T18" s="76" t="str">
        <x:f>IF(B18="","",IF(O18="Validé humainement","Oui","Non"))</x:f>
      </x:c>
    </x:row>
    <x:row r="19">
      <x:c r="A19" s="76" t="str">
        <x:f>IF(B19="","","FIN-"&amp;TEXT(ROW()-4,"0000"))</x:f>
      </x:c>
      <x:c r="B19" s="76"/>
      <x:c r="C19" s="76"/>
      <x:c r="D19" s="76"/>
      <x:c r="E19" s="76"/>
      <x:c r="F19" s="76"/>
      <x:c r="G19" s="81"/>
      <x:c r="H19" s="81"/>
      <x:c r="I19" s="81"/>
      <x:c r="J19" s="81"/>
      <x:c r="K19" s="76"/>
      <x:c r="L19" s="76"/>
      <x:c r="M19" s="78"/>
      <x:c r="N19" s="76"/>
      <x:c r="O19" s="76"/>
      <x:c r="P19" s="76"/>
      <x:c r="Q19" s="78" t="str">
        <x:f>IF(B19="","",TODAY())</x:f>
      </x:c>
      <x:c r="R19" s="76"/>
      <x:c r="S19" s="76" t="str">
        <x:f>IF(B19="","",IF(OR(C19="",D19="",E19="",F19="",G19="",K19="",L19="",N19="",O19&lt;&gt;"Validé humainement"),"ALERTE: données/preuves/statut",IF(OR(G19&lt;0,H19&lt;0,I19&lt;0,J19&lt;0,AND(G19&lt;&gt;"",H19&gt;G19),AND(H19&lt;&gt;"",I19&gt;H19)),"ALERTE: valeur anormale","OK")))</x:f>
      </x:c>
      <x:c r="T19" s="76" t="str">
        <x:f>IF(B19="","",IF(O19="Validé humainement","Oui","Non"))</x:f>
      </x:c>
    </x:row>
    <x:row r="20">
      <x:c r="A20" s="76" t="str">
        <x:f>IF(B20="","","FIN-"&amp;TEXT(ROW()-4,"0000"))</x:f>
      </x:c>
      <x:c r="B20" s="76"/>
      <x:c r="C20" s="76"/>
      <x:c r="D20" s="76"/>
      <x:c r="E20" s="76"/>
      <x:c r="F20" s="76"/>
      <x:c r="G20" s="81"/>
      <x:c r="H20" s="81"/>
      <x:c r="I20" s="81"/>
      <x:c r="J20" s="81"/>
      <x:c r="K20" s="76"/>
      <x:c r="L20" s="76"/>
      <x:c r="M20" s="78"/>
      <x:c r="N20" s="76"/>
      <x:c r="O20" s="76"/>
      <x:c r="P20" s="76"/>
      <x:c r="Q20" s="78" t="str">
        <x:f>IF(B20="","",TODAY())</x:f>
      </x:c>
      <x:c r="R20" s="76"/>
      <x:c r="S20" s="76" t="str">
        <x:f>IF(B20="","",IF(OR(C20="",D20="",E20="",F20="",G20="",K20="",L20="",N20="",O20&lt;&gt;"Validé humainement"),"ALERTE: données/preuves/statut",IF(OR(G20&lt;0,H20&lt;0,I20&lt;0,J20&lt;0,AND(G20&lt;&gt;"",H20&gt;G20),AND(H20&lt;&gt;"",I20&gt;H20)),"ALERTE: valeur anormale","OK")))</x:f>
      </x:c>
      <x:c r="T20" s="76" t="str">
        <x:f>IF(B20="","",IF(O20="Validé humainement","Oui","Non"))</x:f>
      </x:c>
    </x:row>
    <x:row r="21">
      <x:c r="A21" s="76" t="str">
        <x:f>IF(B21="","","FIN-"&amp;TEXT(ROW()-4,"0000"))</x:f>
      </x:c>
      <x:c r="B21" s="76"/>
      <x:c r="C21" s="76"/>
      <x:c r="D21" s="76"/>
      <x:c r="E21" s="76"/>
      <x:c r="F21" s="76"/>
      <x:c r="G21" s="81"/>
      <x:c r="H21" s="81"/>
      <x:c r="I21" s="81"/>
      <x:c r="J21" s="81"/>
      <x:c r="K21" s="76"/>
      <x:c r="L21" s="76"/>
      <x:c r="M21" s="78"/>
      <x:c r="N21" s="76"/>
      <x:c r="O21" s="76"/>
      <x:c r="P21" s="76"/>
      <x:c r="Q21" s="78" t="str">
        <x:f>IF(B21="","",TODAY())</x:f>
      </x:c>
      <x:c r="R21" s="76"/>
      <x:c r="S21" s="76" t="str">
        <x:f>IF(B21="","",IF(OR(C21="",D21="",E21="",F21="",G21="",K21="",L21="",N21="",O21&lt;&gt;"Validé humainement"),"ALERTE: données/preuves/statut",IF(OR(G21&lt;0,H21&lt;0,I21&lt;0,J21&lt;0,AND(G21&lt;&gt;"",H21&gt;G21),AND(H21&lt;&gt;"",I21&gt;H21)),"ALERTE: valeur anormale","OK")))</x:f>
      </x:c>
      <x:c r="T21" s="76" t="str">
        <x:f>IF(B21="","",IF(O21="Validé humainement","Oui","Non"))</x:f>
      </x:c>
    </x:row>
    <x:row r="22">
      <x:c r="A22" s="76" t="str">
        <x:f>IF(B22="","","FIN-"&amp;TEXT(ROW()-4,"0000"))</x:f>
      </x:c>
      <x:c r="B22" s="76"/>
      <x:c r="C22" s="76"/>
      <x:c r="D22" s="76"/>
      <x:c r="E22" s="76"/>
      <x:c r="F22" s="76"/>
      <x:c r="G22" s="81"/>
      <x:c r="H22" s="81"/>
      <x:c r="I22" s="81"/>
      <x:c r="J22" s="81"/>
      <x:c r="K22" s="76"/>
      <x:c r="L22" s="76"/>
      <x:c r="M22" s="78"/>
      <x:c r="N22" s="76"/>
      <x:c r="O22" s="76"/>
      <x:c r="P22" s="76"/>
      <x:c r="Q22" s="78" t="str">
        <x:f>IF(B22="","",TODAY())</x:f>
      </x:c>
      <x:c r="R22" s="76"/>
      <x:c r="S22" s="76" t="str">
        <x:f>IF(B22="","",IF(OR(C22="",D22="",E22="",F22="",G22="",K22="",L22="",N22="",O22&lt;&gt;"Validé humainement"),"ALERTE: données/preuves/statut",IF(OR(G22&lt;0,H22&lt;0,I22&lt;0,J22&lt;0,AND(G22&lt;&gt;"",H22&gt;G22),AND(H22&lt;&gt;"",I22&gt;H22)),"ALERTE: valeur anormale","OK")))</x:f>
      </x:c>
      <x:c r="T22" s="76" t="str">
        <x:f>IF(B22="","",IF(O22="Validé humainement","Oui","Non"))</x:f>
      </x:c>
    </x:row>
    <x:row r="23">
      <x:c r="A23" s="76" t="str">
        <x:f>IF(B23="","","FIN-"&amp;TEXT(ROW()-4,"0000"))</x:f>
      </x:c>
      <x:c r="B23" s="76"/>
      <x:c r="C23" s="76"/>
      <x:c r="D23" s="76"/>
      <x:c r="E23" s="76"/>
      <x:c r="F23" s="76"/>
      <x:c r="G23" s="81"/>
      <x:c r="H23" s="81"/>
      <x:c r="I23" s="81"/>
      <x:c r="J23" s="81"/>
      <x:c r="K23" s="76"/>
      <x:c r="L23" s="76"/>
      <x:c r="M23" s="78"/>
      <x:c r="N23" s="76"/>
      <x:c r="O23" s="76"/>
      <x:c r="P23" s="76"/>
      <x:c r="Q23" s="78" t="str">
        <x:f>IF(B23="","",TODAY())</x:f>
      </x:c>
      <x:c r="R23" s="76"/>
      <x:c r="S23" s="76" t="str">
        <x:f>IF(B23="","",IF(OR(C23="",D23="",E23="",F23="",G23="",K23="",L23="",N23="",O23&lt;&gt;"Validé humainement"),"ALERTE: données/preuves/statut",IF(OR(G23&lt;0,H23&lt;0,I23&lt;0,J23&lt;0,AND(G23&lt;&gt;"",H23&gt;G23),AND(H23&lt;&gt;"",I23&gt;H23)),"ALERTE: valeur anormale","OK")))</x:f>
      </x:c>
      <x:c r="T23" s="76" t="str">
        <x:f>IF(B23="","",IF(O23="Validé humainement","Oui","Non"))</x:f>
      </x:c>
    </x:row>
    <x:row r="24">
      <x:c r="A24" s="76" t="str">
        <x:f>IF(B24="","","FIN-"&amp;TEXT(ROW()-4,"0000"))</x:f>
      </x:c>
      <x:c r="B24" s="76"/>
      <x:c r="C24" s="76"/>
      <x:c r="D24" s="76"/>
      <x:c r="E24" s="76"/>
      <x:c r="F24" s="76"/>
      <x:c r="G24" s="81"/>
      <x:c r="H24" s="81"/>
      <x:c r="I24" s="81"/>
      <x:c r="J24" s="81"/>
      <x:c r="K24" s="76"/>
      <x:c r="L24" s="76"/>
      <x:c r="M24" s="78"/>
      <x:c r="N24" s="76"/>
      <x:c r="O24" s="76"/>
      <x:c r="P24" s="76"/>
      <x:c r="Q24" s="78" t="str">
        <x:f>IF(B24="","",TODAY())</x:f>
      </x:c>
      <x:c r="R24" s="76"/>
      <x:c r="S24" s="76" t="str">
        <x:f>IF(B24="","",IF(OR(C24="",D24="",E24="",F24="",G24="",K24="",L24="",N24="",O24&lt;&gt;"Validé humainement"),"ALERTE: données/preuves/statut",IF(OR(G24&lt;0,H24&lt;0,I24&lt;0,J24&lt;0,AND(G24&lt;&gt;"",H24&gt;G24),AND(H24&lt;&gt;"",I24&gt;H24)),"ALERTE: valeur anormale","OK")))</x:f>
      </x:c>
      <x:c r="T24" s="76" t="str">
        <x:f>IF(B24="","",IF(O24="Validé humainement","Oui","Non"))</x:f>
      </x:c>
    </x:row>
    <x:row r="25">
      <x:c r="A25" s="76" t="str">
        <x:f>IF(B25="","","FIN-"&amp;TEXT(ROW()-4,"0000"))</x:f>
      </x:c>
      <x:c r="B25" s="76"/>
      <x:c r="C25" s="76"/>
      <x:c r="D25" s="76"/>
      <x:c r="E25" s="76"/>
      <x:c r="F25" s="76"/>
      <x:c r="G25" s="81"/>
      <x:c r="H25" s="81"/>
      <x:c r="I25" s="81"/>
      <x:c r="J25" s="81"/>
      <x:c r="K25" s="76"/>
      <x:c r="L25" s="76"/>
      <x:c r="M25" s="78"/>
      <x:c r="N25" s="76"/>
      <x:c r="O25" s="76"/>
      <x:c r="P25" s="76"/>
      <x:c r="Q25" s="78" t="str">
        <x:f>IF(B25="","",TODAY())</x:f>
      </x:c>
      <x:c r="R25" s="76"/>
      <x:c r="S25" s="76" t="str">
        <x:f>IF(B25="","",IF(OR(C25="",D25="",E25="",F25="",G25="",K25="",L25="",N25="",O25&lt;&gt;"Validé humainement"),"ALERTE: données/preuves/statut",IF(OR(G25&lt;0,H25&lt;0,I25&lt;0,J25&lt;0,AND(G25&lt;&gt;"",H25&gt;G25),AND(H25&lt;&gt;"",I25&gt;H25)),"ALERTE: valeur anormale","OK")))</x:f>
      </x:c>
      <x:c r="T25" s="76" t="str">
        <x:f>IF(B25="","",IF(O25="Validé humainement","Oui","Non"))</x:f>
      </x:c>
    </x:row>
    <x:row r="26">
      <x:c r="A26" s="76" t="str">
        <x:f>IF(B26="","","FIN-"&amp;TEXT(ROW()-4,"0000"))</x:f>
      </x:c>
      <x:c r="B26" s="76"/>
      <x:c r="C26" s="76"/>
      <x:c r="D26" s="76"/>
      <x:c r="E26" s="76"/>
      <x:c r="F26" s="76"/>
      <x:c r="G26" s="81"/>
      <x:c r="H26" s="81"/>
      <x:c r="I26" s="81"/>
      <x:c r="J26" s="81"/>
      <x:c r="K26" s="76"/>
      <x:c r="L26" s="76"/>
      <x:c r="M26" s="78"/>
      <x:c r="N26" s="76"/>
      <x:c r="O26" s="76"/>
      <x:c r="P26" s="76"/>
      <x:c r="Q26" s="78" t="str">
        <x:f>IF(B26="","",TODAY())</x:f>
      </x:c>
      <x:c r="R26" s="76"/>
      <x:c r="S26" s="76" t="str">
        <x:f>IF(B26="","",IF(OR(C26="",D26="",E26="",F26="",G26="",K26="",L26="",N26="",O26&lt;&gt;"Validé humainement"),"ALERTE: données/preuves/statut",IF(OR(G26&lt;0,H26&lt;0,I26&lt;0,J26&lt;0,AND(G26&lt;&gt;"",H26&gt;G26),AND(H26&lt;&gt;"",I26&gt;H26)),"ALERTE: valeur anormale","OK")))</x:f>
      </x:c>
      <x:c r="T26" s="76" t="str">
        <x:f>IF(B26="","",IF(O26="Validé humainement","Oui","Non"))</x:f>
      </x:c>
    </x:row>
    <x:row r="27">
      <x:c r="A27" s="76" t="str">
        <x:f>IF(B27="","","FIN-"&amp;TEXT(ROW()-4,"0000"))</x:f>
      </x:c>
      <x:c r="B27" s="76"/>
      <x:c r="C27" s="76"/>
      <x:c r="D27" s="76"/>
      <x:c r="E27" s="76"/>
      <x:c r="F27" s="76"/>
      <x:c r="G27" s="81"/>
      <x:c r="H27" s="81"/>
      <x:c r="I27" s="81"/>
      <x:c r="J27" s="81"/>
      <x:c r="K27" s="76"/>
      <x:c r="L27" s="76"/>
      <x:c r="M27" s="78"/>
      <x:c r="N27" s="76"/>
      <x:c r="O27" s="76"/>
      <x:c r="P27" s="76"/>
      <x:c r="Q27" s="78" t="str">
        <x:f>IF(B27="","",TODAY())</x:f>
      </x:c>
      <x:c r="R27" s="76"/>
      <x:c r="S27" s="76" t="str">
        <x:f>IF(B27="","",IF(OR(C27="",D27="",E27="",F27="",G27="",K27="",L27="",N27="",O27&lt;&gt;"Validé humainement"),"ALERTE: données/preuves/statut",IF(OR(G27&lt;0,H27&lt;0,I27&lt;0,J27&lt;0,AND(G27&lt;&gt;"",H27&gt;G27),AND(H27&lt;&gt;"",I27&gt;H27)),"ALERTE: valeur anormale","OK")))</x:f>
      </x:c>
      <x:c r="T27" s="76" t="str">
        <x:f>IF(B27="","",IF(O27="Validé humainement","Oui","Non"))</x:f>
      </x:c>
    </x:row>
    <x:row r="28">
      <x:c r="A28" s="76" t="str">
        <x:f>IF(B28="","","FIN-"&amp;TEXT(ROW()-4,"0000"))</x:f>
      </x:c>
      <x:c r="B28" s="76"/>
      <x:c r="C28" s="76"/>
      <x:c r="D28" s="76"/>
      <x:c r="E28" s="76"/>
      <x:c r="F28" s="76"/>
      <x:c r="G28" s="81"/>
      <x:c r="H28" s="81"/>
      <x:c r="I28" s="81"/>
      <x:c r="J28" s="81"/>
      <x:c r="K28" s="76"/>
      <x:c r="L28" s="76"/>
      <x:c r="M28" s="78"/>
      <x:c r="N28" s="76"/>
      <x:c r="O28" s="76"/>
      <x:c r="P28" s="76"/>
      <x:c r="Q28" s="78" t="str">
        <x:f>IF(B28="","",TODAY())</x:f>
      </x:c>
      <x:c r="R28" s="76"/>
      <x:c r="S28" s="76" t="str">
        <x:f>IF(B28="","",IF(OR(C28="",D28="",E28="",F28="",G28="",K28="",L28="",N28="",O28&lt;&gt;"Validé humainement"),"ALERTE: données/preuves/statut",IF(OR(G28&lt;0,H28&lt;0,I28&lt;0,J28&lt;0,AND(G28&lt;&gt;"",H28&gt;G28),AND(H28&lt;&gt;"",I28&gt;H28)),"ALERTE: valeur anormale","OK")))</x:f>
      </x:c>
      <x:c r="T28" s="76" t="str">
        <x:f>IF(B28="","",IF(O28="Validé humainement","Oui","Non"))</x:f>
      </x:c>
    </x:row>
    <x:row r="29">
      <x:c r="A29" s="76" t="str">
        <x:f>IF(B29="","","FIN-"&amp;TEXT(ROW()-4,"0000"))</x:f>
      </x:c>
      <x:c r="B29" s="76"/>
      <x:c r="C29" s="76"/>
      <x:c r="D29" s="76"/>
      <x:c r="E29" s="76"/>
      <x:c r="F29" s="76"/>
      <x:c r="G29" s="81"/>
      <x:c r="H29" s="81"/>
      <x:c r="I29" s="81"/>
      <x:c r="J29" s="81"/>
      <x:c r="K29" s="76"/>
      <x:c r="L29" s="76"/>
      <x:c r="M29" s="78"/>
      <x:c r="N29" s="76"/>
      <x:c r="O29" s="76"/>
      <x:c r="P29" s="76"/>
      <x:c r="Q29" s="78" t="str">
        <x:f>IF(B29="","",TODAY())</x:f>
      </x:c>
      <x:c r="R29" s="76"/>
      <x:c r="S29" s="76" t="str">
        <x:f>IF(B29="","",IF(OR(C29="",D29="",E29="",F29="",G29="",K29="",L29="",N29="",O29&lt;&gt;"Validé humainement"),"ALERTE: données/preuves/statut",IF(OR(G29&lt;0,H29&lt;0,I29&lt;0,J29&lt;0,AND(G29&lt;&gt;"",H29&gt;G29),AND(H29&lt;&gt;"",I29&gt;H29)),"ALERTE: valeur anormale","OK")))</x:f>
      </x:c>
      <x:c r="T29" s="76" t="str">
        <x:f>IF(B29="","",IF(O29="Validé humainement","Oui","Non"))</x:f>
      </x:c>
    </x:row>
    <x:row r="30">
      <x:c r="A30" s="76" t="str">
        <x:f>IF(B30="","","FIN-"&amp;TEXT(ROW()-4,"0000"))</x:f>
      </x:c>
      <x:c r="B30" s="76"/>
      <x:c r="C30" s="76"/>
      <x:c r="D30" s="76"/>
      <x:c r="E30" s="76"/>
      <x:c r="F30" s="76"/>
      <x:c r="G30" s="81"/>
      <x:c r="H30" s="81"/>
      <x:c r="I30" s="81"/>
      <x:c r="J30" s="81"/>
      <x:c r="K30" s="76"/>
      <x:c r="L30" s="76"/>
      <x:c r="M30" s="78"/>
      <x:c r="N30" s="76"/>
      <x:c r="O30" s="76"/>
      <x:c r="P30" s="76"/>
      <x:c r="Q30" s="78" t="str">
        <x:f>IF(B30="","",TODAY())</x:f>
      </x:c>
      <x:c r="R30" s="76"/>
      <x:c r="S30" s="76" t="str">
        <x:f>IF(B30="","",IF(OR(C30="",D30="",E30="",F30="",G30="",K30="",L30="",N30="",O30&lt;&gt;"Validé humainement"),"ALERTE: données/preuves/statut",IF(OR(G30&lt;0,H30&lt;0,I30&lt;0,J30&lt;0,AND(G30&lt;&gt;"",H30&gt;G30),AND(H30&lt;&gt;"",I30&gt;H30)),"ALERTE: valeur anormale","OK")))</x:f>
      </x:c>
      <x:c r="T30" s="76" t="str">
        <x:f>IF(B30="","",IF(O30="Validé humainement","Oui","Non"))</x:f>
      </x:c>
    </x:row>
    <x:row r="31">
      <x:c r="A31" s="76" t="str">
        <x:f>IF(B31="","","FIN-"&amp;TEXT(ROW()-4,"0000"))</x:f>
      </x:c>
      <x:c r="B31" s="76"/>
      <x:c r="C31" s="76"/>
      <x:c r="D31" s="76"/>
      <x:c r="E31" s="76"/>
      <x:c r="F31" s="76"/>
      <x:c r="G31" s="81"/>
      <x:c r="H31" s="81"/>
      <x:c r="I31" s="81"/>
      <x:c r="J31" s="81"/>
      <x:c r="K31" s="76"/>
      <x:c r="L31" s="76"/>
      <x:c r="M31" s="78"/>
      <x:c r="N31" s="76"/>
      <x:c r="O31" s="76"/>
      <x:c r="P31" s="76"/>
      <x:c r="Q31" s="78" t="str">
        <x:f>IF(B31="","",TODAY())</x:f>
      </x:c>
      <x:c r="R31" s="76"/>
      <x:c r="S31" s="76" t="str">
        <x:f>IF(B31="","",IF(OR(C31="",D31="",E31="",F31="",G31="",K31="",L31="",N31="",O31&lt;&gt;"Validé humainement"),"ALERTE: données/preuves/statut",IF(OR(G31&lt;0,H31&lt;0,I31&lt;0,J31&lt;0,AND(G31&lt;&gt;"",H31&gt;G31),AND(H31&lt;&gt;"",I31&gt;H31)),"ALERTE: valeur anormale","OK")))</x:f>
      </x:c>
      <x:c r="T31" s="76" t="str">
        <x:f>IF(B31="","",IF(O31="Validé humainement","Oui","Non"))</x:f>
      </x:c>
    </x:row>
    <x:row r="32">
      <x:c r="A32" s="76" t="str">
        <x:f>IF(B32="","","FIN-"&amp;TEXT(ROW()-4,"0000"))</x:f>
      </x:c>
      <x:c r="B32" s="76"/>
      <x:c r="C32" s="76"/>
      <x:c r="D32" s="76"/>
      <x:c r="E32" s="76"/>
      <x:c r="F32" s="76"/>
      <x:c r="G32" s="81"/>
      <x:c r="H32" s="81"/>
      <x:c r="I32" s="81"/>
      <x:c r="J32" s="81"/>
      <x:c r="K32" s="76"/>
      <x:c r="L32" s="76"/>
      <x:c r="M32" s="78"/>
      <x:c r="N32" s="76"/>
      <x:c r="O32" s="76"/>
      <x:c r="P32" s="76"/>
      <x:c r="Q32" s="78" t="str">
        <x:f>IF(B32="","",TODAY())</x:f>
      </x:c>
      <x:c r="R32" s="76"/>
      <x:c r="S32" s="76" t="str">
        <x:f>IF(B32="","",IF(OR(C32="",D32="",E32="",F32="",G32="",K32="",L32="",N32="",O32&lt;&gt;"Validé humainement"),"ALERTE: données/preuves/statut",IF(OR(G32&lt;0,H32&lt;0,I32&lt;0,J32&lt;0,AND(G32&lt;&gt;"",H32&gt;G32),AND(H32&lt;&gt;"",I32&gt;H32)),"ALERTE: valeur anormale","OK")))</x:f>
      </x:c>
      <x:c r="T32" s="76" t="str">
        <x:f>IF(B32="","",IF(O32="Validé humainement","Oui","Non"))</x:f>
      </x:c>
    </x:row>
    <x:row r="33">
      <x:c r="A33" s="76" t="str">
        <x:f>IF(B33="","","FIN-"&amp;TEXT(ROW()-4,"0000"))</x:f>
      </x:c>
      <x:c r="B33" s="76"/>
      <x:c r="C33" s="76"/>
      <x:c r="D33" s="76"/>
      <x:c r="E33" s="76"/>
      <x:c r="F33" s="76"/>
      <x:c r="G33" s="81"/>
      <x:c r="H33" s="81"/>
      <x:c r="I33" s="81"/>
      <x:c r="J33" s="81"/>
      <x:c r="K33" s="76"/>
      <x:c r="L33" s="76"/>
      <x:c r="M33" s="78"/>
      <x:c r="N33" s="76"/>
      <x:c r="O33" s="76"/>
      <x:c r="P33" s="76"/>
      <x:c r="Q33" s="78" t="str">
        <x:f>IF(B33="","",TODAY())</x:f>
      </x:c>
      <x:c r="R33" s="76"/>
      <x:c r="S33" s="76" t="str">
        <x:f>IF(B33="","",IF(OR(C33="",D33="",E33="",F33="",G33="",K33="",L33="",N33="",O33&lt;&gt;"Validé humainement"),"ALERTE: données/preuves/statut",IF(OR(G33&lt;0,H33&lt;0,I33&lt;0,J33&lt;0,AND(G33&lt;&gt;"",H33&gt;G33),AND(H33&lt;&gt;"",I33&gt;H33)),"ALERTE: valeur anormale","OK")))</x:f>
      </x:c>
      <x:c r="T33" s="76" t="str">
        <x:f>IF(B33="","",IF(O33="Validé humainement","Oui","Non"))</x:f>
      </x:c>
    </x:row>
    <x:row r="34">
      <x:c r="A34" s="76" t="str">
        <x:f>IF(B34="","","FIN-"&amp;TEXT(ROW()-4,"0000"))</x:f>
      </x:c>
      <x:c r="B34" s="76"/>
      <x:c r="C34" s="76"/>
      <x:c r="D34" s="76"/>
      <x:c r="E34" s="76"/>
      <x:c r="F34" s="76"/>
      <x:c r="G34" s="81"/>
      <x:c r="H34" s="81"/>
      <x:c r="I34" s="81"/>
      <x:c r="J34" s="81"/>
      <x:c r="K34" s="76"/>
      <x:c r="L34" s="76"/>
      <x:c r="M34" s="78"/>
      <x:c r="N34" s="76"/>
      <x:c r="O34" s="76"/>
      <x:c r="P34" s="76"/>
      <x:c r="Q34" s="78" t="str">
        <x:f>IF(B34="","",TODAY())</x:f>
      </x:c>
      <x:c r="R34" s="76"/>
      <x:c r="S34" s="76" t="str">
        <x:f>IF(B34="","",IF(OR(C34="",D34="",E34="",F34="",G34="",K34="",L34="",N34="",O34&lt;&gt;"Validé humainement"),"ALERTE: données/preuves/statut",IF(OR(G34&lt;0,H34&lt;0,I34&lt;0,J34&lt;0,AND(G34&lt;&gt;"",H34&gt;G34),AND(H34&lt;&gt;"",I34&gt;H34)),"ALERTE: valeur anormale","OK")))</x:f>
      </x:c>
      <x:c r="T34" s="76" t="str">
        <x:f>IF(B34="","",IF(O34="Validé humainement","Oui","Non"))</x:f>
      </x:c>
    </x:row>
    <x:row r="35">
      <x:c r="A35" s="76" t="str">
        <x:f>IF(B35="","","FIN-"&amp;TEXT(ROW()-4,"0000"))</x:f>
      </x:c>
      <x:c r="B35" s="76"/>
      <x:c r="C35" s="76"/>
      <x:c r="D35" s="76"/>
      <x:c r="E35" s="76"/>
      <x:c r="F35" s="76"/>
      <x:c r="G35" s="81"/>
      <x:c r="H35" s="81"/>
      <x:c r="I35" s="81"/>
      <x:c r="J35" s="81"/>
      <x:c r="K35" s="76"/>
      <x:c r="L35" s="76"/>
      <x:c r="M35" s="78"/>
      <x:c r="N35" s="76"/>
      <x:c r="O35" s="76"/>
      <x:c r="P35" s="76"/>
      <x:c r="Q35" s="78" t="str">
        <x:f>IF(B35="","",TODAY())</x:f>
      </x:c>
      <x:c r="R35" s="76"/>
      <x:c r="S35" s="76" t="str">
        <x:f>IF(B35="","",IF(OR(C35="",D35="",E35="",F35="",G35="",K35="",L35="",N35="",O35&lt;&gt;"Validé humainement"),"ALERTE: données/preuves/statut",IF(OR(G35&lt;0,H35&lt;0,I35&lt;0,J35&lt;0,AND(G35&lt;&gt;"",H35&gt;G35),AND(H35&lt;&gt;"",I35&gt;H35)),"ALERTE: valeur anormale","OK")))</x:f>
      </x:c>
      <x:c r="T35" s="76" t="str">
        <x:f>IF(B35="","",IF(O35="Validé humainement","Oui","Non"))</x:f>
      </x:c>
    </x:row>
    <x:row r="36">
      <x:c r="A36" s="76" t="str">
        <x:f>IF(B36="","","FIN-"&amp;TEXT(ROW()-4,"0000"))</x:f>
      </x:c>
      <x:c r="B36" s="76"/>
      <x:c r="C36" s="76"/>
      <x:c r="D36" s="76"/>
      <x:c r="E36" s="76"/>
      <x:c r="F36" s="76"/>
      <x:c r="G36" s="81"/>
      <x:c r="H36" s="81"/>
      <x:c r="I36" s="81"/>
      <x:c r="J36" s="81"/>
      <x:c r="K36" s="76"/>
      <x:c r="L36" s="76"/>
      <x:c r="M36" s="78"/>
      <x:c r="N36" s="76"/>
      <x:c r="O36" s="76"/>
      <x:c r="P36" s="76"/>
      <x:c r="Q36" s="78" t="str">
        <x:f>IF(B36="","",TODAY())</x:f>
      </x:c>
      <x:c r="R36" s="76"/>
      <x:c r="S36" s="76" t="str">
        <x:f>IF(B36="","",IF(OR(C36="",D36="",E36="",F36="",G36="",K36="",L36="",N36="",O36&lt;&gt;"Validé humainement"),"ALERTE: données/preuves/statut",IF(OR(G36&lt;0,H36&lt;0,I36&lt;0,J36&lt;0,AND(G36&lt;&gt;"",H36&gt;G36),AND(H36&lt;&gt;"",I36&gt;H36)),"ALERTE: valeur anormale","OK")))</x:f>
      </x:c>
      <x:c r="T36" s="76" t="str">
        <x:f>IF(B36="","",IF(O36="Validé humainement","Oui","Non"))</x:f>
      </x:c>
    </x:row>
    <x:row r="37">
      <x:c r="A37" s="76" t="str">
        <x:f>IF(B37="","","FIN-"&amp;TEXT(ROW()-4,"0000"))</x:f>
      </x:c>
      <x:c r="B37" s="76"/>
      <x:c r="C37" s="76"/>
      <x:c r="D37" s="76"/>
      <x:c r="E37" s="76"/>
      <x:c r="F37" s="76"/>
      <x:c r="G37" s="81"/>
      <x:c r="H37" s="81"/>
      <x:c r="I37" s="81"/>
      <x:c r="J37" s="81"/>
      <x:c r="K37" s="76"/>
      <x:c r="L37" s="76"/>
      <x:c r="M37" s="78"/>
      <x:c r="N37" s="76"/>
      <x:c r="O37" s="76"/>
      <x:c r="P37" s="76"/>
      <x:c r="Q37" s="78" t="str">
        <x:f>IF(B37="","",TODAY())</x:f>
      </x:c>
      <x:c r="R37" s="76"/>
      <x:c r="S37" s="76" t="str">
        <x:f>IF(B37="","",IF(OR(C37="",D37="",E37="",F37="",G37="",K37="",L37="",N37="",O37&lt;&gt;"Validé humainement"),"ALERTE: données/preuves/statut",IF(OR(G37&lt;0,H37&lt;0,I37&lt;0,J37&lt;0,AND(G37&lt;&gt;"",H37&gt;G37),AND(H37&lt;&gt;"",I37&gt;H37)),"ALERTE: valeur anormale","OK")))</x:f>
      </x:c>
      <x:c r="T37" s="76" t="str">
        <x:f>IF(B37="","",IF(O37="Validé humainement","Oui","Non"))</x:f>
      </x:c>
    </x:row>
    <x:row r="38">
      <x:c r="A38" s="76" t="str">
        <x:f>IF(B38="","","FIN-"&amp;TEXT(ROW()-4,"0000"))</x:f>
      </x:c>
      <x:c r="B38" s="76"/>
      <x:c r="C38" s="76"/>
      <x:c r="D38" s="76"/>
      <x:c r="E38" s="76"/>
      <x:c r="F38" s="76"/>
      <x:c r="G38" s="81"/>
      <x:c r="H38" s="81"/>
      <x:c r="I38" s="81"/>
      <x:c r="J38" s="81"/>
      <x:c r="K38" s="76"/>
      <x:c r="L38" s="76"/>
      <x:c r="M38" s="78"/>
      <x:c r="N38" s="76"/>
      <x:c r="O38" s="76"/>
      <x:c r="P38" s="76"/>
      <x:c r="Q38" s="78" t="str">
        <x:f>IF(B38="","",TODAY())</x:f>
      </x:c>
      <x:c r="R38" s="76"/>
      <x:c r="S38" s="76" t="str">
        <x:f>IF(B38="","",IF(OR(C38="",D38="",E38="",F38="",G38="",K38="",L38="",N38="",O38&lt;&gt;"Validé humainement"),"ALERTE: données/preuves/statut",IF(OR(G38&lt;0,H38&lt;0,I38&lt;0,J38&lt;0,AND(G38&lt;&gt;"",H38&gt;G38),AND(H38&lt;&gt;"",I38&gt;H38)),"ALERTE: valeur anormale","OK")))</x:f>
      </x:c>
      <x:c r="T38" s="76" t="str">
        <x:f>IF(B38="","",IF(O38="Validé humainement","Oui","Non"))</x:f>
      </x:c>
    </x:row>
    <x:row r="39">
      <x:c r="A39" s="76" t="str">
        <x:f>IF(B39="","","FIN-"&amp;TEXT(ROW()-4,"0000"))</x:f>
      </x:c>
      <x:c r="B39" s="76"/>
      <x:c r="C39" s="76"/>
      <x:c r="D39" s="76"/>
      <x:c r="E39" s="76"/>
      <x:c r="F39" s="76"/>
      <x:c r="G39" s="81"/>
      <x:c r="H39" s="81"/>
      <x:c r="I39" s="81"/>
      <x:c r="J39" s="81"/>
      <x:c r="K39" s="76"/>
      <x:c r="L39" s="76"/>
      <x:c r="M39" s="78"/>
      <x:c r="N39" s="76"/>
      <x:c r="O39" s="76"/>
      <x:c r="P39" s="76"/>
      <x:c r="Q39" s="78" t="str">
        <x:f>IF(B39="","",TODAY())</x:f>
      </x:c>
      <x:c r="R39" s="76"/>
      <x:c r="S39" s="76" t="str">
        <x:f>IF(B39="","",IF(OR(C39="",D39="",E39="",F39="",G39="",K39="",L39="",N39="",O39&lt;&gt;"Validé humainement"),"ALERTE: données/preuves/statut",IF(OR(G39&lt;0,H39&lt;0,I39&lt;0,J39&lt;0,AND(G39&lt;&gt;"",H39&gt;G39),AND(H39&lt;&gt;"",I39&gt;H39)),"ALERTE: valeur anormale","OK")))</x:f>
      </x:c>
      <x:c r="T39" s="76" t="str">
        <x:f>IF(B39="","",IF(O39="Validé humainement","Oui","Non"))</x:f>
      </x:c>
    </x:row>
    <x:row r="40">
      <x:c r="A40" s="76" t="str">
        <x:f>IF(B40="","","FIN-"&amp;TEXT(ROW()-4,"0000"))</x:f>
      </x:c>
      <x:c r="B40" s="76"/>
      <x:c r="C40" s="76"/>
      <x:c r="D40" s="76"/>
      <x:c r="E40" s="76"/>
      <x:c r="F40" s="76"/>
      <x:c r="G40" s="81"/>
      <x:c r="H40" s="81"/>
      <x:c r="I40" s="81"/>
      <x:c r="J40" s="81"/>
      <x:c r="K40" s="76"/>
      <x:c r="L40" s="76"/>
      <x:c r="M40" s="78"/>
      <x:c r="N40" s="76"/>
      <x:c r="O40" s="76"/>
      <x:c r="P40" s="76"/>
      <x:c r="Q40" s="78" t="str">
        <x:f>IF(B40="","",TODAY())</x:f>
      </x:c>
      <x:c r="R40" s="76"/>
      <x:c r="S40" s="76" t="str">
        <x:f>IF(B40="","",IF(OR(C40="",D40="",E40="",F40="",G40="",K40="",L40="",N40="",O40&lt;&gt;"Validé humainement"),"ALERTE: données/preuves/statut",IF(OR(G40&lt;0,H40&lt;0,I40&lt;0,J40&lt;0,AND(G40&lt;&gt;"",H40&gt;G40),AND(H40&lt;&gt;"",I40&gt;H40)),"ALERTE: valeur anormale","OK")))</x:f>
      </x:c>
      <x:c r="T40" s="76" t="str">
        <x:f>IF(B40="","",IF(O40="Validé humainement","Oui","Non"))</x:f>
      </x:c>
    </x:row>
    <x:row r="41">
      <x:c r="A41" s="76" t="str">
        <x:f>IF(B41="","","FIN-"&amp;TEXT(ROW()-4,"0000"))</x:f>
      </x:c>
      <x:c r="B41" s="76"/>
      <x:c r="C41" s="76"/>
      <x:c r="D41" s="76"/>
      <x:c r="E41" s="76"/>
      <x:c r="F41" s="76"/>
      <x:c r="G41" s="81"/>
      <x:c r="H41" s="81"/>
      <x:c r="I41" s="81"/>
      <x:c r="J41" s="81"/>
      <x:c r="K41" s="76"/>
      <x:c r="L41" s="76"/>
      <x:c r="M41" s="78"/>
      <x:c r="N41" s="76"/>
      <x:c r="O41" s="76"/>
      <x:c r="P41" s="76"/>
      <x:c r="Q41" s="78" t="str">
        <x:f>IF(B41="","",TODAY())</x:f>
      </x:c>
      <x:c r="R41" s="76"/>
      <x:c r="S41" s="76" t="str">
        <x:f>IF(B41="","",IF(OR(C41="",D41="",E41="",F41="",G41="",K41="",L41="",N41="",O41&lt;&gt;"Validé humainement"),"ALERTE: données/preuves/statut",IF(OR(G41&lt;0,H41&lt;0,I41&lt;0,J41&lt;0,AND(G41&lt;&gt;"",H41&gt;G41),AND(H41&lt;&gt;"",I41&gt;H41)),"ALERTE: valeur anormale","OK")))</x:f>
      </x:c>
      <x:c r="T41" s="76" t="str">
        <x:f>IF(B41="","",IF(O41="Validé humainement","Oui","Non"))</x:f>
      </x:c>
    </x:row>
    <x:row r="42">
      <x:c r="A42" s="76" t="str">
        <x:f>IF(B42="","","FIN-"&amp;TEXT(ROW()-4,"0000"))</x:f>
      </x:c>
      <x:c r="B42" s="76"/>
      <x:c r="C42" s="76"/>
      <x:c r="D42" s="76"/>
      <x:c r="E42" s="76"/>
      <x:c r="F42" s="76"/>
      <x:c r="G42" s="81"/>
      <x:c r="H42" s="81"/>
      <x:c r="I42" s="81"/>
      <x:c r="J42" s="81"/>
      <x:c r="K42" s="76"/>
      <x:c r="L42" s="76"/>
      <x:c r="M42" s="78"/>
      <x:c r="N42" s="76"/>
      <x:c r="O42" s="76"/>
      <x:c r="P42" s="76"/>
      <x:c r="Q42" s="78" t="str">
        <x:f>IF(B42="","",TODAY())</x:f>
      </x:c>
      <x:c r="R42" s="76"/>
      <x:c r="S42" s="76" t="str">
        <x:f>IF(B42="","",IF(OR(C42="",D42="",E42="",F42="",G42="",K42="",L42="",N42="",O42&lt;&gt;"Validé humainement"),"ALERTE: données/preuves/statut",IF(OR(G42&lt;0,H42&lt;0,I42&lt;0,J42&lt;0,AND(G42&lt;&gt;"",H42&gt;G42),AND(H42&lt;&gt;"",I42&gt;H42)),"ALERTE: valeur anormale","OK")))</x:f>
      </x:c>
      <x:c r="T42" s="76" t="str">
        <x:f>IF(B42="","",IF(O42="Validé humainement","Oui","Non"))</x:f>
      </x:c>
    </x:row>
    <x:row r="43">
      <x:c r="A43" s="76" t="str">
        <x:f>IF(B43="","","FIN-"&amp;TEXT(ROW()-4,"0000"))</x:f>
      </x:c>
      <x:c r="B43" s="76"/>
      <x:c r="C43" s="76"/>
      <x:c r="D43" s="76"/>
      <x:c r="E43" s="76"/>
      <x:c r="F43" s="76"/>
      <x:c r="G43" s="81"/>
      <x:c r="H43" s="81"/>
      <x:c r="I43" s="81"/>
      <x:c r="J43" s="81"/>
      <x:c r="K43" s="76"/>
      <x:c r="L43" s="76"/>
      <x:c r="M43" s="78"/>
      <x:c r="N43" s="76"/>
      <x:c r="O43" s="76"/>
      <x:c r="P43" s="76"/>
      <x:c r="Q43" s="78" t="str">
        <x:f>IF(B43="","",TODAY())</x:f>
      </x:c>
      <x:c r="R43" s="76"/>
      <x:c r="S43" s="76" t="str">
        <x:f>IF(B43="","",IF(OR(C43="",D43="",E43="",F43="",G43="",K43="",L43="",N43="",O43&lt;&gt;"Validé humainement"),"ALERTE: données/preuves/statut",IF(OR(G43&lt;0,H43&lt;0,I43&lt;0,J43&lt;0,AND(G43&lt;&gt;"",H43&gt;G43),AND(H43&lt;&gt;"",I43&gt;H43)),"ALERTE: valeur anormale","OK")))</x:f>
      </x:c>
      <x:c r="T43" s="76" t="str">
        <x:f>IF(B43="","",IF(O43="Validé humainement","Oui","Non"))</x:f>
      </x:c>
    </x:row>
    <x:row r="44">
      <x:c r="A44" s="76" t="str">
        <x:f>IF(B44="","","FIN-"&amp;TEXT(ROW()-4,"0000"))</x:f>
      </x:c>
      <x:c r="B44" s="76"/>
      <x:c r="C44" s="76"/>
      <x:c r="D44" s="76"/>
      <x:c r="E44" s="76"/>
      <x:c r="F44" s="76"/>
      <x:c r="G44" s="81"/>
      <x:c r="H44" s="81"/>
      <x:c r="I44" s="81"/>
      <x:c r="J44" s="81"/>
      <x:c r="K44" s="76"/>
      <x:c r="L44" s="76"/>
      <x:c r="M44" s="78"/>
      <x:c r="N44" s="76"/>
      <x:c r="O44" s="76"/>
      <x:c r="P44" s="76"/>
      <x:c r="Q44" s="78" t="str">
        <x:f>IF(B44="","",TODAY())</x:f>
      </x:c>
      <x:c r="R44" s="76"/>
      <x:c r="S44" s="76" t="str">
        <x:f>IF(B44="","",IF(OR(C44="",D44="",E44="",F44="",G44="",K44="",L44="",N44="",O44&lt;&gt;"Validé humainement"),"ALERTE: données/preuves/statut",IF(OR(G44&lt;0,H44&lt;0,I44&lt;0,J44&lt;0,AND(G44&lt;&gt;"",H44&gt;G44),AND(H44&lt;&gt;"",I44&gt;H44)),"ALERTE: valeur anormale","OK")))</x:f>
      </x:c>
      <x:c r="T44" s="76" t="str">
        <x:f>IF(B44="","",IF(O44="Validé humainement","Oui","Non"))</x:f>
      </x:c>
    </x:row>
    <x:row r="45">
      <x:c r="A45" s="76" t="str">
        <x:f>IF(B45="","","FIN-"&amp;TEXT(ROW()-4,"0000"))</x:f>
      </x:c>
      <x:c r="B45" s="76"/>
      <x:c r="C45" s="76"/>
      <x:c r="D45" s="76"/>
      <x:c r="E45" s="76"/>
      <x:c r="F45" s="76"/>
      <x:c r="G45" s="81"/>
      <x:c r="H45" s="81"/>
      <x:c r="I45" s="81"/>
      <x:c r="J45" s="81"/>
      <x:c r="K45" s="76"/>
      <x:c r="L45" s="76"/>
      <x:c r="M45" s="78"/>
      <x:c r="N45" s="76"/>
      <x:c r="O45" s="76"/>
      <x:c r="P45" s="76"/>
      <x:c r="Q45" s="78" t="str">
        <x:f>IF(B45="","",TODAY())</x:f>
      </x:c>
      <x:c r="R45" s="76"/>
      <x:c r="S45" s="76" t="str">
        <x:f>IF(B45="","",IF(OR(C45="",D45="",E45="",F45="",G45="",K45="",L45="",N45="",O45&lt;&gt;"Validé humainement"),"ALERTE: données/preuves/statut",IF(OR(G45&lt;0,H45&lt;0,I45&lt;0,J45&lt;0,AND(G45&lt;&gt;"",H45&gt;G45),AND(H45&lt;&gt;"",I45&gt;H45)),"ALERTE: valeur anormale","OK")))</x:f>
      </x:c>
      <x:c r="T45" s="76" t="str">
        <x:f>IF(B45="","",IF(O45="Validé humainement","Oui","Non"))</x:f>
      </x:c>
    </x:row>
    <x:row r="46">
      <x:c r="A46" s="76" t="str">
        <x:f>IF(B46="","","FIN-"&amp;TEXT(ROW()-4,"0000"))</x:f>
      </x:c>
      <x:c r="B46" s="76"/>
      <x:c r="C46" s="76"/>
      <x:c r="D46" s="76"/>
      <x:c r="E46" s="76"/>
      <x:c r="F46" s="76"/>
      <x:c r="G46" s="81"/>
      <x:c r="H46" s="81"/>
      <x:c r="I46" s="81"/>
      <x:c r="J46" s="81"/>
      <x:c r="K46" s="76"/>
      <x:c r="L46" s="76"/>
      <x:c r="M46" s="78"/>
      <x:c r="N46" s="76"/>
      <x:c r="O46" s="76"/>
      <x:c r="P46" s="76"/>
      <x:c r="Q46" s="78" t="str">
        <x:f>IF(B46="","",TODAY())</x:f>
      </x:c>
      <x:c r="R46" s="76"/>
      <x:c r="S46" s="76" t="str">
        <x:f>IF(B46="","",IF(OR(C46="",D46="",E46="",F46="",G46="",K46="",L46="",N46="",O46&lt;&gt;"Validé humainement"),"ALERTE: données/preuves/statut",IF(OR(G46&lt;0,H46&lt;0,I46&lt;0,J46&lt;0,AND(G46&lt;&gt;"",H46&gt;G46),AND(H46&lt;&gt;"",I46&gt;H46)),"ALERTE: valeur anormale","OK")))</x:f>
      </x:c>
      <x:c r="T46" s="76" t="str">
        <x:f>IF(B46="","",IF(O46="Validé humainement","Oui","Non"))</x:f>
      </x:c>
    </x:row>
    <x:row r="47">
      <x:c r="A47" s="76" t="str">
        <x:f>IF(B47="","","FIN-"&amp;TEXT(ROW()-4,"0000"))</x:f>
      </x:c>
      <x:c r="B47" s="76"/>
      <x:c r="C47" s="76"/>
      <x:c r="D47" s="76"/>
      <x:c r="E47" s="76"/>
      <x:c r="F47" s="76"/>
      <x:c r="G47" s="81"/>
      <x:c r="H47" s="81"/>
      <x:c r="I47" s="81"/>
      <x:c r="J47" s="81"/>
      <x:c r="K47" s="76"/>
      <x:c r="L47" s="76"/>
      <x:c r="M47" s="78"/>
      <x:c r="N47" s="76"/>
      <x:c r="O47" s="76"/>
      <x:c r="P47" s="76"/>
      <x:c r="Q47" s="78" t="str">
        <x:f>IF(B47="","",TODAY())</x:f>
      </x:c>
      <x:c r="R47" s="76"/>
      <x:c r="S47" s="76" t="str">
        <x:f>IF(B47="","",IF(OR(C47="",D47="",E47="",F47="",G47="",K47="",L47="",N47="",O47&lt;&gt;"Validé humainement"),"ALERTE: données/preuves/statut",IF(OR(G47&lt;0,H47&lt;0,I47&lt;0,J47&lt;0,AND(G47&lt;&gt;"",H47&gt;G47),AND(H47&lt;&gt;"",I47&gt;H47)),"ALERTE: valeur anormale","OK")))</x:f>
      </x:c>
      <x:c r="T47" s="76" t="str">
        <x:f>IF(B47="","",IF(O47="Validé humainement","Oui","Non"))</x:f>
      </x:c>
    </x:row>
    <x:row r="48">
      <x:c r="A48" s="76" t="str">
        <x:f>IF(B48="","","FIN-"&amp;TEXT(ROW()-4,"0000"))</x:f>
      </x:c>
      <x:c r="B48" s="76"/>
      <x:c r="C48" s="76"/>
      <x:c r="D48" s="76"/>
      <x:c r="E48" s="76"/>
      <x:c r="F48" s="76"/>
      <x:c r="G48" s="81"/>
      <x:c r="H48" s="81"/>
      <x:c r="I48" s="81"/>
      <x:c r="J48" s="81"/>
      <x:c r="K48" s="76"/>
      <x:c r="L48" s="76"/>
      <x:c r="M48" s="78"/>
      <x:c r="N48" s="76"/>
      <x:c r="O48" s="76"/>
      <x:c r="P48" s="76"/>
      <x:c r="Q48" s="78" t="str">
        <x:f>IF(B48="","",TODAY())</x:f>
      </x:c>
      <x:c r="R48" s="76"/>
      <x:c r="S48" s="76" t="str">
        <x:f>IF(B48="","",IF(OR(C48="",D48="",E48="",F48="",G48="",K48="",L48="",N48="",O48&lt;&gt;"Validé humainement"),"ALERTE: données/preuves/statut",IF(OR(G48&lt;0,H48&lt;0,I48&lt;0,J48&lt;0,AND(G48&lt;&gt;"",H48&gt;G48),AND(H48&lt;&gt;"",I48&gt;H48)),"ALERTE: valeur anormale","OK")))</x:f>
      </x:c>
      <x:c r="T48" s="76" t="str">
        <x:f>IF(B48="","",IF(O48="Validé humainement","Oui","Non"))</x:f>
      </x:c>
    </x:row>
    <x:row r="49">
      <x:c r="A49" s="76" t="str">
        <x:f>IF(B49="","","FIN-"&amp;TEXT(ROW()-4,"0000"))</x:f>
      </x:c>
      <x:c r="B49" s="76"/>
      <x:c r="C49" s="76"/>
      <x:c r="D49" s="76"/>
      <x:c r="E49" s="76"/>
      <x:c r="F49" s="76"/>
      <x:c r="G49" s="81"/>
      <x:c r="H49" s="81"/>
      <x:c r="I49" s="81"/>
      <x:c r="J49" s="81"/>
      <x:c r="K49" s="76"/>
      <x:c r="L49" s="76"/>
      <x:c r="M49" s="78"/>
      <x:c r="N49" s="76"/>
      <x:c r="O49" s="76"/>
      <x:c r="P49" s="76"/>
      <x:c r="Q49" s="78" t="str">
        <x:f>IF(B49="","",TODAY())</x:f>
      </x:c>
      <x:c r="R49" s="76"/>
      <x:c r="S49" s="76" t="str">
        <x:f>IF(B49="","",IF(OR(C49="",D49="",E49="",F49="",G49="",K49="",L49="",N49="",O49&lt;&gt;"Validé humainement"),"ALERTE: données/preuves/statut",IF(OR(G49&lt;0,H49&lt;0,I49&lt;0,J49&lt;0,AND(G49&lt;&gt;"",H49&gt;G49),AND(H49&lt;&gt;"",I49&gt;H49)),"ALERTE: valeur anormale","OK")))</x:f>
      </x:c>
      <x:c r="T49" s="76" t="str">
        <x:f>IF(B49="","",IF(O49="Validé humainement","Oui","Non"))</x:f>
      </x:c>
    </x:row>
    <x:row r="50">
      <x:c r="A50" s="76" t="str">
        <x:f>IF(B50="","","FIN-"&amp;TEXT(ROW()-4,"0000"))</x:f>
      </x:c>
      <x:c r="B50" s="76"/>
      <x:c r="C50" s="76"/>
      <x:c r="D50" s="76"/>
      <x:c r="E50" s="76"/>
      <x:c r="F50" s="76"/>
      <x:c r="G50" s="81"/>
      <x:c r="H50" s="81"/>
      <x:c r="I50" s="81"/>
      <x:c r="J50" s="81"/>
      <x:c r="K50" s="76"/>
      <x:c r="L50" s="76"/>
      <x:c r="M50" s="78"/>
      <x:c r="N50" s="76"/>
      <x:c r="O50" s="76"/>
      <x:c r="P50" s="76"/>
      <x:c r="Q50" s="78" t="str">
        <x:f>IF(B50="","",TODAY())</x:f>
      </x:c>
      <x:c r="R50" s="76"/>
      <x:c r="S50" s="76" t="str">
        <x:f>IF(B50="","",IF(OR(C50="",D50="",E50="",F50="",G50="",K50="",L50="",N50="",O50&lt;&gt;"Validé humainement"),"ALERTE: données/preuves/statut",IF(OR(G50&lt;0,H50&lt;0,I50&lt;0,J50&lt;0,AND(G50&lt;&gt;"",H50&gt;G50),AND(H50&lt;&gt;"",I50&gt;H50)),"ALERTE: valeur anormale","OK")))</x:f>
      </x:c>
      <x:c r="T50" s="76" t="str">
        <x:f>IF(B50="","",IF(O50="Validé humainement","Oui","Non"))</x:f>
      </x:c>
    </x:row>
    <x:row r="51">
      <x:c r="A51" s="76" t="str">
        <x:f>IF(B51="","","FIN-"&amp;TEXT(ROW()-4,"0000"))</x:f>
      </x:c>
      <x:c r="B51" s="76"/>
      <x:c r="C51" s="76"/>
      <x:c r="D51" s="76"/>
      <x:c r="E51" s="76"/>
      <x:c r="F51" s="76"/>
      <x:c r="G51" s="81"/>
      <x:c r="H51" s="81"/>
      <x:c r="I51" s="81"/>
      <x:c r="J51" s="81"/>
      <x:c r="K51" s="76"/>
      <x:c r="L51" s="76"/>
      <x:c r="M51" s="78"/>
      <x:c r="N51" s="76"/>
      <x:c r="O51" s="76"/>
      <x:c r="P51" s="76"/>
      <x:c r="Q51" s="78" t="str">
        <x:f>IF(B51="","",TODAY())</x:f>
      </x:c>
      <x:c r="R51" s="76"/>
      <x:c r="S51" s="76" t="str">
        <x:f>IF(B51="","",IF(OR(C51="",D51="",E51="",F51="",G51="",K51="",L51="",N51="",O51&lt;&gt;"Validé humainement"),"ALERTE: données/preuves/statut",IF(OR(G51&lt;0,H51&lt;0,I51&lt;0,J51&lt;0,AND(G51&lt;&gt;"",H51&gt;G51),AND(H51&lt;&gt;"",I51&gt;H51)),"ALERTE: valeur anormale","OK")))</x:f>
      </x:c>
      <x:c r="T51" s="76" t="str">
        <x:f>IF(B51="","",IF(O51="Validé humainement","Oui","Non"))</x:f>
      </x:c>
    </x:row>
    <x:row r="52">
      <x:c r="A52" s="76" t="str">
        <x:f>IF(B52="","","FIN-"&amp;TEXT(ROW()-4,"0000"))</x:f>
      </x:c>
      <x:c r="B52" s="76"/>
      <x:c r="C52" s="76"/>
      <x:c r="D52" s="76"/>
      <x:c r="E52" s="76"/>
      <x:c r="F52" s="76"/>
      <x:c r="G52" s="81"/>
      <x:c r="H52" s="81"/>
      <x:c r="I52" s="81"/>
      <x:c r="J52" s="81"/>
      <x:c r="K52" s="76"/>
      <x:c r="L52" s="76"/>
      <x:c r="M52" s="78"/>
      <x:c r="N52" s="76"/>
      <x:c r="O52" s="76"/>
      <x:c r="P52" s="76"/>
      <x:c r="Q52" s="78" t="str">
        <x:f>IF(B52="","",TODAY())</x:f>
      </x:c>
      <x:c r="R52" s="76"/>
      <x:c r="S52" s="76" t="str">
        <x:f>IF(B52="","",IF(OR(C52="",D52="",E52="",F52="",G52="",K52="",L52="",N52="",O52&lt;&gt;"Validé humainement"),"ALERTE: données/preuves/statut",IF(OR(G52&lt;0,H52&lt;0,I52&lt;0,J52&lt;0,AND(G52&lt;&gt;"",H52&gt;G52),AND(H52&lt;&gt;"",I52&gt;H52)),"ALERTE: valeur anormale","OK")))</x:f>
      </x:c>
      <x:c r="T52" s="76" t="str">
        <x:f>IF(B52="","",IF(O52="Validé humainement","Oui","Non"))</x:f>
      </x:c>
    </x:row>
    <x:row r="53">
      <x:c r="A53" s="76" t="str">
        <x:f>IF(B53="","","FIN-"&amp;TEXT(ROW()-4,"0000"))</x:f>
      </x:c>
      <x:c r="B53" s="76"/>
      <x:c r="C53" s="76"/>
      <x:c r="D53" s="76"/>
      <x:c r="E53" s="76"/>
      <x:c r="F53" s="76"/>
      <x:c r="G53" s="81"/>
      <x:c r="H53" s="81"/>
      <x:c r="I53" s="81"/>
      <x:c r="J53" s="81"/>
      <x:c r="K53" s="76"/>
      <x:c r="L53" s="76"/>
      <x:c r="M53" s="78"/>
      <x:c r="N53" s="76"/>
      <x:c r="O53" s="76"/>
      <x:c r="P53" s="76"/>
      <x:c r="Q53" s="78" t="str">
        <x:f>IF(B53="","",TODAY())</x:f>
      </x:c>
      <x:c r="R53" s="76"/>
      <x:c r="S53" s="76" t="str">
        <x:f>IF(B53="","",IF(OR(C53="",D53="",E53="",F53="",G53="",K53="",L53="",N53="",O53&lt;&gt;"Validé humainement"),"ALERTE: données/preuves/statut",IF(OR(G53&lt;0,H53&lt;0,I53&lt;0,J53&lt;0,AND(G53&lt;&gt;"",H53&gt;G53),AND(H53&lt;&gt;"",I53&gt;H53)),"ALERTE: valeur anormale","OK")))</x:f>
      </x:c>
      <x:c r="T53" s="76" t="str">
        <x:f>IF(B53="","",IF(O53="Validé humainement","Oui","Non"))</x:f>
      </x:c>
    </x:row>
    <x:row r="54">
      <x:c r="A54" s="76" t="str">
        <x:f>IF(B54="","","FIN-"&amp;TEXT(ROW()-4,"0000"))</x:f>
      </x:c>
      <x:c r="B54" s="76"/>
      <x:c r="C54" s="76"/>
      <x:c r="D54" s="76"/>
      <x:c r="E54" s="76"/>
      <x:c r="F54" s="76"/>
      <x:c r="G54" s="81"/>
      <x:c r="H54" s="81"/>
      <x:c r="I54" s="81"/>
      <x:c r="J54" s="81"/>
      <x:c r="K54" s="76"/>
      <x:c r="L54" s="76"/>
      <x:c r="M54" s="78"/>
      <x:c r="N54" s="76"/>
      <x:c r="O54" s="76"/>
      <x:c r="P54" s="76"/>
      <x:c r="Q54" s="78" t="str">
        <x:f>IF(B54="","",TODAY())</x:f>
      </x:c>
      <x:c r="R54" s="76"/>
      <x:c r="S54" s="76" t="str">
        <x:f>IF(B54="","",IF(OR(C54="",D54="",E54="",F54="",G54="",K54="",L54="",N54="",O54&lt;&gt;"Validé humainement"),"ALERTE: données/preuves/statut",IF(OR(G54&lt;0,H54&lt;0,I54&lt;0,J54&lt;0,AND(G54&lt;&gt;"",H54&gt;G54),AND(H54&lt;&gt;"",I54&gt;H54)),"ALERTE: valeur anormale","OK")))</x:f>
      </x:c>
      <x:c r="T54" s="76" t="str">
        <x:f>IF(B54="","",IF(O54="Validé humainement","Oui","Non"))</x:f>
      </x:c>
    </x:row>
    <x:row r="55">
      <x:c r="A55" s="76" t="str">
        <x:f>IF(B55="","","FIN-"&amp;TEXT(ROW()-4,"0000"))</x:f>
      </x:c>
      <x:c r="B55" s="76"/>
      <x:c r="C55" s="76"/>
      <x:c r="D55" s="76"/>
      <x:c r="E55" s="76"/>
      <x:c r="F55" s="76"/>
      <x:c r="G55" s="81"/>
      <x:c r="H55" s="81"/>
      <x:c r="I55" s="81"/>
      <x:c r="J55" s="81"/>
      <x:c r="K55" s="76"/>
      <x:c r="L55" s="76"/>
      <x:c r="M55" s="78"/>
      <x:c r="N55" s="76"/>
      <x:c r="O55" s="76"/>
      <x:c r="P55" s="76"/>
      <x:c r="Q55" s="78" t="str">
        <x:f>IF(B55="","",TODAY())</x:f>
      </x:c>
      <x:c r="R55" s="76"/>
      <x:c r="S55" s="76" t="str">
        <x:f>IF(B55="","",IF(OR(C55="",D55="",E55="",F55="",G55="",K55="",L55="",N55="",O55&lt;&gt;"Validé humainement"),"ALERTE: données/preuves/statut",IF(OR(G55&lt;0,H55&lt;0,I55&lt;0,J55&lt;0,AND(G55&lt;&gt;"",H55&gt;G55),AND(H55&lt;&gt;"",I55&gt;H55)),"ALERTE: valeur anormale","OK")))</x:f>
      </x:c>
      <x:c r="T55" s="76" t="str">
        <x:f>IF(B55="","",IF(O55="Validé humainement","Oui","Non"))</x:f>
      </x:c>
    </x:row>
    <x:row r="56">
      <x:c r="A56" s="76" t="str">
        <x:f>IF(B56="","","FIN-"&amp;TEXT(ROW()-4,"0000"))</x:f>
      </x:c>
      <x:c r="B56" s="76"/>
      <x:c r="C56" s="76"/>
      <x:c r="D56" s="76"/>
      <x:c r="E56" s="76"/>
      <x:c r="F56" s="76"/>
      <x:c r="G56" s="81"/>
      <x:c r="H56" s="81"/>
      <x:c r="I56" s="81"/>
      <x:c r="J56" s="81"/>
      <x:c r="K56" s="76"/>
      <x:c r="L56" s="76"/>
      <x:c r="M56" s="78"/>
      <x:c r="N56" s="76"/>
      <x:c r="O56" s="76"/>
      <x:c r="P56" s="76"/>
      <x:c r="Q56" s="78" t="str">
        <x:f>IF(B56="","",TODAY())</x:f>
      </x:c>
      <x:c r="R56" s="76"/>
      <x:c r="S56" s="76" t="str">
        <x:f>IF(B56="","",IF(OR(C56="",D56="",E56="",F56="",G56="",K56="",L56="",N56="",O56&lt;&gt;"Validé humainement"),"ALERTE: données/preuves/statut",IF(OR(G56&lt;0,H56&lt;0,I56&lt;0,J56&lt;0,AND(G56&lt;&gt;"",H56&gt;G56),AND(H56&lt;&gt;"",I56&gt;H56)),"ALERTE: valeur anormale","OK")))</x:f>
      </x:c>
      <x:c r="T56" s="76" t="str">
        <x:f>IF(B56="","",IF(O56="Validé humainement","Oui","Non"))</x:f>
      </x:c>
    </x:row>
    <x:row r="57">
      <x:c r="A57" s="76" t="str">
        <x:f>IF(B57="","","FIN-"&amp;TEXT(ROW()-4,"0000"))</x:f>
      </x:c>
      <x:c r="B57" s="76"/>
      <x:c r="C57" s="76"/>
      <x:c r="D57" s="76"/>
      <x:c r="E57" s="76"/>
      <x:c r="F57" s="76"/>
      <x:c r="G57" s="81"/>
      <x:c r="H57" s="81"/>
      <x:c r="I57" s="81"/>
      <x:c r="J57" s="81"/>
      <x:c r="K57" s="76"/>
      <x:c r="L57" s="76"/>
      <x:c r="M57" s="78"/>
      <x:c r="N57" s="76"/>
      <x:c r="O57" s="76"/>
      <x:c r="P57" s="76"/>
      <x:c r="Q57" s="78" t="str">
        <x:f>IF(B57="","",TODAY())</x:f>
      </x:c>
      <x:c r="R57" s="76"/>
      <x:c r="S57" s="76" t="str">
        <x:f>IF(B57="","",IF(OR(C57="",D57="",E57="",F57="",G57="",K57="",L57="",N57="",O57&lt;&gt;"Validé humainement"),"ALERTE: données/preuves/statut",IF(OR(G57&lt;0,H57&lt;0,I57&lt;0,J57&lt;0,AND(G57&lt;&gt;"",H57&gt;G57),AND(H57&lt;&gt;"",I57&gt;H57)),"ALERTE: valeur anormale","OK")))</x:f>
      </x:c>
      <x:c r="T57" s="76" t="str">
        <x:f>IF(B57="","",IF(O57="Validé humainement","Oui","Non"))</x:f>
      </x:c>
    </x:row>
    <x:row r="58">
      <x:c r="A58" s="76" t="str">
        <x:f>IF(B58="","","FIN-"&amp;TEXT(ROW()-4,"0000"))</x:f>
      </x:c>
      <x:c r="B58" s="76"/>
      <x:c r="C58" s="76"/>
      <x:c r="D58" s="76"/>
      <x:c r="E58" s="76"/>
      <x:c r="F58" s="76"/>
      <x:c r="G58" s="81"/>
      <x:c r="H58" s="81"/>
      <x:c r="I58" s="81"/>
      <x:c r="J58" s="81"/>
      <x:c r="K58" s="76"/>
      <x:c r="L58" s="76"/>
      <x:c r="M58" s="78"/>
      <x:c r="N58" s="76"/>
      <x:c r="O58" s="76"/>
      <x:c r="P58" s="76"/>
      <x:c r="Q58" s="78" t="str">
        <x:f>IF(B58="","",TODAY())</x:f>
      </x:c>
      <x:c r="R58" s="76"/>
      <x:c r="S58" s="76" t="str">
        <x:f>IF(B58="","",IF(OR(C58="",D58="",E58="",F58="",G58="",K58="",L58="",N58="",O58&lt;&gt;"Validé humainement"),"ALERTE: données/preuves/statut",IF(OR(G58&lt;0,H58&lt;0,I58&lt;0,J58&lt;0,AND(G58&lt;&gt;"",H58&gt;G58),AND(H58&lt;&gt;"",I58&gt;H58)),"ALERTE: valeur anormale","OK")))</x:f>
      </x:c>
      <x:c r="T58" s="76" t="str">
        <x:f>IF(B58="","",IF(O58="Validé humainement","Oui","Non"))</x:f>
      </x:c>
    </x:row>
    <x:row r="59">
      <x:c r="A59" s="76" t="str">
        <x:f>IF(B59="","","FIN-"&amp;TEXT(ROW()-4,"0000"))</x:f>
      </x:c>
      <x:c r="B59" s="76"/>
      <x:c r="C59" s="76"/>
      <x:c r="D59" s="76"/>
      <x:c r="E59" s="76"/>
      <x:c r="F59" s="76"/>
      <x:c r="G59" s="81"/>
      <x:c r="H59" s="81"/>
      <x:c r="I59" s="81"/>
      <x:c r="J59" s="81"/>
      <x:c r="K59" s="76"/>
      <x:c r="L59" s="76"/>
      <x:c r="M59" s="78"/>
      <x:c r="N59" s="76"/>
      <x:c r="O59" s="76"/>
      <x:c r="P59" s="76"/>
      <x:c r="Q59" s="78" t="str">
        <x:f>IF(B59="","",TODAY())</x:f>
      </x:c>
      <x:c r="R59" s="76"/>
      <x:c r="S59" s="76" t="str">
        <x:f>IF(B59="","",IF(OR(C59="",D59="",E59="",F59="",G59="",K59="",L59="",N59="",O59&lt;&gt;"Validé humainement"),"ALERTE: données/preuves/statut",IF(OR(G59&lt;0,H59&lt;0,I59&lt;0,J59&lt;0,AND(G59&lt;&gt;"",H59&gt;G59),AND(H59&lt;&gt;"",I59&gt;H59)),"ALERTE: valeur anormale","OK")))</x:f>
      </x:c>
      <x:c r="T59" s="76" t="str">
        <x:f>IF(B59="","",IF(O59="Validé humainement","Oui","Non"))</x:f>
      </x:c>
    </x:row>
    <x:row r="60">
      <x:c r="A60" s="76" t="str">
        <x:f>IF(B60="","","FIN-"&amp;TEXT(ROW()-4,"0000"))</x:f>
      </x:c>
      <x:c r="B60" s="76"/>
      <x:c r="C60" s="76"/>
      <x:c r="D60" s="76"/>
      <x:c r="E60" s="76"/>
      <x:c r="F60" s="76"/>
      <x:c r="G60" s="81"/>
      <x:c r="H60" s="81"/>
      <x:c r="I60" s="81"/>
      <x:c r="J60" s="81"/>
      <x:c r="K60" s="76"/>
      <x:c r="L60" s="76"/>
      <x:c r="M60" s="78"/>
      <x:c r="N60" s="76"/>
      <x:c r="O60" s="76"/>
      <x:c r="P60" s="76"/>
      <x:c r="Q60" s="78" t="str">
        <x:f>IF(B60="","",TODAY())</x:f>
      </x:c>
      <x:c r="R60" s="76"/>
      <x:c r="S60" s="76" t="str">
        <x:f>IF(B60="","",IF(OR(C60="",D60="",E60="",F60="",G60="",K60="",L60="",N60="",O60&lt;&gt;"Validé humainement"),"ALERTE: données/preuves/statut",IF(OR(G60&lt;0,H60&lt;0,I60&lt;0,J60&lt;0,AND(G60&lt;&gt;"",H60&gt;G60),AND(H60&lt;&gt;"",I60&gt;H60)),"ALERTE: valeur anormale","OK")))</x:f>
      </x:c>
      <x:c r="T60" s="76" t="str">
        <x:f>IF(B60="","",IF(O60="Validé humainement","Oui","Non"))</x:f>
      </x:c>
    </x:row>
    <x:row r="61">
      <x:c r="A61" s="76" t="str">
        <x:f>IF(B61="","","FIN-"&amp;TEXT(ROW()-4,"0000"))</x:f>
      </x:c>
      <x:c r="B61" s="76"/>
      <x:c r="C61" s="76"/>
      <x:c r="D61" s="76"/>
      <x:c r="E61" s="76"/>
      <x:c r="F61" s="76"/>
      <x:c r="G61" s="81"/>
      <x:c r="H61" s="81"/>
      <x:c r="I61" s="81"/>
      <x:c r="J61" s="81"/>
      <x:c r="K61" s="76"/>
      <x:c r="L61" s="76"/>
      <x:c r="M61" s="78"/>
      <x:c r="N61" s="76"/>
      <x:c r="O61" s="76"/>
      <x:c r="P61" s="76"/>
      <x:c r="Q61" s="78" t="str">
        <x:f>IF(B61="","",TODAY())</x:f>
      </x:c>
      <x:c r="R61" s="76"/>
      <x:c r="S61" s="76" t="str">
        <x:f>IF(B61="","",IF(OR(C61="",D61="",E61="",F61="",G61="",K61="",L61="",N61="",O61&lt;&gt;"Validé humainement"),"ALERTE: données/preuves/statut",IF(OR(G61&lt;0,H61&lt;0,I61&lt;0,J61&lt;0,AND(G61&lt;&gt;"",H61&gt;G61),AND(H61&lt;&gt;"",I61&gt;H61)),"ALERTE: valeur anormale","OK")))</x:f>
      </x:c>
      <x:c r="T61" s="76" t="str">
        <x:f>IF(B61="","",IF(O61="Validé humainement","Oui","Non"))</x:f>
      </x:c>
    </x:row>
    <x:row r="62">
      <x:c r="A62" s="76" t="str">
        <x:f>IF(B62="","","FIN-"&amp;TEXT(ROW()-4,"0000"))</x:f>
      </x:c>
      <x:c r="B62" s="76"/>
      <x:c r="C62" s="76"/>
      <x:c r="D62" s="76"/>
      <x:c r="E62" s="76"/>
      <x:c r="F62" s="76"/>
      <x:c r="G62" s="81"/>
      <x:c r="H62" s="81"/>
      <x:c r="I62" s="81"/>
      <x:c r="J62" s="81"/>
      <x:c r="K62" s="76"/>
      <x:c r="L62" s="76"/>
      <x:c r="M62" s="78"/>
      <x:c r="N62" s="76"/>
      <x:c r="O62" s="76"/>
      <x:c r="P62" s="76"/>
      <x:c r="Q62" s="78" t="str">
        <x:f>IF(B62="","",TODAY())</x:f>
      </x:c>
      <x:c r="R62" s="76"/>
      <x:c r="S62" s="76" t="str">
        <x:f>IF(B62="","",IF(OR(C62="",D62="",E62="",F62="",G62="",K62="",L62="",N62="",O62&lt;&gt;"Validé humainement"),"ALERTE: données/preuves/statut",IF(OR(G62&lt;0,H62&lt;0,I62&lt;0,J62&lt;0,AND(G62&lt;&gt;"",H62&gt;G62),AND(H62&lt;&gt;"",I62&gt;H62)),"ALERTE: valeur anormale","OK")))</x:f>
      </x:c>
      <x:c r="T62" s="76" t="str">
        <x:f>IF(B62="","",IF(O62="Validé humainement","Oui","Non"))</x:f>
      </x:c>
    </x:row>
    <x:row r="63">
      <x:c r="A63" s="76" t="str">
        <x:f>IF(B63="","","FIN-"&amp;TEXT(ROW()-4,"0000"))</x:f>
      </x:c>
      <x:c r="B63" s="76"/>
      <x:c r="C63" s="76"/>
      <x:c r="D63" s="76"/>
      <x:c r="E63" s="76"/>
      <x:c r="F63" s="76"/>
      <x:c r="G63" s="81"/>
      <x:c r="H63" s="81"/>
      <x:c r="I63" s="81"/>
      <x:c r="J63" s="81"/>
      <x:c r="K63" s="76"/>
      <x:c r="L63" s="76"/>
      <x:c r="M63" s="78"/>
      <x:c r="N63" s="76"/>
      <x:c r="O63" s="76"/>
      <x:c r="P63" s="76"/>
      <x:c r="Q63" s="78" t="str">
        <x:f>IF(B63="","",TODAY())</x:f>
      </x:c>
      <x:c r="R63" s="76"/>
      <x:c r="S63" s="76" t="str">
        <x:f>IF(B63="","",IF(OR(C63="",D63="",E63="",F63="",G63="",K63="",L63="",N63="",O63&lt;&gt;"Validé humainement"),"ALERTE: données/preuves/statut",IF(OR(G63&lt;0,H63&lt;0,I63&lt;0,J63&lt;0,AND(G63&lt;&gt;"",H63&gt;G63),AND(H63&lt;&gt;"",I63&gt;H63)),"ALERTE: valeur anormale","OK")))</x:f>
      </x:c>
      <x:c r="T63" s="76" t="str">
        <x:f>IF(B63="","",IF(O63="Validé humainement","Oui","Non"))</x:f>
      </x:c>
    </x:row>
    <x:row r="64">
      <x:c r="A64" s="76" t="str">
        <x:f>IF(B64="","","FIN-"&amp;TEXT(ROW()-4,"0000"))</x:f>
      </x:c>
      <x:c r="B64" s="76"/>
      <x:c r="C64" s="76"/>
      <x:c r="D64" s="76"/>
      <x:c r="E64" s="76"/>
      <x:c r="F64" s="76"/>
      <x:c r="G64" s="81"/>
      <x:c r="H64" s="81"/>
      <x:c r="I64" s="81"/>
      <x:c r="J64" s="81"/>
      <x:c r="K64" s="76"/>
      <x:c r="L64" s="76"/>
      <x:c r="M64" s="78"/>
      <x:c r="N64" s="76"/>
      <x:c r="O64" s="76"/>
      <x:c r="P64" s="76"/>
      <x:c r="Q64" s="78" t="str">
        <x:f>IF(B64="","",TODAY())</x:f>
      </x:c>
      <x:c r="R64" s="76"/>
      <x:c r="S64" s="76" t="str">
        <x:f>IF(B64="","",IF(OR(C64="",D64="",E64="",F64="",G64="",K64="",L64="",N64="",O64&lt;&gt;"Validé humainement"),"ALERTE: données/preuves/statut",IF(OR(G64&lt;0,H64&lt;0,I64&lt;0,J64&lt;0,AND(G64&lt;&gt;"",H64&gt;G64),AND(H64&lt;&gt;"",I64&gt;H64)),"ALERTE: valeur anormale","OK")))</x:f>
      </x:c>
      <x:c r="T64" s="76" t="str">
        <x:f>IF(B64="","",IF(O64="Validé humainement","Oui","Non"))</x:f>
      </x:c>
    </x:row>
    <x:row r="65">
      <x:c r="A65" s="76" t="str">
        <x:f>IF(B65="","","FIN-"&amp;TEXT(ROW()-4,"0000"))</x:f>
      </x:c>
      <x:c r="B65" s="76"/>
      <x:c r="C65" s="76"/>
      <x:c r="D65" s="76"/>
      <x:c r="E65" s="76"/>
      <x:c r="F65" s="76"/>
      <x:c r="G65" s="81"/>
      <x:c r="H65" s="81"/>
      <x:c r="I65" s="81"/>
      <x:c r="J65" s="81"/>
      <x:c r="K65" s="76"/>
      <x:c r="L65" s="76"/>
      <x:c r="M65" s="78"/>
      <x:c r="N65" s="76"/>
      <x:c r="O65" s="76"/>
      <x:c r="P65" s="76"/>
      <x:c r="Q65" s="78" t="str">
        <x:f>IF(B65="","",TODAY())</x:f>
      </x:c>
      <x:c r="R65" s="76"/>
      <x:c r="S65" s="76" t="str">
        <x:f>IF(B65="","",IF(OR(C65="",D65="",E65="",F65="",G65="",K65="",L65="",N65="",O65&lt;&gt;"Validé humainement"),"ALERTE: données/preuves/statut",IF(OR(G65&lt;0,H65&lt;0,I65&lt;0,J65&lt;0,AND(G65&lt;&gt;"",H65&gt;G65),AND(H65&lt;&gt;"",I65&gt;H65)),"ALERTE: valeur anormale","OK")))</x:f>
      </x:c>
      <x:c r="T65" s="76" t="str">
        <x:f>IF(B65="","",IF(O65="Validé humainement","Oui","Non"))</x:f>
      </x:c>
    </x:row>
    <x:row r="66">
      <x:c r="A66" s="76" t="str">
        <x:f>IF(B66="","","FIN-"&amp;TEXT(ROW()-4,"0000"))</x:f>
      </x:c>
      <x:c r="B66" s="76"/>
      <x:c r="C66" s="76"/>
      <x:c r="D66" s="76"/>
      <x:c r="E66" s="76"/>
      <x:c r="F66" s="76"/>
      <x:c r="G66" s="81"/>
      <x:c r="H66" s="81"/>
      <x:c r="I66" s="81"/>
      <x:c r="J66" s="81"/>
      <x:c r="K66" s="76"/>
      <x:c r="L66" s="76"/>
      <x:c r="M66" s="78"/>
      <x:c r="N66" s="76"/>
      <x:c r="O66" s="76"/>
      <x:c r="P66" s="76"/>
      <x:c r="Q66" s="78" t="str">
        <x:f>IF(B66="","",TODAY())</x:f>
      </x:c>
      <x:c r="R66" s="76"/>
      <x:c r="S66" s="76" t="str">
        <x:f>IF(B66="","",IF(OR(C66="",D66="",E66="",F66="",G66="",K66="",L66="",N66="",O66&lt;&gt;"Validé humainement"),"ALERTE: données/preuves/statut",IF(OR(G66&lt;0,H66&lt;0,I66&lt;0,J66&lt;0,AND(G66&lt;&gt;"",H66&gt;G66),AND(H66&lt;&gt;"",I66&gt;H66)),"ALERTE: valeur anormale","OK")))</x:f>
      </x:c>
      <x:c r="T66" s="76" t="str">
        <x:f>IF(B66="","",IF(O66="Validé humainement","Oui","Non"))</x:f>
      </x:c>
    </x:row>
    <x:row r="67">
      <x:c r="A67" s="76" t="str">
        <x:f>IF(B67="","","FIN-"&amp;TEXT(ROW()-4,"0000"))</x:f>
      </x:c>
      <x:c r="B67" s="76"/>
      <x:c r="C67" s="76"/>
      <x:c r="D67" s="76"/>
      <x:c r="E67" s="76"/>
      <x:c r="F67" s="76"/>
      <x:c r="G67" s="81"/>
      <x:c r="H67" s="81"/>
      <x:c r="I67" s="81"/>
      <x:c r="J67" s="81"/>
      <x:c r="K67" s="76"/>
      <x:c r="L67" s="76"/>
      <x:c r="M67" s="78"/>
      <x:c r="N67" s="76"/>
      <x:c r="O67" s="76"/>
      <x:c r="P67" s="76"/>
      <x:c r="Q67" s="78" t="str">
        <x:f>IF(B67="","",TODAY())</x:f>
      </x:c>
      <x:c r="R67" s="76"/>
      <x:c r="S67" s="76" t="str">
        <x:f>IF(B67="","",IF(OR(C67="",D67="",E67="",F67="",G67="",K67="",L67="",N67="",O67&lt;&gt;"Validé humainement"),"ALERTE: données/preuves/statut",IF(OR(G67&lt;0,H67&lt;0,I67&lt;0,J67&lt;0,AND(G67&lt;&gt;"",H67&gt;G67),AND(H67&lt;&gt;"",I67&gt;H67)),"ALERTE: valeur anormale","OK")))</x:f>
      </x:c>
      <x:c r="T67" s="76" t="str">
        <x:f>IF(B67="","",IF(O67="Validé humainement","Oui","Non"))</x:f>
      </x:c>
    </x:row>
    <x:row r="68">
      <x:c r="A68" s="76" t="str">
        <x:f>IF(B68="","","FIN-"&amp;TEXT(ROW()-4,"0000"))</x:f>
      </x:c>
      <x:c r="B68" s="76"/>
      <x:c r="C68" s="76"/>
      <x:c r="D68" s="76"/>
      <x:c r="E68" s="76"/>
      <x:c r="F68" s="76"/>
      <x:c r="G68" s="81"/>
      <x:c r="H68" s="81"/>
      <x:c r="I68" s="81"/>
      <x:c r="J68" s="81"/>
      <x:c r="K68" s="76"/>
      <x:c r="L68" s="76"/>
      <x:c r="M68" s="78"/>
      <x:c r="N68" s="76"/>
      <x:c r="O68" s="76"/>
      <x:c r="P68" s="76"/>
      <x:c r="Q68" s="78" t="str">
        <x:f>IF(B68="","",TODAY())</x:f>
      </x:c>
      <x:c r="R68" s="76"/>
      <x:c r="S68" s="76" t="str">
        <x:f>IF(B68="","",IF(OR(C68="",D68="",E68="",F68="",G68="",K68="",L68="",N68="",O68&lt;&gt;"Validé humainement"),"ALERTE: données/preuves/statut",IF(OR(G68&lt;0,H68&lt;0,I68&lt;0,J68&lt;0,AND(G68&lt;&gt;"",H68&gt;G68),AND(H68&lt;&gt;"",I68&gt;H68)),"ALERTE: valeur anormale","OK")))</x:f>
      </x:c>
      <x:c r="T68" s="76" t="str">
        <x:f>IF(B68="","",IF(O68="Validé humainement","Oui","Non"))</x:f>
      </x:c>
    </x:row>
    <x:row r="69">
      <x:c r="A69" s="76" t="str">
        <x:f>IF(B69="","","FIN-"&amp;TEXT(ROW()-4,"0000"))</x:f>
      </x:c>
      <x:c r="B69" s="76"/>
      <x:c r="C69" s="76"/>
      <x:c r="D69" s="76"/>
      <x:c r="E69" s="76"/>
      <x:c r="F69" s="76"/>
      <x:c r="G69" s="81"/>
      <x:c r="H69" s="81"/>
      <x:c r="I69" s="81"/>
      <x:c r="J69" s="81"/>
      <x:c r="K69" s="76"/>
      <x:c r="L69" s="76"/>
      <x:c r="M69" s="78"/>
      <x:c r="N69" s="76"/>
      <x:c r="O69" s="76"/>
      <x:c r="P69" s="76"/>
      <x:c r="Q69" s="78" t="str">
        <x:f>IF(B69="","",TODAY())</x:f>
      </x:c>
      <x:c r="R69" s="76"/>
      <x:c r="S69" s="76" t="str">
        <x:f>IF(B69="","",IF(OR(C69="",D69="",E69="",F69="",G69="",K69="",L69="",N69="",O69&lt;&gt;"Validé humainement"),"ALERTE: données/preuves/statut",IF(OR(G69&lt;0,H69&lt;0,I69&lt;0,J69&lt;0,AND(G69&lt;&gt;"",H69&gt;G69),AND(H69&lt;&gt;"",I69&gt;H69)),"ALERTE: valeur anormale","OK")))</x:f>
      </x:c>
      <x:c r="T69" s="76" t="str">
        <x:f>IF(B69="","",IF(O69="Validé humainement","Oui","Non"))</x:f>
      </x:c>
    </x:row>
    <x:row r="70">
      <x:c r="A70" s="76" t="str">
        <x:f>IF(B70="","","FIN-"&amp;TEXT(ROW()-4,"0000"))</x:f>
      </x:c>
      <x:c r="B70" s="76"/>
      <x:c r="C70" s="76"/>
      <x:c r="D70" s="76"/>
      <x:c r="E70" s="76"/>
      <x:c r="F70" s="76"/>
      <x:c r="G70" s="81"/>
      <x:c r="H70" s="81"/>
      <x:c r="I70" s="81"/>
      <x:c r="J70" s="81"/>
      <x:c r="K70" s="76"/>
      <x:c r="L70" s="76"/>
      <x:c r="M70" s="78"/>
      <x:c r="N70" s="76"/>
      <x:c r="O70" s="76"/>
      <x:c r="P70" s="76"/>
      <x:c r="Q70" s="78" t="str">
        <x:f>IF(B70="","",TODAY())</x:f>
      </x:c>
      <x:c r="R70" s="76"/>
      <x:c r="S70" s="76" t="str">
        <x:f>IF(B70="","",IF(OR(C70="",D70="",E70="",F70="",G70="",K70="",L70="",N70="",O70&lt;&gt;"Validé humainement"),"ALERTE: données/preuves/statut",IF(OR(G70&lt;0,H70&lt;0,I70&lt;0,J70&lt;0,AND(G70&lt;&gt;"",H70&gt;G70),AND(H70&lt;&gt;"",I70&gt;H70)),"ALERTE: valeur anormale","OK")))</x:f>
      </x:c>
      <x:c r="T70" s="76" t="str">
        <x:f>IF(B70="","",IF(O70="Validé humainement","Oui","Non"))</x:f>
      </x:c>
    </x:row>
    <x:row r="71">
      <x:c r="A71" s="76" t="str">
        <x:f>IF(B71="","","FIN-"&amp;TEXT(ROW()-4,"0000"))</x:f>
      </x:c>
      <x:c r="B71" s="76"/>
      <x:c r="C71" s="76"/>
      <x:c r="D71" s="76"/>
      <x:c r="E71" s="76"/>
      <x:c r="F71" s="76"/>
      <x:c r="G71" s="81"/>
      <x:c r="H71" s="81"/>
      <x:c r="I71" s="81"/>
      <x:c r="J71" s="81"/>
      <x:c r="K71" s="76"/>
      <x:c r="L71" s="76"/>
      <x:c r="M71" s="78"/>
      <x:c r="N71" s="76"/>
      <x:c r="O71" s="76"/>
      <x:c r="P71" s="76"/>
      <x:c r="Q71" s="78" t="str">
        <x:f>IF(B71="","",TODAY())</x:f>
      </x:c>
      <x:c r="R71" s="76"/>
      <x:c r="S71" s="76" t="str">
        <x:f>IF(B71="","",IF(OR(C71="",D71="",E71="",F71="",G71="",K71="",L71="",N71="",O71&lt;&gt;"Validé humainement"),"ALERTE: données/preuves/statut",IF(OR(G71&lt;0,H71&lt;0,I71&lt;0,J71&lt;0,AND(G71&lt;&gt;"",H71&gt;G71),AND(H71&lt;&gt;"",I71&gt;H71)),"ALERTE: valeur anormale","OK")))</x:f>
      </x:c>
      <x:c r="T71" s="76" t="str">
        <x:f>IF(B71="","",IF(O71="Validé humainement","Oui","Non"))</x:f>
      </x:c>
    </x:row>
    <x:row r="72">
      <x:c r="A72" s="76" t="str">
        <x:f>IF(B72="","","FIN-"&amp;TEXT(ROW()-4,"0000"))</x:f>
      </x:c>
      <x:c r="B72" s="76"/>
      <x:c r="C72" s="76"/>
      <x:c r="D72" s="76"/>
      <x:c r="E72" s="76"/>
      <x:c r="F72" s="76"/>
      <x:c r="G72" s="81"/>
      <x:c r="H72" s="81"/>
      <x:c r="I72" s="81"/>
      <x:c r="J72" s="81"/>
      <x:c r="K72" s="76"/>
      <x:c r="L72" s="76"/>
      <x:c r="M72" s="78"/>
      <x:c r="N72" s="76"/>
      <x:c r="O72" s="76"/>
      <x:c r="P72" s="76"/>
      <x:c r="Q72" s="78" t="str">
        <x:f>IF(B72="","",TODAY())</x:f>
      </x:c>
      <x:c r="R72" s="76"/>
      <x:c r="S72" s="76" t="str">
        <x:f>IF(B72="","",IF(OR(C72="",D72="",E72="",F72="",G72="",K72="",L72="",N72="",O72&lt;&gt;"Validé humainement"),"ALERTE: données/preuves/statut",IF(OR(G72&lt;0,H72&lt;0,I72&lt;0,J72&lt;0,AND(G72&lt;&gt;"",H72&gt;G72),AND(H72&lt;&gt;"",I72&gt;H72)),"ALERTE: valeur anormale","OK")))</x:f>
      </x:c>
      <x:c r="T72" s="76" t="str">
        <x:f>IF(B72="","",IF(O72="Validé humainement","Oui","Non"))</x:f>
      </x:c>
    </x:row>
    <x:row r="73">
      <x:c r="A73" s="76" t="str">
        <x:f>IF(B73="","","FIN-"&amp;TEXT(ROW()-4,"0000"))</x:f>
      </x:c>
      <x:c r="B73" s="76"/>
      <x:c r="C73" s="76"/>
      <x:c r="D73" s="76"/>
      <x:c r="E73" s="76"/>
      <x:c r="F73" s="76"/>
      <x:c r="G73" s="81"/>
      <x:c r="H73" s="81"/>
      <x:c r="I73" s="81"/>
      <x:c r="J73" s="81"/>
      <x:c r="K73" s="76"/>
      <x:c r="L73" s="76"/>
      <x:c r="M73" s="78"/>
      <x:c r="N73" s="76"/>
      <x:c r="O73" s="76"/>
      <x:c r="P73" s="76"/>
      <x:c r="Q73" s="78" t="str">
        <x:f>IF(B73="","",TODAY())</x:f>
      </x:c>
      <x:c r="R73" s="76"/>
      <x:c r="S73" s="76" t="str">
        <x:f>IF(B73="","",IF(OR(C73="",D73="",E73="",F73="",G73="",K73="",L73="",N73="",O73&lt;&gt;"Validé humainement"),"ALERTE: données/preuves/statut",IF(OR(G73&lt;0,H73&lt;0,I73&lt;0,J73&lt;0,AND(G73&lt;&gt;"",H73&gt;G73),AND(H73&lt;&gt;"",I73&gt;H73)),"ALERTE: valeur anormale","OK")))</x:f>
      </x:c>
      <x:c r="T73" s="76" t="str">
        <x:f>IF(B73="","",IF(O73="Validé humainement","Oui","Non"))</x:f>
      </x:c>
    </x:row>
    <x:row r="74">
      <x:c r="A74" s="76" t="str">
        <x:f>IF(B74="","","FIN-"&amp;TEXT(ROW()-4,"0000"))</x:f>
      </x:c>
      <x:c r="B74" s="76"/>
      <x:c r="C74" s="76"/>
      <x:c r="D74" s="76"/>
      <x:c r="E74" s="76"/>
      <x:c r="F74" s="76"/>
      <x:c r="G74" s="81"/>
      <x:c r="H74" s="81"/>
      <x:c r="I74" s="81"/>
      <x:c r="J74" s="81"/>
      <x:c r="K74" s="76"/>
      <x:c r="L74" s="76"/>
      <x:c r="M74" s="78"/>
      <x:c r="N74" s="76"/>
      <x:c r="O74" s="76"/>
      <x:c r="P74" s="76"/>
      <x:c r="Q74" s="78" t="str">
        <x:f>IF(B74="","",TODAY())</x:f>
      </x:c>
      <x:c r="R74" s="76"/>
      <x:c r="S74" s="76" t="str">
        <x:f>IF(B74="","",IF(OR(C74="",D74="",E74="",F74="",G74="",K74="",L74="",N74="",O74&lt;&gt;"Validé humainement"),"ALERTE: données/preuves/statut",IF(OR(G74&lt;0,H74&lt;0,I74&lt;0,J74&lt;0,AND(G74&lt;&gt;"",H74&gt;G74),AND(H74&lt;&gt;"",I74&gt;H74)),"ALERTE: valeur anormale","OK")))</x:f>
      </x:c>
      <x:c r="T74" s="76" t="str">
        <x:f>IF(B74="","",IF(O74="Validé humainement","Oui","Non"))</x:f>
      </x:c>
    </x:row>
    <x:row r="75">
      <x:c r="A75" s="76" t="str">
        <x:f>IF(B75="","","FIN-"&amp;TEXT(ROW()-4,"0000"))</x:f>
      </x:c>
      <x:c r="B75" s="76"/>
      <x:c r="C75" s="76"/>
      <x:c r="D75" s="76"/>
      <x:c r="E75" s="76"/>
      <x:c r="F75" s="76"/>
      <x:c r="G75" s="81"/>
      <x:c r="H75" s="81"/>
      <x:c r="I75" s="81"/>
      <x:c r="J75" s="81"/>
      <x:c r="K75" s="76"/>
      <x:c r="L75" s="76"/>
      <x:c r="M75" s="78"/>
      <x:c r="N75" s="76"/>
      <x:c r="O75" s="76"/>
      <x:c r="P75" s="76"/>
      <x:c r="Q75" s="78" t="str">
        <x:f>IF(B75="","",TODAY())</x:f>
      </x:c>
      <x:c r="R75" s="76"/>
      <x:c r="S75" s="76" t="str">
        <x:f>IF(B75="","",IF(OR(C75="",D75="",E75="",F75="",G75="",K75="",L75="",N75="",O75&lt;&gt;"Validé humainement"),"ALERTE: données/preuves/statut",IF(OR(G75&lt;0,H75&lt;0,I75&lt;0,J75&lt;0,AND(G75&lt;&gt;"",H75&gt;G75),AND(H75&lt;&gt;"",I75&gt;H75)),"ALERTE: valeur anormale","OK")))</x:f>
      </x:c>
      <x:c r="T75" s="76" t="str">
        <x:f>IF(B75="","",IF(O75="Validé humainement","Oui","Non"))</x:f>
      </x:c>
    </x:row>
    <x:row r="76">
      <x:c r="A76" s="76" t="str">
        <x:f>IF(B76="","","FIN-"&amp;TEXT(ROW()-4,"0000"))</x:f>
      </x:c>
      <x:c r="B76" s="76"/>
      <x:c r="C76" s="76"/>
      <x:c r="D76" s="76"/>
      <x:c r="E76" s="76"/>
      <x:c r="F76" s="76"/>
      <x:c r="G76" s="81"/>
      <x:c r="H76" s="81"/>
      <x:c r="I76" s="81"/>
      <x:c r="J76" s="81"/>
      <x:c r="K76" s="76"/>
      <x:c r="L76" s="76"/>
      <x:c r="M76" s="78"/>
      <x:c r="N76" s="76"/>
      <x:c r="O76" s="76"/>
      <x:c r="P76" s="76"/>
      <x:c r="Q76" s="78" t="str">
        <x:f>IF(B76="","",TODAY())</x:f>
      </x:c>
      <x:c r="R76" s="76"/>
      <x:c r="S76" s="76" t="str">
        <x:f>IF(B76="","",IF(OR(C76="",D76="",E76="",F76="",G76="",K76="",L76="",N76="",O76&lt;&gt;"Validé humainement"),"ALERTE: données/preuves/statut",IF(OR(G76&lt;0,H76&lt;0,I76&lt;0,J76&lt;0,AND(G76&lt;&gt;"",H76&gt;G76),AND(H76&lt;&gt;"",I76&gt;H76)),"ALERTE: valeur anormale","OK")))</x:f>
      </x:c>
      <x:c r="T76" s="76" t="str">
        <x:f>IF(B76="","",IF(O76="Validé humainement","Oui","Non"))</x:f>
      </x:c>
    </x:row>
    <x:row r="77">
      <x:c r="A77" s="76" t="str">
        <x:f>IF(B77="","","FIN-"&amp;TEXT(ROW()-4,"0000"))</x:f>
      </x:c>
      <x:c r="B77" s="76"/>
      <x:c r="C77" s="76"/>
      <x:c r="D77" s="76"/>
      <x:c r="E77" s="76"/>
      <x:c r="F77" s="76"/>
      <x:c r="G77" s="81"/>
      <x:c r="H77" s="81"/>
      <x:c r="I77" s="81"/>
      <x:c r="J77" s="81"/>
      <x:c r="K77" s="76"/>
      <x:c r="L77" s="76"/>
      <x:c r="M77" s="78"/>
      <x:c r="N77" s="76"/>
      <x:c r="O77" s="76"/>
      <x:c r="P77" s="76"/>
      <x:c r="Q77" s="78" t="str">
        <x:f>IF(B77="","",TODAY())</x:f>
      </x:c>
      <x:c r="R77" s="76"/>
      <x:c r="S77" s="76" t="str">
        <x:f>IF(B77="","",IF(OR(C77="",D77="",E77="",F77="",G77="",K77="",L77="",N77="",O77&lt;&gt;"Validé humainement"),"ALERTE: données/preuves/statut",IF(OR(G77&lt;0,H77&lt;0,I77&lt;0,J77&lt;0,AND(G77&lt;&gt;"",H77&gt;G77),AND(H77&lt;&gt;"",I77&gt;H77)),"ALERTE: valeur anormale","OK")))</x:f>
      </x:c>
      <x:c r="T77" s="76" t="str">
        <x:f>IF(B77="","",IF(O77="Validé humainement","Oui","Non"))</x:f>
      </x:c>
    </x:row>
    <x:row r="78">
      <x:c r="A78" s="76" t="str">
        <x:f>IF(B78="","","FIN-"&amp;TEXT(ROW()-4,"0000"))</x:f>
      </x:c>
      <x:c r="B78" s="76"/>
      <x:c r="C78" s="76"/>
      <x:c r="D78" s="76"/>
      <x:c r="E78" s="76"/>
      <x:c r="F78" s="76"/>
      <x:c r="G78" s="81"/>
      <x:c r="H78" s="81"/>
      <x:c r="I78" s="81"/>
      <x:c r="J78" s="81"/>
      <x:c r="K78" s="76"/>
      <x:c r="L78" s="76"/>
      <x:c r="M78" s="78"/>
      <x:c r="N78" s="76"/>
      <x:c r="O78" s="76"/>
      <x:c r="P78" s="76"/>
      <x:c r="Q78" s="78" t="str">
        <x:f>IF(B78="","",TODAY())</x:f>
      </x:c>
      <x:c r="R78" s="76"/>
      <x:c r="S78" s="76" t="str">
        <x:f>IF(B78="","",IF(OR(C78="",D78="",E78="",F78="",G78="",K78="",L78="",N78="",O78&lt;&gt;"Validé humainement"),"ALERTE: données/preuves/statut",IF(OR(G78&lt;0,H78&lt;0,I78&lt;0,J78&lt;0,AND(G78&lt;&gt;"",H78&gt;G78),AND(H78&lt;&gt;"",I78&gt;H78)),"ALERTE: valeur anormale","OK")))</x:f>
      </x:c>
      <x:c r="T78" s="76" t="str">
        <x:f>IF(B78="","",IF(O78="Validé humainement","Oui","Non"))</x:f>
      </x:c>
    </x:row>
    <x:row r="79">
      <x:c r="A79" s="76" t="str">
        <x:f>IF(B79="","","FIN-"&amp;TEXT(ROW()-4,"0000"))</x:f>
      </x:c>
      <x:c r="B79" s="76"/>
      <x:c r="C79" s="76"/>
      <x:c r="D79" s="76"/>
      <x:c r="E79" s="76"/>
      <x:c r="F79" s="76"/>
      <x:c r="G79" s="81"/>
      <x:c r="H79" s="81"/>
      <x:c r="I79" s="81"/>
      <x:c r="J79" s="81"/>
      <x:c r="K79" s="76"/>
      <x:c r="L79" s="76"/>
      <x:c r="M79" s="78"/>
      <x:c r="N79" s="76"/>
      <x:c r="O79" s="76"/>
      <x:c r="P79" s="76"/>
      <x:c r="Q79" s="78" t="str">
        <x:f>IF(B79="","",TODAY())</x:f>
      </x:c>
      <x:c r="R79" s="76"/>
      <x:c r="S79" s="76" t="str">
        <x:f>IF(B79="","",IF(OR(C79="",D79="",E79="",F79="",G79="",K79="",L79="",N79="",O79&lt;&gt;"Validé humainement"),"ALERTE: données/preuves/statut",IF(OR(G79&lt;0,H79&lt;0,I79&lt;0,J79&lt;0,AND(G79&lt;&gt;"",H79&gt;G79),AND(H79&lt;&gt;"",I79&gt;H79)),"ALERTE: valeur anormale","OK")))</x:f>
      </x:c>
      <x:c r="T79" s="76" t="str">
        <x:f>IF(B79="","",IF(O79="Validé humainement","Oui","Non"))</x:f>
      </x:c>
    </x:row>
    <x:row r="80">
      <x:c r="A80" s="76" t="str">
        <x:f>IF(B80="","","FIN-"&amp;TEXT(ROW()-4,"0000"))</x:f>
      </x:c>
      <x:c r="B80" s="76"/>
      <x:c r="C80" s="76"/>
      <x:c r="D80" s="76"/>
      <x:c r="E80" s="76"/>
      <x:c r="F80" s="76"/>
      <x:c r="G80" s="81"/>
      <x:c r="H80" s="81"/>
      <x:c r="I80" s="81"/>
      <x:c r="J80" s="81"/>
      <x:c r="K80" s="76"/>
      <x:c r="L80" s="76"/>
      <x:c r="M80" s="78"/>
      <x:c r="N80" s="76"/>
      <x:c r="O80" s="76"/>
      <x:c r="P80" s="76"/>
      <x:c r="Q80" s="78" t="str">
        <x:f>IF(B80="","",TODAY())</x:f>
      </x:c>
      <x:c r="R80" s="76"/>
      <x:c r="S80" s="76" t="str">
        <x:f>IF(B80="","",IF(OR(C80="",D80="",E80="",F80="",G80="",K80="",L80="",N80="",O80&lt;&gt;"Validé humainement"),"ALERTE: données/preuves/statut",IF(OR(G80&lt;0,H80&lt;0,I80&lt;0,J80&lt;0,AND(G80&lt;&gt;"",H80&gt;G80),AND(H80&lt;&gt;"",I80&gt;H80)),"ALERTE: valeur anormale","OK")))</x:f>
      </x:c>
      <x:c r="T80" s="76" t="str">
        <x:f>IF(B80="","",IF(O80="Validé humainement","Oui","Non"))</x:f>
      </x:c>
    </x:row>
    <x:row r="81">
      <x:c r="A81" s="76" t="str">
        <x:f>IF(B81="","","FIN-"&amp;TEXT(ROW()-4,"0000"))</x:f>
      </x:c>
      <x:c r="B81" s="76"/>
      <x:c r="C81" s="76"/>
      <x:c r="D81" s="76"/>
      <x:c r="E81" s="76"/>
      <x:c r="F81" s="76"/>
      <x:c r="G81" s="81"/>
      <x:c r="H81" s="81"/>
      <x:c r="I81" s="81"/>
      <x:c r="J81" s="81"/>
      <x:c r="K81" s="76"/>
      <x:c r="L81" s="76"/>
      <x:c r="M81" s="78"/>
      <x:c r="N81" s="76"/>
      <x:c r="O81" s="76"/>
      <x:c r="P81" s="76"/>
      <x:c r="Q81" s="78" t="str">
        <x:f>IF(B81="","",TODAY())</x:f>
      </x:c>
      <x:c r="R81" s="76"/>
      <x:c r="S81" s="76" t="str">
        <x:f>IF(B81="","",IF(OR(C81="",D81="",E81="",F81="",G81="",K81="",L81="",N81="",O81&lt;&gt;"Validé humainement"),"ALERTE: données/preuves/statut",IF(OR(G81&lt;0,H81&lt;0,I81&lt;0,J81&lt;0,AND(G81&lt;&gt;"",H81&gt;G81),AND(H81&lt;&gt;"",I81&gt;H81)),"ALERTE: valeur anormale","OK")))</x:f>
      </x:c>
      <x:c r="T81" s="76" t="str">
        <x:f>IF(B81="","",IF(O81="Validé humainement","Oui","Non"))</x:f>
      </x:c>
    </x:row>
    <x:row r="82">
      <x:c r="A82" s="76" t="str">
        <x:f>IF(B82="","","FIN-"&amp;TEXT(ROW()-4,"0000"))</x:f>
      </x:c>
      <x:c r="B82" s="76"/>
      <x:c r="C82" s="76"/>
      <x:c r="D82" s="76"/>
      <x:c r="E82" s="76"/>
      <x:c r="F82" s="76"/>
      <x:c r="G82" s="81"/>
      <x:c r="H82" s="81"/>
      <x:c r="I82" s="81"/>
      <x:c r="J82" s="81"/>
      <x:c r="K82" s="76"/>
      <x:c r="L82" s="76"/>
      <x:c r="M82" s="78"/>
      <x:c r="N82" s="76"/>
      <x:c r="O82" s="76"/>
      <x:c r="P82" s="76"/>
      <x:c r="Q82" s="78" t="str">
        <x:f>IF(B82="","",TODAY())</x:f>
      </x:c>
      <x:c r="R82" s="76"/>
      <x:c r="S82" s="76" t="str">
        <x:f>IF(B82="","",IF(OR(C82="",D82="",E82="",F82="",G82="",K82="",L82="",N82="",O82&lt;&gt;"Validé humainement"),"ALERTE: données/preuves/statut",IF(OR(G82&lt;0,H82&lt;0,I82&lt;0,J82&lt;0,AND(G82&lt;&gt;"",H82&gt;G82),AND(H82&lt;&gt;"",I82&gt;H82)),"ALERTE: valeur anormale","OK")))</x:f>
      </x:c>
      <x:c r="T82" s="76" t="str">
        <x:f>IF(B82="","",IF(O82="Validé humainement","Oui","Non"))</x:f>
      </x:c>
    </x:row>
    <x:row r="83">
      <x:c r="A83" s="76" t="str">
        <x:f>IF(B83="","","FIN-"&amp;TEXT(ROW()-4,"0000"))</x:f>
      </x:c>
      <x:c r="B83" s="76"/>
      <x:c r="C83" s="76"/>
      <x:c r="D83" s="76"/>
      <x:c r="E83" s="76"/>
      <x:c r="F83" s="76"/>
      <x:c r="G83" s="81"/>
      <x:c r="H83" s="81"/>
      <x:c r="I83" s="81"/>
      <x:c r="J83" s="81"/>
      <x:c r="K83" s="76"/>
      <x:c r="L83" s="76"/>
      <x:c r="M83" s="78"/>
      <x:c r="N83" s="76"/>
      <x:c r="O83" s="76"/>
      <x:c r="P83" s="76"/>
      <x:c r="Q83" s="78" t="str">
        <x:f>IF(B83="","",TODAY())</x:f>
      </x:c>
      <x:c r="R83" s="76"/>
      <x:c r="S83" s="76" t="str">
        <x:f>IF(B83="","",IF(OR(C83="",D83="",E83="",F83="",G83="",K83="",L83="",N83="",O83&lt;&gt;"Validé humainement"),"ALERTE: données/preuves/statut",IF(OR(G83&lt;0,H83&lt;0,I83&lt;0,J83&lt;0,AND(G83&lt;&gt;"",H83&gt;G83),AND(H83&lt;&gt;"",I83&gt;H83)),"ALERTE: valeur anormale","OK")))</x:f>
      </x:c>
      <x:c r="T83" s="76" t="str">
        <x:f>IF(B83="","",IF(O83="Validé humainement","Oui","Non"))</x:f>
      </x:c>
    </x:row>
    <x:row r="84">
      <x:c r="A84" s="76" t="str">
        <x:f>IF(B84="","","FIN-"&amp;TEXT(ROW()-4,"0000"))</x:f>
      </x:c>
      <x:c r="B84" s="76"/>
      <x:c r="C84" s="76"/>
      <x:c r="D84" s="76"/>
      <x:c r="E84" s="76"/>
      <x:c r="F84" s="76"/>
      <x:c r="G84" s="81"/>
      <x:c r="H84" s="81"/>
      <x:c r="I84" s="81"/>
      <x:c r="J84" s="81"/>
      <x:c r="K84" s="76"/>
      <x:c r="L84" s="76"/>
      <x:c r="M84" s="78"/>
      <x:c r="N84" s="76"/>
      <x:c r="O84" s="76"/>
      <x:c r="P84" s="76"/>
      <x:c r="Q84" s="78" t="str">
        <x:f>IF(B84="","",TODAY())</x:f>
      </x:c>
      <x:c r="R84" s="76"/>
      <x:c r="S84" s="76" t="str">
        <x:f>IF(B84="","",IF(OR(C84="",D84="",E84="",F84="",G84="",K84="",L84="",N84="",O84&lt;&gt;"Validé humainement"),"ALERTE: données/preuves/statut",IF(OR(G84&lt;0,H84&lt;0,I84&lt;0,J84&lt;0,AND(G84&lt;&gt;"",H84&gt;G84),AND(H84&lt;&gt;"",I84&gt;H84)),"ALERTE: valeur anormale","OK")))</x:f>
      </x:c>
      <x:c r="T84" s="76" t="str">
        <x:f>IF(B84="","",IF(O84="Validé humainement","Oui","Non"))</x:f>
      </x:c>
    </x:row>
    <x:row r="85">
      <x:c r="A85" s="76" t="str">
        <x:f>IF(B85="","","FIN-"&amp;TEXT(ROW()-4,"0000"))</x:f>
      </x:c>
      <x:c r="B85" s="76"/>
      <x:c r="C85" s="76"/>
      <x:c r="D85" s="76"/>
      <x:c r="E85" s="76"/>
      <x:c r="F85" s="76"/>
      <x:c r="G85" s="81"/>
      <x:c r="H85" s="81"/>
      <x:c r="I85" s="81"/>
      <x:c r="J85" s="81"/>
      <x:c r="K85" s="76"/>
      <x:c r="L85" s="76"/>
      <x:c r="M85" s="78"/>
      <x:c r="N85" s="76"/>
      <x:c r="O85" s="76"/>
      <x:c r="P85" s="76"/>
      <x:c r="Q85" s="78" t="str">
        <x:f>IF(B85="","",TODAY())</x:f>
      </x:c>
      <x:c r="R85" s="76"/>
      <x:c r="S85" s="76" t="str">
        <x:f>IF(B85="","",IF(OR(C85="",D85="",E85="",F85="",G85="",K85="",L85="",N85="",O85&lt;&gt;"Validé humainement"),"ALERTE: données/preuves/statut",IF(OR(G85&lt;0,H85&lt;0,I85&lt;0,J85&lt;0,AND(G85&lt;&gt;"",H85&gt;G85),AND(H85&lt;&gt;"",I85&gt;H85)),"ALERTE: valeur anormale","OK")))</x:f>
      </x:c>
      <x:c r="T85" s="76" t="str">
        <x:f>IF(B85="","",IF(O85="Validé humainement","Oui","Non"))</x:f>
      </x:c>
    </x:row>
    <x:row r="86">
      <x:c r="A86" s="76" t="str">
        <x:f>IF(B86="","","FIN-"&amp;TEXT(ROW()-4,"0000"))</x:f>
      </x:c>
      <x:c r="B86" s="76"/>
      <x:c r="C86" s="76"/>
      <x:c r="D86" s="76"/>
      <x:c r="E86" s="76"/>
      <x:c r="F86" s="76"/>
      <x:c r="G86" s="81"/>
      <x:c r="H86" s="81"/>
      <x:c r="I86" s="81"/>
      <x:c r="J86" s="81"/>
      <x:c r="K86" s="76"/>
      <x:c r="L86" s="76"/>
      <x:c r="M86" s="78"/>
      <x:c r="N86" s="76"/>
      <x:c r="O86" s="76"/>
      <x:c r="P86" s="76"/>
      <x:c r="Q86" s="78" t="str">
        <x:f>IF(B86="","",TODAY())</x:f>
      </x:c>
      <x:c r="R86" s="76"/>
      <x:c r="S86" s="76" t="str">
        <x:f>IF(B86="","",IF(OR(C86="",D86="",E86="",F86="",G86="",K86="",L86="",N86="",O86&lt;&gt;"Validé humainement"),"ALERTE: données/preuves/statut",IF(OR(G86&lt;0,H86&lt;0,I86&lt;0,J86&lt;0,AND(G86&lt;&gt;"",H86&gt;G86),AND(H86&lt;&gt;"",I86&gt;H86)),"ALERTE: valeur anormale","OK")))</x:f>
      </x:c>
      <x:c r="T86" s="76" t="str">
        <x:f>IF(B86="","",IF(O86="Validé humainement","Oui","Non"))</x:f>
      </x:c>
    </x:row>
    <x:row r="87">
      <x:c r="A87" s="76" t="str">
        <x:f>IF(B87="","","FIN-"&amp;TEXT(ROW()-4,"0000"))</x:f>
      </x:c>
      <x:c r="B87" s="76"/>
      <x:c r="C87" s="76"/>
      <x:c r="D87" s="76"/>
      <x:c r="E87" s="76"/>
      <x:c r="F87" s="76"/>
      <x:c r="G87" s="81"/>
      <x:c r="H87" s="81"/>
      <x:c r="I87" s="81"/>
      <x:c r="J87" s="81"/>
      <x:c r="K87" s="76"/>
      <x:c r="L87" s="76"/>
      <x:c r="M87" s="78"/>
      <x:c r="N87" s="76"/>
      <x:c r="O87" s="76"/>
      <x:c r="P87" s="76"/>
      <x:c r="Q87" s="78" t="str">
        <x:f>IF(B87="","",TODAY())</x:f>
      </x:c>
      <x:c r="R87" s="76"/>
      <x:c r="S87" s="76" t="str">
        <x:f>IF(B87="","",IF(OR(C87="",D87="",E87="",F87="",G87="",K87="",L87="",N87="",O87&lt;&gt;"Validé humainement"),"ALERTE: données/preuves/statut",IF(OR(G87&lt;0,H87&lt;0,I87&lt;0,J87&lt;0,AND(G87&lt;&gt;"",H87&gt;G87),AND(H87&lt;&gt;"",I87&gt;H87)),"ALERTE: valeur anormale","OK")))</x:f>
      </x:c>
      <x:c r="T87" s="76" t="str">
        <x:f>IF(B87="","",IF(O87="Validé humainement","Oui","Non"))</x:f>
      </x:c>
    </x:row>
    <x:row r="88">
      <x:c r="A88" s="76" t="str">
        <x:f>IF(B88="","","FIN-"&amp;TEXT(ROW()-4,"0000"))</x:f>
      </x:c>
      <x:c r="B88" s="76"/>
      <x:c r="C88" s="76"/>
      <x:c r="D88" s="76"/>
      <x:c r="E88" s="76"/>
      <x:c r="F88" s="76"/>
      <x:c r="G88" s="81"/>
      <x:c r="H88" s="81"/>
      <x:c r="I88" s="81"/>
      <x:c r="J88" s="81"/>
      <x:c r="K88" s="76"/>
      <x:c r="L88" s="76"/>
      <x:c r="M88" s="78"/>
      <x:c r="N88" s="76"/>
      <x:c r="O88" s="76"/>
      <x:c r="P88" s="76"/>
      <x:c r="Q88" s="78" t="str">
        <x:f>IF(B88="","",TODAY())</x:f>
      </x:c>
      <x:c r="R88" s="76"/>
      <x:c r="S88" s="76" t="str">
        <x:f>IF(B88="","",IF(OR(C88="",D88="",E88="",F88="",G88="",K88="",L88="",N88="",O88&lt;&gt;"Validé humainement"),"ALERTE: données/preuves/statut",IF(OR(G88&lt;0,H88&lt;0,I88&lt;0,J88&lt;0,AND(G88&lt;&gt;"",H88&gt;G88),AND(H88&lt;&gt;"",I88&gt;H88)),"ALERTE: valeur anormale","OK")))</x:f>
      </x:c>
      <x:c r="T88" s="76" t="str">
        <x:f>IF(B88="","",IF(O88="Validé humainement","Oui","Non"))</x:f>
      </x:c>
    </x:row>
    <x:row r="89">
      <x:c r="A89" s="76" t="str">
        <x:f>IF(B89="","","FIN-"&amp;TEXT(ROW()-4,"0000"))</x:f>
      </x:c>
      <x:c r="B89" s="76"/>
      <x:c r="C89" s="76"/>
      <x:c r="D89" s="76"/>
      <x:c r="E89" s="76"/>
      <x:c r="F89" s="76"/>
      <x:c r="G89" s="81"/>
      <x:c r="H89" s="81"/>
      <x:c r="I89" s="81"/>
      <x:c r="J89" s="81"/>
      <x:c r="K89" s="76"/>
      <x:c r="L89" s="76"/>
      <x:c r="M89" s="78"/>
      <x:c r="N89" s="76"/>
      <x:c r="O89" s="76"/>
      <x:c r="P89" s="76"/>
      <x:c r="Q89" s="78" t="str">
        <x:f>IF(B89="","",TODAY())</x:f>
      </x:c>
      <x:c r="R89" s="76"/>
      <x:c r="S89" s="76" t="str">
        <x:f>IF(B89="","",IF(OR(C89="",D89="",E89="",F89="",G89="",K89="",L89="",N89="",O89&lt;&gt;"Validé humainement"),"ALERTE: données/preuves/statut",IF(OR(G89&lt;0,H89&lt;0,I89&lt;0,J89&lt;0,AND(G89&lt;&gt;"",H89&gt;G89),AND(H89&lt;&gt;"",I89&gt;H89)),"ALERTE: valeur anormale","OK")))</x:f>
      </x:c>
      <x:c r="T89" s="76" t="str">
        <x:f>IF(B89="","",IF(O89="Validé humainement","Oui","Non"))</x:f>
      </x:c>
    </x:row>
    <x:row r="90">
      <x:c r="A90" s="76" t="str">
        <x:f>IF(B90="","","FIN-"&amp;TEXT(ROW()-4,"0000"))</x:f>
      </x:c>
      <x:c r="B90" s="76"/>
      <x:c r="C90" s="76"/>
      <x:c r="D90" s="76"/>
      <x:c r="E90" s="76"/>
      <x:c r="F90" s="76"/>
      <x:c r="G90" s="81"/>
      <x:c r="H90" s="81"/>
      <x:c r="I90" s="81"/>
      <x:c r="J90" s="81"/>
      <x:c r="K90" s="76"/>
      <x:c r="L90" s="76"/>
      <x:c r="M90" s="78"/>
      <x:c r="N90" s="76"/>
      <x:c r="O90" s="76"/>
      <x:c r="P90" s="76"/>
      <x:c r="Q90" s="78" t="str">
        <x:f>IF(B90="","",TODAY())</x:f>
      </x:c>
      <x:c r="R90" s="76"/>
      <x:c r="S90" s="76" t="str">
        <x:f>IF(B90="","",IF(OR(C90="",D90="",E90="",F90="",G90="",K90="",L90="",N90="",O90&lt;&gt;"Validé humainement"),"ALERTE: données/preuves/statut",IF(OR(G90&lt;0,H90&lt;0,I90&lt;0,J90&lt;0,AND(G90&lt;&gt;"",H90&gt;G90),AND(H90&lt;&gt;"",I90&gt;H90)),"ALERTE: valeur anormale","OK")))</x:f>
      </x:c>
      <x:c r="T90" s="76" t="str">
        <x:f>IF(B90="","",IF(O90="Validé humainement","Oui","Non"))</x:f>
      </x:c>
    </x:row>
    <x:row r="91">
      <x:c r="A91" s="76" t="str">
        <x:f>IF(B91="","","FIN-"&amp;TEXT(ROW()-4,"0000"))</x:f>
      </x:c>
      <x:c r="B91" s="76"/>
      <x:c r="C91" s="76"/>
      <x:c r="D91" s="76"/>
      <x:c r="E91" s="76"/>
      <x:c r="F91" s="76"/>
      <x:c r="G91" s="81"/>
      <x:c r="H91" s="81"/>
      <x:c r="I91" s="81"/>
      <x:c r="J91" s="81"/>
      <x:c r="K91" s="76"/>
      <x:c r="L91" s="76"/>
      <x:c r="M91" s="78"/>
      <x:c r="N91" s="76"/>
      <x:c r="O91" s="76"/>
      <x:c r="P91" s="76"/>
      <x:c r="Q91" s="78" t="str">
        <x:f>IF(B91="","",TODAY())</x:f>
      </x:c>
      <x:c r="R91" s="76"/>
      <x:c r="S91" s="76" t="str">
        <x:f>IF(B91="","",IF(OR(C91="",D91="",E91="",F91="",G91="",K91="",L91="",N91="",O91&lt;&gt;"Validé humainement"),"ALERTE: données/preuves/statut",IF(OR(G91&lt;0,H91&lt;0,I91&lt;0,J91&lt;0,AND(G91&lt;&gt;"",H91&gt;G91),AND(H91&lt;&gt;"",I91&gt;H91)),"ALERTE: valeur anormale","OK")))</x:f>
      </x:c>
      <x:c r="T91" s="76" t="str">
        <x:f>IF(B91="","",IF(O91="Validé humainement","Oui","Non"))</x:f>
      </x:c>
    </x:row>
    <x:row r="92">
      <x:c r="A92" s="76" t="str">
        <x:f>IF(B92="","","FIN-"&amp;TEXT(ROW()-4,"0000"))</x:f>
      </x:c>
      <x:c r="B92" s="76"/>
      <x:c r="C92" s="76"/>
      <x:c r="D92" s="76"/>
      <x:c r="E92" s="76"/>
      <x:c r="F92" s="76"/>
      <x:c r="G92" s="81"/>
      <x:c r="H92" s="81"/>
      <x:c r="I92" s="81"/>
      <x:c r="J92" s="81"/>
      <x:c r="K92" s="76"/>
      <x:c r="L92" s="76"/>
      <x:c r="M92" s="78"/>
      <x:c r="N92" s="76"/>
      <x:c r="O92" s="76"/>
      <x:c r="P92" s="76"/>
      <x:c r="Q92" s="78" t="str">
        <x:f>IF(B92="","",TODAY())</x:f>
      </x:c>
      <x:c r="R92" s="76"/>
      <x:c r="S92" s="76" t="str">
        <x:f>IF(B92="","",IF(OR(C92="",D92="",E92="",F92="",G92="",K92="",L92="",N92="",O92&lt;&gt;"Validé humainement"),"ALERTE: données/preuves/statut",IF(OR(G92&lt;0,H92&lt;0,I92&lt;0,J92&lt;0,AND(G92&lt;&gt;"",H92&gt;G92),AND(H92&lt;&gt;"",I92&gt;H92)),"ALERTE: valeur anormale","OK")))</x:f>
      </x:c>
      <x:c r="T92" s="76" t="str">
        <x:f>IF(B92="","",IF(O92="Validé humainement","Oui","Non"))</x:f>
      </x:c>
    </x:row>
    <x:row r="93">
      <x:c r="A93" s="76" t="str">
        <x:f>IF(B93="","","FIN-"&amp;TEXT(ROW()-4,"0000"))</x:f>
      </x:c>
      <x:c r="B93" s="76"/>
      <x:c r="C93" s="76"/>
      <x:c r="D93" s="76"/>
      <x:c r="E93" s="76"/>
      <x:c r="F93" s="76"/>
      <x:c r="G93" s="81"/>
      <x:c r="H93" s="81"/>
      <x:c r="I93" s="81"/>
      <x:c r="J93" s="81"/>
      <x:c r="K93" s="76"/>
      <x:c r="L93" s="76"/>
      <x:c r="M93" s="78"/>
      <x:c r="N93" s="76"/>
      <x:c r="O93" s="76"/>
      <x:c r="P93" s="76"/>
      <x:c r="Q93" s="78" t="str">
        <x:f>IF(B93="","",TODAY())</x:f>
      </x:c>
      <x:c r="R93" s="76"/>
      <x:c r="S93" s="76" t="str">
        <x:f>IF(B93="","",IF(OR(C93="",D93="",E93="",F93="",G93="",K93="",L93="",N93="",O93&lt;&gt;"Validé humainement"),"ALERTE: données/preuves/statut",IF(OR(G93&lt;0,H93&lt;0,I93&lt;0,J93&lt;0,AND(G93&lt;&gt;"",H93&gt;G93),AND(H93&lt;&gt;"",I93&gt;H93)),"ALERTE: valeur anormale","OK")))</x:f>
      </x:c>
      <x:c r="T93" s="76" t="str">
        <x:f>IF(B93="","",IF(O93="Validé humainement","Oui","Non"))</x:f>
      </x:c>
    </x:row>
    <x:row r="94">
      <x:c r="A94" s="76" t="str">
        <x:f>IF(B94="","","FIN-"&amp;TEXT(ROW()-4,"0000"))</x:f>
      </x:c>
      <x:c r="B94" s="76"/>
      <x:c r="C94" s="76"/>
      <x:c r="D94" s="76"/>
      <x:c r="E94" s="76"/>
      <x:c r="F94" s="76"/>
      <x:c r="G94" s="81"/>
      <x:c r="H94" s="81"/>
      <x:c r="I94" s="81"/>
      <x:c r="J94" s="81"/>
      <x:c r="K94" s="76"/>
      <x:c r="L94" s="76"/>
      <x:c r="M94" s="78"/>
      <x:c r="N94" s="76"/>
      <x:c r="O94" s="76"/>
      <x:c r="P94" s="76"/>
      <x:c r="Q94" s="78" t="str">
        <x:f>IF(B94="","",TODAY())</x:f>
      </x:c>
      <x:c r="R94" s="76"/>
      <x:c r="S94" s="76" t="str">
        <x:f>IF(B94="","",IF(OR(C94="",D94="",E94="",F94="",G94="",K94="",L94="",N94="",O94&lt;&gt;"Validé humainement"),"ALERTE: données/preuves/statut",IF(OR(G94&lt;0,H94&lt;0,I94&lt;0,J94&lt;0,AND(G94&lt;&gt;"",H94&gt;G94),AND(H94&lt;&gt;"",I94&gt;H94)),"ALERTE: valeur anormale","OK")))</x:f>
      </x:c>
      <x:c r="T94" s="76" t="str">
        <x:f>IF(B94="","",IF(O94="Validé humainement","Oui","Non"))</x:f>
      </x:c>
    </x:row>
    <x:row r="95">
      <x:c r="A95" s="76" t="str">
        <x:f>IF(B95="","","FIN-"&amp;TEXT(ROW()-4,"0000"))</x:f>
      </x:c>
      <x:c r="B95" s="76"/>
      <x:c r="C95" s="76"/>
      <x:c r="D95" s="76"/>
      <x:c r="E95" s="76"/>
      <x:c r="F95" s="76"/>
      <x:c r="G95" s="81"/>
      <x:c r="H95" s="81"/>
      <x:c r="I95" s="81"/>
      <x:c r="J95" s="81"/>
      <x:c r="K95" s="76"/>
      <x:c r="L95" s="76"/>
      <x:c r="M95" s="78"/>
      <x:c r="N95" s="76"/>
      <x:c r="O95" s="76"/>
      <x:c r="P95" s="76"/>
      <x:c r="Q95" s="78" t="str">
        <x:f>IF(B95="","",TODAY())</x:f>
      </x:c>
      <x:c r="R95" s="76"/>
      <x:c r="S95" s="76" t="str">
        <x:f>IF(B95="","",IF(OR(C95="",D95="",E95="",F95="",G95="",K95="",L95="",N95="",O95&lt;&gt;"Validé humainement"),"ALERTE: données/preuves/statut",IF(OR(G95&lt;0,H95&lt;0,I95&lt;0,J95&lt;0,AND(G95&lt;&gt;"",H95&gt;G95),AND(H95&lt;&gt;"",I95&gt;H95)),"ALERTE: valeur anormale","OK")))</x:f>
      </x:c>
      <x:c r="T95" s="76" t="str">
        <x:f>IF(B95="","",IF(O95="Validé humainement","Oui","Non"))</x:f>
      </x:c>
    </x:row>
    <x:row r="96">
      <x:c r="A96" s="76" t="str">
        <x:f>IF(B96="","","FIN-"&amp;TEXT(ROW()-4,"0000"))</x:f>
      </x:c>
      <x:c r="B96" s="76"/>
      <x:c r="C96" s="76"/>
      <x:c r="D96" s="76"/>
      <x:c r="E96" s="76"/>
      <x:c r="F96" s="76"/>
      <x:c r="G96" s="81"/>
      <x:c r="H96" s="81"/>
      <x:c r="I96" s="81"/>
      <x:c r="J96" s="81"/>
      <x:c r="K96" s="76"/>
      <x:c r="L96" s="76"/>
      <x:c r="M96" s="78"/>
      <x:c r="N96" s="76"/>
      <x:c r="O96" s="76"/>
      <x:c r="P96" s="76"/>
      <x:c r="Q96" s="78" t="str">
        <x:f>IF(B96="","",TODAY())</x:f>
      </x:c>
      <x:c r="R96" s="76"/>
      <x:c r="S96" s="76" t="str">
        <x:f>IF(B96="","",IF(OR(C96="",D96="",E96="",F96="",G96="",K96="",L96="",N96="",O96&lt;&gt;"Validé humainement"),"ALERTE: données/preuves/statut",IF(OR(G96&lt;0,H96&lt;0,I96&lt;0,J96&lt;0,AND(G96&lt;&gt;"",H96&gt;G96),AND(H96&lt;&gt;"",I96&gt;H96)),"ALERTE: valeur anormale","OK")))</x:f>
      </x:c>
      <x:c r="T96" s="76" t="str">
        <x:f>IF(B96="","",IF(O96="Validé humainement","Oui","Non"))</x:f>
      </x:c>
    </x:row>
    <x:row r="97">
      <x:c r="A97" s="76" t="str">
        <x:f>IF(B97="","","FIN-"&amp;TEXT(ROW()-4,"0000"))</x:f>
      </x:c>
      <x:c r="B97" s="76"/>
      <x:c r="C97" s="76"/>
      <x:c r="D97" s="76"/>
      <x:c r="E97" s="76"/>
      <x:c r="F97" s="76"/>
      <x:c r="G97" s="81"/>
      <x:c r="H97" s="81"/>
      <x:c r="I97" s="81"/>
      <x:c r="J97" s="81"/>
      <x:c r="K97" s="76"/>
      <x:c r="L97" s="76"/>
      <x:c r="M97" s="78"/>
      <x:c r="N97" s="76"/>
      <x:c r="O97" s="76"/>
      <x:c r="P97" s="76"/>
      <x:c r="Q97" s="78" t="str">
        <x:f>IF(B97="","",TODAY())</x:f>
      </x:c>
      <x:c r="R97" s="76"/>
      <x:c r="S97" s="76" t="str">
        <x:f>IF(B97="","",IF(OR(C97="",D97="",E97="",F97="",G97="",K97="",L97="",N97="",O97&lt;&gt;"Validé humainement"),"ALERTE: données/preuves/statut",IF(OR(G97&lt;0,H97&lt;0,I97&lt;0,J97&lt;0,AND(G97&lt;&gt;"",H97&gt;G97),AND(H97&lt;&gt;"",I97&gt;H97)),"ALERTE: valeur anormale","OK")))</x:f>
      </x:c>
      <x:c r="T97" s="76" t="str">
        <x:f>IF(B97="","",IF(O97="Validé humainement","Oui","Non"))</x:f>
      </x:c>
    </x:row>
    <x:row r="98">
      <x:c r="A98" s="76" t="str">
        <x:f>IF(B98="","","FIN-"&amp;TEXT(ROW()-4,"0000"))</x:f>
      </x:c>
      <x:c r="B98" s="76"/>
      <x:c r="C98" s="76"/>
      <x:c r="D98" s="76"/>
      <x:c r="E98" s="76"/>
      <x:c r="F98" s="76"/>
      <x:c r="G98" s="81"/>
      <x:c r="H98" s="81"/>
      <x:c r="I98" s="81"/>
      <x:c r="J98" s="81"/>
      <x:c r="K98" s="76"/>
      <x:c r="L98" s="76"/>
      <x:c r="M98" s="78"/>
      <x:c r="N98" s="76"/>
      <x:c r="O98" s="76"/>
      <x:c r="P98" s="76"/>
      <x:c r="Q98" s="78" t="str">
        <x:f>IF(B98="","",TODAY())</x:f>
      </x:c>
      <x:c r="R98" s="76"/>
      <x:c r="S98" s="76" t="str">
        <x:f>IF(B98="","",IF(OR(C98="",D98="",E98="",F98="",G98="",K98="",L98="",N98="",O98&lt;&gt;"Validé humainement"),"ALERTE: données/preuves/statut",IF(OR(G98&lt;0,H98&lt;0,I98&lt;0,J98&lt;0,AND(G98&lt;&gt;"",H98&gt;G98),AND(H98&lt;&gt;"",I98&gt;H98)),"ALERTE: valeur anormale","OK")))</x:f>
      </x:c>
      <x:c r="T98" s="76" t="str">
        <x:f>IF(B98="","",IF(O98="Validé humainement","Oui","Non"))</x:f>
      </x:c>
    </x:row>
    <x:row r="99">
      <x:c r="A99" s="76" t="str">
        <x:f>IF(B99="","","FIN-"&amp;TEXT(ROW()-4,"0000"))</x:f>
      </x:c>
      <x:c r="B99" s="76"/>
      <x:c r="C99" s="76"/>
      <x:c r="D99" s="76"/>
      <x:c r="E99" s="76"/>
      <x:c r="F99" s="76"/>
      <x:c r="G99" s="81"/>
      <x:c r="H99" s="81"/>
      <x:c r="I99" s="81"/>
      <x:c r="J99" s="81"/>
      <x:c r="K99" s="76"/>
      <x:c r="L99" s="76"/>
      <x:c r="M99" s="78"/>
      <x:c r="N99" s="76"/>
      <x:c r="O99" s="76"/>
      <x:c r="P99" s="76"/>
      <x:c r="Q99" s="78" t="str">
        <x:f>IF(B99="","",TODAY())</x:f>
      </x:c>
      <x:c r="R99" s="76"/>
      <x:c r="S99" s="76" t="str">
        <x:f>IF(B99="","",IF(OR(C99="",D99="",E99="",F99="",G99="",K99="",L99="",N99="",O99&lt;&gt;"Validé humainement"),"ALERTE: données/preuves/statut",IF(OR(G99&lt;0,H99&lt;0,I99&lt;0,J99&lt;0,AND(G99&lt;&gt;"",H99&gt;G99),AND(H99&lt;&gt;"",I99&gt;H99)),"ALERTE: valeur anormale","OK")))</x:f>
      </x:c>
      <x:c r="T99" s="76" t="str">
        <x:f>IF(B99="","",IF(O99="Validé humainement","Oui","Non"))</x:f>
      </x:c>
    </x:row>
    <x:row r="100">
      <x:c r="A100" s="76" t="str">
        <x:f>IF(B100="","","FIN-"&amp;TEXT(ROW()-4,"0000"))</x:f>
      </x:c>
      <x:c r="B100" s="76"/>
      <x:c r="C100" s="76"/>
      <x:c r="D100" s="76"/>
      <x:c r="E100" s="76"/>
      <x:c r="F100" s="76"/>
      <x:c r="G100" s="81"/>
      <x:c r="H100" s="81"/>
      <x:c r="I100" s="81"/>
      <x:c r="J100" s="81"/>
      <x:c r="K100" s="76"/>
      <x:c r="L100" s="76"/>
      <x:c r="M100" s="78"/>
      <x:c r="N100" s="76"/>
      <x:c r="O100" s="76"/>
      <x:c r="P100" s="76"/>
      <x:c r="Q100" s="78" t="str">
        <x:f>IF(B100="","",TODAY())</x:f>
      </x:c>
      <x:c r="R100" s="76"/>
      <x:c r="S100" s="76" t="str">
        <x:f>IF(B100="","",IF(OR(C100="",D100="",E100="",F100="",G100="",K100="",L100="",N100="",O100&lt;&gt;"Validé humainement"),"ALERTE: données/preuves/statut",IF(OR(G100&lt;0,H100&lt;0,I100&lt;0,J100&lt;0,AND(G100&lt;&gt;"",H100&gt;G100),AND(H100&lt;&gt;"",I100&gt;H100)),"ALERTE: valeur anormale","OK")))</x:f>
      </x:c>
      <x:c r="T100" s="76" t="str">
        <x:f>IF(B100="","",IF(O100="Validé humainement","Oui","Non"))</x:f>
      </x:c>
    </x:row>
    <x:row r="101">
      <x:c r="A101" s="76" t="str">
        <x:f>IF(B101="","","FIN-"&amp;TEXT(ROW()-4,"0000"))</x:f>
      </x:c>
      <x:c r="B101" s="76"/>
      <x:c r="C101" s="76"/>
      <x:c r="D101" s="76"/>
      <x:c r="E101" s="76"/>
      <x:c r="F101" s="76"/>
      <x:c r="G101" s="81"/>
      <x:c r="H101" s="81"/>
      <x:c r="I101" s="81"/>
      <x:c r="J101" s="81"/>
      <x:c r="K101" s="76"/>
      <x:c r="L101" s="76"/>
      <x:c r="M101" s="78"/>
      <x:c r="N101" s="76"/>
      <x:c r="O101" s="76"/>
      <x:c r="P101" s="76"/>
      <x:c r="Q101" s="78" t="str">
        <x:f>IF(B101="","",TODAY())</x:f>
      </x:c>
      <x:c r="R101" s="76"/>
      <x:c r="S101" s="76" t="str">
        <x:f>IF(B101="","",IF(OR(C101="",D101="",E101="",F101="",G101="",K101="",L101="",N101="",O101&lt;&gt;"Validé humainement"),"ALERTE: données/preuves/statut",IF(OR(G101&lt;0,H101&lt;0,I101&lt;0,J101&lt;0,AND(G101&lt;&gt;"",H101&gt;G101),AND(H101&lt;&gt;"",I101&gt;H101)),"ALERTE: valeur anormale","OK")))</x:f>
      </x:c>
      <x:c r="T101" s="76" t="str">
        <x:f>IF(B101="","",IF(O101="Validé humainement","Oui","Non"))</x:f>
      </x:c>
    </x:row>
    <x:row r="102">
      <x:c r="A102" s="76" t="str">
        <x:f>IF(B102="","","FIN-"&amp;TEXT(ROW()-4,"0000"))</x:f>
      </x:c>
      <x:c r="B102" s="76"/>
      <x:c r="C102" s="76"/>
      <x:c r="D102" s="76"/>
      <x:c r="E102" s="76"/>
      <x:c r="F102" s="76"/>
      <x:c r="G102" s="81"/>
      <x:c r="H102" s="81"/>
      <x:c r="I102" s="81"/>
      <x:c r="J102" s="81"/>
      <x:c r="K102" s="76"/>
      <x:c r="L102" s="76"/>
      <x:c r="M102" s="78"/>
      <x:c r="N102" s="76"/>
      <x:c r="O102" s="76"/>
      <x:c r="P102" s="76"/>
      <x:c r="Q102" s="78" t="str">
        <x:f>IF(B102="","",TODAY())</x:f>
      </x:c>
      <x:c r="R102" s="76"/>
      <x:c r="S102" s="76" t="str">
        <x:f>IF(B102="","",IF(OR(C102="",D102="",E102="",F102="",G102="",K102="",L102="",N102="",O102&lt;&gt;"Validé humainement"),"ALERTE: données/preuves/statut",IF(OR(G102&lt;0,H102&lt;0,I102&lt;0,J102&lt;0,AND(G102&lt;&gt;"",H102&gt;G102),AND(H102&lt;&gt;"",I102&gt;H102)),"ALERTE: valeur anormale","OK")))</x:f>
      </x:c>
      <x:c r="T102" s="76" t="str">
        <x:f>IF(B102="","",IF(O102="Validé humainement","Oui","Non"))</x:f>
      </x:c>
    </x:row>
    <x:row r="103">
      <x:c r="A103" s="76" t="str">
        <x:f>IF(B103="","","FIN-"&amp;TEXT(ROW()-4,"0000"))</x:f>
      </x:c>
      <x:c r="B103" s="76"/>
      <x:c r="C103" s="76"/>
      <x:c r="D103" s="76"/>
      <x:c r="E103" s="76"/>
      <x:c r="F103" s="76"/>
      <x:c r="G103" s="81"/>
      <x:c r="H103" s="81"/>
      <x:c r="I103" s="81"/>
      <x:c r="J103" s="81"/>
      <x:c r="K103" s="76"/>
      <x:c r="L103" s="76"/>
      <x:c r="M103" s="78"/>
      <x:c r="N103" s="76"/>
      <x:c r="O103" s="76"/>
      <x:c r="P103" s="76"/>
      <x:c r="Q103" s="78" t="str">
        <x:f>IF(B103="","",TODAY())</x:f>
      </x:c>
      <x:c r="R103" s="76"/>
      <x:c r="S103" s="76" t="str">
        <x:f>IF(B103="","",IF(OR(C103="",D103="",E103="",F103="",G103="",K103="",L103="",N103="",O103&lt;&gt;"Validé humainement"),"ALERTE: données/preuves/statut",IF(OR(G103&lt;0,H103&lt;0,I103&lt;0,J103&lt;0,AND(G103&lt;&gt;"",H103&gt;G103),AND(H103&lt;&gt;"",I103&gt;H103)),"ALERTE: valeur anormale","OK")))</x:f>
      </x:c>
      <x:c r="T103" s="76" t="str">
        <x:f>IF(B103="","",IF(O103="Validé humainement","Oui","Non"))</x:f>
      </x:c>
    </x:row>
    <x:row r="104">
      <x:c r="A104" s="76" t="str">
        <x:f>IF(B104="","","FIN-"&amp;TEXT(ROW()-4,"0000"))</x:f>
      </x:c>
      <x:c r="B104" s="76"/>
      <x:c r="C104" s="76"/>
      <x:c r="D104" s="76"/>
      <x:c r="E104" s="76"/>
      <x:c r="F104" s="76"/>
      <x:c r="G104" s="81"/>
      <x:c r="H104" s="81"/>
      <x:c r="I104" s="81"/>
      <x:c r="J104" s="81"/>
      <x:c r="K104" s="76"/>
      <x:c r="L104" s="76"/>
      <x:c r="M104" s="78"/>
      <x:c r="N104" s="76"/>
      <x:c r="O104" s="76"/>
      <x:c r="P104" s="76"/>
      <x:c r="Q104" s="78" t="str">
        <x:f>IF(B104="","",TODAY())</x:f>
      </x:c>
      <x:c r="R104" s="76"/>
      <x:c r="S104" s="76" t="str">
        <x:f>IF(B104="","",IF(OR(C104="",D104="",E104="",F104="",G104="",K104="",L104="",N104="",O104&lt;&gt;"Validé humainement"),"ALERTE: données/preuves/statut",IF(OR(G104&lt;0,H104&lt;0,I104&lt;0,J104&lt;0,AND(G104&lt;&gt;"",H104&gt;G104),AND(H104&lt;&gt;"",I104&gt;H104)),"ALERTE: valeur anormale","OK")))</x:f>
      </x:c>
      <x:c r="T104" s="76" t="str">
        <x:f>IF(B104="","",IF(O104="Validé humainement","Oui","Non"))</x:f>
      </x:c>
    </x:row>
  </x:sheetData>
  <x:mergeCells>
    <x:mergeCell ref="A1:T1"/>
    <x:mergeCell ref="A2:T2"/>
  </x:mergeCells>
  <x:conditionalFormatting sqref="S5:S104">
    <x:cfRule type="containsText" dxfId="252" priority="1" operator="containsText" text="ALERTE"/>
    <x:cfRule type="containsText" dxfId="253" priority="2" operator="containsText" text="OK"/>
    <x:cfRule type="containsText" dxfId="254" priority="3" operator="containsText" text="Validé"/>
    <x:cfRule type="containsText" dxfId="255" priority="4" operator="containsText" text="À vérifier"/>
    <x:cfRule type="containsText" dxfId="256" priority="5" operator="containsText" text="Rejeté"/>
  </x:conditionalFormatting>
  <x:conditionalFormatting sqref="O5:O104">
    <x:cfRule type="containsText" dxfId="257" priority="6" operator="containsText" text="ALERTE"/>
    <x:cfRule type="containsText" dxfId="258" priority="7" operator="containsText" text="OK"/>
    <x:cfRule type="containsText" dxfId="259" priority="8" operator="containsText" text="Validé"/>
    <x:cfRule type="containsText" dxfId="260" priority="9" operator="containsText" text="À vérifier"/>
    <x:cfRule type="containsText" dxfId="261" priority="10" operator="containsText" text="Rejeté"/>
  </x:conditionalFormatting>
  <x:dataValidations count="5">
    <x:dataValidation type="list" errorStyle="warning" showInputMessage="1" showErrorMessage="1" errorTitle="Valeur inattendue" error="Veuillez choisir une valeur de la liste." promptTitle="Liste contrôlée" prompt="Choisir une valeur autorisée." sqref="B5:B104">
      <x:formula1>"2024,2025,2026,2027,2028,2029,2030,2031,2032,2033,2034,2035"</x:formula1>
    </x:dataValidation>
    <x:dataValidation type="list" errorStyle="warning" showInputMessage="1" showErrorMessage="1" errorTitle="Valeur inattendue" error="Veuillez choisir une valeur de la liste." promptTitle="Liste contrôlée" prompt="Choisir une valeur autorisée." sqref="C5:C104">
      <x:formula1>"Janvier,Février,Mars,Avril,Mai,Juin,Juillet,Août,Septembre,Octobre,Novembre,Décembre"</x:formula1>
    </x:dataValidation>
    <x:dataValidation type="list" errorStyle="warning" showInputMessage="1" showErrorMessage="1" errorTitle="Valeur inattendue" error="Veuillez choisir une valeur de la liste." promptTitle="Liste contrôlée" prompt="Choisir une valeur autorisée." sqref="O5:O104">
      <x:formula1>"Brouillon,À vérifier,Validé techniquement,Validé humainement,Rejeté"</x:formula1>
    </x:dataValidation>
    <x:dataValidation type="list" errorStyle="warning" showInputMessage="1" showErrorMessage="1" errorTitle="Valeur inattendue" error="Veuillez choisir une valeur de la liste." promptTitle="Liste contrôlée" prompt="Choisir une valeur autorisée." sqref="F5:F104">
      <x:formula1>"Subvention,Prêt concessionnel,Garantie,PPP,Budget municipal,Co-financement,Assistance technique"</x:formula1>
    </x:dataValidation>
    <x:dataValidation type="list" errorStyle="warning" showInputMessage="1" showErrorMessage="1" errorTitle="Valeur inattendue" error="Veuillez choisir une valeur de la liste." promptTitle="Liste contrôlée" prompt="Choisir une valeur autorisée." sqref="L5:L104">
      <x:formula1>"Identifié,En discussion,Demandé,Approuvé,Décaissé,Refusé,Clôturé"</x:formula1>
    </x:dataValidation>
  </x:dataValidations>
  <x:pageMargins left="0.7" right="0.7" top="0.75" bottom="0.75" header="0.3" footer="0.3"/>
  <x:tableParts count="1">
    <x:tablePart xmlns:r="http://schemas.openxmlformats.org/officeDocument/2006/relationships" r:id="R0525a5e25a274d3d"/>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13.75" hidden="0" customWidth="1"/>
    <x:col min="2" max="2" width="21.25" hidden="0" customWidth="1"/>
    <x:col min="3" max="3" width="21.25" hidden="0" customWidth="1"/>
    <x:col min="4" max="4" width="26.25" hidden="0" customWidth="1"/>
    <x:col min="5" max="5" width="11.25" hidden="0" customWidth="1"/>
    <x:col min="6" max="6" width="15" hidden="0" customWidth="1"/>
    <x:col min="7" max="7" width="22.5" hidden="0" customWidth="1"/>
    <x:col min="8" max="8" width="13.75" hidden="0" customWidth="1"/>
    <x:col min="9" max="9" width="11.880000114440918" hidden="0" customWidth="1"/>
    <x:col min="10" max="10" width="22.5" hidden="0" customWidth="1"/>
    <x:col min="11" max="11" width="18.75" hidden="0" customWidth="1"/>
    <x:col min="12" max="12" width="18.75" hidden="0" customWidth="1"/>
    <x:col min="13" max="13" width="26.25" hidden="0" customWidth="1"/>
    <x:col min="14" max="14" width="18.75" hidden="0" customWidth="1"/>
    <x:col min="15" max="15" width="18.1299991607666" hidden="0" customWidth="1"/>
    <x:col min="16" max="16" width="20" hidden="0" customWidth="1"/>
    <x:col min="17" max="17" width="32.5" hidden="0" customWidth="1"/>
    <x:col min="18" max="18" width="15" hidden="0" customWidth="1"/>
    <x:col min="19" max="19" width="18.75" hidden="0" customWidth="1"/>
    <x:col min="20" max="20" width="23.75" hidden="0" customWidth="1"/>
    <x:col min="21" max="21" width="15" hidden="0" customWidth="1"/>
  </x:cols>
  <x:sheetData>
    <x:row r="1" ht="25.5" customHeight="1">
      <x:c r="A1" s="68" t="str">
        <x:v>Base validée - central de saisie</x:v>
      </x:c>
      <x:c r="B1" s="68"/>
      <x:c r="C1" s="68"/>
      <x:c r="D1" s="68"/>
      <x:c r="E1" s="68"/>
      <x:c r="F1" s="68"/>
      <x:c r="G1" s="68"/>
      <x:c r="H1" s="68"/>
      <x:c r="I1" s="68"/>
      <x:c r="J1" s="68"/>
      <x:c r="K1" s="68"/>
      <x:c r="L1" s="68"/>
      <x:c r="M1" s="68"/>
      <x:c r="N1" s="68"/>
      <x:c r="O1" s="68"/>
      <x:c r="P1" s="68"/>
      <x:c r="Q1" s="68"/>
      <x:c r="R1" s="68"/>
      <x:c r="S1" s="68"/>
      <x:c r="T1" s="68"/>
      <x:c r="U1" s="68"/>
    </x:row>
    <x:row r="2" ht="33" customHeight="1">
      <x:c r="A2" s="71" t="str">
        <x:v>Cette base est alimentée automatiquement depuis 00_Formulaire_Saisie.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row>
    <x:row r="4">
      <x:c r="A4" s="87" t="str">
        <x:v>ID_Saisie</x:v>
      </x:c>
      <x:c r="B4" s="87" t="str">
        <x:v>Domaine de donnée</x:v>
      </x:c>
      <x:c r="C4" s="87" t="str">
        <x:v>Sous-domaine</x:v>
      </x:c>
      <x:c r="D4" s="87" t="str">
        <x:v>Indicateur</x:v>
      </x:c>
      <x:c r="E4" s="87" t="str">
        <x:v>Année</x:v>
      </x:c>
      <x:c r="F4" s="87" t="str">
        <x:v>Mois</x:v>
      </x:c>
      <x:c r="G4" s="87" t="str">
        <x:v>Commune / zone</x:v>
      </x:c>
      <x:c r="H4" s="87" t="str">
        <x:v>Valeur</x:v>
      </x:c>
      <x:c r="I4" s="87" t="str">
        <x:v>Unité</x:v>
      </x:c>
      <x:c r="J4" s="87" t="str">
        <x:v>Institution source</x:v>
      </x:c>
      <x:c r="K4" s="87" t="str">
        <x:v>Service source</x:v>
      </x:c>
      <x:c r="L4" s="87" t="str">
        <x:v>Personne focale</x:v>
      </x:c>
      <x:c r="M4" s="87" t="str">
        <x:v>Document source</x:v>
      </x:c>
      <x:c r="N4" s="87" t="str">
        <x:v>Fréquence de collecte</x:v>
      </x:c>
      <x:c r="O4" s="87" t="str">
        <x:v>Niveau de fiabilité</x:v>
      </x:c>
      <x:c r="P4" s="87" t="str">
        <x:v>Statut de validation</x:v>
      </x:c>
      <x:c r="Q4" s="87" t="str">
        <x:v>Observations</x:v>
      </x:c>
      <x:c r="R4" s="87" t="str">
        <x:v>Date de saisie</x:v>
      </x:c>
      <x:c r="S4" s="87" t="str">
        <x:v>Responsable</x:v>
      </x:c>
      <x:c r="T4" s="87" t="str">
        <x:v>Alerte_QC</x:v>
      </x:c>
      <x:c r="U4" s="87" t="str">
        <x:v>Alimente_Rapports</x:v>
      </x:c>
    </x:row>
    <x:row r="5">
      <x:c r="A5" s="76" t="str">
        <x:f>IF('00_Formulaire_Saisie'!$P5="Validé humainement",'00_Formulaire_Saisie'!A5,"")</x:f>
      </x:c>
      <x:c r="B5" s="76" t="str">
        <x:f>IF('00_Formulaire_Saisie'!$P5="Validé humainement",'00_Formulaire_Saisie'!B5,"")</x:f>
      </x:c>
      <x:c r="C5" s="76" t="str">
        <x:f>IF('00_Formulaire_Saisie'!$P5="Validé humainement",'00_Formulaire_Saisie'!C5,"")</x:f>
      </x:c>
      <x:c r="D5" s="76" t="str">
        <x:f>IF('00_Formulaire_Saisie'!$P5="Validé humainement",'00_Formulaire_Saisie'!D5,"")</x:f>
      </x:c>
      <x:c r="E5" s="76" t="str">
        <x:f>IF('00_Formulaire_Saisie'!$P5="Validé humainement",'00_Formulaire_Saisie'!E5,"")</x:f>
      </x:c>
      <x:c r="F5" s="76" t="str">
        <x:f>IF('00_Formulaire_Saisie'!$P5="Validé humainement",'00_Formulaire_Saisie'!F5,"")</x:f>
      </x:c>
      <x:c r="G5" s="76" t="str">
        <x:f>IF('00_Formulaire_Saisie'!$P5="Validé humainement",'00_Formulaire_Saisie'!G5,"")</x:f>
      </x:c>
      <x:c r="H5" s="77" t="str">
        <x:f>IF('00_Formulaire_Saisie'!$P5="Validé humainement",'00_Formulaire_Saisie'!H5,"")</x:f>
      </x:c>
      <x:c r="I5" s="76" t="str">
        <x:f>IF('00_Formulaire_Saisie'!$P5="Validé humainement",'00_Formulaire_Saisie'!I5,"")</x:f>
      </x:c>
      <x:c r="J5" s="76" t="str">
        <x:f>IF('00_Formulaire_Saisie'!$P5="Validé humainement",'00_Formulaire_Saisie'!J5,"")</x:f>
      </x:c>
      <x:c r="K5" s="76" t="str">
        <x:f>IF('00_Formulaire_Saisie'!$P5="Validé humainement",'00_Formulaire_Saisie'!K5,"")</x:f>
      </x:c>
      <x:c r="L5" s="76" t="str">
        <x:f>IF('00_Formulaire_Saisie'!$P5="Validé humainement",'00_Formulaire_Saisie'!L5,"")</x:f>
      </x:c>
      <x:c r="M5" s="76" t="str">
        <x:f>IF('00_Formulaire_Saisie'!$P5="Validé humainement",'00_Formulaire_Saisie'!M5,"")</x:f>
      </x:c>
      <x:c r="N5" s="76" t="str">
        <x:f>IF('00_Formulaire_Saisie'!$P5="Validé humainement",'00_Formulaire_Saisie'!N5,"")</x:f>
      </x:c>
      <x:c r="O5" s="76" t="str">
        <x:f>IF('00_Formulaire_Saisie'!$P5="Validé humainement",'00_Formulaire_Saisie'!O5,"")</x:f>
      </x:c>
      <x:c r="P5" s="76" t="str">
        <x:f>IF('00_Formulaire_Saisie'!$P5="Validé humainement",'00_Formulaire_Saisie'!P5,"")</x:f>
      </x:c>
      <x:c r="Q5" s="76" t="str">
        <x:f>IF('00_Formulaire_Saisie'!$P5="Validé humainement",'00_Formulaire_Saisie'!Q5,"")</x:f>
      </x:c>
      <x:c r="R5" s="78" t="str">
        <x:f>IF('00_Formulaire_Saisie'!$P5="Validé humainement",'00_Formulaire_Saisie'!R5,"")</x:f>
      </x:c>
      <x:c r="S5" s="76" t="str">
        <x:f>IF('00_Formulaire_Saisie'!$P5="Validé humainement",'00_Formulaire_Saisie'!S5,"")</x:f>
      </x:c>
      <x:c r="T5" s="76" t="str">
        <x:f>IF('00_Formulaire_Saisie'!$P5="Validé humainement",'00_Formulaire_Saisie'!T5,"")</x:f>
      </x:c>
      <x:c r="U5" s="76" t="str">
        <x:f>IF('00_Formulaire_Saisie'!$P5="Validé humainement",'00_Formulaire_Saisie'!U5,"")</x:f>
      </x:c>
    </x:row>
    <x:row r="6">
      <x:c r="A6" s="76" t="str">
        <x:f>IF('00_Formulaire_Saisie'!$P6="Validé humainement",'00_Formulaire_Saisie'!A6,"")</x:f>
      </x:c>
      <x:c r="B6" s="76" t="str">
        <x:f>IF('00_Formulaire_Saisie'!$P6="Validé humainement",'00_Formulaire_Saisie'!B6,"")</x:f>
      </x:c>
      <x:c r="C6" s="76" t="str">
        <x:f>IF('00_Formulaire_Saisie'!$P6="Validé humainement",'00_Formulaire_Saisie'!C6,"")</x:f>
      </x:c>
      <x:c r="D6" s="76" t="str">
        <x:f>IF('00_Formulaire_Saisie'!$P6="Validé humainement",'00_Formulaire_Saisie'!D6,"")</x:f>
      </x:c>
      <x:c r="E6" s="76" t="str">
        <x:f>IF('00_Formulaire_Saisie'!$P6="Validé humainement",'00_Formulaire_Saisie'!E6,"")</x:f>
      </x:c>
      <x:c r="F6" s="76" t="str">
        <x:f>IF('00_Formulaire_Saisie'!$P6="Validé humainement",'00_Formulaire_Saisie'!F6,"")</x:f>
      </x:c>
      <x:c r="G6" s="76" t="str">
        <x:f>IF('00_Formulaire_Saisie'!$P6="Validé humainement",'00_Formulaire_Saisie'!G6,"")</x:f>
      </x:c>
      <x:c r="H6" s="77" t="str">
        <x:f>IF('00_Formulaire_Saisie'!$P6="Validé humainement",'00_Formulaire_Saisie'!H6,"")</x:f>
      </x:c>
      <x:c r="I6" s="76" t="str">
        <x:f>IF('00_Formulaire_Saisie'!$P6="Validé humainement",'00_Formulaire_Saisie'!I6,"")</x:f>
      </x:c>
      <x:c r="J6" s="76" t="str">
        <x:f>IF('00_Formulaire_Saisie'!$P6="Validé humainement",'00_Formulaire_Saisie'!J6,"")</x:f>
      </x:c>
      <x:c r="K6" s="76" t="str">
        <x:f>IF('00_Formulaire_Saisie'!$P6="Validé humainement",'00_Formulaire_Saisie'!K6,"")</x:f>
      </x:c>
      <x:c r="L6" s="76" t="str">
        <x:f>IF('00_Formulaire_Saisie'!$P6="Validé humainement",'00_Formulaire_Saisie'!L6,"")</x:f>
      </x:c>
      <x:c r="M6" s="76" t="str">
        <x:f>IF('00_Formulaire_Saisie'!$P6="Validé humainement",'00_Formulaire_Saisie'!M6,"")</x:f>
      </x:c>
      <x:c r="N6" s="76" t="str">
        <x:f>IF('00_Formulaire_Saisie'!$P6="Validé humainement",'00_Formulaire_Saisie'!N6,"")</x:f>
      </x:c>
      <x:c r="O6" s="76" t="str">
        <x:f>IF('00_Formulaire_Saisie'!$P6="Validé humainement",'00_Formulaire_Saisie'!O6,"")</x:f>
      </x:c>
      <x:c r="P6" s="76" t="str">
        <x:f>IF('00_Formulaire_Saisie'!$P6="Validé humainement",'00_Formulaire_Saisie'!P6,"")</x:f>
      </x:c>
      <x:c r="Q6" s="76" t="str">
        <x:f>IF('00_Formulaire_Saisie'!$P6="Validé humainement",'00_Formulaire_Saisie'!Q6,"")</x:f>
      </x:c>
      <x:c r="R6" s="78" t="str">
        <x:f>IF('00_Formulaire_Saisie'!$P6="Validé humainement",'00_Formulaire_Saisie'!R6,"")</x:f>
      </x:c>
      <x:c r="S6" s="76" t="str">
        <x:f>IF('00_Formulaire_Saisie'!$P6="Validé humainement",'00_Formulaire_Saisie'!S6,"")</x:f>
      </x:c>
      <x:c r="T6" s="76" t="str">
        <x:f>IF('00_Formulaire_Saisie'!$P6="Validé humainement",'00_Formulaire_Saisie'!T6,"")</x:f>
      </x:c>
      <x:c r="U6" s="76" t="str">
        <x:f>IF('00_Formulaire_Saisie'!$P6="Validé humainement",'00_Formulaire_Saisie'!U6,"")</x:f>
      </x:c>
    </x:row>
    <x:row r="7">
      <x:c r="A7" s="76" t="str">
        <x:f>IF('00_Formulaire_Saisie'!$P7="Validé humainement",'00_Formulaire_Saisie'!A7,"")</x:f>
      </x:c>
      <x:c r="B7" s="76" t="str">
        <x:f>IF('00_Formulaire_Saisie'!$P7="Validé humainement",'00_Formulaire_Saisie'!B7,"")</x:f>
      </x:c>
      <x:c r="C7" s="76" t="str">
        <x:f>IF('00_Formulaire_Saisie'!$P7="Validé humainement",'00_Formulaire_Saisie'!C7,"")</x:f>
      </x:c>
      <x:c r="D7" s="76" t="str">
        <x:f>IF('00_Formulaire_Saisie'!$P7="Validé humainement",'00_Formulaire_Saisie'!D7,"")</x:f>
      </x:c>
      <x:c r="E7" s="76" t="str">
        <x:f>IF('00_Formulaire_Saisie'!$P7="Validé humainement",'00_Formulaire_Saisie'!E7,"")</x:f>
      </x:c>
      <x:c r="F7" s="76" t="str">
        <x:f>IF('00_Formulaire_Saisie'!$P7="Validé humainement",'00_Formulaire_Saisie'!F7,"")</x:f>
      </x:c>
      <x:c r="G7" s="76" t="str">
        <x:f>IF('00_Formulaire_Saisie'!$P7="Validé humainement",'00_Formulaire_Saisie'!G7,"")</x:f>
      </x:c>
      <x:c r="H7" s="77" t="str">
        <x:f>IF('00_Formulaire_Saisie'!$P7="Validé humainement",'00_Formulaire_Saisie'!H7,"")</x:f>
      </x:c>
      <x:c r="I7" s="76" t="str">
        <x:f>IF('00_Formulaire_Saisie'!$P7="Validé humainement",'00_Formulaire_Saisie'!I7,"")</x:f>
      </x:c>
      <x:c r="J7" s="76" t="str">
        <x:f>IF('00_Formulaire_Saisie'!$P7="Validé humainement",'00_Formulaire_Saisie'!J7,"")</x:f>
      </x:c>
      <x:c r="K7" s="76" t="str">
        <x:f>IF('00_Formulaire_Saisie'!$P7="Validé humainement",'00_Formulaire_Saisie'!K7,"")</x:f>
      </x:c>
      <x:c r="L7" s="76" t="str">
        <x:f>IF('00_Formulaire_Saisie'!$P7="Validé humainement",'00_Formulaire_Saisie'!L7,"")</x:f>
      </x:c>
      <x:c r="M7" s="76" t="str">
        <x:f>IF('00_Formulaire_Saisie'!$P7="Validé humainement",'00_Formulaire_Saisie'!M7,"")</x:f>
      </x:c>
      <x:c r="N7" s="76" t="str">
        <x:f>IF('00_Formulaire_Saisie'!$P7="Validé humainement",'00_Formulaire_Saisie'!N7,"")</x:f>
      </x:c>
      <x:c r="O7" s="76" t="str">
        <x:f>IF('00_Formulaire_Saisie'!$P7="Validé humainement",'00_Formulaire_Saisie'!O7,"")</x:f>
      </x:c>
      <x:c r="P7" s="76" t="str">
        <x:f>IF('00_Formulaire_Saisie'!$P7="Validé humainement",'00_Formulaire_Saisie'!P7,"")</x:f>
      </x:c>
      <x:c r="Q7" s="76" t="str">
        <x:f>IF('00_Formulaire_Saisie'!$P7="Validé humainement",'00_Formulaire_Saisie'!Q7,"")</x:f>
      </x:c>
      <x:c r="R7" s="78" t="str">
        <x:f>IF('00_Formulaire_Saisie'!$P7="Validé humainement",'00_Formulaire_Saisie'!R7,"")</x:f>
      </x:c>
      <x:c r="S7" s="76" t="str">
        <x:f>IF('00_Formulaire_Saisie'!$P7="Validé humainement",'00_Formulaire_Saisie'!S7,"")</x:f>
      </x:c>
      <x:c r="T7" s="76" t="str">
        <x:f>IF('00_Formulaire_Saisie'!$P7="Validé humainement",'00_Formulaire_Saisie'!T7,"")</x:f>
      </x:c>
      <x:c r="U7" s="76" t="str">
        <x:f>IF('00_Formulaire_Saisie'!$P7="Validé humainement",'00_Formulaire_Saisie'!U7,"")</x:f>
      </x:c>
    </x:row>
    <x:row r="8">
      <x:c r="A8" s="76" t="str">
        <x:f>IF('00_Formulaire_Saisie'!$P8="Validé humainement",'00_Formulaire_Saisie'!A8,"")</x:f>
      </x:c>
      <x:c r="B8" s="76" t="str">
        <x:f>IF('00_Formulaire_Saisie'!$P8="Validé humainement",'00_Formulaire_Saisie'!B8,"")</x:f>
      </x:c>
      <x:c r="C8" s="76" t="str">
        <x:f>IF('00_Formulaire_Saisie'!$P8="Validé humainement",'00_Formulaire_Saisie'!C8,"")</x:f>
      </x:c>
      <x:c r="D8" s="76" t="str">
        <x:f>IF('00_Formulaire_Saisie'!$P8="Validé humainement",'00_Formulaire_Saisie'!D8,"")</x:f>
      </x:c>
      <x:c r="E8" s="76" t="str">
        <x:f>IF('00_Formulaire_Saisie'!$P8="Validé humainement",'00_Formulaire_Saisie'!E8,"")</x:f>
      </x:c>
      <x:c r="F8" s="76" t="str">
        <x:f>IF('00_Formulaire_Saisie'!$P8="Validé humainement",'00_Formulaire_Saisie'!F8,"")</x:f>
      </x:c>
      <x:c r="G8" s="76" t="str">
        <x:f>IF('00_Formulaire_Saisie'!$P8="Validé humainement",'00_Formulaire_Saisie'!G8,"")</x:f>
      </x:c>
      <x:c r="H8" s="77" t="str">
        <x:f>IF('00_Formulaire_Saisie'!$P8="Validé humainement",'00_Formulaire_Saisie'!H8,"")</x:f>
      </x:c>
      <x:c r="I8" s="76" t="str">
        <x:f>IF('00_Formulaire_Saisie'!$P8="Validé humainement",'00_Formulaire_Saisie'!I8,"")</x:f>
      </x:c>
      <x:c r="J8" s="76" t="str">
        <x:f>IF('00_Formulaire_Saisie'!$P8="Validé humainement",'00_Formulaire_Saisie'!J8,"")</x:f>
      </x:c>
      <x:c r="K8" s="76" t="str">
        <x:f>IF('00_Formulaire_Saisie'!$P8="Validé humainement",'00_Formulaire_Saisie'!K8,"")</x:f>
      </x:c>
      <x:c r="L8" s="76" t="str">
        <x:f>IF('00_Formulaire_Saisie'!$P8="Validé humainement",'00_Formulaire_Saisie'!L8,"")</x:f>
      </x:c>
      <x:c r="M8" s="76" t="str">
        <x:f>IF('00_Formulaire_Saisie'!$P8="Validé humainement",'00_Formulaire_Saisie'!M8,"")</x:f>
      </x:c>
      <x:c r="N8" s="76" t="str">
        <x:f>IF('00_Formulaire_Saisie'!$P8="Validé humainement",'00_Formulaire_Saisie'!N8,"")</x:f>
      </x:c>
      <x:c r="O8" s="76" t="str">
        <x:f>IF('00_Formulaire_Saisie'!$P8="Validé humainement",'00_Formulaire_Saisie'!O8,"")</x:f>
      </x:c>
      <x:c r="P8" s="76" t="str">
        <x:f>IF('00_Formulaire_Saisie'!$P8="Validé humainement",'00_Formulaire_Saisie'!P8,"")</x:f>
      </x:c>
      <x:c r="Q8" s="76" t="str">
        <x:f>IF('00_Formulaire_Saisie'!$P8="Validé humainement",'00_Formulaire_Saisie'!Q8,"")</x:f>
      </x:c>
      <x:c r="R8" s="78" t="str">
        <x:f>IF('00_Formulaire_Saisie'!$P8="Validé humainement",'00_Formulaire_Saisie'!R8,"")</x:f>
      </x:c>
      <x:c r="S8" s="76" t="str">
        <x:f>IF('00_Formulaire_Saisie'!$P8="Validé humainement",'00_Formulaire_Saisie'!S8,"")</x:f>
      </x:c>
      <x:c r="T8" s="76" t="str">
        <x:f>IF('00_Formulaire_Saisie'!$P8="Validé humainement",'00_Formulaire_Saisie'!T8,"")</x:f>
      </x:c>
      <x:c r="U8" s="76" t="str">
        <x:f>IF('00_Formulaire_Saisie'!$P8="Validé humainement",'00_Formulaire_Saisie'!U8,"")</x:f>
      </x:c>
    </x:row>
    <x:row r="9">
      <x:c r="A9" s="76" t="str">
        <x:f>IF('00_Formulaire_Saisie'!$P9="Validé humainement",'00_Formulaire_Saisie'!A9,"")</x:f>
      </x:c>
      <x:c r="B9" s="76" t="str">
        <x:f>IF('00_Formulaire_Saisie'!$P9="Validé humainement",'00_Formulaire_Saisie'!B9,"")</x:f>
      </x:c>
      <x:c r="C9" s="76" t="str">
        <x:f>IF('00_Formulaire_Saisie'!$P9="Validé humainement",'00_Formulaire_Saisie'!C9,"")</x:f>
      </x:c>
      <x:c r="D9" s="76" t="str">
        <x:f>IF('00_Formulaire_Saisie'!$P9="Validé humainement",'00_Formulaire_Saisie'!D9,"")</x:f>
      </x:c>
      <x:c r="E9" s="76" t="str">
        <x:f>IF('00_Formulaire_Saisie'!$P9="Validé humainement",'00_Formulaire_Saisie'!E9,"")</x:f>
      </x:c>
      <x:c r="F9" s="76" t="str">
        <x:f>IF('00_Formulaire_Saisie'!$P9="Validé humainement",'00_Formulaire_Saisie'!F9,"")</x:f>
      </x:c>
      <x:c r="G9" s="76" t="str">
        <x:f>IF('00_Formulaire_Saisie'!$P9="Validé humainement",'00_Formulaire_Saisie'!G9,"")</x:f>
      </x:c>
      <x:c r="H9" s="77" t="str">
        <x:f>IF('00_Formulaire_Saisie'!$P9="Validé humainement",'00_Formulaire_Saisie'!H9,"")</x:f>
      </x:c>
      <x:c r="I9" s="76" t="str">
        <x:f>IF('00_Formulaire_Saisie'!$P9="Validé humainement",'00_Formulaire_Saisie'!I9,"")</x:f>
      </x:c>
      <x:c r="J9" s="76" t="str">
        <x:f>IF('00_Formulaire_Saisie'!$P9="Validé humainement",'00_Formulaire_Saisie'!J9,"")</x:f>
      </x:c>
      <x:c r="K9" s="76" t="str">
        <x:f>IF('00_Formulaire_Saisie'!$P9="Validé humainement",'00_Formulaire_Saisie'!K9,"")</x:f>
      </x:c>
      <x:c r="L9" s="76" t="str">
        <x:f>IF('00_Formulaire_Saisie'!$P9="Validé humainement",'00_Formulaire_Saisie'!L9,"")</x:f>
      </x:c>
      <x:c r="M9" s="76" t="str">
        <x:f>IF('00_Formulaire_Saisie'!$P9="Validé humainement",'00_Formulaire_Saisie'!M9,"")</x:f>
      </x:c>
      <x:c r="N9" s="76" t="str">
        <x:f>IF('00_Formulaire_Saisie'!$P9="Validé humainement",'00_Formulaire_Saisie'!N9,"")</x:f>
      </x:c>
      <x:c r="O9" s="76" t="str">
        <x:f>IF('00_Formulaire_Saisie'!$P9="Validé humainement",'00_Formulaire_Saisie'!O9,"")</x:f>
      </x:c>
      <x:c r="P9" s="76" t="str">
        <x:f>IF('00_Formulaire_Saisie'!$P9="Validé humainement",'00_Formulaire_Saisie'!P9,"")</x:f>
      </x:c>
      <x:c r="Q9" s="76" t="str">
        <x:f>IF('00_Formulaire_Saisie'!$P9="Validé humainement",'00_Formulaire_Saisie'!Q9,"")</x:f>
      </x:c>
      <x:c r="R9" s="78" t="str">
        <x:f>IF('00_Formulaire_Saisie'!$P9="Validé humainement",'00_Formulaire_Saisie'!R9,"")</x:f>
      </x:c>
      <x:c r="S9" s="76" t="str">
        <x:f>IF('00_Formulaire_Saisie'!$P9="Validé humainement",'00_Formulaire_Saisie'!S9,"")</x:f>
      </x:c>
      <x:c r="T9" s="76" t="str">
        <x:f>IF('00_Formulaire_Saisie'!$P9="Validé humainement",'00_Formulaire_Saisie'!T9,"")</x:f>
      </x:c>
      <x:c r="U9" s="76" t="str">
        <x:f>IF('00_Formulaire_Saisie'!$P9="Validé humainement",'00_Formulaire_Saisie'!U9,"")</x:f>
      </x:c>
    </x:row>
    <x:row r="10">
      <x:c r="A10" s="76" t="str">
        <x:f>IF('00_Formulaire_Saisie'!$P10="Validé humainement",'00_Formulaire_Saisie'!A10,"")</x:f>
      </x:c>
      <x:c r="B10" s="76" t="str">
        <x:f>IF('00_Formulaire_Saisie'!$P10="Validé humainement",'00_Formulaire_Saisie'!B10,"")</x:f>
      </x:c>
      <x:c r="C10" s="76" t="str">
        <x:f>IF('00_Formulaire_Saisie'!$P10="Validé humainement",'00_Formulaire_Saisie'!C10,"")</x:f>
      </x:c>
      <x:c r="D10" s="76" t="str">
        <x:f>IF('00_Formulaire_Saisie'!$P10="Validé humainement",'00_Formulaire_Saisie'!D10,"")</x:f>
      </x:c>
      <x:c r="E10" s="76" t="str">
        <x:f>IF('00_Formulaire_Saisie'!$P10="Validé humainement",'00_Formulaire_Saisie'!E10,"")</x:f>
      </x:c>
      <x:c r="F10" s="76" t="str">
        <x:f>IF('00_Formulaire_Saisie'!$P10="Validé humainement",'00_Formulaire_Saisie'!F10,"")</x:f>
      </x:c>
      <x:c r="G10" s="76" t="str">
        <x:f>IF('00_Formulaire_Saisie'!$P10="Validé humainement",'00_Formulaire_Saisie'!G10,"")</x:f>
      </x:c>
      <x:c r="H10" s="77" t="str">
        <x:f>IF('00_Formulaire_Saisie'!$P10="Validé humainement",'00_Formulaire_Saisie'!H10,"")</x:f>
      </x:c>
      <x:c r="I10" s="76" t="str">
        <x:f>IF('00_Formulaire_Saisie'!$P10="Validé humainement",'00_Formulaire_Saisie'!I10,"")</x:f>
      </x:c>
      <x:c r="J10" s="76" t="str">
        <x:f>IF('00_Formulaire_Saisie'!$P10="Validé humainement",'00_Formulaire_Saisie'!J10,"")</x:f>
      </x:c>
      <x:c r="K10" s="76" t="str">
        <x:f>IF('00_Formulaire_Saisie'!$P10="Validé humainement",'00_Formulaire_Saisie'!K10,"")</x:f>
      </x:c>
      <x:c r="L10" s="76" t="str">
        <x:f>IF('00_Formulaire_Saisie'!$P10="Validé humainement",'00_Formulaire_Saisie'!L10,"")</x:f>
      </x:c>
      <x:c r="M10" s="76" t="str">
        <x:f>IF('00_Formulaire_Saisie'!$P10="Validé humainement",'00_Formulaire_Saisie'!M10,"")</x:f>
      </x:c>
      <x:c r="N10" s="76" t="str">
        <x:f>IF('00_Formulaire_Saisie'!$P10="Validé humainement",'00_Formulaire_Saisie'!N10,"")</x:f>
      </x:c>
      <x:c r="O10" s="76" t="str">
        <x:f>IF('00_Formulaire_Saisie'!$P10="Validé humainement",'00_Formulaire_Saisie'!O10,"")</x:f>
      </x:c>
      <x:c r="P10" s="76" t="str">
        <x:f>IF('00_Formulaire_Saisie'!$P10="Validé humainement",'00_Formulaire_Saisie'!P10,"")</x:f>
      </x:c>
      <x:c r="Q10" s="76" t="str">
        <x:f>IF('00_Formulaire_Saisie'!$P10="Validé humainement",'00_Formulaire_Saisie'!Q10,"")</x:f>
      </x:c>
      <x:c r="R10" s="78" t="str">
        <x:f>IF('00_Formulaire_Saisie'!$P10="Validé humainement",'00_Formulaire_Saisie'!R10,"")</x:f>
      </x:c>
      <x:c r="S10" s="76" t="str">
        <x:f>IF('00_Formulaire_Saisie'!$P10="Validé humainement",'00_Formulaire_Saisie'!S10,"")</x:f>
      </x:c>
      <x:c r="T10" s="76" t="str">
        <x:f>IF('00_Formulaire_Saisie'!$P10="Validé humainement",'00_Formulaire_Saisie'!T10,"")</x:f>
      </x:c>
      <x:c r="U10" s="76" t="str">
        <x:f>IF('00_Formulaire_Saisie'!$P10="Validé humainement",'00_Formulaire_Saisie'!U10,"")</x:f>
      </x:c>
    </x:row>
    <x:row r="11">
      <x:c r="A11" s="76" t="str">
        <x:f>IF('00_Formulaire_Saisie'!$P11="Validé humainement",'00_Formulaire_Saisie'!A11,"")</x:f>
      </x:c>
      <x:c r="B11" s="76" t="str">
        <x:f>IF('00_Formulaire_Saisie'!$P11="Validé humainement",'00_Formulaire_Saisie'!B11,"")</x:f>
      </x:c>
      <x:c r="C11" s="76" t="str">
        <x:f>IF('00_Formulaire_Saisie'!$P11="Validé humainement",'00_Formulaire_Saisie'!C11,"")</x:f>
      </x:c>
      <x:c r="D11" s="76" t="str">
        <x:f>IF('00_Formulaire_Saisie'!$P11="Validé humainement",'00_Formulaire_Saisie'!D11,"")</x:f>
      </x:c>
      <x:c r="E11" s="76" t="str">
        <x:f>IF('00_Formulaire_Saisie'!$P11="Validé humainement",'00_Formulaire_Saisie'!E11,"")</x:f>
      </x:c>
      <x:c r="F11" s="76" t="str">
        <x:f>IF('00_Formulaire_Saisie'!$P11="Validé humainement",'00_Formulaire_Saisie'!F11,"")</x:f>
      </x:c>
      <x:c r="G11" s="76" t="str">
        <x:f>IF('00_Formulaire_Saisie'!$P11="Validé humainement",'00_Formulaire_Saisie'!G11,"")</x:f>
      </x:c>
      <x:c r="H11" s="77" t="str">
        <x:f>IF('00_Formulaire_Saisie'!$P11="Validé humainement",'00_Formulaire_Saisie'!H11,"")</x:f>
      </x:c>
      <x:c r="I11" s="76" t="str">
        <x:f>IF('00_Formulaire_Saisie'!$P11="Validé humainement",'00_Formulaire_Saisie'!I11,"")</x:f>
      </x:c>
      <x:c r="J11" s="76" t="str">
        <x:f>IF('00_Formulaire_Saisie'!$P11="Validé humainement",'00_Formulaire_Saisie'!J11,"")</x:f>
      </x:c>
      <x:c r="K11" s="76" t="str">
        <x:f>IF('00_Formulaire_Saisie'!$P11="Validé humainement",'00_Formulaire_Saisie'!K11,"")</x:f>
      </x:c>
      <x:c r="L11" s="76" t="str">
        <x:f>IF('00_Formulaire_Saisie'!$P11="Validé humainement",'00_Formulaire_Saisie'!L11,"")</x:f>
      </x:c>
      <x:c r="M11" s="76" t="str">
        <x:f>IF('00_Formulaire_Saisie'!$P11="Validé humainement",'00_Formulaire_Saisie'!M11,"")</x:f>
      </x:c>
      <x:c r="N11" s="76" t="str">
        <x:f>IF('00_Formulaire_Saisie'!$P11="Validé humainement",'00_Formulaire_Saisie'!N11,"")</x:f>
      </x:c>
      <x:c r="O11" s="76" t="str">
        <x:f>IF('00_Formulaire_Saisie'!$P11="Validé humainement",'00_Formulaire_Saisie'!O11,"")</x:f>
      </x:c>
      <x:c r="P11" s="76" t="str">
        <x:f>IF('00_Formulaire_Saisie'!$P11="Validé humainement",'00_Formulaire_Saisie'!P11,"")</x:f>
      </x:c>
      <x:c r="Q11" s="76" t="str">
        <x:f>IF('00_Formulaire_Saisie'!$P11="Validé humainement",'00_Formulaire_Saisie'!Q11,"")</x:f>
      </x:c>
      <x:c r="R11" s="78" t="str">
        <x:f>IF('00_Formulaire_Saisie'!$P11="Validé humainement",'00_Formulaire_Saisie'!R11,"")</x:f>
      </x:c>
      <x:c r="S11" s="76" t="str">
        <x:f>IF('00_Formulaire_Saisie'!$P11="Validé humainement",'00_Formulaire_Saisie'!S11,"")</x:f>
      </x:c>
      <x:c r="T11" s="76" t="str">
        <x:f>IF('00_Formulaire_Saisie'!$P11="Validé humainement",'00_Formulaire_Saisie'!T11,"")</x:f>
      </x:c>
      <x:c r="U11" s="76" t="str">
        <x:f>IF('00_Formulaire_Saisie'!$P11="Validé humainement",'00_Formulaire_Saisie'!U11,"")</x:f>
      </x:c>
    </x:row>
    <x:row r="12">
      <x:c r="A12" s="76" t="str">
        <x:f>IF('00_Formulaire_Saisie'!$P12="Validé humainement",'00_Formulaire_Saisie'!A12,"")</x:f>
      </x:c>
      <x:c r="B12" s="76" t="str">
        <x:f>IF('00_Formulaire_Saisie'!$P12="Validé humainement",'00_Formulaire_Saisie'!B12,"")</x:f>
      </x:c>
      <x:c r="C12" s="76" t="str">
        <x:f>IF('00_Formulaire_Saisie'!$P12="Validé humainement",'00_Formulaire_Saisie'!C12,"")</x:f>
      </x:c>
      <x:c r="D12" s="76" t="str">
        <x:f>IF('00_Formulaire_Saisie'!$P12="Validé humainement",'00_Formulaire_Saisie'!D12,"")</x:f>
      </x:c>
      <x:c r="E12" s="76" t="str">
        <x:f>IF('00_Formulaire_Saisie'!$P12="Validé humainement",'00_Formulaire_Saisie'!E12,"")</x:f>
      </x:c>
      <x:c r="F12" s="76" t="str">
        <x:f>IF('00_Formulaire_Saisie'!$P12="Validé humainement",'00_Formulaire_Saisie'!F12,"")</x:f>
      </x:c>
      <x:c r="G12" s="76" t="str">
        <x:f>IF('00_Formulaire_Saisie'!$P12="Validé humainement",'00_Formulaire_Saisie'!G12,"")</x:f>
      </x:c>
      <x:c r="H12" s="77" t="str">
        <x:f>IF('00_Formulaire_Saisie'!$P12="Validé humainement",'00_Formulaire_Saisie'!H12,"")</x:f>
      </x:c>
      <x:c r="I12" s="76" t="str">
        <x:f>IF('00_Formulaire_Saisie'!$P12="Validé humainement",'00_Formulaire_Saisie'!I12,"")</x:f>
      </x:c>
      <x:c r="J12" s="76" t="str">
        <x:f>IF('00_Formulaire_Saisie'!$P12="Validé humainement",'00_Formulaire_Saisie'!J12,"")</x:f>
      </x:c>
      <x:c r="K12" s="76" t="str">
        <x:f>IF('00_Formulaire_Saisie'!$P12="Validé humainement",'00_Formulaire_Saisie'!K12,"")</x:f>
      </x:c>
      <x:c r="L12" s="76" t="str">
        <x:f>IF('00_Formulaire_Saisie'!$P12="Validé humainement",'00_Formulaire_Saisie'!L12,"")</x:f>
      </x:c>
      <x:c r="M12" s="76" t="str">
        <x:f>IF('00_Formulaire_Saisie'!$P12="Validé humainement",'00_Formulaire_Saisie'!M12,"")</x:f>
      </x:c>
      <x:c r="N12" s="76" t="str">
        <x:f>IF('00_Formulaire_Saisie'!$P12="Validé humainement",'00_Formulaire_Saisie'!N12,"")</x:f>
      </x:c>
      <x:c r="O12" s="76" t="str">
        <x:f>IF('00_Formulaire_Saisie'!$P12="Validé humainement",'00_Formulaire_Saisie'!O12,"")</x:f>
      </x:c>
      <x:c r="P12" s="76" t="str">
        <x:f>IF('00_Formulaire_Saisie'!$P12="Validé humainement",'00_Formulaire_Saisie'!P12,"")</x:f>
      </x:c>
      <x:c r="Q12" s="76" t="str">
        <x:f>IF('00_Formulaire_Saisie'!$P12="Validé humainement",'00_Formulaire_Saisie'!Q12,"")</x:f>
      </x:c>
      <x:c r="R12" s="78" t="str">
        <x:f>IF('00_Formulaire_Saisie'!$P12="Validé humainement",'00_Formulaire_Saisie'!R12,"")</x:f>
      </x:c>
      <x:c r="S12" s="76" t="str">
        <x:f>IF('00_Formulaire_Saisie'!$P12="Validé humainement",'00_Formulaire_Saisie'!S12,"")</x:f>
      </x:c>
      <x:c r="T12" s="76" t="str">
        <x:f>IF('00_Formulaire_Saisie'!$P12="Validé humainement",'00_Formulaire_Saisie'!T12,"")</x:f>
      </x:c>
      <x:c r="U12" s="76" t="str">
        <x:f>IF('00_Formulaire_Saisie'!$P12="Validé humainement",'00_Formulaire_Saisie'!U12,"")</x:f>
      </x:c>
    </x:row>
    <x:row r="13">
      <x:c r="A13" s="76" t="str">
        <x:f>IF('00_Formulaire_Saisie'!$P13="Validé humainement",'00_Formulaire_Saisie'!A13,"")</x:f>
      </x:c>
      <x:c r="B13" s="76" t="str">
        <x:f>IF('00_Formulaire_Saisie'!$P13="Validé humainement",'00_Formulaire_Saisie'!B13,"")</x:f>
      </x:c>
      <x:c r="C13" s="76" t="str">
        <x:f>IF('00_Formulaire_Saisie'!$P13="Validé humainement",'00_Formulaire_Saisie'!C13,"")</x:f>
      </x:c>
      <x:c r="D13" s="76" t="str">
        <x:f>IF('00_Formulaire_Saisie'!$P13="Validé humainement",'00_Formulaire_Saisie'!D13,"")</x:f>
      </x:c>
      <x:c r="E13" s="76" t="str">
        <x:f>IF('00_Formulaire_Saisie'!$P13="Validé humainement",'00_Formulaire_Saisie'!E13,"")</x:f>
      </x:c>
      <x:c r="F13" s="76" t="str">
        <x:f>IF('00_Formulaire_Saisie'!$P13="Validé humainement",'00_Formulaire_Saisie'!F13,"")</x:f>
      </x:c>
      <x:c r="G13" s="76" t="str">
        <x:f>IF('00_Formulaire_Saisie'!$P13="Validé humainement",'00_Formulaire_Saisie'!G13,"")</x:f>
      </x:c>
      <x:c r="H13" s="77" t="str">
        <x:f>IF('00_Formulaire_Saisie'!$P13="Validé humainement",'00_Formulaire_Saisie'!H13,"")</x:f>
      </x:c>
      <x:c r="I13" s="76" t="str">
        <x:f>IF('00_Formulaire_Saisie'!$P13="Validé humainement",'00_Formulaire_Saisie'!I13,"")</x:f>
      </x:c>
      <x:c r="J13" s="76" t="str">
        <x:f>IF('00_Formulaire_Saisie'!$P13="Validé humainement",'00_Formulaire_Saisie'!J13,"")</x:f>
      </x:c>
      <x:c r="K13" s="76" t="str">
        <x:f>IF('00_Formulaire_Saisie'!$P13="Validé humainement",'00_Formulaire_Saisie'!K13,"")</x:f>
      </x:c>
      <x:c r="L13" s="76" t="str">
        <x:f>IF('00_Formulaire_Saisie'!$P13="Validé humainement",'00_Formulaire_Saisie'!L13,"")</x:f>
      </x:c>
      <x:c r="M13" s="76" t="str">
        <x:f>IF('00_Formulaire_Saisie'!$P13="Validé humainement",'00_Formulaire_Saisie'!M13,"")</x:f>
      </x:c>
      <x:c r="N13" s="76" t="str">
        <x:f>IF('00_Formulaire_Saisie'!$P13="Validé humainement",'00_Formulaire_Saisie'!N13,"")</x:f>
      </x:c>
      <x:c r="O13" s="76" t="str">
        <x:f>IF('00_Formulaire_Saisie'!$P13="Validé humainement",'00_Formulaire_Saisie'!O13,"")</x:f>
      </x:c>
      <x:c r="P13" s="76" t="str">
        <x:f>IF('00_Formulaire_Saisie'!$P13="Validé humainement",'00_Formulaire_Saisie'!P13,"")</x:f>
      </x:c>
      <x:c r="Q13" s="76" t="str">
        <x:f>IF('00_Formulaire_Saisie'!$P13="Validé humainement",'00_Formulaire_Saisie'!Q13,"")</x:f>
      </x:c>
      <x:c r="R13" s="78" t="str">
        <x:f>IF('00_Formulaire_Saisie'!$P13="Validé humainement",'00_Formulaire_Saisie'!R13,"")</x:f>
      </x:c>
      <x:c r="S13" s="76" t="str">
        <x:f>IF('00_Formulaire_Saisie'!$P13="Validé humainement",'00_Formulaire_Saisie'!S13,"")</x:f>
      </x:c>
      <x:c r="T13" s="76" t="str">
        <x:f>IF('00_Formulaire_Saisie'!$P13="Validé humainement",'00_Formulaire_Saisie'!T13,"")</x:f>
      </x:c>
      <x:c r="U13" s="76" t="str">
        <x:f>IF('00_Formulaire_Saisie'!$P13="Validé humainement",'00_Formulaire_Saisie'!U13,"")</x:f>
      </x:c>
    </x:row>
    <x:row r="14">
      <x:c r="A14" s="76" t="str">
        <x:f>IF('00_Formulaire_Saisie'!$P14="Validé humainement",'00_Formulaire_Saisie'!A14,"")</x:f>
      </x:c>
      <x:c r="B14" s="76" t="str">
        <x:f>IF('00_Formulaire_Saisie'!$P14="Validé humainement",'00_Formulaire_Saisie'!B14,"")</x:f>
      </x:c>
      <x:c r="C14" s="76" t="str">
        <x:f>IF('00_Formulaire_Saisie'!$P14="Validé humainement",'00_Formulaire_Saisie'!C14,"")</x:f>
      </x:c>
      <x:c r="D14" s="76" t="str">
        <x:f>IF('00_Formulaire_Saisie'!$P14="Validé humainement",'00_Formulaire_Saisie'!D14,"")</x:f>
      </x:c>
      <x:c r="E14" s="76" t="str">
        <x:f>IF('00_Formulaire_Saisie'!$P14="Validé humainement",'00_Formulaire_Saisie'!E14,"")</x:f>
      </x:c>
      <x:c r="F14" s="76" t="str">
        <x:f>IF('00_Formulaire_Saisie'!$P14="Validé humainement",'00_Formulaire_Saisie'!F14,"")</x:f>
      </x:c>
      <x:c r="G14" s="76" t="str">
        <x:f>IF('00_Formulaire_Saisie'!$P14="Validé humainement",'00_Formulaire_Saisie'!G14,"")</x:f>
      </x:c>
      <x:c r="H14" s="77" t="str">
        <x:f>IF('00_Formulaire_Saisie'!$P14="Validé humainement",'00_Formulaire_Saisie'!H14,"")</x:f>
      </x:c>
      <x:c r="I14" s="76" t="str">
        <x:f>IF('00_Formulaire_Saisie'!$P14="Validé humainement",'00_Formulaire_Saisie'!I14,"")</x:f>
      </x:c>
      <x:c r="J14" s="76" t="str">
        <x:f>IF('00_Formulaire_Saisie'!$P14="Validé humainement",'00_Formulaire_Saisie'!J14,"")</x:f>
      </x:c>
      <x:c r="K14" s="76" t="str">
        <x:f>IF('00_Formulaire_Saisie'!$P14="Validé humainement",'00_Formulaire_Saisie'!K14,"")</x:f>
      </x:c>
      <x:c r="L14" s="76" t="str">
        <x:f>IF('00_Formulaire_Saisie'!$P14="Validé humainement",'00_Formulaire_Saisie'!L14,"")</x:f>
      </x:c>
      <x:c r="M14" s="76" t="str">
        <x:f>IF('00_Formulaire_Saisie'!$P14="Validé humainement",'00_Formulaire_Saisie'!M14,"")</x:f>
      </x:c>
      <x:c r="N14" s="76" t="str">
        <x:f>IF('00_Formulaire_Saisie'!$P14="Validé humainement",'00_Formulaire_Saisie'!N14,"")</x:f>
      </x:c>
      <x:c r="O14" s="76" t="str">
        <x:f>IF('00_Formulaire_Saisie'!$P14="Validé humainement",'00_Formulaire_Saisie'!O14,"")</x:f>
      </x:c>
      <x:c r="P14" s="76" t="str">
        <x:f>IF('00_Formulaire_Saisie'!$P14="Validé humainement",'00_Formulaire_Saisie'!P14,"")</x:f>
      </x:c>
      <x:c r="Q14" s="76" t="str">
        <x:f>IF('00_Formulaire_Saisie'!$P14="Validé humainement",'00_Formulaire_Saisie'!Q14,"")</x:f>
      </x:c>
      <x:c r="R14" s="78" t="str">
        <x:f>IF('00_Formulaire_Saisie'!$P14="Validé humainement",'00_Formulaire_Saisie'!R14,"")</x:f>
      </x:c>
      <x:c r="S14" s="76" t="str">
        <x:f>IF('00_Formulaire_Saisie'!$P14="Validé humainement",'00_Formulaire_Saisie'!S14,"")</x:f>
      </x:c>
      <x:c r="T14" s="76" t="str">
        <x:f>IF('00_Formulaire_Saisie'!$P14="Validé humainement",'00_Formulaire_Saisie'!T14,"")</x:f>
      </x:c>
      <x:c r="U14" s="76" t="str">
        <x:f>IF('00_Formulaire_Saisie'!$P14="Validé humainement",'00_Formulaire_Saisie'!U14,"")</x:f>
      </x:c>
    </x:row>
    <x:row r="15">
      <x:c r="A15" s="76" t="str">
        <x:f>IF('00_Formulaire_Saisie'!$P15="Validé humainement",'00_Formulaire_Saisie'!A15,"")</x:f>
      </x:c>
      <x:c r="B15" s="76" t="str">
        <x:f>IF('00_Formulaire_Saisie'!$P15="Validé humainement",'00_Formulaire_Saisie'!B15,"")</x:f>
      </x:c>
      <x:c r="C15" s="76" t="str">
        <x:f>IF('00_Formulaire_Saisie'!$P15="Validé humainement",'00_Formulaire_Saisie'!C15,"")</x:f>
      </x:c>
      <x:c r="D15" s="76" t="str">
        <x:f>IF('00_Formulaire_Saisie'!$P15="Validé humainement",'00_Formulaire_Saisie'!D15,"")</x:f>
      </x:c>
      <x:c r="E15" s="76" t="str">
        <x:f>IF('00_Formulaire_Saisie'!$P15="Validé humainement",'00_Formulaire_Saisie'!E15,"")</x:f>
      </x:c>
      <x:c r="F15" s="76" t="str">
        <x:f>IF('00_Formulaire_Saisie'!$P15="Validé humainement",'00_Formulaire_Saisie'!F15,"")</x:f>
      </x:c>
      <x:c r="G15" s="76" t="str">
        <x:f>IF('00_Formulaire_Saisie'!$P15="Validé humainement",'00_Formulaire_Saisie'!G15,"")</x:f>
      </x:c>
      <x:c r="H15" s="77" t="str">
        <x:f>IF('00_Formulaire_Saisie'!$P15="Validé humainement",'00_Formulaire_Saisie'!H15,"")</x:f>
      </x:c>
      <x:c r="I15" s="76" t="str">
        <x:f>IF('00_Formulaire_Saisie'!$P15="Validé humainement",'00_Formulaire_Saisie'!I15,"")</x:f>
      </x:c>
      <x:c r="J15" s="76" t="str">
        <x:f>IF('00_Formulaire_Saisie'!$P15="Validé humainement",'00_Formulaire_Saisie'!J15,"")</x:f>
      </x:c>
      <x:c r="K15" s="76" t="str">
        <x:f>IF('00_Formulaire_Saisie'!$P15="Validé humainement",'00_Formulaire_Saisie'!K15,"")</x:f>
      </x:c>
      <x:c r="L15" s="76" t="str">
        <x:f>IF('00_Formulaire_Saisie'!$P15="Validé humainement",'00_Formulaire_Saisie'!L15,"")</x:f>
      </x:c>
      <x:c r="M15" s="76" t="str">
        <x:f>IF('00_Formulaire_Saisie'!$P15="Validé humainement",'00_Formulaire_Saisie'!M15,"")</x:f>
      </x:c>
      <x:c r="N15" s="76" t="str">
        <x:f>IF('00_Formulaire_Saisie'!$P15="Validé humainement",'00_Formulaire_Saisie'!N15,"")</x:f>
      </x:c>
      <x:c r="O15" s="76" t="str">
        <x:f>IF('00_Formulaire_Saisie'!$P15="Validé humainement",'00_Formulaire_Saisie'!O15,"")</x:f>
      </x:c>
      <x:c r="P15" s="76" t="str">
        <x:f>IF('00_Formulaire_Saisie'!$P15="Validé humainement",'00_Formulaire_Saisie'!P15,"")</x:f>
      </x:c>
      <x:c r="Q15" s="76" t="str">
        <x:f>IF('00_Formulaire_Saisie'!$P15="Validé humainement",'00_Formulaire_Saisie'!Q15,"")</x:f>
      </x:c>
      <x:c r="R15" s="78" t="str">
        <x:f>IF('00_Formulaire_Saisie'!$P15="Validé humainement",'00_Formulaire_Saisie'!R15,"")</x:f>
      </x:c>
      <x:c r="S15" s="76" t="str">
        <x:f>IF('00_Formulaire_Saisie'!$P15="Validé humainement",'00_Formulaire_Saisie'!S15,"")</x:f>
      </x:c>
      <x:c r="T15" s="76" t="str">
        <x:f>IF('00_Formulaire_Saisie'!$P15="Validé humainement",'00_Formulaire_Saisie'!T15,"")</x:f>
      </x:c>
      <x:c r="U15" s="76" t="str">
        <x:f>IF('00_Formulaire_Saisie'!$P15="Validé humainement",'00_Formulaire_Saisie'!U15,"")</x:f>
      </x:c>
    </x:row>
    <x:row r="16">
      <x:c r="A16" s="76" t="str">
        <x:f>IF('00_Formulaire_Saisie'!$P16="Validé humainement",'00_Formulaire_Saisie'!A16,"")</x:f>
      </x:c>
      <x:c r="B16" s="76" t="str">
        <x:f>IF('00_Formulaire_Saisie'!$P16="Validé humainement",'00_Formulaire_Saisie'!B16,"")</x:f>
      </x:c>
      <x:c r="C16" s="76" t="str">
        <x:f>IF('00_Formulaire_Saisie'!$P16="Validé humainement",'00_Formulaire_Saisie'!C16,"")</x:f>
      </x:c>
      <x:c r="D16" s="76" t="str">
        <x:f>IF('00_Formulaire_Saisie'!$P16="Validé humainement",'00_Formulaire_Saisie'!D16,"")</x:f>
      </x:c>
      <x:c r="E16" s="76" t="str">
        <x:f>IF('00_Formulaire_Saisie'!$P16="Validé humainement",'00_Formulaire_Saisie'!E16,"")</x:f>
      </x:c>
      <x:c r="F16" s="76" t="str">
        <x:f>IF('00_Formulaire_Saisie'!$P16="Validé humainement",'00_Formulaire_Saisie'!F16,"")</x:f>
      </x:c>
      <x:c r="G16" s="76" t="str">
        <x:f>IF('00_Formulaire_Saisie'!$P16="Validé humainement",'00_Formulaire_Saisie'!G16,"")</x:f>
      </x:c>
      <x:c r="H16" s="77" t="str">
        <x:f>IF('00_Formulaire_Saisie'!$P16="Validé humainement",'00_Formulaire_Saisie'!H16,"")</x:f>
      </x:c>
      <x:c r="I16" s="76" t="str">
        <x:f>IF('00_Formulaire_Saisie'!$P16="Validé humainement",'00_Formulaire_Saisie'!I16,"")</x:f>
      </x:c>
      <x:c r="J16" s="76" t="str">
        <x:f>IF('00_Formulaire_Saisie'!$P16="Validé humainement",'00_Formulaire_Saisie'!J16,"")</x:f>
      </x:c>
      <x:c r="K16" s="76" t="str">
        <x:f>IF('00_Formulaire_Saisie'!$P16="Validé humainement",'00_Formulaire_Saisie'!K16,"")</x:f>
      </x:c>
      <x:c r="L16" s="76" t="str">
        <x:f>IF('00_Formulaire_Saisie'!$P16="Validé humainement",'00_Formulaire_Saisie'!L16,"")</x:f>
      </x:c>
      <x:c r="M16" s="76" t="str">
        <x:f>IF('00_Formulaire_Saisie'!$P16="Validé humainement",'00_Formulaire_Saisie'!M16,"")</x:f>
      </x:c>
      <x:c r="N16" s="76" t="str">
        <x:f>IF('00_Formulaire_Saisie'!$P16="Validé humainement",'00_Formulaire_Saisie'!N16,"")</x:f>
      </x:c>
      <x:c r="O16" s="76" t="str">
        <x:f>IF('00_Formulaire_Saisie'!$P16="Validé humainement",'00_Formulaire_Saisie'!O16,"")</x:f>
      </x:c>
      <x:c r="P16" s="76" t="str">
        <x:f>IF('00_Formulaire_Saisie'!$P16="Validé humainement",'00_Formulaire_Saisie'!P16,"")</x:f>
      </x:c>
      <x:c r="Q16" s="76" t="str">
        <x:f>IF('00_Formulaire_Saisie'!$P16="Validé humainement",'00_Formulaire_Saisie'!Q16,"")</x:f>
      </x:c>
      <x:c r="R16" s="78" t="str">
        <x:f>IF('00_Formulaire_Saisie'!$P16="Validé humainement",'00_Formulaire_Saisie'!R16,"")</x:f>
      </x:c>
      <x:c r="S16" s="76" t="str">
        <x:f>IF('00_Formulaire_Saisie'!$P16="Validé humainement",'00_Formulaire_Saisie'!S16,"")</x:f>
      </x:c>
      <x:c r="T16" s="76" t="str">
        <x:f>IF('00_Formulaire_Saisie'!$P16="Validé humainement",'00_Formulaire_Saisie'!T16,"")</x:f>
      </x:c>
      <x:c r="U16" s="76" t="str">
        <x:f>IF('00_Formulaire_Saisie'!$P16="Validé humainement",'00_Formulaire_Saisie'!U16,"")</x:f>
      </x:c>
    </x:row>
    <x:row r="17">
      <x:c r="A17" s="76" t="str">
        <x:f>IF('00_Formulaire_Saisie'!$P17="Validé humainement",'00_Formulaire_Saisie'!A17,"")</x:f>
      </x:c>
      <x:c r="B17" s="76" t="str">
        <x:f>IF('00_Formulaire_Saisie'!$P17="Validé humainement",'00_Formulaire_Saisie'!B17,"")</x:f>
      </x:c>
      <x:c r="C17" s="76" t="str">
        <x:f>IF('00_Formulaire_Saisie'!$P17="Validé humainement",'00_Formulaire_Saisie'!C17,"")</x:f>
      </x:c>
      <x:c r="D17" s="76" t="str">
        <x:f>IF('00_Formulaire_Saisie'!$P17="Validé humainement",'00_Formulaire_Saisie'!D17,"")</x:f>
      </x:c>
      <x:c r="E17" s="76" t="str">
        <x:f>IF('00_Formulaire_Saisie'!$P17="Validé humainement",'00_Formulaire_Saisie'!E17,"")</x:f>
      </x:c>
      <x:c r="F17" s="76" t="str">
        <x:f>IF('00_Formulaire_Saisie'!$P17="Validé humainement",'00_Formulaire_Saisie'!F17,"")</x:f>
      </x:c>
      <x:c r="G17" s="76" t="str">
        <x:f>IF('00_Formulaire_Saisie'!$P17="Validé humainement",'00_Formulaire_Saisie'!G17,"")</x:f>
      </x:c>
      <x:c r="H17" s="77" t="str">
        <x:f>IF('00_Formulaire_Saisie'!$P17="Validé humainement",'00_Formulaire_Saisie'!H17,"")</x:f>
      </x:c>
      <x:c r="I17" s="76" t="str">
        <x:f>IF('00_Formulaire_Saisie'!$P17="Validé humainement",'00_Formulaire_Saisie'!I17,"")</x:f>
      </x:c>
      <x:c r="J17" s="76" t="str">
        <x:f>IF('00_Formulaire_Saisie'!$P17="Validé humainement",'00_Formulaire_Saisie'!J17,"")</x:f>
      </x:c>
      <x:c r="K17" s="76" t="str">
        <x:f>IF('00_Formulaire_Saisie'!$P17="Validé humainement",'00_Formulaire_Saisie'!K17,"")</x:f>
      </x:c>
      <x:c r="L17" s="76" t="str">
        <x:f>IF('00_Formulaire_Saisie'!$P17="Validé humainement",'00_Formulaire_Saisie'!L17,"")</x:f>
      </x:c>
      <x:c r="M17" s="76" t="str">
        <x:f>IF('00_Formulaire_Saisie'!$P17="Validé humainement",'00_Formulaire_Saisie'!M17,"")</x:f>
      </x:c>
      <x:c r="N17" s="76" t="str">
        <x:f>IF('00_Formulaire_Saisie'!$P17="Validé humainement",'00_Formulaire_Saisie'!N17,"")</x:f>
      </x:c>
      <x:c r="O17" s="76" t="str">
        <x:f>IF('00_Formulaire_Saisie'!$P17="Validé humainement",'00_Formulaire_Saisie'!O17,"")</x:f>
      </x:c>
      <x:c r="P17" s="76" t="str">
        <x:f>IF('00_Formulaire_Saisie'!$P17="Validé humainement",'00_Formulaire_Saisie'!P17,"")</x:f>
      </x:c>
      <x:c r="Q17" s="76" t="str">
        <x:f>IF('00_Formulaire_Saisie'!$P17="Validé humainement",'00_Formulaire_Saisie'!Q17,"")</x:f>
      </x:c>
      <x:c r="R17" s="78" t="str">
        <x:f>IF('00_Formulaire_Saisie'!$P17="Validé humainement",'00_Formulaire_Saisie'!R17,"")</x:f>
      </x:c>
      <x:c r="S17" s="76" t="str">
        <x:f>IF('00_Formulaire_Saisie'!$P17="Validé humainement",'00_Formulaire_Saisie'!S17,"")</x:f>
      </x:c>
      <x:c r="T17" s="76" t="str">
        <x:f>IF('00_Formulaire_Saisie'!$P17="Validé humainement",'00_Formulaire_Saisie'!T17,"")</x:f>
      </x:c>
      <x:c r="U17" s="76" t="str">
        <x:f>IF('00_Formulaire_Saisie'!$P17="Validé humainement",'00_Formulaire_Saisie'!U17,"")</x:f>
      </x:c>
    </x:row>
    <x:row r="18">
      <x:c r="A18" s="76" t="str">
        <x:f>IF('00_Formulaire_Saisie'!$P18="Validé humainement",'00_Formulaire_Saisie'!A18,"")</x:f>
      </x:c>
      <x:c r="B18" s="76" t="str">
        <x:f>IF('00_Formulaire_Saisie'!$P18="Validé humainement",'00_Formulaire_Saisie'!B18,"")</x:f>
      </x:c>
      <x:c r="C18" s="76" t="str">
        <x:f>IF('00_Formulaire_Saisie'!$P18="Validé humainement",'00_Formulaire_Saisie'!C18,"")</x:f>
      </x:c>
      <x:c r="D18" s="76" t="str">
        <x:f>IF('00_Formulaire_Saisie'!$P18="Validé humainement",'00_Formulaire_Saisie'!D18,"")</x:f>
      </x:c>
      <x:c r="E18" s="76" t="str">
        <x:f>IF('00_Formulaire_Saisie'!$P18="Validé humainement",'00_Formulaire_Saisie'!E18,"")</x:f>
      </x:c>
      <x:c r="F18" s="76" t="str">
        <x:f>IF('00_Formulaire_Saisie'!$P18="Validé humainement",'00_Formulaire_Saisie'!F18,"")</x:f>
      </x:c>
      <x:c r="G18" s="76" t="str">
        <x:f>IF('00_Formulaire_Saisie'!$P18="Validé humainement",'00_Formulaire_Saisie'!G18,"")</x:f>
      </x:c>
      <x:c r="H18" s="77" t="str">
        <x:f>IF('00_Formulaire_Saisie'!$P18="Validé humainement",'00_Formulaire_Saisie'!H18,"")</x:f>
      </x:c>
      <x:c r="I18" s="76" t="str">
        <x:f>IF('00_Formulaire_Saisie'!$P18="Validé humainement",'00_Formulaire_Saisie'!I18,"")</x:f>
      </x:c>
      <x:c r="J18" s="76" t="str">
        <x:f>IF('00_Formulaire_Saisie'!$P18="Validé humainement",'00_Formulaire_Saisie'!J18,"")</x:f>
      </x:c>
      <x:c r="K18" s="76" t="str">
        <x:f>IF('00_Formulaire_Saisie'!$P18="Validé humainement",'00_Formulaire_Saisie'!K18,"")</x:f>
      </x:c>
      <x:c r="L18" s="76" t="str">
        <x:f>IF('00_Formulaire_Saisie'!$P18="Validé humainement",'00_Formulaire_Saisie'!L18,"")</x:f>
      </x:c>
      <x:c r="M18" s="76" t="str">
        <x:f>IF('00_Formulaire_Saisie'!$P18="Validé humainement",'00_Formulaire_Saisie'!M18,"")</x:f>
      </x:c>
      <x:c r="N18" s="76" t="str">
        <x:f>IF('00_Formulaire_Saisie'!$P18="Validé humainement",'00_Formulaire_Saisie'!N18,"")</x:f>
      </x:c>
      <x:c r="O18" s="76" t="str">
        <x:f>IF('00_Formulaire_Saisie'!$P18="Validé humainement",'00_Formulaire_Saisie'!O18,"")</x:f>
      </x:c>
      <x:c r="P18" s="76" t="str">
        <x:f>IF('00_Formulaire_Saisie'!$P18="Validé humainement",'00_Formulaire_Saisie'!P18,"")</x:f>
      </x:c>
      <x:c r="Q18" s="76" t="str">
        <x:f>IF('00_Formulaire_Saisie'!$P18="Validé humainement",'00_Formulaire_Saisie'!Q18,"")</x:f>
      </x:c>
      <x:c r="R18" s="78" t="str">
        <x:f>IF('00_Formulaire_Saisie'!$P18="Validé humainement",'00_Formulaire_Saisie'!R18,"")</x:f>
      </x:c>
      <x:c r="S18" s="76" t="str">
        <x:f>IF('00_Formulaire_Saisie'!$P18="Validé humainement",'00_Formulaire_Saisie'!S18,"")</x:f>
      </x:c>
      <x:c r="T18" s="76" t="str">
        <x:f>IF('00_Formulaire_Saisie'!$P18="Validé humainement",'00_Formulaire_Saisie'!T18,"")</x:f>
      </x:c>
      <x:c r="U18" s="76" t="str">
        <x:f>IF('00_Formulaire_Saisie'!$P18="Validé humainement",'00_Formulaire_Saisie'!U18,"")</x:f>
      </x:c>
    </x:row>
    <x:row r="19">
      <x:c r="A19" s="76" t="str">
        <x:f>IF('00_Formulaire_Saisie'!$P19="Validé humainement",'00_Formulaire_Saisie'!A19,"")</x:f>
      </x:c>
      <x:c r="B19" s="76" t="str">
        <x:f>IF('00_Formulaire_Saisie'!$P19="Validé humainement",'00_Formulaire_Saisie'!B19,"")</x:f>
      </x:c>
      <x:c r="C19" s="76" t="str">
        <x:f>IF('00_Formulaire_Saisie'!$P19="Validé humainement",'00_Formulaire_Saisie'!C19,"")</x:f>
      </x:c>
      <x:c r="D19" s="76" t="str">
        <x:f>IF('00_Formulaire_Saisie'!$P19="Validé humainement",'00_Formulaire_Saisie'!D19,"")</x:f>
      </x:c>
      <x:c r="E19" s="76" t="str">
        <x:f>IF('00_Formulaire_Saisie'!$P19="Validé humainement",'00_Formulaire_Saisie'!E19,"")</x:f>
      </x:c>
      <x:c r="F19" s="76" t="str">
        <x:f>IF('00_Formulaire_Saisie'!$P19="Validé humainement",'00_Formulaire_Saisie'!F19,"")</x:f>
      </x:c>
      <x:c r="G19" s="76" t="str">
        <x:f>IF('00_Formulaire_Saisie'!$P19="Validé humainement",'00_Formulaire_Saisie'!G19,"")</x:f>
      </x:c>
      <x:c r="H19" s="77" t="str">
        <x:f>IF('00_Formulaire_Saisie'!$P19="Validé humainement",'00_Formulaire_Saisie'!H19,"")</x:f>
      </x:c>
      <x:c r="I19" s="76" t="str">
        <x:f>IF('00_Formulaire_Saisie'!$P19="Validé humainement",'00_Formulaire_Saisie'!I19,"")</x:f>
      </x:c>
      <x:c r="J19" s="76" t="str">
        <x:f>IF('00_Formulaire_Saisie'!$P19="Validé humainement",'00_Formulaire_Saisie'!J19,"")</x:f>
      </x:c>
      <x:c r="K19" s="76" t="str">
        <x:f>IF('00_Formulaire_Saisie'!$P19="Validé humainement",'00_Formulaire_Saisie'!K19,"")</x:f>
      </x:c>
      <x:c r="L19" s="76" t="str">
        <x:f>IF('00_Formulaire_Saisie'!$P19="Validé humainement",'00_Formulaire_Saisie'!L19,"")</x:f>
      </x:c>
      <x:c r="M19" s="76" t="str">
        <x:f>IF('00_Formulaire_Saisie'!$P19="Validé humainement",'00_Formulaire_Saisie'!M19,"")</x:f>
      </x:c>
      <x:c r="N19" s="76" t="str">
        <x:f>IF('00_Formulaire_Saisie'!$P19="Validé humainement",'00_Formulaire_Saisie'!N19,"")</x:f>
      </x:c>
      <x:c r="O19" s="76" t="str">
        <x:f>IF('00_Formulaire_Saisie'!$P19="Validé humainement",'00_Formulaire_Saisie'!O19,"")</x:f>
      </x:c>
      <x:c r="P19" s="76" t="str">
        <x:f>IF('00_Formulaire_Saisie'!$P19="Validé humainement",'00_Formulaire_Saisie'!P19,"")</x:f>
      </x:c>
      <x:c r="Q19" s="76" t="str">
        <x:f>IF('00_Formulaire_Saisie'!$P19="Validé humainement",'00_Formulaire_Saisie'!Q19,"")</x:f>
      </x:c>
      <x:c r="R19" s="78" t="str">
        <x:f>IF('00_Formulaire_Saisie'!$P19="Validé humainement",'00_Formulaire_Saisie'!R19,"")</x:f>
      </x:c>
      <x:c r="S19" s="76" t="str">
        <x:f>IF('00_Formulaire_Saisie'!$P19="Validé humainement",'00_Formulaire_Saisie'!S19,"")</x:f>
      </x:c>
      <x:c r="T19" s="76" t="str">
        <x:f>IF('00_Formulaire_Saisie'!$P19="Validé humainement",'00_Formulaire_Saisie'!T19,"")</x:f>
      </x:c>
      <x:c r="U19" s="76" t="str">
        <x:f>IF('00_Formulaire_Saisie'!$P19="Validé humainement",'00_Formulaire_Saisie'!U19,"")</x:f>
      </x:c>
    </x:row>
    <x:row r="20">
      <x:c r="A20" s="76" t="str">
        <x:f>IF('00_Formulaire_Saisie'!$P20="Validé humainement",'00_Formulaire_Saisie'!A20,"")</x:f>
      </x:c>
      <x:c r="B20" s="76" t="str">
        <x:f>IF('00_Formulaire_Saisie'!$P20="Validé humainement",'00_Formulaire_Saisie'!B20,"")</x:f>
      </x:c>
      <x:c r="C20" s="76" t="str">
        <x:f>IF('00_Formulaire_Saisie'!$P20="Validé humainement",'00_Formulaire_Saisie'!C20,"")</x:f>
      </x:c>
      <x:c r="D20" s="76" t="str">
        <x:f>IF('00_Formulaire_Saisie'!$P20="Validé humainement",'00_Formulaire_Saisie'!D20,"")</x:f>
      </x:c>
      <x:c r="E20" s="76" t="str">
        <x:f>IF('00_Formulaire_Saisie'!$P20="Validé humainement",'00_Formulaire_Saisie'!E20,"")</x:f>
      </x:c>
      <x:c r="F20" s="76" t="str">
        <x:f>IF('00_Formulaire_Saisie'!$P20="Validé humainement",'00_Formulaire_Saisie'!F20,"")</x:f>
      </x:c>
      <x:c r="G20" s="76" t="str">
        <x:f>IF('00_Formulaire_Saisie'!$P20="Validé humainement",'00_Formulaire_Saisie'!G20,"")</x:f>
      </x:c>
      <x:c r="H20" s="77" t="str">
        <x:f>IF('00_Formulaire_Saisie'!$P20="Validé humainement",'00_Formulaire_Saisie'!H20,"")</x:f>
      </x:c>
      <x:c r="I20" s="76" t="str">
        <x:f>IF('00_Formulaire_Saisie'!$P20="Validé humainement",'00_Formulaire_Saisie'!I20,"")</x:f>
      </x:c>
      <x:c r="J20" s="76" t="str">
        <x:f>IF('00_Formulaire_Saisie'!$P20="Validé humainement",'00_Formulaire_Saisie'!J20,"")</x:f>
      </x:c>
      <x:c r="K20" s="76" t="str">
        <x:f>IF('00_Formulaire_Saisie'!$P20="Validé humainement",'00_Formulaire_Saisie'!K20,"")</x:f>
      </x:c>
      <x:c r="L20" s="76" t="str">
        <x:f>IF('00_Formulaire_Saisie'!$P20="Validé humainement",'00_Formulaire_Saisie'!L20,"")</x:f>
      </x:c>
      <x:c r="M20" s="76" t="str">
        <x:f>IF('00_Formulaire_Saisie'!$P20="Validé humainement",'00_Formulaire_Saisie'!M20,"")</x:f>
      </x:c>
      <x:c r="N20" s="76" t="str">
        <x:f>IF('00_Formulaire_Saisie'!$P20="Validé humainement",'00_Formulaire_Saisie'!N20,"")</x:f>
      </x:c>
      <x:c r="O20" s="76" t="str">
        <x:f>IF('00_Formulaire_Saisie'!$P20="Validé humainement",'00_Formulaire_Saisie'!O20,"")</x:f>
      </x:c>
      <x:c r="P20" s="76" t="str">
        <x:f>IF('00_Formulaire_Saisie'!$P20="Validé humainement",'00_Formulaire_Saisie'!P20,"")</x:f>
      </x:c>
      <x:c r="Q20" s="76" t="str">
        <x:f>IF('00_Formulaire_Saisie'!$P20="Validé humainement",'00_Formulaire_Saisie'!Q20,"")</x:f>
      </x:c>
      <x:c r="R20" s="78" t="str">
        <x:f>IF('00_Formulaire_Saisie'!$P20="Validé humainement",'00_Formulaire_Saisie'!R20,"")</x:f>
      </x:c>
      <x:c r="S20" s="76" t="str">
        <x:f>IF('00_Formulaire_Saisie'!$P20="Validé humainement",'00_Formulaire_Saisie'!S20,"")</x:f>
      </x:c>
      <x:c r="T20" s="76" t="str">
        <x:f>IF('00_Formulaire_Saisie'!$P20="Validé humainement",'00_Formulaire_Saisie'!T20,"")</x:f>
      </x:c>
      <x:c r="U20" s="76" t="str">
        <x:f>IF('00_Formulaire_Saisie'!$P20="Validé humainement",'00_Formulaire_Saisie'!U20,"")</x:f>
      </x:c>
    </x:row>
    <x:row r="21">
      <x:c r="A21" s="76" t="str">
        <x:f>IF('00_Formulaire_Saisie'!$P21="Validé humainement",'00_Formulaire_Saisie'!A21,"")</x:f>
      </x:c>
      <x:c r="B21" s="76" t="str">
        <x:f>IF('00_Formulaire_Saisie'!$P21="Validé humainement",'00_Formulaire_Saisie'!B21,"")</x:f>
      </x:c>
      <x:c r="C21" s="76" t="str">
        <x:f>IF('00_Formulaire_Saisie'!$P21="Validé humainement",'00_Formulaire_Saisie'!C21,"")</x:f>
      </x:c>
      <x:c r="D21" s="76" t="str">
        <x:f>IF('00_Formulaire_Saisie'!$P21="Validé humainement",'00_Formulaire_Saisie'!D21,"")</x:f>
      </x:c>
      <x:c r="E21" s="76" t="str">
        <x:f>IF('00_Formulaire_Saisie'!$P21="Validé humainement",'00_Formulaire_Saisie'!E21,"")</x:f>
      </x:c>
      <x:c r="F21" s="76" t="str">
        <x:f>IF('00_Formulaire_Saisie'!$P21="Validé humainement",'00_Formulaire_Saisie'!F21,"")</x:f>
      </x:c>
      <x:c r="G21" s="76" t="str">
        <x:f>IF('00_Formulaire_Saisie'!$P21="Validé humainement",'00_Formulaire_Saisie'!G21,"")</x:f>
      </x:c>
      <x:c r="H21" s="77" t="str">
        <x:f>IF('00_Formulaire_Saisie'!$P21="Validé humainement",'00_Formulaire_Saisie'!H21,"")</x:f>
      </x:c>
      <x:c r="I21" s="76" t="str">
        <x:f>IF('00_Formulaire_Saisie'!$P21="Validé humainement",'00_Formulaire_Saisie'!I21,"")</x:f>
      </x:c>
      <x:c r="J21" s="76" t="str">
        <x:f>IF('00_Formulaire_Saisie'!$P21="Validé humainement",'00_Formulaire_Saisie'!J21,"")</x:f>
      </x:c>
      <x:c r="K21" s="76" t="str">
        <x:f>IF('00_Formulaire_Saisie'!$P21="Validé humainement",'00_Formulaire_Saisie'!K21,"")</x:f>
      </x:c>
      <x:c r="L21" s="76" t="str">
        <x:f>IF('00_Formulaire_Saisie'!$P21="Validé humainement",'00_Formulaire_Saisie'!L21,"")</x:f>
      </x:c>
      <x:c r="M21" s="76" t="str">
        <x:f>IF('00_Formulaire_Saisie'!$P21="Validé humainement",'00_Formulaire_Saisie'!M21,"")</x:f>
      </x:c>
      <x:c r="N21" s="76" t="str">
        <x:f>IF('00_Formulaire_Saisie'!$P21="Validé humainement",'00_Formulaire_Saisie'!N21,"")</x:f>
      </x:c>
      <x:c r="O21" s="76" t="str">
        <x:f>IF('00_Formulaire_Saisie'!$P21="Validé humainement",'00_Formulaire_Saisie'!O21,"")</x:f>
      </x:c>
      <x:c r="P21" s="76" t="str">
        <x:f>IF('00_Formulaire_Saisie'!$P21="Validé humainement",'00_Formulaire_Saisie'!P21,"")</x:f>
      </x:c>
      <x:c r="Q21" s="76" t="str">
        <x:f>IF('00_Formulaire_Saisie'!$P21="Validé humainement",'00_Formulaire_Saisie'!Q21,"")</x:f>
      </x:c>
      <x:c r="R21" s="78" t="str">
        <x:f>IF('00_Formulaire_Saisie'!$P21="Validé humainement",'00_Formulaire_Saisie'!R21,"")</x:f>
      </x:c>
      <x:c r="S21" s="76" t="str">
        <x:f>IF('00_Formulaire_Saisie'!$P21="Validé humainement",'00_Formulaire_Saisie'!S21,"")</x:f>
      </x:c>
      <x:c r="T21" s="76" t="str">
        <x:f>IF('00_Formulaire_Saisie'!$P21="Validé humainement",'00_Formulaire_Saisie'!T21,"")</x:f>
      </x:c>
      <x:c r="U21" s="76" t="str">
        <x:f>IF('00_Formulaire_Saisie'!$P21="Validé humainement",'00_Formulaire_Saisie'!U21,"")</x:f>
      </x:c>
    </x:row>
    <x:row r="22">
      <x:c r="A22" s="76" t="str">
        <x:f>IF('00_Formulaire_Saisie'!$P22="Validé humainement",'00_Formulaire_Saisie'!A22,"")</x:f>
      </x:c>
      <x:c r="B22" s="76" t="str">
        <x:f>IF('00_Formulaire_Saisie'!$P22="Validé humainement",'00_Formulaire_Saisie'!B22,"")</x:f>
      </x:c>
      <x:c r="C22" s="76" t="str">
        <x:f>IF('00_Formulaire_Saisie'!$P22="Validé humainement",'00_Formulaire_Saisie'!C22,"")</x:f>
      </x:c>
      <x:c r="D22" s="76" t="str">
        <x:f>IF('00_Formulaire_Saisie'!$P22="Validé humainement",'00_Formulaire_Saisie'!D22,"")</x:f>
      </x:c>
      <x:c r="E22" s="76" t="str">
        <x:f>IF('00_Formulaire_Saisie'!$P22="Validé humainement",'00_Formulaire_Saisie'!E22,"")</x:f>
      </x:c>
      <x:c r="F22" s="76" t="str">
        <x:f>IF('00_Formulaire_Saisie'!$P22="Validé humainement",'00_Formulaire_Saisie'!F22,"")</x:f>
      </x:c>
      <x:c r="G22" s="76" t="str">
        <x:f>IF('00_Formulaire_Saisie'!$P22="Validé humainement",'00_Formulaire_Saisie'!G22,"")</x:f>
      </x:c>
      <x:c r="H22" s="77" t="str">
        <x:f>IF('00_Formulaire_Saisie'!$P22="Validé humainement",'00_Formulaire_Saisie'!H22,"")</x:f>
      </x:c>
      <x:c r="I22" s="76" t="str">
        <x:f>IF('00_Formulaire_Saisie'!$P22="Validé humainement",'00_Formulaire_Saisie'!I22,"")</x:f>
      </x:c>
      <x:c r="J22" s="76" t="str">
        <x:f>IF('00_Formulaire_Saisie'!$P22="Validé humainement",'00_Formulaire_Saisie'!J22,"")</x:f>
      </x:c>
      <x:c r="K22" s="76" t="str">
        <x:f>IF('00_Formulaire_Saisie'!$P22="Validé humainement",'00_Formulaire_Saisie'!K22,"")</x:f>
      </x:c>
      <x:c r="L22" s="76" t="str">
        <x:f>IF('00_Formulaire_Saisie'!$P22="Validé humainement",'00_Formulaire_Saisie'!L22,"")</x:f>
      </x:c>
      <x:c r="M22" s="76" t="str">
        <x:f>IF('00_Formulaire_Saisie'!$P22="Validé humainement",'00_Formulaire_Saisie'!M22,"")</x:f>
      </x:c>
      <x:c r="N22" s="76" t="str">
        <x:f>IF('00_Formulaire_Saisie'!$P22="Validé humainement",'00_Formulaire_Saisie'!N22,"")</x:f>
      </x:c>
      <x:c r="O22" s="76" t="str">
        <x:f>IF('00_Formulaire_Saisie'!$P22="Validé humainement",'00_Formulaire_Saisie'!O22,"")</x:f>
      </x:c>
      <x:c r="P22" s="76" t="str">
        <x:f>IF('00_Formulaire_Saisie'!$P22="Validé humainement",'00_Formulaire_Saisie'!P22,"")</x:f>
      </x:c>
      <x:c r="Q22" s="76" t="str">
        <x:f>IF('00_Formulaire_Saisie'!$P22="Validé humainement",'00_Formulaire_Saisie'!Q22,"")</x:f>
      </x:c>
      <x:c r="R22" s="78" t="str">
        <x:f>IF('00_Formulaire_Saisie'!$P22="Validé humainement",'00_Formulaire_Saisie'!R22,"")</x:f>
      </x:c>
      <x:c r="S22" s="76" t="str">
        <x:f>IF('00_Formulaire_Saisie'!$P22="Validé humainement",'00_Formulaire_Saisie'!S22,"")</x:f>
      </x:c>
      <x:c r="T22" s="76" t="str">
        <x:f>IF('00_Formulaire_Saisie'!$P22="Validé humainement",'00_Formulaire_Saisie'!T22,"")</x:f>
      </x:c>
      <x:c r="U22" s="76" t="str">
        <x:f>IF('00_Formulaire_Saisie'!$P22="Validé humainement",'00_Formulaire_Saisie'!U22,"")</x:f>
      </x:c>
    </x:row>
    <x:row r="23">
      <x:c r="A23" s="76" t="str">
        <x:f>IF('00_Formulaire_Saisie'!$P23="Validé humainement",'00_Formulaire_Saisie'!A23,"")</x:f>
      </x:c>
      <x:c r="B23" s="76" t="str">
        <x:f>IF('00_Formulaire_Saisie'!$P23="Validé humainement",'00_Formulaire_Saisie'!B23,"")</x:f>
      </x:c>
      <x:c r="C23" s="76" t="str">
        <x:f>IF('00_Formulaire_Saisie'!$P23="Validé humainement",'00_Formulaire_Saisie'!C23,"")</x:f>
      </x:c>
      <x:c r="D23" s="76" t="str">
        <x:f>IF('00_Formulaire_Saisie'!$P23="Validé humainement",'00_Formulaire_Saisie'!D23,"")</x:f>
      </x:c>
      <x:c r="E23" s="76" t="str">
        <x:f>IF('00_Formulaire_Saisie'!$P23="Validé humainement",'00_Formulaire_Saisie'!E23,"")</x:f>
      </x:c>
      <x:c r="F23" s="76" t="str">
        <x:f>IF('00_Formulaire_Saisie'!$P23="Validé humainement",'00_Formulaire_Saisie'!F23,"")</x:f>
      </x:c>
      <x:c r="G23" s="76" t="str">
        <x:f>IF('00_Formulaire_Saisie'!$P23="Validé humainement",'00_Formulaire_Saisie'!G23,"")</x:f>
      </x:c>
      <x:c r="H23" s="77" t="str">
        <x:f>IF('00_Formulaire_Saisie'!$P23="Validé humainement",'00_Formulaire_Saisie'!H23,"")</x:f>
      </x:c>
      <x:c r="I23" s="76" t="str">
        <x:f>IF('00_Formulaire_Saisie'!$P23="Validé humainement",'00_Formulaire_Saisie'!I23,"")</x:f>
      </x:c>
      <x:c r="J23" s="76" t="str">
        <x:f>IF('00_Formulaire_Saisie'!$P23="Validé humainement",'00_Formulaire_Saisie'!J23,"")</x:f>
      </x:c>
      <x:c r="K23" s="76" t="str">
        <x:f>IF('00_Formulaire_Saisie'!$P23="Validé humainement",'00_Formulaire_Saisie'!K23,"")</x:f>
      </x:c>
      <x:c r="L23" s="76" t="str">
        <x:f>IF('00_Formulaire_Saisie'!$P23="Validé humainement",'00_Formulaire_Saisie'!L23,"")</x:f>
      </x:c>
      <x:c r="M23" s="76" t="str">
        <x:f>IF('00_Formulaire_Saisie'!$P23="Validé humainement",'00_Formulaire_Saisie'!M23,"")</x:f>
      </x:c>
      <x:c r="N23" s="76" t="str">
        <x:f>IF('00_Formulaire_Saisie'!$P23="Validé humainement",'00_Formulaire_Saisie'!N23,"")</x:f>
      </x:c>
      <x:c r="O23" s="76" t="str">
        <x:f>IF('00_Formulaire_Saisie'!$P23="Validé humainement",'00_Formulaire_Saisie'!O23,"")</x:f>
      </x:c>
      <x:c r="P23" s="76" t="str">
        <x:f>IF('00_Formulaire_Saisie'!$P23="Validé humainement",'00_Formulaire_Saisie'!P23,"")</x:f>
      </x:c>
      <x:c r="Q23" s="76" t="str">
        <x:f>IF('00_Formulaire_Saisie'!$P23="Validé humainement",'00_Formulaire_Saisie'!Q23,"")</x:f>
      </x:c>
      <x:c r="R23" s="78" t="str">
        <x:f>IF('00_Formulaire_Saisie'!$P23="Validé humainement",'00_Formulaire_Saisie'!R23,"")</x:f>
      </x:c>
      <x:c r="S23" s="76" t="str">
        <x:f>IF('00_Formulaire_Saisie'!$P23="Validé humainement",'00_Formulaire_Saisie'!S23,"")</x:f>
      </x:c>
      <x:c r="T23" s="76" t="str">
        <x:f>IF('00_Formulaire_Saisie'!$P23="Validé humainement",'00_Formulaire_Saisie'!T23,"")</x:f>
      </x:c>
      <x:c r="U23" s="76" t="str">
        <x:f>IF('00_Formulaire_Saisie'!$P23="Validé humainement",'00_Formulaire_Saisie'!U23,"")</x:f>
      </x:c>
    </x:row>
    <x:row r="24">
      <x:c r="A24" s="76" t="str">
        <x:f>IF('00_Formulaire_Saisie'!$P24="Validé humainement",'00_Formulaire_Saisie'!A24,"")</x:f>
      </x:c>
      <x:c r="B24" s="76" t="str">
        <x:f>IF('00_Formulaire_Saisie'!$P24="Validé humainement",'00_Formulaire_Saisie'!B24,"")</x:f>
      </x:c>
      <x:c r="C24" s="76" t="str">
        <x:f>IF('00_Formulaire_Saisie'!$P24="Validé humainement",'00_Formulaire_Saisie'!C24,"")</x:f>
      </x:c>
      <x:c r="D24" s="76" t="str">
        <x:f>IF('00_Formulaire_Saisie'!$P24="Validé humainement",'00_Formulaire_Saisie'!D24,"")</x:f>
      </x:c>
      <x:c r="E24" s="76" t="str">
        <x:f>IF('00_Formulaire_Saisie'!$P24="Validé humainement",'00_Formulaire_Saisie'!E24,"")</x:f>
      </x:c>
      <x:c r="F24" s="76" t="str">
        <x:f>IF('00_Formulaire_Saisie'!$P24="Validé humainement",'00_Formulaire_Saisie'!F24,"")</x:f>
      </x:c>
      <x:c r="G24" s="76" t="str">
        <x:f>IF('00_Formulaire_Saisie'!$P24="Validé humainement",'00_Formulaire_Saisie'!G24,"")</x:f>
      </x:c>
      <x:c r="H24" s="77" t="str">
        <x:f>IF('00_Formulaire_Saisie'!$P24="Validé humainement",'00_Formulaire_Saisie'!H24,"")</x:f>
      </x:c>
      <x:c r="I24" s="76" t="str">
        <x:f>IF('00_Formulaire_Saisie'!$P24="Validé humainement",'00_Formulaire_Saisie'!I24,"")</x:f>
      </x:c>
      <x:c r="J24" s="76" t="str">
        <x:f>IF('00_Formulaire_Saisie'!$P24="Validé humainement",'00_Formulaire_Saisie'!J24,"")</x:f>
      </x:c>
      <x:c r="K24" s="76" t="str">
        <x:f>IF('00_Formulaire_Saisie'!$P24="Validé humainement",'00_Formulaire_Saisie'!K24,"")</x:f>
      </x:c>
      <x:c r="L24" s="76" t="str">
        <x:f>IF('00_Formulaire_Saisie'!$P24="Validé humainement",'00_Formulaire_Saisie'!L24,"")</x:f>
      </x:c>
      <x:c r="M24" s="76" t="str">
        <x:f>IF('00_Formulaire_Saisie'!$P24="Validé humainement",'00_Formulaire_Saisie'!M24,"")</x:f>
      </x:c>
      <x:c r="N24" s="76" t="str">
        <x:f>IF('00_Formulaire_Saisie'!$P24="Validé humainement",'00_Formulaire_Saisie'!N24,"")</x:f>
      </x:c>
      <x:c r="O24" s="76" t="str">
        <x:f>IF('00_Formulaire_Saisie'!$P24="Validé humainement",'00_Formulaire_Saisie'!O24,"")</x:f>
      </x:c>
      <x:c r="P24" s="76" t="str">
        <x:f>IF('00_Formulaire_Saisie'!$P24="Validé humainement",'00_Formulaire_Saisie'!P24,"")</x:f>
      </x:c>
      <x:c r="Q24" s="76" t="str">
        <x:f>IF('00_Formulaire_Saisie'!$P24="Validé humainement",'00_Formulaire_Saisie'!Q24,"")</x:f>
      </x:c>
      <x:c r="R24" s="78" t="str">
        <x:f>IF('00_Formulaire_Saisie'!$P24="Validé humainement",'00_Formulaire_Saisie'!R24,"")</x:f>
      </x:c>
      <x:c r="S24" s="76" t="str">
        <x:f>IF('00_Formulaire_Saisie'!$P24="Validé humainement",'00_Formulaire_Saisie'!S24,"")</x:f>
      </x:c>
      <x:c r="T24" s="76" t="str">
        <x:f>IF('00_Formulaire_Saisie'!$P24="Validé humainement",'00_Formulaire_Saisie'!T24,"")</x:f>
      </x:c>
      <x:c r="U24" s="76" t="str">
        <x:f>IF('00_Formulaire_Saisie'!$P24="Validé humainement",'00_Formulaire_Saisie'!U24,"")</x:f>
      </x:c>
    </x:row>
    <x:row r="25">
      <x:c r="A25" s="76" t="str">
        <x:f>IF('00_Formulaire_Saisie'!$P25="Validé humainement",'00_Formulaire_Saisie'!A25,"")</x:f>
      </x:c>
      <x:c r="B25" s="76" t="str">
        <x:f>IF('00_Formulaire_Saisie'!$P25="Validé humainement",'00_Formulaire_Saisie'!B25,"")</x:f>
      </x:c>
      <x:c r="C25" s="76" t="str">
        <x:f>IF('00_Formulaire_Saisie'!$P25="Validé humainement",'00_Formulaire_Saisie'!C25,"")</x:f>
      </x:c>
      <x:c r="D25" s="76" t="str">
        <x:f>IF('00_Formulaire_Saisie'!$P25="Validé humainement",'00_Formulaire_Saisie'!D25,"")</x:f>
      </x:c>
      <x:c r="E25" s="76" t="str">
        <x:f>IF('00_Formulaire_Saisie'!$P25="Validé humainement",'00_Formulaire_Saisie'!E25,"")</x:f>
      </x:c>
      <x:c r="F25" s="76" t="str">
        <x:f>IF('00_Formulaire_Saisie'!$P25="Validé humainement",'00_Formulaire_Saisie'!F25,"")</x:f>
      </x:c>
      <x:c r="G25" s="76" t="str">
        <x:f>IF('00_Formulaire_Saisie'!$P25="Validé humainement",'00_Formulaire_Saisie'!G25,"")</x:f>
      </x:c>
      <x:c r="H25" s="77" t="str">
        <x:f>IF('00_Formulaire_Saisie'!$P25="Validé humainement",'00_Formulaire_Saisie'!H25,"")</x:f>
      </x:c>
      <x:c r="I25" s="76" t="str">
        <x:f>IF('00_Formulaire_Saisie'!$P25="Validé humainement",'00_Formulaire_Saisie'!I25,"")</x:f>
      </x:c>
      <x:c r="J25" s="76" t="str">
        <x:f>IF('00_Formulaire_Saisie'!$P25="Validé humainement",'00_Formulaire_Saisie'!J25,"")</x:f>
      </x:c>
      <x:c r="K25" s="76" t="str">
        <x:f>IF('00_Formulaire_Saisie'!$P25="Validé humainement",'00_Formulaire_Saisie'!K25,"")</x:f>
      </x:c>
      <x:c r="L25" s="76" t="str">
        <x:f>IF('00_Formulaire_Saisie'!$P25="Validé humainement",'00_Formulaire_Saisie'!L25,"")</x:f>
      </x:c>
      <x:c r="M25" s="76" t="str">
        <x:f>IF('00_Formulaire_Saisie'!$P25="Validé humainement",'00_Formulaire_Saisie'!M25,"")</x:f>
      </x:c>
      <x:c r="N25" s="76" t="str">
        <x:f>IF('00_Formulaire_Saisie'!$P25="Validé humainement",'00_Formulaire_Saisie'!N25,"")</x:f>
      </x:c>
      <x:c r="O25" s="76" t="str">
        <x:f>IF('00_Formulaire_Saisie'!$P25="Validé humainement",'00_Formulaire_Saisie'!O25,"")</x:f>
      </x:c>
      <x:c r="P25" s="76" t="str">
        <x:f>IF('00_Formulaire_Saisie'!$P25="Validé humainement",'00_Formulaire_Saisie'!P25,"")</x:f>
      </x:c>
      <x:c r="Q25" s="76" t="str">
        <x:f>IF('00_Formulaire_Saisie'!$P25="Validé humainement",'00_Formulaire_Saisie'!Q25,"")</x:f>
      </x:c>
      <x:c r="R25" s="78" t="str">
        <x:f>IF('00_Formulaire_Saisie'!$P25="Validé humainement",'00_Formulaire_Saisie'!R25,"")</x:f>
      </x:c>
      <x:c r="S25" s="76" t="str">
        <x:f>IF('00_Formulaire_Saisie'!$P25="Validé humainement",'00_Formulaire_Saisie'!S25,"")</x:f>
      </x:c>
      <x:c r="T25" s="76" t="str">
        <x:f>IF('00_Formulaire_Saisie'!$P25="Validé humainement",'00_Formulaire_Saisie'!T25,"")</x:f>
      </x:c>
      <x:c r="U25" s="76" t="str">
        <x:f>IF('00_Formulaire_Saisie'!$P25="Validé humainement",'00_Formulaire_Saisie'!U25,"")</x:f>
      </x:c>
    </x:row>
    <x:row r="26">
      <x:c r="A26" s="76" t="str">
        <x:f>IF('00_Formulaire_Saisie'!$P26="Validé humainement",'00_Formulaire_Saisie'!A26,"")</x:f>
      </x:c>
      <x:c r="B26" s="76" t="str">
        <x:f>IF('00_Formulaire_Saisie'!$P26="Validé humainement",'00_Formulaire_Saisie'!B26,"")</x:f>
      </x:c>
      <x:c r="C26" s="76" t="str">
        <x:f>IF('00_Formulaire_Saisie'!$P26="Validé humainement",'00_Formulaire_Saisie'!C26,"")</x:f>
      </x:c>
      <x:c r="D26" s="76" t="str">
        <x:f>IF('00_Formulaire_Saisie'!$P26="Validé humainement",'00_Formulaire_Saisie'!D26,"")</x:f>
      </x:c>
      <x:c r="E26" s="76" t="str">
        <x:f>IF('00_Formulaire_Saisie'!$P26="Validé humainement",'00_Formulaire_Saisie'!E26,"")</x:f>
      </x:c>
      <x:c r="F26" s="76" t="str">
        <x:f>IF('00_Formulaire_Saisie'!$P26="Validé humainement",'00_Formulaire_Saisie'!F26,"")</x:f>
      </x:c>
      <x:c r="G26" s="76" t="str">
        <x:f>IF('00_Formulaire_Saisie'!$P26="Validé humainement",'00_Formulaire_Saisie'!G26,"")</x:f>
      </x:c>
      <x:c r="H26" s="77" t="str">
        <x:f>IF('00_Formulaire_Saisie'!$P26="Validé humainement",'00_Formulaire_Saisie'!H26,"")</x:f>
      </x:c>
      <x:c r="I26" s="76" t="str">
        <x:f>IF('00_Formulaire_Saisie'!$P26="Validé humainement",'00_Formulaire_Saisie'!I26,"")</x:f>
      </x:c>
      <x:c r="J26" s="76" t="str">
        <x:f>IF('00_Formulaire_Saisie'!$P26="Validé humainement",'00_Formulaire_Saisie'!J26,"")</x:f>
      </x:c>
      <x:c r="K26" s="76" t="str">
        <x:f>IF('00_Formulaire_Saisie'!$P26="Validé humainement",'00_Formulaire_Saisie'!K26,"")</x:f>
      </x:c>
      <x:c r="L26" s="76" t="str">
        <x:f>IF('00_Formulaire_Saisie'!$P26="Validé humainement",'00_Formulaire_Saisie'!L26,"")</x:f>
      </x:c>
      <x:c r="M26" s="76" t="str">
        <x:f>IF('00_Formulaire_Saisie'!$P26="Validé humainement",'00_Formulaire_Saisie'!M26,"")</x:f>
      </x:c>
      <x:c r="N26" s="76" t="str">
        <x:f>IF('00_Formulaire_Saisie'!$P26="Validé humainement",'00_Formulaire_Saisie'!N26,"")</x:f>
      </x:c>
      <x:c r="O26" s="76" t="str">
        <x:f>IF('00_Formulaire_Saisie'!$P26="Validé humainement",'00_Formulaire_Saisie'!O26,"")</x:f>
      </x:c>
      <x:c r="P26" s="76" t="str">
        <x:f>IF('00_Formulaire_Saisie'!$P26="Validé humainement",'00_Formulaire_Saisie'!P26,"")</x:f>
      </x:c>
      <x:c r="Q26" s="76" t="str">
        <x:f>IF('00_Formulaire_Saisie'!$P26="Validé humainement",'00_Formulaire_Saisie'!Q26,"")</x:f>
      </x:c>
      <x:c r="R26" s="78" t="str">
        <x:f>IF('00_Formulaire_Saisie'!$P26="Validé humainement",'00_Formulaire_Saisie'!R26,"")</x:f>
      </x:c>
      <x:c r="S26" s="76" t="str">
        <x:f>IF('00_Formulaire_Saisie'!$P26="Validé humainement",'00_Formulaire_Saisie'!S26,"")</x:f>
      </x:c>
      <x:c r="T26" s="76" t="str">
        <x:f>IF('00_Formulaire_Saisie'!$P26="Validé humainement",'00_Formulaire_Saisie'!T26,"")</x:f>
      </x:c>
      <x:c r="U26" s="76" t="str">
        <x:f>IF('00_Formulaire_Saisie'!$P26="Validé humainement",'00_Formulaire_Saisie'!U26,"")</x:f>
      </x:c>
    </x:row>
    <x:row r="27">
      <x:c r="A27" s="76" t="str">
        <x:f>IF('00_Formulaire_Saisie'!$P27="Validé humainement",'00_Formulaire_Saisie'!A27,"")</x:f>
      </x:c>
      <x:c r="B27" s="76" t="str">
        <x:f>IF('00_Formulaire_Saisie'!$P27="Validé humainement",'00_Formulaire_Saisie'!B27,"")</x:f>
      </x:c>
      <x:c r="C27" s="76" t="str">
        <x:f>IF('00_Formulaire_Saisie'!$P27="Validé humainement",'00_Formulaire_Saisie'!C27,"")</x:f>
      </x:c>
      <x:c r="D27" s="76" t="str">
        <x:f>IF('00_Formulaire_Saisie'!$P27="Validé humainement",'00_Formulaire_Saisie'!D27,"")</x:f>
      </x:c>
      <x:c r="E27" s="76" t="str">
        <x:f>IF('00_Formulaire_Saisie'!$P27="Validé humainement",'00_Formulaire_Saisie'!E27,"")</x:f>
      </x:c>
      <x:c r="F27" s="76" t="str">
        <x:f>IF('00_Formulaire_Saisie'!$P27="Validé humainement",'00_Formulaire_Saisie'!F27,"")</x:f>
      </x:c>
      <x:c r="G27" s="76" t="str">
        <x:f>IF('00_Formulaire_Saisie'!$P27="Validé humainement",'00_Formulaire_Saisie'!G27,"")</x:f>
      </x:c>
      <x:c r="H27" s="77" t="str">
        <x:f>IF('00_Formulaire_Saisie'!$P27="Validé humainement",'00_Formulaire_Saisie'!H27,"")</x:f>
      </x:c>
      <x:c r="I27" s="76" t="str">
        <x:f>IF('00_Formulaire_Saisie'!$P27="Validé humainement",'00_Formulaire_Saisie'!I27,"")</x:f>
      </x:c>
      <x:c r="J27" s="76" t="str">
        <x:f>IF('00_Formulaire_Saisie'!$P27="Validé humainement",'00_Formulaire_Saisie'!J27,"")</x:f>
      </x:c>
      <x:c r="K27" s="76" t="str">
        <x:f>IF('00_Formulaire_Saisie'!$P27="Validé humainement",'00_Formulaire_Saisie'!K27,"")</x:f>
      </x:c>
      <x:c r="L27" s="76" t="str">
        <x:f>IF('00_Formulaire_Saisie'!$P27="Validé humainement",'00_Formulaire_Saisie'!L27,"")</x:f>
      </x:c>
      <x:c r="M27" s="76" t="str">
        <x:f>IF('00_Formulaire_Saisie'!$P27="Validé humainement",'00_Formulaire_Saisie'!M27,"")</x:f>
      </x:c>
      <x:c r="N27" s="76" t="str">
        <x:f>IF('00_Formulaire_Saisie'!$P27="Validé humainement",'00_Formulaire_Saisie'!N27,"")</x:f>
      </x:c>
      <x:c r="O27" s="76" t="str">
        <x:f>IF('00_Formulaire_Saisie'!$P27="Validé humainement",'00_Formulaire_Saisie'!O27,"")</x:f>
      </x:c>
      <x:c r="P27" s="76" t="str">
        <x:f>IF('00_Formulaire_Saisie'!$P27="Validé humainement",'00_Formulaire_Saisie'!P27,"")</x:f>
      </x:c>
      <x:c r="Q27" s="76" t="str">
        <x:f>IF('00_Formulaire_Saisie'!$P27="Validé humainement",'00_Formulaire_Saisie'!Q27,"")</x:f>
      </x:c>
      <x:c r="R27" s="78" t="str">
        <x:f>IF('00_Formulaire_Saisie'!$P27="Validé humainement",'00_Formulaire_Saisie'!R27,"")</x:f>
      </x:c>
      <x:c r="S27" s="76" t="str">
        <x:f>IF('00_Formulaire_Saisie'!$P27="Validé humainement",'00_Formulaire_Saisie'!S27,"")</x:f>
      </x:c>
      <x:c r="T27" s="76" t="str">
        <x:f>IF('00_Formulaire_Saisie'!$P27="Validé humainement",'00_Formulaire_Saisie'!T27,"")</x:f>
      </x:c>
      <x:c r="U27" s="76" t="str">
        <x:f>IF('00_Formulaire_Saisie'!$P27="Validé humainement",'00_Formulaire_Saisie'!U27,"")</x:f>
      </x:c>
    </x:row>
    <x:row r="28">
      <x:c r="A28" s="76" t="str">
        <x:f>IF('00_Formulaire_Saisie'!$P28="Validé humainement",'00_Formulaire_Saisie'!A28,"")</x:f>
      </x:c>
      <x:c r="B28" s="76" t="str">
        <x:f>IF('00_Formulaire_Saisie'!$P28="Validé humainement",'00_Formulaire_Saisie'!B28,"")</x:f>
      </x:c>
      <x:c r="C28" s="76" t="str">
        <x:f>IF('00_Formulaire_Saisie'!$P28="Validé humainement",'00_Formulaire_Saisie'!C28,"")</x:f>
      </x:c>
      <x:c r="D28" s="76" t="str">
        <x:f>IF('00_Formulaire_Saisie'!$P28="Validé humainement",'00_Formulaire_Saisie'!D28,"")</x:f>
      </x:c>
      <x:c r="E28" s="76" t="str">
        <x:f>IF('00_Formulaire_Saisie'!$P28="Validé humainement",'00_Formulaire_Saisie'!E28,"")</x:f>
      </x:c>
      <x:c r="F28" s="76" t="str">
        <x:f>IF('00_Formulaire_Saisie'!$P28="Validé humainement",'00_Formulaire_Saisie'!F28,"")</x:f>
      </x:c>
      <x:c r="G28" s="76" t="str">
        <x:f>IF('00_Formulaire_Saisie'!$P28="Validé humainement",'00_Formulaire_Saisie'!G28,"")</x:f>
      </x:c>
      <x:c r="H28" s="77" t="str">
        <x:f>IF('00_Formulaire_Saisie'!$P28="Validé humainement",'00_Formulaire_Saisie'!H28,"")</x:f>
      </x:c>
      <x:c r="I28" s="76" t="str">
        <x:f>IF('00_Formulaire_Saisie'!$P28="Validé humainement",'00_Formulaire_Saisie'!I28,"")</x:f>
      </x:c>
      <x:c r="J28" s="76" t="str">
        <x:f>IF('00_Formulaire_Saisie'!$P28="Validé humainement",'00_Formulaire_Saisie'!J28,"")</x:f>
      </x:c>
      <x:c r="K28" s="76" t="str">
        <x:f>IF('00_Formulaire_Saisie'!$P28="Validé humainement",'00_Formulaire_Saisie'!K28,"")</x:f>
      </x:c>
      <x:c r="L28" s="76" t="str">
        <x:f>IF('00_Formulaire_Saisie'!$P28="Validé humainement",'00_Formulaire_Saisie'!L28,"")</x:f>
      </x:c>
      <x:c r="M28" s="76" t="str">
        <x:f>IF('00_Formulaire_Saisie'!$P28="Validé humainement",'00_Formulaire_Saisie'!M28,"")</x:f>
      </x:c>
      <x:c r="N28" s="76" t="str">
        <x:f>IF('00_Formulaire_Saisie'!$P28="Validé humainement",'00_Formulaire_Saisie'!N28,"")</x:f>
      </x:c>
      <x:c r="O28" s="76" t="str">
        <x:f>IF('00_Formulaire_Saisie'!$P28="Validé humainement",'00_Formulaire_Saisie'!O28,"")</x:f>
      </x:c>
      <x:c r="P28" s="76" t="str">
        <x:f>IF('00_Formulaire_Saisie'!$P28="Validé humainement",'00_Formulaire_Saisie'!P28,"")</x:f>
      </x:c>
      <x:c r="Q28" s="76" t="str">
        <x:f>IF('00_Formulaire_Saisie'!$P28="Validé humainement",'00_Formulaire_Saisie'!Q28,"")</x:f>
      </x:c>
      <x:c r="R28" s="78" t="str">
        <x:f>IF('00_Formulaire_Saisie'!$P28="Validé humainement",'00_Formulaire_Saisie'!R28,"")</x:f>
      </x:c>
      <x:c r="S28" s="76" t="str">
        <x:f>IF('00_Formulaire_Saisie'!$P28="Validé humainement",'00_Formulaire_Saisie'!S28,"")</x:f>
      </x:c>
      <x:c r="T28" s="76" t="str">
        <x:f>IF('00_Formulaire_Saisie'!$P28="Validé humainement",'00_Formulaire_Saisie'!T28,"")</x:f>
      </x:c>
      <x:c r="U28" s="76" t="str">
        <x:f>IF('00_Formulaire_Saisie'!$P28="Validé humainement",'00_Formulaire_Saisie'!U28,"")</x:f>
      </x:c>
    </x:row>
    <x:row r="29">
      <x:c r="A29" s="76" t="str">
        <x:f>IF('00_Formulaire_Saisie'!$P29="Validé humainement",'00_Formulaire_Saisie'!A29,"")</x:f>
      </x:c>
      <x:c r="B29" s="76" t="str">
        <x:f>IF('00_Formulaire_Saisie'!$P29="Validé humainement",'00_Formulaire_Saisie'!B29,"")</x:f>
      </x:c>
      <x:c r="C29" s="76" t="str">
        <x:f>IF('00_Formulaire_Saisie'!$P29="Validé humainement",'00_Formulaire_Saisie'!C29,"")</x:f>
      </x:c>
      <x:c r="D29" s="76" t="str">
        <x:f>IF('00_Formulaire_Saisie'!$P29="Validé humainement",'00_Formulaire_Saisie'!D29,"")</x:f>
      </x:c>
      <x:c r="E29" s="76" t="str">
        <x:f>IF('00_Formulaire_Saisie'!$P29="Validé humainement",'00_Formulaire_Saisie'!E29,"")</x:f>
      </x:c>
      <x:c r="F29" s="76" t="str">
        <x:f>IF('00_Formulaire_Saisie'!$P29="Validé humainement",'00_Formulaire_Saisie'!F29,"")</x:f>
      </x:c>
      <x:c r="G29" s="76" t="str">
        <x:f>IF('00_Formulaire_Saisie'!$P29="Validé humainement",'00_Formulaire_Saisie'!G29,"")</x:f>
      </x:c>
      <x:c r="H29" s="77" t="str">
        <x:f>IF('00_Formulaire_Saisie'!$P29="Validé humainement",'00_Formulaire_Saisie'!H29,"")</x:f>
      </x:c>
      <x:c r="I29" s="76" t="str">
        <x:f>IF('00_Formulaire_Saisie'!$P29="Validé humainement",'00_Formulaire_Saisie'!I29,"")</x:f>
      </x:c>
      <x:c r="J29" s="76" t="str">
        <x:f>IF('00_Formulaire_Saisie'!$P29="Validé humainement",'00_Formulaire_Saisie'!J29,"")</x:f>
      </x:c>
      <x:c r="K29" s="76" t="str">
        <x:f>IF('00_Formulaire_Saisie'!$P29="Validé humainement",'00_Formulaire_Saisie'!K29,"")</x:f>
      </x:c>
      <x:c r="L29" s="76" t="str">
        <x:f>IF('00_Formulaire_Saisie'!$P29="Validé humainement",'00_Formulaire_Saisie'!L29,"")</x:f>
      </x:c>
      <x:c r="M29" s="76" t="str">
        <x:f>IF('00_Formulaire_Saisie'!$P29="Validé humainement",'00_Formulaire_Saisie'!M29,"")</x:f>
      </x:c>
      <x:c r="N29" s="76" t="str">
        <x:f>IF('00_Formulaire_Saisie'!$P29="Validé humainement",'00_Formulaire_Saisie'!N29,"")</x:f>
      </x:c>
      <x:c r="O29" s="76" t="str">
        <x:f>IF('00_Formulaire_Saisie'!$P29="Validé humainement",'00_Formulaire_Saisie'!O29,"")</x:f>
      </x:c>
      <x:c r="P29" s="76" t="str">
        <x:f>IF('00_Formulaire_Saisie'!$P29="Validé humainement",'00_Formulaire_Saisie'!P29,"")</x:f>
      </x:c>
      <x:c r="Q29" s="76" t="str">
        <x:f>IF('00_Formulaire_Saisie'!$P29="Validé humainement",'00_Formulaire_Saisie'!Q29,"")</x:f>
      </x:c>
      <x:c r="R29" s="78" t="str">
        <x:f>IF('00_Formulaire_Saisie'!$P29="Validé humainement",'00_Formulaire_Saisie'!R29,"")</x:f>
      </x:c>
      <x:c r="S29" s="76" t="str">
        <x:f>IF('00_Formulaire_Saisie'!$P29="Validé humainement",'00_Formulaire_Saisie'!S29,"")</x:f>
      </x:c>
      <x:c r="T29" s="76" t="str">
        <x:f>IF('00_Formulaire_Saisie'!$P29="Validé humainement",'00_Formulaire_Saisie'!T29,"")</x:f>
      </x:c>
      <x:c r="U29" s="76" t="str">
        <x:f>IF('00_Formulaire_Saisie'!$P29="Validé humainement",'00_Formulaire_Saisie'!U29,"")</x:f>
      </x:c>
    </x:row>
    <x:row r="30">
      <x:c r="A30" s="76" t="str">
        <x:f>IF('00_Formulaire_Saisie'!$P30="Validé humainement",'00_Formulaire_Saisie'!A30,"")</x:f>
      </x:c>
      <x:c r="B30" s="76" t="str">
        <x:f>IF('00_Formulaire_Saisie'!$P30="Validé humainement",'00_Formulaire_Saisie'!B30,"")</x:f>
      </x:c>
      <x:c r="C30" s="76" t="str">
        <x:f>IF('00_Formulaire_Saisie'!$P30="Validé humainement",'00_Formulaire_Saisie'!C30,"")</x:f>
      </x:c>
      <x:c r="D30" s="76" t="str">
        <x:f>IF('00_Formulaire_Saisie'!$P30="Validé humainement",'00_Formulaire_Saisie'!D30,"")</x:f>
      </x:c>
      <x:c r="E30" s="76" t="str">
        <x:f>IF('00_Formulaire_Saisie'!$P30="Validé humainement",'00_Formulaire_Saisie'!E30,"")</x:f>
      </x:c>
      <x:c r="F30" s="76" t="str">
        <x:f>IF('00_Formulaire_Saisie'!$P30="Validé humainement",'00_Formulaire_Saisie'!F30,"")</x:f>
      </x:c>
      <x:c r="G30" s="76" t="str">
        <x:f>IF('00_Formulaire_Saisie'!$P30="Validé humainement",'00_Formulaire_Saisie'!G30,"")</x:f>
      </x:c>
      <x:c r="H30" s="77" t="str">
        <x:f>IF('00_Formulaire_Saisie'!$P30="Validé humainement",'00_Formulaire_Saisie'!H30,"")</x:f>
      </x:c>
      <x:c r="I30" s="76" t="str">
        <x:f>IF('00_Formulaire_Saisie'!$P30="Validé humainement",'00_Formulaire_Saisie'!I30,"")</x:f>
      </x:c>
      <x:c r="J30" s="76" t="str">
        <x:f>IF('00_Formulaire_Saisie'!$P30="Validé humainement",'00_Formulaire_Saisie'!J30,"")</x:f>
      </x:c>
      <x:c r="K30" s="76" t="str">
        <x:f>IF('00_Formulaire_Saisie'!$P30="Validé humainement",'00_Formulaire_Saisie'!K30,"")</x:f>
      </x:c>
      <x:c r="L30" s="76" t="str">
        <x:f>IF('00_Formulaire_Saisie'!$P30="Validé humainement",'00_Formulaire_Saisie'!L30,"")</x:f>
      </x:c>
      <x:c r="M30" s="76" t="str">
        <x:f>IF('00_Formulaire_Saisie'!$P30="Validé humainement",'00_Formulaire_Saisie'!M30,"")</x:f>
      </x:c>
      <x:c r="N30" s="76" t="str">
        <x:f>IF('00_Formulaire_Saisie'!$P30="Validé humainement",'00_Formulaire_Saisie'!N30,"")</x:f>
      </x:c>
      <x:c r="O30" s="76" t="str">
        <x:f>IF('00_Formulaire_Saisie'!$P30="Validé humainement",'00_Formulaire_Saisie'!O30,"")</x:f>
      </x:c>
      <x:c r="P30" s="76" t="str">
        <x:f>IF('00_Formulaire_Saisie'!$P30="Validé humainement",'00_Formulaire_Saisie'!P30,"")</x:f>
      </x:c>
      <x:c r="Q30" s="76" t="str">
        <x:f>IF('00_Formulaire_Saisie'!$P30="Validé humainement",'00_Formulaire_Saisie'!Q30,"")</x:f>
      </x:c>
      <x:c r="R30" s="78" t="str">
        <x:f>IF('00_Formulaire_Saisie'!$P30="Validé humainement",'00_Formulaire_Saisie'!R30,"")</x:f>
      </x:c>
      <x:c r="S30" s="76" t="str">
        <x:f>IF('00_Formulaire_Saisie'!$P30="Validé humainement",'00_Formulaire_Saisie'!S30,"")</x:f>
      </x:c>
      <x:c r="T30" s="76" t="str">
        <x:f>IF('00_Formulaire_Saisie'!$P30="Validé humainement",'00_Formulaire_Saisie'!T30,"")</x:f>
      </x:c>
      <x:c r="U30" s="76" t="str">
        <x:f>IF('00_Formulaire_Saisie'!$P30="Validé humainement",'00_Formulaire_Saisie'!U30,"")</x:f>
      </x:c>
    </x:row>
    <x:row r="31">
      <x:c r="A31" s="76" t="str">
        <x:f>IF('00_Formulaire_Saisie'!$P31="Validé humainement",'00_Formulaire_Saisie'!A31,"")</x:f>
      </x:c>
      <x:c r="B31" s="76" t="str">
        <x:f>IF('00_Formulaire_Saisie'!$P31="Validé humainement",'00_Formulaire_Saisie'!B31,"")</x:f>
      </x:c>
      <x:c r="C31" s="76" t="str">
        <x:f>IF('00_Formulaire_Saisie'!$P31="Validé humainement",'00_Formulaire_Saisie'!C31,"")</x:f>
      </x:c>
      <x:c r="D31" s="76" t="str">
        <x:f>IF('00_Formulaire_Saisie'!$P31="Validé humainement",'00_Formulaire_Saisie'!D31,"")</x:f>
      </x:c>
      <x:c r="E31" s="76" t="str">
        <x:f>IF('00_Formulaire_Saisie'!$P31="Validé humainement",'00_Formulaire_Saisie'!E31,"")</x:f>
      </x:c>
      <x:c r="F31" s="76" t="str">
        <x:f>IF('00_Formulaire_Saisie'!$P31="Validé humainement",'00_Formulaire_Saisie'!F31,"")</x:f>
      </x:c>
      <x:c r="G31" s="76" t="str">
        <x:f>IF('00_Formulaire_Saisie'!$P31="Validé humainement",'00_Formulaire_Saisie'!G31,"")</x:f>
      </x:c>
      <x:c r="H31" s="77" t="str">
        <x:f>IF('00_Formulaire_Saisie'!$P31="Validé humainement",'00_Formulaire_Saisie'!H31,"")</x:f>
      </x:c>
      <x:c r="I31" s="76" t="str">
        <x:f>IF('00_Formulaire_Saisie'!$P31="Validé humainement",'00_Formulaire_Saisie'!I31,"")</x:f>
      </x:c>
      <x:c r="J31" s="76" t="str">
        <x:f>IF('00_Formulaire_Saisie'!$P31="Validé humainement",'00_Formulaire_Saisie'!J31,"")</x:f>
      </x:c>
      <x:c r="K31" s="76" t="str">
        <x:f>IF('00_Formulaire_Saisie'!$P31="Validé humainement",'00_Formulaire_Saisie'!K31,"")</x:f>
      </x:c>
      <x:c r="L31" s="76" t="str">
        <x:f>IF('00_Formulaire_Saisie'!$P31="Validé humainement",'00_Formulaire_Saisie'!L31,"")</x:f>
      </x:c>
      <x:c r="M31" s="76" t="str">
        <x:f>IF('00_Formulaire_Saisie'!$P31="Validé humainement",'00_Formulaire_Saisie'!M31,"")</x:f>
      </x:c>
      <x:c r="N31" s="76" t="str">
        <x:f>IF('00_Formulaire_Saisie'!$P31="Validé humainement",'00_Formulaire_Saisie'!N31,"")</x:f>
      </x:c>
      <x:c r="O31" s="76" t="str">
        <x:f>IF('00_Formulaire_Saisie'!$P31="Validé humainement",'00_Formulaire_Saisie'!O31,"")</x:f>
      </x:c>
      <x:c r="P31" s="76" t="str">
        <x:f>IF('00_Formulaire_Saisie'!$P31="Validé humainement",'00_Formulaire_Saisie'!P31,"")</x:f>
      </x:c>
      <x:c r="Q31" s="76" t="str">
        <x:f>IF('00_Formulaire_Saisie'!$P31="Validé humainement",'00_Formulaire_Saisie'!Q31,"")</x:f>
      </x:c>
      <x:c r="R31" s="78" t="str">
        <x:f>IF('00_Formulaire_Saisie'!$P31="Validé humainement",'00_Formulaire_Saisie'!R31,"")</x:f>
      </x:c>
      <x:c r="S31" s="76" t="str">
        <x:f>IF('00_Formulaire_Saisie'!$P31="Validé humainement",'00_Formulaire_Saisie'!S31,"")</x:f>
      </x:c>
      <x:c r="T31" s="76" t="str">
        <x:f>IF('00_Formulaire_Saisie'!$P31="Validé humainement",'00_Formulaire_Saisie'!T31,"")</x:f>
      </x:c>
      <x:c r="U31" s="76" t="str">
        <x:f>IF('00_Formulaire_Saisie'!$P31="Validé humainement",'00_Formulaire_Saisie'!U31,"")</x:f>
      </x:c>
    </x:row>
    <x:row r="32">
      <x:c r="A32" s="76" t="str">
        <x:f>IF('00_Formulaire_Saisie'!$P32="Validé humainement",'00_Formulaire_Saisie'!A32,"")</x:f>
      </x:c>
      <x:c r="B32" s="76" t="str">
        <x:f>IF('00_Formulaire_Saisie'!$P32="Validé humainement",'00_Formulaire_Saisie'!B32,"")</x:f>
      </x:c>
      <x:c r="C32" s="76" t="str">
        <x:f>IF('00_Formulaire_Saisie'!$P32="Validé humainement",'00_Formulaire_Saisie'!C32,"")</x:f>
      </x:c>
      <x:c r="D32" s="76" t="str">
        <x:f>IF('00_Formulaire_Saisie'!$P32="Validé humainement",'00_Formulaire_Saisie'!D32,"")</x:f>
      </x:c>
      <x:c r="E32" s="76" t="str">
        <x:f>IF('00_Formulaire_Saisie'!$P32="Validé humainement",'00_Formulaire_Saisie'!E32,"")</x:f>
      </x:c>
      <x:c r="F32" s="76" t="str">
        <x:f>IF('00_Formulaire_Saisie'!$P32="Validé humainement",'00_Formulaire_Saisie'!F32,"")</x:f>
      </x:c>
      <x:c r="G32" s="76" t="str">
        <x:f>IF('00_Formulaire_Saisie'!$P32="Validé humainement",'00_Formulaire_Saisie'!G32,"")</x:f>
      </x:c>
      <x:c r="H32" s="77" t="str">
        <x:f>IF('00_Formulaire_Saisie'!$P32="Validé humainement",'00_Formulaire_Saisie'!H32,"")</x:f>
      </x:c>
      <x:c r="I32" s="76" t="str">
        <x:f>IF('00_Formulaire_Saisie'!$P32="Validé humainement",'00_Formulaire_Saisie'!I32,"")</x:f>
      </x:c>
      <x:c r="J32" s="76" t="str">
        <x:f>IF('00_Formulaire_Saisie'!$P32="Validé humainement",'00_Formulaire_Saisie'!J32,"")</x:f>
      </x:c>
      <x:c r="K32" s="76" t="str">
        <x:f>IF('00_Formulaire_Saisie'!$P32="Validé humainement",'00_Formulaire_Saisie'!K32,"")</x:f>
      </x:c>
      <x:c r="L32" s="76" t="str">
        <x:f>IF('00_Formulaire_Saisie'!$P32="Validé humainement",'00_Formulaire_Saisie'!L32,"")</x:f>
      </x:c>
      <x:c r="M32" s="76" t="str">
        <x:f>IF('00_Formulaire_Saisie'!$P32="Validé humainement",'00_Formulaire_Saisie'!M32,"")</x:f>
      </x:c>
      <x:c r="N32" s="76" t="str">
        <x:f>IF('00_Formulaire_Saisie'!$P32="Validé humainement",'00_Formulaire_Saisie'!N32,"")</x:f>
      </x:c>
      <x:c r="O32" s="76" t="str">
        <x:f>IF('00_Formulaire_Saisie'!$P32="Validé humainement",'00_Formulaire_Saisie'!O32,"")</x:f>
      </x:c>
      <x:c r="P32" s="76" t="str">
        <x:f>IF('00_Formulaire_Saisie'!$P32="Validé humainement",'00_Formulaire_Saisie'!P32,"")</x:f>
      </x:c>
      <x:c r="Q32" s="76" t="str">
        <x:f>IF('00_Formulaire_Saisie'!$P32="Validé humainement",'00_Formulaire_Saisie'!Q32,"")</x:f>
      </x:c>
      <x:c r="R32" s="78" t="str">
        <x:f>IF('00_Formulaire_Saisie'!$P32="Validé humainement",'00_Formulaire_Saisie'!R32,"")</x:f>
      </x:c>
      <x:c r="S32" s="76" t="str">
        <x:f>IF('00_Formulaire_Saisie'!$P32="Validé humainement",'00_Formulaire_Saisie'!S32,"")</x:f>
      </x:c>
      <x:c r="T32" s="76" t="str">
        <x:f>IF('00_Formulaire_Saisie'!$P32="Validé humainement",'00_Formulaire_Saisie'!T32,"")</x:f>
      </x:c>
      <x:c r="U32" s="76" t="str">
        <x:f>IF('00_Formulaire_Saisie'!$P32="Validé humainement",'00_Formulaire_Saisie'!U32,"")</x:f>
      </x:c>
    </x:row>
    <x:row r="33">
      <x:c r="A33" s="76" t="str">
        <x:f>IF('00_Formulaire_Saisie'!$P33="Validé humainement",'00_Formulaire_Saisie'!A33,"")</x:f>
      </x:c>
      <x:c r="B33" s="76" t="str">
        <x:f>IF('00_Formulaire_Saisie'!$P33="Validé humainement",'00_Formulaire_Saisie'!B33,"")</x:f>
      </x:c>
      <x:c r="C33" s="76" t="str">
        <x:f>IF('00_Formulaire_Saisie'!$P33="Validé humainement",'00_Formulaire_Saisie'!C33,"")</x:f>
      </x:c>
      <x:c r="D33" s="76" t="str">
        <x:f>IF('00_Formulaire_Saisie'!$P33="Validé humainement",'00_Formulaire_Saisie'!D33,"")</x:f>
      </x:c>
      <x:c r="E33" s="76" t="str">
        <x:f>IF('00_Formulaire_Saisie'!$P33="Validé humainement",'00_Formulaire_Saisie'!E33,"")</x:f>
      </x:c>
      <x:c r="F33" s="76" t="str">
        <x:f>IF('00_Formulaire_Saisie'!$P33="Validé humainement",'00_Formulaire_Saisie'!F33,"")</x:f>
      </x:c>
      <x:c r="G33" s="76" t="str">
        <x:f>IF('00_Formulaire_Saisie'!$P33="Validé humainement",'00_Formulaire_Saisie'!G33,"")</x:f>
      </x:c>
      <x:c r="H33" s="77" t="str">
        <x:f>IF('00_Formulaire_Saisie'!$P33="Validé humainement",'00_Formulaire_Saisie'!H33,"")</x:f>
      </x:c>
      <x:c r="I33" s="76" t="str">
        <x:f>IF('00_Formulaire_Saisie'!$P33="Validé humainement",'00_Formulaire_Saisie'!I33,"")</x:f>
      </x:c>
      <x:c r="J33" s="76" t="str">
        <x:f>IF('00_Formulaire_Saisie'!$P33="Validé humainement",'00_Formulaire_Saisie'!J33,"")</x:f>
      </x:c>
      <x:c r="K33" s="76" t="str">
        <x:f>IF('00_Formulaire_Saisie'!$P33="Validé humainement",'00_Formulaire_Saisie'!K33,"")</x:f>
      </x:c>
      <x:c r="L33" s="76" t="str">
        <x:f>IF('00_Formulaire_Saisie'!$P33="Validé humainement",'00_Formulaire_Saisie'!L33,"")</x:f>
      </x:c>
      <x:c r="M33" s="76" t="str">
        <x:f>IF('00_Formulaire_Saisie'!$P33="Validé humainement",'00_Formulaire_Saisie'!M33,"")</x:f>
      </x:c>
      <x:c r="N33" s="76" t="str">
        <x:f>IF('00_Formulaire_Saisie'!$P33="Validé humainement",'00_Formulaire_Saisie'!N33,"")</x:f>
      </x:c>
      <x:c r="O33" s="76" t="str">
        <x:f>IF('00_Formulaire_Saisie'!$P33="Validé humainement",'00_Formulaire_Saisie'!O33,"")</x:f>
      </x:c>
      <x:c r="P33" s="76" t="str">
        <x:f>IF('00_Formulaire_Saisie'!$P33="Validé humainement",'00_Formulaire_Saisie'!P33,"")</x:f>
      </x:c>
      <x:c r="Q33" s="76" t="str">
        <x:f>IF('00_Formulaire_Saisie'!$P33="Validé humainement",'00_Formulaire_Saisie'!Q33,"")</x:f>
      </x:c>
      <x:c r="R33" s="78" t="str">
        <x:f>IF('00_Formulaire_Saisie'!$P33="Validé humainement",'00_Formulaire_Saisie'!R33,"")</x:f>
      </x:c>
      <x:c r="S33" s="76" t="str">
        <x:f>IF('00_Formulaire_Saisie'!$P33="Validé humainement",'00_Formulaire_Saisie'!S33,"")</x:f>
      </x:c>
      <x:c r="T33" s="76" t="str">
        <x:f>IF('00_Formulaire_Saisie'!$P33="Validé humainement",'00_Formulaire_Saisie'!T33,"")</x:f>
      </x:c>
      <x:c r="U33" s="76" t="str">
        <x:f>IF('00_Formulaire_Saisie'!$P33="Validé humainement",'00_Formulaire_Saisie'!U33,"")</x:f>
      </x:c>
    </x:row>
    <x:row r="34">
      <x:c r="A34" s="76" t="str">
        <x:f>IF('00_Formulaire_Saisie'!$P34="Validé humainement",'00_Formulaire_Saisie'!A34,"")</x:f>
      </x:c>
      <x:c r="B34" s="76" t="str">
        <x:f>IF('00_Formulaire_Saisie'!$P34="Validé humainement",'00_Formulaire_Saisie'!B34,"")</x:f>
      </x:c>
      <x:c r="C34" s="76" t="str">
        <x:f>IF('00_Formulaire_Saisie'!$P34="Validé humainement",'00_Formulaire_Saisie'!C34,"")</x:f>
      </x:c>
      <x:c r="D34" s="76" t="str">
        <x:f>IF('00_Formulaire_Saisie'!$P34="Validé humainement",'00_Formulaire_Saisie'!D34,"")</x:f>
      </x:c>
      <x:c r="E34" s="76" t="str">
        <x:f>IF('00_Formulaire_Saisie'!$P34="Validé humainement",'00_Formulaire_Saisie'!E34,"")</x:f>
      </x:c>
      <x:c r="F34" s="76" t="str">
        <x:f>IF('00_Formulaire_Saisie'!$P34="Validé humainement",'00_Formulaire_Saisie'!F34,"")</x:f>
      </x:c>
      <x:c r="G34" s="76" t="str">
        <x:f>IF('00_Formulaire_Saisie'!$P34="Validé humainement",'00_Formulaire_Saisie'!G34,"")</x:f>
      </x:c>
      <x:c r="H34" s="77" t="str">
        <x:f>IF('00_Formulaire_Saisie'!$P34="Validé humainement",'00_Formulaire_Saisie'!H34,"")</x:f>
      </x:c>
      <x:c r="I34" s="76" t="str">
        <x:f>IF('00_Formulaire_Saisie'!$P34="Validé humainement",'00_Formulaire_Saisie'!I34,"")</x:f>
      </x:c>
      <x:c r="J34" s="76" t="str">
        <x:f>IF('00_Formulaire_Saisie'!$P34="Validé humainement",'00_Formulaire_Saisie'!J34,"")</x:f>
      </x:c>
      <x:c r="K34" s="76" t="str">
        <x:f>IF('00_Formulaire_Saisie'!$P34="Validé humainement",'00_Formulaire_Saisie'!K34,"")</x:f>
      </x:c>
      <x:c r="L34" s="76" t="str">
        <x:f>IF('00_Formulaire_Saisie'!$P34="Validé humainement",'00_Formulaire_Saisie'!L34,"")</x:f>
      </x:c>
      <x:c r="M34" s="76" t="str">
        <x:f>IF('00_Formulaire_Saisie'!$P34="Validé humainement",'00_Formulaire_Saisie'!M34,"")</x:f>
      </x:c>
      <x:c r="N34" s="76" t="str">
        <x:f>IF('00_Formulaire_Saisie'!$P34="Validé humainement",'00_Formulaire_Saisie'!N34,"")</x:f>
      </x:c>
      <x:c r="O34" s="76" t="str">
        <x:f>IF('00_Formulaire_Saisie'!$P34="Validé humainement",'00_Formulaire_Saisie'!O34,"")</x:f>
      </x:c>
      <x:c r="P34" s="76" t="str">
        <x:f>IF('00_Formulaire_Saisie'!$P34="Validé humainement",'00_Formulaire_Saisie'!P34,"")</x:f>
      </x:c>
      <x:c r="Q34" s="76" t="str">
        <x:f>IF('00_Formulaire_Saisie'!$P34="Validé humainement",'00_Formulaire_Saisie'!Q34,"")</x:f>
      </x:c>
      <x:c r="R34" s="78" t="str">
        <x:f>IF('00_Formulaire_Saisie'!$P34="Validé humainement",'00_Formulaire_Saisie'!R34,"")</x:f>
      </x:c>
      <x:c r="S34" s="76" t="str">
        <x:f>IF('00_Formulaire_Saisie'!$P34="Validé humainement",'00_Formulaire_Saisie'!S34,"")</x:f>
      </x:c>
      <x:c r="T34" s="76" t="str">
        <x:f>IF('00_Formulaire_Saisie'!$P34="Validé humainement",'00_Formulaire_Saisie'!T34,"")</x:f>
      </x:c>
      <x:c r="U34" s="76" t="str">
        <x:f>IF('00_Formulaire_Saisie'!$P34="Validé humainement",'00_Formulaire_Saisie'!U34,"")</x:f>
      </x:c>
    </x:row>
    <x:row r="35">
      <x:c r="A35" s="76" t="str">
        <x:f>IF('00_Formulaire_Saisie'!$P35="Validé humainement",'00_Formulaire_Saisie'!A35,"")</x:f>
      </x:c>
      <x:c r="B35" s="76" t="str">
        <x:f>IF('00_Formulaire_Saisie'!$P35="Validé humainement",'00_Formulaire_Saisie'!B35,"")</x:f>
      </x:c>
      <x:c r="C35" s="76" t="str">
        <x:f>IF('00_Formulaire_Saisie'!$P35="Validé humainement",'00_Formulaire_Saisie'!C35,"")</x:f>
      </x:c>
      <x:c r="D35" s="76" t="str">
        <x:f>IF('00_Formulaire_Saisie'!$P35="Validé humainement",'00_Formulaire_Saisie'!D35,"")</x:f>
      </x:c>
      <x:c r="E35" s="76" t="str">
        <x:f>IF('00_Formulaire_Saisie'!$P35="Validé humainement",'00_Formulaire_Saisie'!E35,"")</x:f>
      </x:c>
      <x:c r="F35" s="76" t="str">
        <x:f>IF('00_Formulaire_Saisie'!$P35="Validé humainement",'00_Formulaire_Saisie'!F35,"")</x:f>
      </x:c>
      <x:c r="G35" s="76" t="str">
        <x:f>IF('00_Formulaire_Saisie'!$P35="Validé humainement",'00_Formulaire_Saisie'!G35,"")</x:f>
      </x:c>
      <x:c r="H35" s="77" t="str">
        <x:f>IF('00_Formulaire_Saisie'!$P35="Validé humainement",'00_Formulaire_Saisie'!H35,"")</x:f>
      </x:c>
      <x:c r="I35" s="76" t="str">
        <x:f>IF('00_Formulaire_Saisie'!$P35="Validé humainement",'00_Formulaire_Saisie'!I35,"")</x:f>
      </x:c>
      <x:c r="J35" s="76" t="str">
        <x:f>IF('00_Formulaire_Saisie'!$P35="Validé humainement",'00_Formulaire_Saisie'!J35,"")</x:f>
      </x:c>
      <x:c r="K35" s="76" t="str">
        <x:f>IF('00_Formulaire_Saisie'!$P35="Validé humainement",'00_Formulaire_Saisie'!K35,"")</x:f>
      </x:c>
      <x:c r="L35" s="76" t="str">
        <x:f>IF('00_Formulaire_Saisie'!$P35="Validé humainement",'00_Formulaire_Saisie'!L35,"")</x:f>
      </x:c>
      <x:c r="M35" s="76" t="str">
        <x:f>IF('00_Formulaire_Saisie'!$P35="Validé humainement",'00_Formulaire_Saisie'!M35,"")</x:f>
      </x:c>
      <x:c r="N35" s="76" t="str">
        <x:f>IF('00_Formulaire_Saisie'!$P35="Validé humainement",'00_Formulaire_Saisie'!N35,"")</x:f>
      </x:c>
      <x:c r="O35" s="76" t="str">
        <x:f>IF('00_Formulaire_Saisie'!$P35="Validé humainement",'00_Formulaire_Saisie'!O35,"")</x:f>
      </x:c>
      <x:c r="P35" s="76" t="str">
        <x:f>IF('00_Formulaire_Saisie'!$P35="Validé humainement",'00_Formulaire_Saisie'!P35,"")</x:f>
      </x:c>
      <x:c r="Q35" s="76" t="str">
        <x:f>IF('00_Formulaire_Saisie'!$P35="Validé humainement",'00_Formulaire_Saisie'!Q35,"")</x:f>
      </x:c>
      <x:c r="R35" s="78" t="str">
        <x:f>IF('00_Formulaire_Saisie'!$P35="Validé humainement",'00_Formulaire_Saisie'!R35,"")</x:f>
      </x:c>
      <x:c r="S35" s="76" t="str">
        <x:f>IF('00_Formulaire_Saisie'!$P35="Validé humainement",'00_Formulaire_Saisie'!S35,"")</x:f>
      </x:c>
      <x:c r="T35" s="76" t="str">
        <x:f>IF('00_Formulaire_Saisie'!$P35="Validé humainement",'00_Formulaire_Saisie'!T35,"")</x:f>
      </x:c>
      <x:c r="U35" s="76" t="str">
        <x:f>IF('00_Formulaire_Saisie'!$P35="Validé humainement",'00_Formulaire_Saisie'!U35,"")</x:f>
      </x:c>
    </x:row>
    <x:row r="36">
      <x:c r="A36" s="76" t="str">
        <x:f>IF('00_Formulaire_Saisie'!$P36="Validé humainement",'00_Formulaire_Saisie'!A36,"")</x:f>
      </x:c>
      <x:c r="B36" s="76" t="str">
        <x:f>IF('00_Formulaire_Saisie'!$P36="Validé humainement",'00_Formulaire_Saisie'!B36,"")</x:f>
      </x:c>
      <x:c r="C36" s="76" t="str">
        <x:f>IF('00_Formulaire_Saisie'!$P36="Validé humainement",'00_Formulaire_Saisie'!C36,"")</x:f>
      </x:c>
      <x:c r="D36" s="76" t="str">
        <x:f>IF('00_Formulaire_Saisie'!$P36="Validé humainement",'00_Formulaire_Saisie'!D36,"")</x:f>
      </x:c>
      <x:c r="E36" s="76" t="str">
        <x:f>IF('00_Formulaire_Saisie'!$P36="Validé humainement",'00_Formulaire_Saisie'!E36,"")</x:f>
      </x:c>
      <x:c r="F36" s="76" t="str">
        <x:f>IF('00_Formulaire_Saisie'!$P36="Validé humainement",'00_Formulaire_Saisie'!F36,"")</x:f>
      </x:c>
      <x:c r="G36" s="76" t="str">
        <x:f>IF('00_Formulaire_Saisie'!$P36="Validé humainement",'00_Formulaire_Saisie'!G36,"")</x:f>
      </x:c>
      <x:c r="H36" s="77" t="str">
        <x:f>IF('00_Formulaire_Saisie'!$P36="Validé humainement",'00_Formulaire_Saisie'!H36,"")</x:f>
      </x:c>
      <x:c r="I36" s="76" t="str">
        <x:f>IF('00_Formulaire_Saisie'!$P36="Validé humainement",'00_Formulaire_Saisie'!I36,"")</x:f>
      </x:c>
      <x:c r="J36" s="76" t="str">
        <x:f>IF('00_Formulaire_Saisie'!$P36="Validé humainement",'00_Formulaire_Saisie'!J36,"")</x:f>
      </x:c>
      <x:c r="K36" s="76" t="str">
        <x:f>IF('00_Formulaire_Saisie'!$P36="Validé humainement",'00_Formulaire_Saisie'!K36,"")</x:f>
      </x:c>
      <x:c r="L36" s="76" t="str">
        <x:f>IF('00_Formulaire_Saisie'!$P36="Validé humainement",'00_Formulaire_Saisie'!L36,"")</x:f>
      </x:c>
      <x:c r="M36" s="76" t="str">
        <x:f>IF('00_Formulaire_Saisie'!$P36="Validé humainement",'00_Formulaire_Saisie'!M36,"")</x:f>
      </x:c>
      <x:c r="N36" s="76" t="str">
        <x:f>IF('00_Formulaire_Saisie'!$P36="Validé humainement",'00_Formulaire_Saisie'!N36,"")</x:f>
      </x:c>
      <x:c r="O36" s="76" t="str">
        <x:f>IF('00_Formulaire_Saisie'!$P36="Validé humainement",'00_Formulaire_Saisie'!O36,"")</x:f>
      </x:c>
      <x:c r="P36" s="76" t="str">
        <x:f>IF('00_Formulaire_Saisie'!$P36="Validé humainement",'00_Formulaire_Saisie'!P36,"")</x:f>
      </x:c>
      <x:c r="Q36" s="76" t="str">
        <x:f>IF('00_Formulaire_Saisie'!$P36="Validé humainement",'00_Formulaire_Saisie'!Q36,"")</x:f>
      </x:c>
      <x:c r="R36" s="78" t="str">
        <x:f>IF('00_Formulaire_Saisie'!$P36="Validé humainement",'00_Formulaire_Saisie'!R36,"")</x:f>
      </x:c>
      <x:c r="S36" s="76" t="str">
        <x:f>IF('00_Formulaire_Saisie'!$P36="Validé humainement",'00_Formulaire_Saisie'!S36,"")</x:f>
      </x:c>
      <x:c r="T36" s="76" t="str">
        <x:f>IF('00_Formulaire_Saisie'!$P36="Validé humainement",'00_Formulaire_Saisie'!T36,"")</x:f>
      </x:c>
      <x:c r="U36" s="76" t="str">
        <x:f>IF('00_Formulaire_Saisie'!$P36="Validé humainement",'00_Formulaire_Saisie'!U36,"")</x:f>
      </x:c>
    </x:row>
    <x:row r="37">
      <x:c r="A37" s="76" t="str">
        <x:f>IF('00_Formulaire_Saisie'!$P37="Validé humainement",'00_Formulaire_Saisie'!A37,"")</x:f>
      </x:c>
      <x:c r="B37" s="76" t="str">
        <x:f>IF('00_Formulaire_Saisie'!$P37="Validé humainement",'00_Formulaire_Saisie'!B37,"")</x:f>
      </x:c>
      <x:c r="C37" s="76" t="str">
        <x:f>IF('00_Formulaire_Saisie'!$P37="Validé humainement",'00_Formulaire_Saisie'!C37,"")</x:f>
      </x:c>
      <x:c r="D37" s="76" t="str">
        <x:f>IF('00_Formulaire_Saisie'!$P37="Validé humainement",'00_Formulaire_Saisie'!D37,"")</x:f>
      </x:c>
      <x:c r="E37" s="76" t="str">
        <x:f>IF('00_Formulaire_Saisie'!$P37="Validé humainement",'00_Formulaire_Saisie'!E37,"")</x:f>
      </x:c>
      <x:c r="F37" s="76" t="str">
        <x:f>IF('00_Formulaire_Saisie'!$P37="Validé humainement",'00_Formulaire_Saisie'!F37,"")</x:f>
      </x:c>
      <x:c r="G37" s="76" t="str">
        <x:f>IF('00_Formulaire_Saisie'!$P37="Validé humainement",'00_Formulaire_Saisie'!G37,"")</x:f>
      </x:c>
      <x:c r="H37" s="77" t="str">
        <x:f>IF('00_Formulaire_Saisie'!$P37="Validé humainement",'00_Formulaire_Saisie'!H37,"")</x:f>
      </x:c>
      <x:c r="I37" s="76" t="str">
        <x:f>IF('00_Formulaire_Saisie'!$P37="Validé humainement",'00_Formulaire_Saisie'!I37,"")</x:f>
      </x:c>
      <x:c r="J37" s="76" t="str">
        <x:f>IF('00_Formulaire_Saisie'!$P37="Validé humainement",'00_Formulaire_Saisie'!J37,"")</x:f>
      </x:c>
      <x:c r="K37" s="76" t="str">
        <x:f>IF('00_Formulaire_Saisie'!$P37="Validé humainement",'00_Formulaire_Saisie'!K37,"")</x:f>
      </x:c>
      <x:c r="L37" s="76" t="str">
        <x:f>IF('00_Formulaire_Saisie'!$P37="Validé humainement",'00_Formulaire_Saisie'!L37,"")</x:f>
      </x:c>
      <x:c r="M37" s="76" t="str">
        <x:f>IF('00_Formulaire_Saisie'!$P37="Validé humainement",'00_Formulaire_Saisie'!M37,"")</x:f>
      </x:c>
      <x:c r="N37" s="76" t="str">
        <x:f>IF('00_Formulaire_Saisie'!$P37="Validé humainement",'00_Formulaire_Saisie'!N37,"")</x:f>
      </x:c>
      <x:c r="O37" s="76" t="str">
        <x:f>IF('00_Formulaire_Saisie'!$P37="Validé humainement",'00_Formulaire_Saisie'!O37,"")</x:f>
      </x:c>
      <x:c r="P37" s="76" t="str">
        <x:f>IF('00_Formulaire_Saisie'!$P37="Validé humainement",'00_Formulaire_Saisie'!P37,"")</x:f>
      </x:c>
      <x:c r="Q37" s="76" t="str">
        <x:f>IF('00_Formulaire_Saisie'!$P37="Validé humainement",'00_Formulaire_Saisie'!Q37,"")</x:f>
      </x:c>
      <x:c r="R37" s="78" t="str">
        <x:f>IF('00_Formulaire_Saisie'!$P37="Validé humainement",'00_Formulaire_Saisie'!R37,"")</x:f>
      </x:c>
      <x:c r="S37" s="76" t="str">
        <x:f>IF('00_Formulaire_Saisie'!$P37="Validé humainement",'00_Formulaire_Saisie'!S37,"")</x:f>
      </x:c>
      <x:c r="T37" s="76" t="str">
        <x:f>IF('00_Formulaire_Saisie'!$P37="Validé humainement",'00_Formulaire_Saisie'!T37,"")</x:f>
      </x:c>
      <x:c r="U37" s="76" t="str">
        <x:f>IF('00_Formulaire_Saisie'!$P37="Validé humainement",'00_Formulaire_Saisie'!U37,"")</x:f>
      </x:c>
    </x:row>
    <x:row r="38">
      <x:c r="A38" s="76" t="str">
        <x:f>IF('00_Formulaire_Saisie'!$P38="Validé humainement",'00_Formulaire_Saisie'!A38,"")</x:f>
      </x:c>
      <x:c r="B38" s="76" t="str">
        <x:f>IF('00_Formulaire_Saisie'!$P38="Validé humainement",'00_Formulaire_Saisie'!B38,"")</x:f>
      </x:c>
      <x:c r="C38" s="76" t="str">
        <x:f>IF('00_Formulaire_Saisie'!$P38="Validé humainement",'00_Formulaire_Saisie'!C38,"")</x:f>
      </x:c>
      <x:c r="D38" s="76" t="str">
        <x:f>IF('00_Formulaire_Saisie'!$P38="Validé humainement",'00_Formulaire_Saisie'!D38,"")</x:f>
      </x:c>
      <x:c r="E38" s="76" t="str">
        <x:f>IF('00_Formulaire_Saisie'!$P38="Validé humainement",'00_Formulaire_Saisie'!E38,"")</x:f>
      </x:c>
      <x:c r="F38" s="76" t="str">
        <x:f>IF('00_Formulaire_Saisie'!$P38="Validé humainement",'00_Formulaire_Saisie'!F38,"")</x:f>
      </x:c>
      <x:c r="G38" s="76" t="str">
        <x:f>IF('00_Formulaire_Saisie'!$P38="Validé humainement",'00_Formulaire_Saisie'!G38,"")</x:f>
      </x:c>
      <x:c r="H38" s="77" t="str">
        <x:f>IF('00_Formulaire_Saisie'!$P38="Validé humainement",'00_Formulaire_Saisie'!H38,"")</x:f>
      </x:c>
      <x:c r="I38" s="76" t="str">
        <x:f>IF('00_Formulaire_Saisie'!$P38="Validé humainement",'00_Formulaire_Saisie'!I38,"")</x:f>
      </x:c>
      <x:c r="J38" s="76" t="str">
        <x:f>IF('00_Formulaire_Saisie'!$P38="Validé humainement",'00_Formulaire_Saisie'!J38,"")</x:f>
      </x:c>
      <x:c r="K38" s="76" t="str">
        <x:f>IF('00_Formulaire_Saisie'!$P38="Validé humainement",'00_Formulaire_Saisie'!K38,"")</x:f>
      </x:c>
      <x:c r="L38" s="76" t="str">
        <x:f>IF('00_Formulaire_Saisie'!$P38="Validé humainement",'00_Formulaire_Saisie'!L38,"")</x:f>
      </x:c>
      <x:c r="M38" s="76" t="str">
        <x:f>IF('00_Formulaire_Saisie'!$P38="Validé humainement",'00_Formulaire_Saisie'!M38,"")</x:f>
      </x:c>
      <x:c r="N38" s="76" t="str">
        <x:f>IF('00_Formulaire_Saisie'!$P38="Validé humainement",'00_Formulaire_Saisie'!N38,"")</x:f>
      </x:c>
      <x:c r="O38" s="76" t="str">
        <x:f>IF('00_Formulaire_Saisie'!$P38="Validé humainement",'00_Formulaire_Saisie'!O38,"")</x:f>
      </x:c>
      <x:c r="P38" s="76" t="str">
        <x:f>IF('00_Formulaire_Saisie'!$P38="Validé humainement",'00_Formulaire_Saisie'!P38,"")</x:f>
      </x:c>
      <x:c r="Q38" s="76" t="str">
        <x:f>IF('00_Formulaire_Saisie'!$P38="Validé humainement",'00_Formulaire_Saisie'!Q38,"")</x:f>
      </x:c>
      <x:c r="R38" s="78" t="str">
        <x:f>IF('00_Formulaire_Saisie'!$P38="Validé humainement",'00_Formulaire_Saisie'!R38,"")</x:f>
      </x:c>
      <x:c r="S38" s="76" t="str">
        <x:f>IF('00_Formulaire_Saisie'!$P38="Validé humainement",'00_Formulaire_Saisie'!S38,"")</x:f>
      </x:c>
      <x:c r="T38" s="76" t="str">
        <x:f>IF('00_Formulaire_Saisie'!$P38="Validé humainement",'00_Formulaire_Saisie'!T38,"")</x:f>
      </x:c>
      <x:c r="U38" s="76" t="str">
        <x:f>IF('00_Formulaire_Saisie'!$P38="Validé humainement",'00_Formulaire_Saisie'!U38,"")</x:f>
      </x:c>
    </x:row>
    <x:row r="39">
      <x:c r="A39" s="76" t="str">
        <x:f>IF('00_Formulaire_Saisie'!$P39="Validé humainement",'00_Formulaire_Saisie'!A39,"")</x:f>
      </x:c>
      <x:c r="B39" s="76" t="str">
        <x:f>IF('00_Formulaire_Saisie'!$P39="Validé humainement",'00_Formulaire_Saisie'!B39,"")</x:f>
      </x:c>
      <x:c r="C39" s="76" t="str">
        <x:f>IF('00_Formulaire_Saisie'!$P39="Validé humainement",'00_Formulaire_Saisie'!C39,"")</x:f>
      </x:c>
      <x:c r="D39" s="76" t="str">
        <x:f>IF('00_Formulaire_Saisie'!$P39="Validé humainement",'00_Formulaire_Saisie'!D39,"")</x:f>
      </x:c>
      <x:c r="E39" s="76" t="str">
        <x:f>IF('00_Formulaire_Saisie'!$P39="Validé humainement",'00_Formulaire_Saisie'!E39,"")</x:f>
      </x:c>
      <x:c r="F39" s="76" t="str">
        <x:f>IF('00_Formulaire_Saisie'!$P39="Validé humainement",'00_Formulaire_Saisie'!F39,"")</x:f>
      </x:c>
      <x:c r="G39" s="76" t="str">
        <x:f>IF('00_Formulaire_Saisie'!$P39="Validé humainement",'00_Formulaire_Saisie'!G39,"")</x:f>
      </x:c>
      <x:c r="H39" s="77" t="str">
        <x:f>IF('00_Formulaire_Saisie'!$P39="Validé humainement",'00_Formulaire_Saisie'!H39,"")</x:f>
      </x:c>
      <x:c r="I39" s="76" t="str">
        <x:f>IF('00_Formulaire_Saisie'!$P39="Validé humainement",'00_Formulaire_Saisie'!I39,"")</x:f>
      </x:c>
      <x:c r="J39" s="76" t="str">
        <x:f>IF('00_Formulaire_Saisie'!$P39="Validé humainement",'00_Formulaire_Saisie'!J39,"")</x:f>
      </x:c>
      <x:c r="K39" s="76" t="str">
        <x:f>IF('00_Formulaire_Saisie'!$P39="Validé humainement",'00_Formulaire_Saisie'!K39,"")</x:f>
      </x:c>
      <x:c r="L39" s="76" t="str">
        <x:f>IF('00_Formulaire_Saisie'!$P39="Validé humainement",'00_Formulaire_Saisie'!L39,"")</x:f>
      </x:c>
      <x:c r="M39" s="76" t="str">
        <x:f>IF('00_Formulaire_Saisie'!$P39="Validé humainement",'00_Formulaire_Saisie'!M39,"")</x:f>
      </x:c>
      <x:c r="N39" s="76" t="str">
        <x:f>IF('00_Formulaire_Saisie'!$P39="Validé humainement",'00_Formulaire_Saisie'!N39,"")</x:f>
      </x:c>
      <x:c r="O39" s="76" t="str">
        <x:f>IF('00_Formulaire_Saisie'!$P39="Validé humainement",'00_Formulaire_Saisie'!O39,"")</x:f>
      </x:c>
      <x:c r="P39" s="76" t="str">
        <x:f>IF('00_Formulaire_Saisie'!$P39="Validé humainement",'00_Formulaire_Saisie'!P39,"")</x:f>
      </x:c>
      <x:c r="Q39" s="76" t="str">
        <x:f>IF('00_Formulaire_Saisie'!$P39="Validé humainement",'00_Formulaire_Saisie'!Q39,"")</x:f>
      </x:c>
      <x:c r="R39" s="78" t="str">
        <x:f>IF('00_Formulaire_Saisie'!$P39="Validé humainement",'00_Formulaire_Saisie'!R39,"")</x:f>
      </x:c>
      <x:c r="S39" s="76" t="str">
        <x:f>IF('00_Formulaire_Saisie'!$P39="Validé humainement",'00_Formulaire_Saisie'!S39,"")</x:f>
      </x:c>
      <x:c r="T39" s="76" t="str">
        <x:f>IF('00_Formulaire_Saisie'!$P39="Validé humainement",'00_Formulaire_Saisie'!T39,"")</x:f>
      </x:c>
      <x:c r="U39" s="76" t="str">
        <x:f>IF('00_Formulaire_Saisie'!$P39="Validé humainement",'00_Formulaire_Saisie'!U39,"")</x:f>
      </x:c>
    </x:row>
    <x:row r="40">
      <x:c r="A40" s="76" t="str">
        <x:f>IF('00_Formulaire_Saisie'!$P40="Validé humainement",'00_Formulaire_Saisie'!A40,"")</x:f>
      </x:c>
      <x:c r="B40" s="76" t="str">
        <x:f>IF('00_Formulaire_Saisie'!$P40="Validé humainement",'00_Formulaire_Saisie'!B40,"")</x:f>
      </x:c>
      <x:c r="C40" s="76" t="str">
        <x:f>IF('00_Formulaire_Saisie'!$P40="Validé humainement",'00_Formulaire_Saisie'!C40,"")</x:f>
      </x:c>
      <x:c r="D40" s="76" t="str">
        <x:f>IF('00_Formulaire_Saisie'!$P40="Validé humainement",'00_Formulaire_Saisie'!D40,"")</x:f>
      </x:c>
      <x:c r="E40" s="76" t="str">
        <x:f>IF('00_Formulaire_Saisie'!$P40="Validé humainement",'00_Formulaire_Saisie'!E40,"")</x:f>
      </x:c>
      <x:c r="F40" s="76" t="str">
        <x:f>IF('00_Formulaire_Saisie'!$P40="Validé humainement",'00_Formulaire_Saisie'!F40,"")</x:f>
      </x:c>
      <x:c r="G40" s="76" t="str">
        <x:f>IF('00_Formulaire_Saisie'!$P40="Validé humainement",'00_Formulaire_Saisie'!G40,"")</x:f>
      </x:c>
      <x:c r="H40" s="77" t="str">
        <x:f>IF('00_Formulaire_Saisie'!$P40="Validé humainement",'00_Formulaire_Saisie'!H40,"")</x:f>
      </x:c>
      <x:c r="I40" s="76" t="str">
        <x:f>IF('00_Formulaire_Saisie'!$P40="Validé humainement",'00_Formulaire_Saisie'!I40,"")</x:f>
      </x:c>
      <x:c r="J40" s="76" t="str">
        <x:f>IF('00_Formulaire_Saisie'!$P40="Validé humainement",'00_Formulaire_Saisie'!J40,"")</x:f>
      </x:c>
      <x:c r="K40" s="76" t="str">
        <x:f>IF('00_Formulaire_Saisie'!$P40="Validé humainement",'00_Formulaire_Saisie'!K40,"")</x:f>
      </x:c>
      <x:c r="L40" s="76" t="str">
        <x:f>IF('00_Formulaire_Saisie'!$P40="Validé humainement",'00_Formulaire_Saisie'!L40,"")</x:f>
      </x:c>
      <x:c r="M40" s="76" t="str">
        <x:f>IF('00_Formulaire_Saisie'!$P40="Validé humainement",'00_Formulaire_Saisie'!M40,"")</x:f>
      </x:c>
      <x:c r="N40" s="76" t="str">
        <x:f>IF('00_Formulaire_Saisie'!$P40="Validé humainement",'00_Formulaire_Saisie'!N40,"")</x:f>
      </x:c>
      <x:c r="O40" s="76" t="str">
        <x:f>IF('00_Formulaire_Saisie'!$P40="Validé humainement",'00_Formulaire_Saisie'!O40,"")</x:f>
      </x:c>
      <x:c r="P40" s="76" t="str">
        <x:f>IF('00_Formulaire_Saisie'!$P40="Validé humainement",'00_Formulaire_Saisie'!P40,"")</x:f>
      </x:c>
      <x:c r="Q40" s="76" t="str">
        <x:f>IF('00_Formulaire_Saisie'!$P40="Validé humainement",'00_Formulaire_Saisie'!Q40,"")</x:f>
      </x:c>
      <x:c r="R40" s="78" t="str">
        <x:f>IF('00_Formulaire_Saisie'!$P40="Validé humainement",'00_Formulaire_Saisie'!R40,"")</x:f>
      </x:c>
      <x:c r="S40" s="76" t="str">
        <x:f>IF('00_Formulaire_Saisie'!$P40="Validé humainement",'00_Formulaire_Saisie'!S40,"")</x:f>
      </x:c>
      <x:c r="T40" s="76" t="str">
        <x:f>IF('00_Formulaire_Saisie'!$P40="Validé humainement",'00_Formulaire_Saisie'!T40,"")</x:f>
      </x:c>
      <x:c r="U40" s="76" t="str">
        <x:f>IF('00_Formulaire_Saisie'!$P40="Validé humainement",'00_Formulaire_Saisie'!U40,"")</x:f>
      </x:c>
    </x:row>
    <x:row r="41">
      <x:c r="A41" s="76" t="str">
        <x:f>IF('00_Formulaire_Saisie'!$P41="Validé humainement",'00_Formulaire_Saisie'!A41,"")</x:f>
      </x:c>
      <x:c r="B41" s="76" t="str">
        <x:f>IF('00_Formulaire_Saisie'!$P41="Validé humainement",'00_Formulaire_Saisie'!B41,"")</x:f>
      </x:c>
      <x:c r="C41" s="76" t="str">
        <x:f>IF('00_Formulaire_Saisie'!$P41="Validé humainement",'00_Formulaire_Saisie'!C41,"")</x:f>
      </x:c>
      <x:c r="D41" s="76" t="str">
        <x:f>IF('00_Formulaire_Saisie'!$P41="Validé humainement",'00_Formulaire_Saisie'!D41,"")</x:f>
      </x:c>
      <x:c r="E41" s="76" t="str">
        <x:f>IF('00_Formulaire_Saisie'!$P41="Validé humainement",'00_Formulaire_Saisie'!E41,"")</x:f>
      </x:c>
      <x:c r="F41" s="76" t="str">
        <x:f>IF('00_Formulaire_Saisie'!$P41="Validé humainement",'00_Formulaire_Saisie'!F41,"")</x:f>
      </x:c>
      <x:c r="G41" s="76" t="str">
        <x:f>IF('00_Formulaire_Saisie'!$P41="Validé humainement",'00_Formulaire_Saisie'!G41,"")</x:f>
      </x:c>
      <x:c r="H41" s="77" t="str">
        <x:f>IF('00_Formulaire_Saisie'!$P41="Validé humainement",'00_Formulaire_Saisie'!H41,"")</x:f>
      </x:c>
      <x:c r="I41" s="76" t="str">
        <x:f>IF('00_Formulaire_Saisie'!$P41="Validé humainement",'00_Formulaire_Saisie'!I41,"")</x:f>
      </x:c>
      <x:c r="J41" s="76" t="str">
        <x:f>IF('00_Formulaire_Saisie'!$P41="Validé humainement",'00_Formulaire_Saisie'!J41,"")</x:f>
      </x:c>
      <x:c r="K41" s="76" t="str">
        <x:f>IF('00_Formulaire_Saisie'!$P41="Validé humainement",'00_Formulaire_Saisie'!K41,"")</x:f>
      </x:c>
      <x:c r="L41" s="76" t="str">
        <x:f>IF('00_Formulaire_Saisie'!$P41="Validé humainement",'00_Formulaire_Saisie'!L41,"")</x:f>
      </x:c>
      <x:c r="M41" s="76" t="str">
        <x:f>IF('00_Formulaire_Saisie'!$P41="Validé humainement",'00_Formulaire_Saisie'!M41,"")</x:f>
      </x:c>
      <x:c r="N41" s="76" t="str">
        <x:f>IF('00_Formulaire_Saisie'!$P41="Validé humainement",'00_Formulaire_Saisie'!N41,"")</x:f>
      </x:c>
      <x:c r="O41" s="76" t="str">
        <x:f>IF('00_Formulaire_Saisie'!$P41="Validé humainement",'00_Formulaire_Saisie'!O41,"")</x:f>
      </x:c>
      <x:c r="P41" s="76" t="str">
        <x:f>IF('00_Formulaire_Saisie'!$P41="Validé humainement",'00_Formulaire_Saisie'!P41,"")</x:f>
      </x:c>
      <x:c r="Q41" s="76" t="str">
        <x:f>IF('00_Formulaire_Saisie'!$P41="Validé humainement",'00_Formulaire_Saisie'!Q41,"")</x:f>
      </x:c>
      <x:c r="R41" s="78" t="str">
        <x:f>IF('00_Formulaire_Saisie'!$P41="Validé humainement",'00_Formulaire_Saisie'!R41,"")</x:f>
      </x:c>
      <x:c r="S41" s="76" t="str">
        <x:f>IF('00_Formulaire_Saisie'!$P41="Validé humainement",'00_Formulaire_Saisie'!S41,"")</x:f>
      </x:c>
      <x:c r="T41" s="76" t="str">
        <x:f>IF('00_Formulaire_Saisie'!$P41="Validé humainement",'00_Formulaire_Saisie'!T41,"")</x:f>
      </x:c>
      <x:c r="U41" s="76" t="str">
        <x:f>IF('00_Formulaire_Saisie'!$P41="Validé humainement",'00_Formulaire_Saisie'!U41,"")</x:f>
      </x:c>
    </x:row>
    <x:row r="42">
      <x:c r="A42" s="76" t="str">
        <x:f>IF('00_Formulaire_Saisie'!$P42="Validé humainement",'00_Formulaire_Saisie'!A42,"")</x:f>
      </x:c>
      <x:c r="B42" s="76" t="str">
        <x:f>IF('00_Formulaire_Saisie'!$P42="Validé humainement",'00_Formulaire_Saisie'!B42,"")</x:f>
      </x:c>
      <x:c r="C42" s="76" t="str">
        <x:f>IF('00_Formulaire_Saisie'!$P42="Validé humainement",'00_Formulaire_Saisie'!C42,"")</x:f>
      </x:c>
      <x:c r="D42" s="76" t="str">
        <x:f>IF('00_Formulaire_Saisie'!$P42="Validé humainement",'00_Formulaire_Saisie'!D42,"")</x:f>
      </x:c>
      <x:c r="E42" s="76" t="str">
        <x:f>IF('00_Formulaire_Saisie'!$P42="Validé humainement",'00_Formulaire_Saisie'!E42,"")</x:f>
      </x:c>
      <x:c r="F42" s="76" t="str">
        <x:f>IF('00_Formulaire_Saisie'!$P42="Validé humainement",'00_Formulaire_Saisie'!F42,"")</x:f>
      </x:c>
      <x:c r="G42" s="76" t="str">
        <x:f>IF('00_Formulaire_Saisie'!$P42="Validé humainement",'00_Formulaire_Saisie'!G42,"")</x:f>
      </x:c>
      <x:c r="H42" s="77" t="str">
        <x:f>IF('00_Formulaire_Saisie'!$P42="Validé humainement",'00_Formulaire_Saisie'!H42,"")</x:f>
      </x:c>
      <x:c r="I42" s="76" t="str">
        <x:f>IF('00_Formulaire_Saisie'!$P42="Validé humainement",'00_Formulaire_Saisie'!I42,"")</x:f>
      </x:c>
      <x:c r="J42" s="76" t="str">
        <x:f>IF('00_Formulaire_Saisie'!$P42="Validé humainement",'00_Formulaire_Saisie'!J42,"")</x:f>
      </x:c>
      <x:c r="K42" s="76" t="str">
        <x:f>IF('00_Formulaire_Saisie'!$P42="Validé humainement",'00_Formulaire_Saisie'!K42,"")</x:f>
      </x:c>
      <x:c r="L42" s="76" t="str">
        <x:f>IF('00_Formulaire_Saisie'!$P42="Validé humainement",'00_Formulaire_Saisie'!L42,"")</x:f>
      </x:c>
      <x:c r="M42" s="76" t="str">
        <x:f>IF('00_Formulaire_Saisie'!$P42="Validé humainement",'00_Formulaire_Saisie'!M42,"")</x:f>
      </x:c>
      <x:c r="N42" s="76" t="str">
        <x:f>IF('00_Formulaire_Saisie'!$P42="Validé humainement",'00_Formulaire_Saisie'!N42,"")</x:f>
      </x:c>
      <x:c r="O42" s="76" t="str">
        <x:f>IF('00_Formulaire_Saisie'!$P42="Validé humainement",'00_Formulaire_Saisie'!O42,"")</x:f>
      </x:c>
      <x:c r="P42" s="76" t="str">
        <x:f>IF('00_Formulaire_Saisie'!$P42="Validé humainement",'00_Formulaire_Saisie'!P42,"")</x:f>
      </x:c>
      <x:c r="Q42" s="76" t="str">
        <x:f>IF('00_Formulaire_Saisie'!$P42="Validé humainement",'00_Formulaire_Saisie'!Q42,"")</x:f>
      </x:c>
      <x:c r="R42" s="78" t="str">
        <x:f>IF('00_Formulaire_Saisie'!$P42="Validé humainement",'00_Formulaire_Saisie'!R42,"")</x:f>
      </x:c>
      <x:c r="S42" s="76" t="str">
        <x:f>IF('00_Formulaire_Saisie'!$P42="Validé humainement",'00_Formulaire_Saisie'!S42,"")</x:f>
      </x:c>
      <x:c r="T42" s="76" t="str">
        <x:f>IF('00_Formulaire_Saisie'!$P42="Validé humainement",'00_Formulaire_Saisie'!T42,"")</x:f>
      </x:c>
      <x:c r="U42" s="76" t="str">
        <x:f>IF('00_Formulaire_Saisie'!$P42="Validé humainement",'00_Formulaire_Saisie'!U42,"")</x:f>
      </x:c>
    </x:row>
    <x:row r="43">
      <x:c r="A43" s="76" t="str">
        <x:f>IF('00_Formulaire_Saisie'!$P43="Validé humainement",'00_Formulaire_Saisie'!A43,"")</x:f>
      </x:c>
      <x:c r="B43" s="76" t="str">
        <x:f>IF('00_Formulaire_Saisie'!$P43="Validé humainement",'00_Formulaire_Saisie'!B43,"")</x:f>
      </x:c>
      <x:c r="C43" s="76" t="str">
        <x:f>IF('00_Formulaire_Saisie'!$P43="Validé humainement",'00_Formulaire_Saisie'!C43,"")</x:f>
      </x:c>
      <x:c r="D43" s="76" t="str">
        <x:f>IF('00_Formulaire_Saisie'!$P43="Validé humainement",'00_Formulaire_Saisie'!D43,"")</x:f>
      </x:c>
      <x:c r="E43" s="76" t="str">
        <x:f>IF('00_Formulaire_Saisie'!$P43="Validé humainement",'00_Formulaire_Saisie'!E43,"")</x:f>
      </x:c>
      <x:c r="F43" s="76" t="str">
        <x:f>IF('00_Formulaire_Saisie'!$P43="Validé humainement",'00_Formulaire_Saisie'!F43,"")</x:f>
      </x:c>
      <x:c r="G43" s="76" t="str">
        <x:f>IF('00_Formulaire_Saisie'!$P43="Validé humainement",'00_Formulaire_Saisie'!G43,"")</x:f>
      </x:c>
      <x:c r="H43" s="77" t="str">
        <x:f>IF('00_Formulaire_Saisie'!$P43="Validé humainement",'00_Formulaire_Saisie'!H43,"")</x:f>
      </x:c>
      <x:c r="I43" s="76" t="str">
        <x:f>IF('00_Formulaire_Saisie'!$P43="Validé humainement",'00_Formulaire_Saisie'!I43,"")</x:f>
      </x:c>
      <x:c r="J43" s="76" t="str">
        <x:f>IF('00_Formulaire_Saisie'!$P43="Validé humainement",'00_Formulaire_Saisie'!J43,"")</x:f>
      </x:c>
      <x:c r="K43" s="76" t="str">
        <x:f>IF('00_Formulaire_Saisie'!$P43="Validé humainement",'00_Formulaire_Saisie'!K43,"")</x:f>
      </x:c>
      <x:c r="L43" s="76" t="str">
        <x:f>IF('00_Formulaire_Saisie'!$P43="Validé humainement",'00_Formulaire_Saisie'!L43,"")</x:f>
      </x:c>
      <x:c r="M43" s="76" t="str">
        <x:f>IF('00_Formulaire_Saisie'!$P43="Validé humainement",'00_Formulaire_Saisie'!M43,"")</x:f>
      </x:c>
      <x:c r="N43" s="76" t="str">
        <x:f>IF('00_Formulaire_Saisie'!$P43="Validé humainement",'00_Formulaire_Saisie'!N43,"")</x:f>
      </x:c>
      <x:c r="O43" s="76" t="str">
        <x:f>IF('00_Formulaire_Saisie'!$P43="Validé humainement",'00_Formulaire_Saisie'!O43,"")</x:f>
      </x:c>
      <x:c r="P43" s="76" t="str">
        <x:f>IF('00_Formulaire_Saisie'!$P43="Validé humainement",'00_Formulaire_Saisie'!P43,"")</x:f>
      </x:c>
      <x:c r="Q43" s="76" t="str">
        <x:f>IF('00_Formulaire_Saisie'!$P43="Validé humainement",'00_Formulaire_Saisie'!Q43,"")</x:f>
      </x:c>
      <x:c r="R43" s="78" t="str">
        <x:f>IF('00_Formulaire_Saisie'!$P43="Validé humainement",'00_Formulaire_Saisie'!R43,"")</x:f>
      </x:c>
      <x:c r="S43" s="76" t="str">
        <x:f>IF('00_Formulaire_Saisie'!$P43="Validé humainement",'00_Formulaire_Saisie'!S43,"")</x:f>
      </x:c>
      <x:c r="T43" s="76" t="str">
        <x:f>IF('00_Formulaire_Saisie'!$P43="Validé humainement",'00_Formulaire_Saisie'!T43,"")</x:f>
      </x:c>
      <x:c r="U43" s="76" t="str">
        <x:f>IF('00_Formulaire_Saisie'!$P43="Validé humainement",'00_Formulaire_Saisie'!U43,"")</x:f>
      </x:c>
    </x:row>
    <x:row r="44">
      <x:c r="A44" s="76" t="str">
        <x:f>IF('00_Formulaire_Saisie'!$P44="Validé humainement",'00_Formulaire_Saisie'!A44,"")</x:f>
      </x:c>
      <x:c r="B44" s="76" t="str">
        <x:f>IF('00_Formulaire_Saisie'!$P44="Validé humainement",'00_Formulaire_Saisie'!B44,"")</x:f>
      </x:c>
      <x:c r="C44" s="76" t="str">
        <x:f>IF('00_Formulaire_Saisie'!$P44="Validé humainement",'00_Formulaire_Saisie'!C44,"")</x:f>
      </x:c>
      <x:c r="D44" s="76" t="str">
        <x:f>IF('00_Formulaire_Saisie'!$P44="Validé humainement",'00_Formulaire_Saisie'!D44,"")</x:f>
      </x:c>
      <x:c r="E44" s="76" t="str">
        <x:f>IF('00_Formulaire_Saisie'!$P44="Validé humainement",'00_Formulaire_Saisie'!E44,"")</x:f>
      </x:c>
      <x:c r="F44" s="76" t="str">
        <x:f>IF('00_Formulaire_Saisie'!$P44="Validé humainement",'00_Formulaire_Saisie'!F44,"")</x:f>
      </x:c>
      <x:c r="G44" s="76" t="str">
        <x:f>IF('00_Formulaire_Saisie'!$P44="Validé humainement",'00_Formulaire_Saisie'!G44,"")</x:f>
      </x:c>
      <x:c r="H44" s="77" t="str">
        <x:f>IF('00_Formulaire_Saisie'!$P44="Validé humainement",'00_Formulaire_Saisie'!H44,"")</x:f>
      </x:c>
      <x:c r="I44" s="76" t="str">
        <x:f>IF('00_Formulaire_Saisie'!$P44="Validé humainement",'00_Formulaire_Saisie'!I44,"")</x:f>
      </x:c>
      <x:c r="J44" s="76" t="str">
        <x:f>IF('00_Formulaire_Saisie'!$P44="Validé humainement",'00_Formulaire_Saisie'!J44,"")</x:f>
      </x:c>
      <x:c r="K44" s="76" t="str">
        <x:f>IF('00_Formulaire_Saisie'!$P44="Validé humainement",'00_Formulaire_Saisie'!K44,"")</x:f>
      </x:c>
      <x:c r="L44" s="76" t="str">
        <x:f>IF('00_Formulaire_Saisie'!$P44="Validé humainement",'00_Formulaire_Saisie'!L44,"")</x:f>
      </x:c>
      <x:c r="M44" s="76" t="str">
        <x:f>IF('00_Formulaire_Saisie'!$P44="Validé humainement",'00_Formulaire_Saisie'!M44,"")</x:f>
      </x:c>
      <x:c r="N44" s="76" t="str">
        <x:f>IF('00_Formulaire_Saisie'!$P44="Validé humainement",'00_Formulaire_Saisie'!N44,"")</x:f>
      </x:c>
      <x:c r="O44" s="76" t="str">
        <x:f>IF('00_Formulaire_Saisie'!$P44="Validé humainement",'00_Formulaire_Saisie'!O44,"")</x:f>
      </x:c>
      <x:c r="P44" s="76" t="str">
        <x:f>IF('00_Formulaire_Saisie'!$P44="Validé humainement",'00_Formulaire_Saisie'!P44,"")</x:f>
      </x:c>
      <x:c r="Q44" s="76" t="str">
        <x:f>IF('00_Formulaire_Saisie'!$P44="Validé humainement",'00_Formulaire_Saisie'!Q44,"")</x:f>
      </x:c>
      <x:c r="R44" s="78" t="str">
        <x:f>IF('00_Formulaire_Saisie'!$P44="Validé humainement",'00_Formulaire_Saisie'!R44,"")</x:f>
      </x:c>
      <x:c r="S44" s="76" t="str">
        <x:f>IF('00_Formulaire_Saisie'!$P44="Validé humainement",'00_Formulaire_Saisie'!S44,"")</x:f>
      </x:c>
      <x:c r="T44" s="76" t="str">
        <x:f>IF('00_Formulaire_Saisie'!$P44="Validé humainement",'00_Formulaire_Saisie'!T44,"")</x:f>
      </x:c>
      <x:c r="U44" s="76" t="str">
        <x:f>IF('00_Formulaire_Saisie'!$P44="Validé humainement",'00_Formulaire_Saisie'!U44,"")</x:f>
      </x:c>
    </x:row>
    <x:row r="45">
      <x:c r="A45" s="76" t="str">
        <x:f>IF('00_Formulaire_Saisie'!$P45="Validé humainement",'00_Formulaire_Saisie'!A45,"")</x:f>
      </x:c>
      <x:c r="B45" s="76" t="str">
        <x:f>IF('00_Formulaire_Saisie'!$P45="Validé humainement",'00_Formulaire_Saisie'!B45,"")</x:f>
      </x:c>
      <x:c r="C45" s="76" t="str">
        <x:f>IF('00_Formulaire_Saisie'!$P45="Validé humainement",'00_Formulaire_Saisie'!C45,"")</x:f>
      </x:c>
      <x:c r="D45" s="76" t="str">
        <x:f>IF('00_Formulaire_Saisie'!$P45="Validé humainement",'00_Formulaire_Saisie'!D45,"")</x:f>
      </x:c>
      <x:c r="E45" s="76" t="str">
        <x:f>IF('00_Formulaire_Saisie'!$P45="Validé humainement",'00_Formulaire_Saisie'!E45,"")</x:f>
      </x:c>
      <x:c r="F45" s="76" t="str">
        <x:f>IF('00_Formulaire_Saisie'!$P45="Validé humainement",'00_Formulaire_Saisie'!F45,"")</x:f>
      </x:c>
      <x:c r="G45" s="76" t="str">
        <x:f>IF('00_Formulaire_Saisie'!$P45="Validé humainement",'00_Formulaire_Saisie'!G45,"")</x:f>
      </x:c>
      <x:c r="H45" s="77" t="str">
        <x:f>IF('00_Formulaire_Saisie'!$P45="Validé humainement",'00_Formulaire_Saisie'!H45,"")</x:f>
      </x:c>
      <x:c r="I45" s="76" t="str">
        <x:f>IF('00_Formulaire_Saisie'!$P45="Validé humainement",'00_Formulaire_Saisie'!I45,"")</x:f>
      </x:c>
      <x:c r="J45" s="76" t="str">
        <x:f>IF('00_Formulaire_Saisie'!$P45="Validé humainement",'00_Formulaire_Saisie'!J45,"")</x:f>
      </x:c>
      <x:c r="K45" s="76" t="str">
        <x:f>IF('00_Formulaire_Saisie'!$P45="Validé humainement",'00_Formulaire_Saisie'!K45,"")</x:f>
      </x:c>
      <x:c r="L45" s="76" t="str">
        <x:f>IF('00_Formulaire_Saisie'!$P45="Validé humainement",'00_Formulaire_Saisie'!L45,"")</x:f>
      </x:c>
      <x:c r="M45" s="76" t="str">
        <x:f>IF('00_Formulaire_Saisie'!$P45="Validé humainement",'00_Formulaire_Saisie'!M45,"")</x:f>
      </x:c>
      <x:c r="N45" s="76" t="str">
        <x:f>IF('00_Formulaire_Saisie'!$P45="Validé humainement",'00_Formulaire_Saisie'!N45,"")</x:f>
      </x:c>
      <x:c r="O45" s="76" t="str">
        <x:f>IF('00_Formulaire_Saisie'!$P45="Validé humainement",'00_Formulaire_Saisie'!O45,"")</x:f>
      </x:c>
      <x:c r="P45" s="76" t="str">
        <x:f>IF('00_Formulaire_Saisie'!$P45="Validé humainement",'00_Formulaire_Saisie'!P45,"")</x:f>
      </x:c>
      <x:c r="Q45" s="76" t="str">
        <x:f>IF('00_Formulaire_Saisie'!$P45="Validé humainement",'00_Formulaire_Saisie'!Q45,"")</x:f>
      </x:c>
      <x:c r="R45" s="78" t="str">
        <x:f>IF('00_Formulaire_Saisie'!$P45="Validé humainement",'00_Formulaire_Saisie'!R45,"")</x:f>
      </x:c>
      <x:c r="S45" s="76" t="str">
        <x:f>IF('00_Formulaire_Saisie'!$P45="Validé humainement",'00_Formulaire_Saisie'!S45,"")</x:f>
      </x:c>
      <x:c r="T45" s="76" t="str">
        <x:f>IF('00_Formulaire_Saisie'!$P45="Validé humainement",'00_Formulaire_Saisie'!T45,"")</x:f>
      </x:c>
      <x:c r="U45" s="76" t="str">
        <x:f>IF('00_Formulaire_Saisie'!$P45="Validé humainement",'00_Formulaire_Saisie'!U45,"")</x:f>
      </x:c>
    </x:row>
    <x:row r="46">
      <x:c r="A46" s="76" t="str">
        <x:f>IF('00_Formulaire_Saisie'!$P46="Validé humainement",'00_Formulaire_Saisie'!A46,"")</x:f>
      </x:c>
      <x:c r="B46" s="76" t="str">
        <x:f>IF('00_Formulaire_Saisie'!$P46="Validé humainement",'00_Formulaire_Saisie'!B46,"")</x:f>
      </x:c>
      <x:c r="C46" s="76" t="str">
        <x:f>IF('00_Formulaire_Saisie'!$P46="Validé humainement",'00_Formulaire_Saisie'!C46,"")</x:f>
      </x:c>
      <x:c r="D46" s="76" t="str">
        <x:f>IF('00_Formulaire_Saisie'!$P46="Validé humainement",'00_Formulaire_Saisie'!D46,"")</x:f>
      </x:c>
      <x:c r="E46" s="76" t="str">
        <x:f>IF('00_Formulaire_Saisie'!$P46="Validé humainement",'00_Formulaire_Saisie'!E46,"")</x:f>
      </x:c>
      <x:c r="F46" s="76" t="str">
        <x:f>IF('00_Formulaire_Saisie'!$P46="Validé humainement",'00_Formulaire_Saisie'!F46,"")</x:f>
      </x:c>
      <x:c r="G46" s="76" t="str">
        <x:f>IF('00_Formulaire_Saisie'!$P46="Validé humainement",'00_Formulaire_Saisie'!G46,"")</x:f>
      </x:c>
      <x:c r="H46" s="77" t="str">
        <x:f>IF('00_Formulaire_Saisie'!$P46="Validé humainement",'00_Formulaire_Saisie'!H46,"")</x:f>
      </x:c>
      <x:c r="I46" s="76" t="str">
        <x:f>IF('00_Formulaire_Saisie'!$P46="Validé humainement",'00_Formulaire_Saisie'!I46,"")</x:f>
      </x:c>
      <x:c r="J46" s="76" t="str">
        <x:f>IF('00_Formulaire_Saisie'!$P46="Validé humainement",'00_Formulaire_Saisie'!J46,"")</x:f>
      </x:c>
      <x:c r="K46" s="76" t="str">
        <x:f>IF('00_Formulaire_Saisie'!$P46="Validé humainement",'00_Formulaire_Saisie'!K46,"")</x:f>
      </x:c>
      <x:c r="L46" s="76" t="str">
        <x:f>IF('00_Formulaire_Saisie'!$P46="Validé humainement",'00_Formulaire_Saisie'!L46,"")</x:f>
      </x:c>
      <x:c r="M46" s="76" t="str">
        <x:f>IF('00_Formulaire_Saisie'!$P46="Validé humainement",'00_Formulaire_Saisie'!M46,"")</x:f>
      </x:c>
      <x:c r="N46" s="76" t="str">
        <x:f>IF('00_Formulaire_Saisie'!$P46="Validé humainement",'00_Formulaire_Saisie'!N46,"")</x:f>
      </x:c>
      <x:c r="O46" s="76" t="str">
        <x:f>IF('00_Formulaire_Saisie'!$P46="Validé humainement",'00_Formulaire_Saisie'!O46,"")</x:f>
      </x:c>
      <x:c r="P46" s="76" t="str">
        <x:f>IF('00_Formulaire_Saisie'!$P46="Validé humainement",'00_Formulaire_Saisie'!P46,"")</x:f>
      </x:c>
      <x:c r="Q46" s="76" t="str">
        <x:f>IF('00_Formulaire_Saisie'!$P46="Validé humainement",'00_Formulaire_Saisie'!Q46,"")</x:f>
      </x:c>
      <x:c r="R46" s="78" t="str">
        <x:f>IF('00_Formulaire_Saisie'!$P46="Validé humainement",'00_Formulaire_Saisie'!R46,"")</x:f>
      </x:c>
      <x:c r="S46" s="76" t="str">
        <x:f>IF('00_Formulaire_Saisie'!$P46="Validé humainement",'00_Formulaire_Saisie'!S46,"")</x:f>
      </x:c>
      <x:c r="T46" s="76" t="str">
        <x:f>IF('00_Formulaire_Saisie'!$P46="Validé humainement",'00_Formulaire_Saisie'!T46,"")</x:f>
      </x:c>
      <x:c r="U46" s="76" t="str">
        <x:f>IF('00_Formulaire_Saisie'!$P46="Validé humainement",'00_Formulaire_Saisie'!U46,"")</x:f>
      </x:c>
    </x:row>
    <x:row r="47">
      <x:c r="A47" s="76" t="str">
        <x:f>IF('00_Formulaire_Saisie'!$P47="Validé humainement",'00_Formulaire_Saisie'!A47,"")</x:f>
      </x:c>
      <x:c r="B47" s="76" t="str">
        <x:f>IF('00_Formulaire_Saisie'!$P47="Validé humainement",'00_Formulaire_Saisie'!B47,"")</x:f>
      </x:c>
      <x:c r="C47" s="76" t="str">
        <x:f>IF('00_Formulaire_Saisie'!$P47="Validé humainement",'00_Formulaire_Saisie'!C47,"")</x:f>
      </x:c>
      <x:c r="D47" s="76" t="str">
        <x:f>IF('00_Formulaire_Saisie'!$P47="Validé humainement",'00_Formulaire_Saisie'!D47,"")</x:f>
      </x:c>
      <x:c r="E47" s="76" t="str">
        <x:f>IF('00_Formulaire_Saisie'!$P47="Validé humainement",'00_Formulaire_Saisie'!E47,"")</x:f>
      </x:c>
      <x:c r="F47" s="76" t="str">
        <x:f>IF('00_Formulaire_Saisie'!$P47="Validé humainement",'00_Formulaire_Saisie'!F47,"")</x:f>
      </x:c>
      <x:c r="G47" s="76" t="str">
        <x:f>IF('00_Formulaire_Saisie'!$P47="Validé humainement",'00_Formulaire_Saisie'!G47,"")</x:f>
      </x:c>
      <x:c r="H47" s="77" t="str">
        <x:f>IF('00_Formulaire_Saisie'!$P47="Validé humainement",'00_Formulaire_Saisie'!H47,"")</x:f>
      </x:c>
      <x:c r="I47" s="76" t="str">
        <x:f>IF('00_Formulaire_Saisie'!$P47="Validé humainement",'00_Formulaire_Saisie'!I47,"")</x:f>
      </x:c>
      <x:c r="J47" s="76" t="str">
        <x:f>IF('00_Formulaire_Saisie'!$P47="Validé humainement",'00_Formulaire_Saisie'!J47,"")</x:f>
      </x:c>
      <x:c r="K47" s="76" t="str">
        <x:f>IF('00_Formulaire_Saisie'!$P47="Validé humainement",'00_Formulaire_Saisie'!K47,"")</x:f>
      </x:c>
      <x:c r="L47" s="76" t="str">
        <x:f>IF('00_Formulaire_Saisie'!$P47="Validé humainement",'00_Formulaire_Saisie'!L47,"")</x:f>
      </x:c>
      <x:c r="M47" s="76" t="str">
        <x:f>IF('00_Formulaire_Saisie'!$P47="Validé humainement",'00_Formulaire_Saisie'!M47,"")</x:f>
      </x:c>
      <x:c r="N47" s="76" t="str">
        <x:f>IF('00_Formulaire_Saisie'!$P47="Validé humainement",'00_Formulaire_Saisie'!N47,"")</x:f>
      </x:c>
      <x:c r="O47" s="76" t="str">
        <x:f>IF('00_Formulaire_Saisie'!$P47="Validé humainement",'00_Formulaire_Saisie'!O47,"")</x:f>
      </x:c>
      <x:c r="P47" s="76" t="str">
        <x:f>IF('00_Formulaire_Saisie'!$P47="Validé humainement",'00_Formulaire_Saisie'!P47,"")</x:f>
      </x:c>
      <x:c r="Q47" s="76" t="str">
        <x:f>IF('00_Formulaire_Saisie'!$P47="Validé humainement",'00_Formulaire_Saisie'!Q47,"")</x:f>
      </x:c>
      <x:c r="R47" s="78" t="str">
        <x:f>IF('00_Formulaire_Saisie'!$P47="Validé humainement",'00_Formulaire_Saisie'!R47,"")</x:f>
      </x:c>
      <x:c r="S47" s="76" t="str">
        <x:f>IF('00_Formulaire_Saisie'!$P47="Validé humainement",'00_Formulaire_Saisie'!S47,"")</x:f>
      </x:c>
      <x:c r="T47" s="76" t="str">
        <x:f>IF('00_Formulaire_Saisie'!$P47="Validé humainement",'00_Formulaire_Saisie'!T47,"")</x:f>
      </x:c>
      <x:c r="U47" s="76" t="str">
        <x:f>IF('00_Formulaire_Saisie'!$P47="Validé humainement",'00_Formulaire_Saisie'!U47,"")</x:f>
      </x:c>
    </x:row>
    <x:row r="48">
      <x:c r="A48" s="76" t="str">
        <x:f>IF('00_Formulaire_Saisie'!$P48="Validé humainement",'00_Formulaire_Saisie'!A48,"")</x:f>
      </x:c>
      <x:c r="B48" s="76" t="str">
        <x:f>IF('00_Formulaire_Saisie'!$P48="Validé humainement",'00_Formulaire_Saisie'!B48,"")</x:f>
      </x:c>
      <x:c r="C48" s="76" t="str">
        <x:f>IF('00_Formulaire_Saisie'!$P48="Validé humainement",'00_Formulaire_Saisie'!C48,"")</x:f>
      </x:c>
      <x:c r="D48" s="76" t="str">
        <x:f>IF('00_Formulaire_Saisie'!$P48="Validé humainement",'00_Formulaire_Saisie'!D48,"")</x:f>
      </x:c>
      <x:c r="E48" s="76" t="str">
        <x:f>IF('00_Formulaire_Saisie'!$P48="Validé humainement",'00_Formulaire_Saisie'!E48,"")</x:f>
      </x:c>
      <x:c r="F48" s="76" t="str">
        <x:f>IF('00_Formulaire_Saisie'!$P48="Validé humainement",'00_Formulaire_Saisie'!F48,"")</x:f>
      </x:c>
      <x:c r="G48" s="76" t="str">
        <x:f>IF('00_Formulaire_Saisie'!$P48="Validé humainement",'00_Formulaire_Saisie'!G48,"")</x:f>
      </x:c>
      <x:c r="H48" s="77" t="str">
        <x:f>IF('00_Formulaire_Saisie'!$P48="Validé humainement",'00_Formulaire_Saisie'!H48,"")</x:f>
      </x:c>
      <x:c r="I48" s="76" t="str">
        <x:f>IF('00_Formulaire_Saisie'!$P48="Validé humainement",'00_Formulaire_Saisie'!I48,"")</x:f>
      </x:c>
      <x:c r="J48" s="76" t="str">
        <x:f>IF('00_Formulaire_Saisie'!$P48="Validé humainement",'00_Formulaire_Saisie'!J48,"")</x:f>
      </x:c>
      <x:c r="K48" s="76" t="str">
        <x:f>IF('00_Formulaire_Saisie'!$P48="Validé humainement",'00_Formulaire_Saisie'!K48,"")</x:f>
      </x:c>
      <x:c r="L48" s="76" t="str">
        <x:f>IF('00_Formulaire_Saisie'!$P48="Validé humainement",'00_Formulaire_Saisie'!L48,"")</x:f>
      </x:c>
      <x:c r="M48" s="76" t="str">
        <x:f>IF('00_Formulaire_Saisie'!$P48="Validé humainement",'00_Formulaire_Saisie'!M48,"")</x:f>
      </x:c>
      <x:c r="N48" s="76" t="str">
        <x:f>IF('00_Formulaire_Saisie'!$P48="Validé humainement",'00_Formulaire_Saisie'!N48,"")</x:f>
      </x:c>
      <x:c r="O48" s="76" t="str">
        <x:f>IF('00_Formulaire_Saisie'!$P48="Validé humainement",'00_Formulaire_Saisie'!O48,"")</x:f>
      </x:c>
      <x:c r="P48" s="76" t="str">
        <x:f>IF('00_Formulaire_Saisie'!$P48="Validé humainement",'00_Formulaire_Saisie'!P48,"")</x:f>
      </x:c>
      <x:c r="Q48" s="76" t="str">
        <x:f>IF('00_Formulaire_Saisie'!$P48="Validé humainement",'00_Formulaire_Saisie'!Q48,"")</x:f>
      </x:c>
      <x:c r="R48" s="78" t="str">
        <x:f>IF('00_Formulaire_Saisie'!$P48="Validé humainement",'00_Formulaire_Saisie'!R48,"")</x:f>
      </x:c>
      <x:c r="S48" s="76" t="str">
        <x:f>IF('00_Formulaire_Saisie'!$P48="Validé humainement",'00_Formulaire_Saisie'!S48,"")</x:f>
      </x:c>
      <x:c r="T48" s="76" t="str">
        <x:f>IF('00_Formulaire_Saisie'!$P48="Validé humainement",'00_Formulaire_Saisie'!T48,"")</x:f>
      </x:c>
      <x:c r="U48" s="76" t="str">
        <x:f>IF('00_Formulaire_Saisie'!$P48="Validé humainement",'00_Formulaire_Saisie'!U48,"")</x:f>
      </x:c>
    </x:row>
    <x:row r="49">
      <x:c r="A49" s="76" t="str">
        <x:f>IF('00_Formulaire_Saisie'!$P49="Validé humainement",'00_Formulaire_Saisie'!A49,"")</x:f>
      </x:c>
      <x:c r="B49" s="76" t="str">
        <x:f>IF('00_Formulaire_Saisie'!$P49="Validé humainement",'00_Formulaire_Saisie'!B49,"")</x:f>
      </x:c>
      <x:c r="C49" s="76" t="str">
        <x:f>IF('00_Formulaire_Saisie'!$P49="Validé humainement",'00_Formulaire_Saisie'!C49,"")</x:f>
      </x:c>
      <x:c r="D49" s="76" t="str">
        <x:f>IF('00_Formulaire_Saisie'!$P49="Validé humainement",'00_Formulaire_Saisie'!D49,"")</x:f>
      </x:c>
      <x:c r="E49" s="76" t="str">
        <x:f>IF('00_Formulaire_Saisie'!$P49="Validé humainement",'00_Formulaire_Saisie'!E49,"")</x:f>
      </x:c>
      <x:c r="F49" s="76" t="str">
        <x:f>IF('00_Formulaire_Saisie'!$P49="Validé humainement",'00_Formulaire_Saisie'!F49,"")</x:f>
      </x:c>
      <x:c r="G49" s="76" t="str">
        <x:f>IF('00_Formulaire_Saisie'!$P49="Validé humainement",'00_Formulaire_Saisie'!G49,"")</x:f>
      </x:c>
      <x:c r="H49" s="77" t="str">
        <x:f>IF('00_Formulaire_Saisie'!$P49="Validé humainement",'00_Formulaire_Saisie'!H49,"")</x:f>
      </x:c>
      <x:c r="I49" s="76" t="str">
        <x:f>IF('00_Formulaire_Saisie'!$P49="Validé humainement",'00_Formulaire_Saisie'!I49,"")</x:f>
      </x:c>
      <x:c r="J49" s="76" t="str">
        <x:f>IF('00_Formulaire_Saisie'!$P49="Validé humainement",'00_Formulaire_Saisie'!J49,"")</x:f>
      </x:c>
      <x:c r="K49" s="76" t="str">
        <x:f>IF('00_Formulaire_Saisie'!$P49="Validé humainement",'00_Formulaire_Saisie'!K49,"")</x:f>
      </x:c>
      <x:c r="L49" s="76" t="str">
        <x:f>IF('00_Formulaire_Saisie'!$P49="Validé humainement",'00_Formulaire_Saisie'!L49,"")</x:f>
      </x:c>
      <x:c r="M49" s="76" t="str">
        <x:f>IF('00_Formulaire_Saisie'!$P49="Validé humainement",'00_Formulaire_Saisie'!M49,"")</x:f>
      </x:c>
      <x:c r="N49" s="76" t="str">
        <x:f>IF('00_Formulaire_Saisie'!$P49="Validé humainement",'00_Formulaire_Saisie'!N49,"")</x:f>
      </x:c>
      <x:c r="O49" s="76" t="str">
        <x:f>IF('00_Formulaire_Saisie'!$P49="Validé humainement",'00_Formulaire_Saisie'!O49,"")</x:f>
      </x:c>
      <x:c r="P49" s="76" t="str">
        <x:f>IF('00_Formulaire_Saisie'!$P49="Validé humainement",'00_Formulaire_Saisie'!P49,"")</x:f>
      </x:c>
      <x:c r="Q49" s="76" t="str">
        <x:f>IF('00_Formulaire_Saisie'!$P49="Validé humainement",'00_Formulaire_Saisie'!Q49,"")</x:f>
      </x:c>
      <x:c r="R49" s="78" t="str">
        <x:f>IF('00_Formulaire_Saisie'!$P49="Validé humainement",'00_Formulaire_Saisie'!R49,"")</x:f>
      </x:c>
      <x:c r="S49" s="76" t="str">
        <x:f>IF('00_Formulaire_Saisie'!$P49="Validé humainement",'00_Formulaire_Saisie'!S49,"")</x:f>
      </x:c>
      <x:c r="T49" s="76" t="str">
        <x:f>IF('00_Formulaire_Saisie'!$P49="Validé humainement",'00_Formulaire_Saisie'!T49,"")</x:f>
      </x:c>
      <x:c r="U49" s="76" t="str">
        <x:f>IF('00_Formulaire_Saisie'!$P49="Validé humainement",'00_Formulaire_Saisie'!U49,"")</x:f>
      </x:c>
    </x:row>
    <x:row r="50">
      <x:c r="A50" s="76" t="str">
        <x:f>IF('00_Formulaire_Saisie'!$P50="Validé humainement",'00_Formulaire_Saisie'!A50,"")</x:f>
      </x:c>
      <x:c r="B50" s="76" t="str">
        <x:f>IF('00_Formulaire_Saisie'!$P50="Validé humainement",'00_Formulaire_Saisie'!B50,"")</x:f>
      </x:c>
      <x:c r="C50" s="76" t="str">
        <x:f>IF('00_Formulaire_Saisie'!$P50="Validé humainement",'00_Formulaire_Saisie'!C50,"")</x:f>
      </x:c>
      <x:c r="D50" s="76" t="str">
        <x:f>IF('00_Formulaire_Saisie'!$P50="Validé humainement",'00_Formulaire_Saisie'!D50,"")</x:f>
      </x:c>
      <x:c r="E50" s="76" t="str">
        <x:f>IF('00_Formulaire_Saisie'!$P50="Validé humainement",'00_Formulaire_Saisie'!E50,"")</x:f>
      </x:c>
      <x:c r="F50" s="76" t="str">
        <x:f>IF('00_Formulaire_Saisie'!$P50="Validé humainement",'00_Formulaire_Saisie'!F50,"")</x:f>
      </x:c>
      <x:c r="G50" s="76" t="str">
        <x:f>IF('00_Formulaire_Saisie'!$P50="Validé humainement",'00_Formulaire_Saisie'!G50,"")</x:f>
      </x:c>
      <x:c r="H50" s="77" t="str">
        <x:f>IF('00_Formulaire_Saisie'!$P50="Validé humainement",'00_Formulaire_Saisie'!H50,"")</x:f>
      </x:c>
      <x:c r="I50" s="76" t="str">
        <x:f>IF('00_Formulaire_Saisie'!$P50="Validé humainement",'00_Formulaire_Saisie'!I50,"")</x:f>
      </x:c>
      <x:c r="J50" s="76" t="str">
        <x:f>IF('00_Formulaire_Saisie'!$P50="Validé humainement",'00_Formulaire_Saisie'!J50,"")</x:f>
      </x:c>
      <x:c r="K50" s="76" t="str">
        <x:f>IF('00_Formulaire_Saisie'!$P50="Validé humainement",'00_Formulaire_Saisie'!K50,"")</x:f>
      </x:c>
      <x:c r="L50" s="76" t="str">
        <x:f>IF('00_Formulaire_Saisie'!$P50="Validé humainement",'00_Formulaire_Saisie'!L50,"")</x:f>
      </x:c>
      <x:c r="M50" s="76" t="str">
        <x:f>IF('00_Formulaire_Saisie'!$P50="Validé humainement",'00_Formulaire_Saisie'!M50,"")</x:f>
      </x:c>
      <x:c r="N50" s="76" t="str">
        <x:f>IF('00_Formulaire_Saisie'!$P50="Validé humainement",'00_Formulaire_Saisie'!N50,"")</x:f>
      </x:c>
      <x:c r="O50" s="76" t="str">
        <x:f>IF('00_Formulaire_Saisie'!$P50="Validé humainement",'00_Formulaire_Saisie'!O50,"")</x:f>
      </x:c>
      <x:c r="P50" s="76" t="str">
        <x:f>IF('00_Formulaire_Saisie'!$P50="Validé humainement",'00_Formulaire_Saisie'!P50,"")</x:f>
      </x:c>
      <x:c r="Q50" s="76" t="str">
        <x:f>IF('00_Formulaire_Saisie'!$P50="Validé humainement",'00_Formulaire_Saisie'!Q50,"")</x:f>
      </x:c>
      <x:c r="R50" s="78" t="str">
        <x:f>IF('00_Formulaire_Saisie'!$P50="Validé humainement",'00_Formulaire_Saisie'!R50,"")</x:f>
      </x:c>
      <x:c r="S50" s="76" t="str">
        <x:f>IF('00_Formulaire_Saisie'!$P50="Validé humainement",'00_Formulaire_Saisie'!S50,"")</x:f>
      </x:c>
      <x:c r="T50" s="76" t="str">
        <x:f>IF('00_Formulaire_Saisie'!$P50="Validé humainement",'00_Formulaire_Saisie'!T50,"")</x:f>
      </x:c>
      <x:c r="U50" s="76" t="str">
        <x:f>IF('00_Formulaire_Saisie'!$P50="Validé humainement",'00_Formulaire_Saisie'!U50,"")</x:f>
      </x:c>
    </x:row>
    <x:row r="51">
      <x:c r="A51" s="76" t="str">
        <x:f>IF('00_Formulaire_Saisie'!$P51="Validé humainement",'00_Formulaire_Saisie'!A51,"")</x:f>
      </x:c>
      <x:c r="B51" s="76" t="str">
        <x:f>IF('00_Formulaire_Saisie'!$P51="Validé humainement",'00_Formulaire_Saisie'!B51,"")</x:f>
      </x:c>
      <x:c r="C51" s="76" t="str">
        <x:f>IF('00_Formulaire_Saisie'!$P51="Validé humainement",'00_Formulaire_Saisie'!C51,"")</x:f>
      </x:c>
      <x:c r="D51" s="76" t="str">
        <x:f>IF('00_Formulaire_Saisie'!$P51="Validé humainement",'00_Formulaire_Saisie'!D51,"")</x:f>
      </x:c>
      <x:c r="E51" s="76" t="str">
        <x:f>IF('00_Formulaire_Saisie'!$P51="Validé humainement",'00_Formulaire_Saisie'!E51,"")</x:f>
      </x:c>
      <x:c r="F51" s="76" t="str">
        <x:f>IF('00_Formulaire_Saisie'!$P51="Validé humainement",'00_Formulaire_Saisie'!F51,"")</x:f>
      </x:c>
      <x:c r="G51" s="76" t="str">
        <x:f>IF('00_Formulaire_Saisie'!$P51="Validé humainement",'00_Formulaire_Saisie'!G51,"")</x:f>
      </x:c>
      <x:c r="H51" s="77" t="str">
        <x:f>IF('00_Formulaire_Saisie'!$P51="Validé humainement",'00_Formulaire_Saisie'!H51,"")</x:f>
      </x:c>
      <x:c r="I51" s="76" t="str">
        <x:f>IF('00_Formulaire_Saisie'!$P51="Validé humainement",'00_Formulaire_Saisie'!I51,"")</x:f>
      </x:c>
      <x:c r="J51" s="76" t="str">
        <x:f>IF('00_Formulaire_Saisie'!$P51="Validé humainement",'00_Formulaire_Saisie'!J51,"")</x:f>
      </x:c>
      <x:c r="K51" s="76" t="str">
        <x:f>IF('00_Formulaire_Saisie'!$P51="Validé humainement",'00_Formulaire_Saisie'!K51,"")</x:f>
      </x:c>
      <x:c r="L51" s="76" t="str">
        <x:f>IF('00_Formulaire_Saisie'!$P51="Validé humainement",'00_Formulaire_Saisie'!L51,"")</x:f>
      </x:c>
      <x:c r="M51" s="76" t="str">
        <x:f>IF('00_Formulaire_Saisie'!$P51="Validé humainement",'00_Formulaire_Saisie'!M51,"")</x:f>
      </x:c>
      <x:c r="N51" s="76" t="str">
        <x:f>IF('00_Formulaire_Saisie'!$P51="Validé humainement",'00_Formulaire_Saisie'!N51,"")</x:f>
      </x:c>
      <x:c r="O51" s="76" t="str">
        <x:f>IF('00_Formulaire_Saisie'!$P51="Validé humainement",'00_Formulaire_Saisie'!O51,"")</x:f>
      </x:c>
      <x:c r="P51" s="76" t="str">
        <x:f>IF('00_Formulaire_Saisie'!$P51="Validé humainement",'00_Formulaire_Saisie'!P51,"")</x:f>
      </x:c>
      <x:c r="Q51" s="76" t="str">
        <x:f>IF('00_Formulaire_Saisie'!$P51="Validé humainement",'00_Formulaire_Saisie'!Q51,"")</x:f>
      </x:c>
      <x:c r="R51" s="78" t="str">
        <x:f>IF('00_Formulaire_Saisie'!$P51="Validé humainement",'00_Formulaire_Saisie'!R51,"")</x:f>
      </x:c>
      <x:c r="S51" s="76" t="str">
        <x:f>IF('00_Formulaire_Saisie'!$P51="Validé humainement",'00_Formulaire_Saisie'!S51,"")</x:f>
      </x:c>
      <x:c r="T51" s="76" t="str">
        <x:f>IF('00_Formulaire_Saisie'!$P51="Validé humainement",'00_Formulaire_Saisie'!T51,"")</x:f>
      </x:c>
      <x:c r="U51" s="76" t="str">
        <x:f>IF('00_Formulaire_Saisie'!$P51="Validé humainement",'00_Formulaire_Saisie'!U51,"")</x:f>
      </x:c>
    </x:row>
    <x:row r="52">
      <x:c r="A52" s="76" t="str">
        <x:f>IF('00_Formulaire_Saisie'!$P52="Validé humainement",'00_Formulaire_Saisie'!A52,"")</x:f>
      </x:c>
      <x:c r="B52" s="76" t="str">
        <x:f>IF('00_Formulaire_Saisie'!$P52="Validé humainement",'00_Formulaire_Saisie'!B52,"")</x:f>
      </x:c>
      <x:c r="C52" s="76" t="str">
        <x:f>IF('00_Formulaire_Saisie'!$P52="Validé humainement",'00_Formulaire_Saisie'!C52,"")</x:f>
      </x:c>
      <x:c r="D52" s="76" t="str">
        <x:f>IF('00_Formulaire_Saisie'!$P52="Validé humainement",'00_Formulaire_Saisie'!D52,"")</x:f>
      </x:c>
      <x:c r="E52" s="76" t="str">
        <x:f>IF('00_Formulaire_Saisie'!$P52="Validé humainement",'00_Formulaire_Saisie'!E52,"")</x:f>
      </x:c>
      <x:c r="F52" s="76" t="str">
        <x:f>IF('00_Formulaire_Saisie'!$P52="Validé humainement",'00_Formulaire_Saisie'!F52,"")</x:f>
      </x:c>
      <x:c r="G52" s="76" t="str">
        <x:f>IF('00_Formulaire_Saisie'!$P52="Validé humainement",'00_Formulaire_Saisie'!G52,"")</x:f>
      </x:c>
      <x:c r="H52" s="77" t="str">
        <x:f>IF('00_Formulaire_Saisie'!$P52="Validé humainement",'00_Formulaire_Saisie'!H52,"")</x:f>
      </x:c>
      <x:c r="I52" s="76" t="str">
        <x:f>IF('00_Formulaire_Saisie'!$P52="Validé humainement",'00_Formulaire_Saisie'!I52,"")</x:f>
      </x:c>
      <x:c r="J52" s="76" t="str">
        <x:f>IF('00_Formulaire_Saisie'!$P52="Validé humainement",'00_Formulaire_Saisie'!J52,"")</x:f>
      </x:c>
      <x:c r="K52" s="76" t="str">
        <x:f>IF('00_Formulaire_Saisie'!$P52="Validé humainement",'00_Formulaire_Saisie'!K52,"")</x:f>
      </x:c>
      <x:c r="L52" s="76" t="str">
        <x:f>IF('00_Formulaire_Saisie'!$P52="Validé humainement",'00_Formulaire_Saisie'!L52,"")</x:f>
      </x:c>
      <x:c r="M52" s="76" t="str">
        <x:f>IF('00_Formulaire_Saisie'!$P52="Validé humainement",'00_Formulaire_Saisie'!M52,"")</x:f>
      </x:c>
      <x:c r="N52" s="76" t="str">
        <x:f>IF('00_Formulaire_Saisie'!$P52="Validé humainement",'00_Formulaire_Saisie'!N52,"")</x:f>
      </x:c>
      <x:c r="O52" s="76" t="str">
        <x:f>IF('00_Formulaire_Saisie'!$P52="Validé humainement",'00_Formulaire_Saisie'!O52,"")</x:f>
      </x:c>
      <x:c r="P52" s="76" t="str">
        <x:f>IF('00_Formulaire_Saisie'!$P52="Validé humainement",'00_Formulaire_Saisie'!P52,"")</x:f>
      </x:c>
      <x:c r="Q52" s="76" t="str">
        <x:f>IF('00_Formulaire_Saisie'!$P52="Validé humainement",'00_Formulaire_Saisie'!Q52,"")</x:f>
      </x:c>
      <x:c r="R52" s="78" t="str">
        <x:f>IF('00_Formulaire_Saisie'!$P52="Validé humainement",'00_Formulaire_Saisie'!R52,"")</x:f>
      </x:c>
      <x:c r="S52" s="76" t="str">
        <x:f>IF('00_Formulaire_Saisie'!$P52="Validé humainement",'00_Formulaire_Saisie'!S52,"")</x:f>
      </x:c>
      <x:c r="T52" s="76" t="str">
        <x:f>IF('00_Formulaire_Saisie'!$P52="Validé humainement",'00_Formulaire_Saisie'!T52,"")</x:f>
      </x:c>
      <x:c r="U52" s="76" t="str">
        <x:f>IF('00_Formulaire_Saisie'!$P52="Validé humainement",'00_Formulaire_Saisie'!U52,"")</x:f>
      </x:c>
    </x:row>
    <x:row r="53">
      <x:c r="A53" s="76" t="str">
        <x:f>IF('00_Formulaire_Saisie'!$P53="Validé humainement",'00_Formulaire_Saisie'!A53,"")</x:f>
      </x:c>
      <x:c r="B53" s="76" t="str">
        <x:f>IF('00_Formulaire_Saisie'!$P53="Validé humainement",'00_Formulaire_Saisie'!B53,"")</x:f>
      </x:c>
      <x:c r="C53" s="76" t="str">
        <x:f>IF('00_Formulaire_Saisie'!$P53="Validé humainement",'00_Formulaire_Saisie'!C53,"")</x:f>
      </x:c>
      <x:c r="D53" s="76" t="str">
        <x:f>IF('00_Formulaire_Saisie'!$P53="Validé humainement",'00_Formulaire_Saisie'!D53,"")</x:f>
      </x:c>
      <x:c r="E53" s="76" t="str">
        <x:f>IF('00_Formulaire_Saisie'!$P53="Validé humainement",'00_Formulaire_Saisie'!E53,"")</x:f>
      </x:c>
      <x:c r="F53" s="76" t="str">
        <x:f>IF('00_Formulaire_Saisie'!$P53="Validé humainement",'00_Formulaire_Saisie'!F53,"")</x:f>
      </x:c>
      <x:c r="G53" s="76" t="str">
        <x:f>IF('00_Formulaire_Saisie'!$P53="Validé humainement",'00_Formulaire_Saisie'!G53,"")</x:f>
      </x:c>
      <x:c r="H53" s="77" t="str">
        <x:f>IF('00_Formulaire_Saisie'!$P53="Validé humainement",'00_Formulaire_Saisie'!H53,"")</x:f>
      </x:c>
      <x:c r="I53" s="76" t="str">
        <x:f>IF('00_Formulaire_Saisie'!$P53="Validé humainement",'00_Formulaire_Saisie'!I53,"")</x:f>
      </x:c>
      <x:c r="J53" s="76" t="str">
        <x:f>IF('00_Formulaire_Saisie'!$P53="Validé humainement",'00_Formulaire_Saisie'!J53,"")</x:f>
      </x:c>
      <x:c r="K53" s="76" t="str">
        <x:f>IF('00_Formulaire_Saisie'!$P53="Validé humainement",'00_Formulaire_Saisie'!K53,"")</x:f>
      </x:c>
      <x:c r="L53" s="76" t="str">
        <x:f>IF('00_Formulaire_Saisie'!$P53="Validé humainement",'00_Formulaire_Saisie'!L53,"")</x:f>
      </x:c>
      <x:c r="M53" s="76" t="str">
        <x:f>IF('00_Formulaire_Saisie'!$P53="Validé humainement",'00_Formulaire_Saisie'!M53,"")</x:f>
      </x:c>
      <x:c r="N53" s="76" t="str">
        <x:f>IF('00_Formulaire_Saisie'!$P53="Validé humainement",'00_Formulaire_Saisie'!N53,"")</x:f>
      </x:c>
      <x:c r="O53" s="76" t="str">
        <x:f>IF('00_Formulaire_Saisie'!$P53="Validé humainement",'00_Formulaire_Saisie'!O53,"")</x:f>
      </x:c>
      <x:c r="P53" s="76" t="str">
        <x:f>IF('00_Formulaire_Saisie'!$P53="Validé humainement",'00_Formulaire_Saisie'!P53,"")</x:f>
      </x:c>
      <x:c r="Q53" s="76" t="str">
        <x:f>IF('00_Formulaire_Saisie'!$P53="Validé humainement",'00_Formulaire_Saisie'!Q53,"")</x:f>
      </x:c>
      <x:c r="R53" s="78" t="str">
        <x:f>IF('00_Formulaire_Saisie'!$P53="Validé humainement",'00_Formulaire_Saisie'!R53,"")</x:f>
      </x:c>
      <x:c r="S53" s="76" t="str">
        <x:f>IF('00_Formulaire_Saisie'!$P53="Validé humainement",'00_Formulaire_Saisie'!S53,"")</x:f>
      </x:c>
      <x:c r="T53" s="76" t="str">
        <x:f>IF('00_Formulaire_Saisie'!$P53="Validé humainement",'00_Formulaire_Saisie'!T53,"")</x:f>
      </x:c>
      <x:c r="U53" s="76" t="str">
        <x:f>IF('00_Formulaire_Saisie'!$P53="Validé humainement",'00_Formulaire_Saisie'!U53,"")</x:f>
      </x:c>
    </x:row>
    <x:row r="54">
      <x:c r="A54" s="76" t="str">
        <x:f>IF('00_Formulaire_Saisie'!$P54="Validé humainement",'00_Formulaire_Saisie'!A54,"")</x:f>
      </x:c>
      <x:c r="B54" s="76" t="str">
        <x:f>IF('00_Formulaire_Saisie'!$P54="Validé humainement",'00_Formulaire_Saisie'!B54,"")</x:f>
      </x:c>
      <x:c r="C54" s="76" t="str">
        <x:f>IF('00_Formulaire_Saisie'!$P54="Validé humainement",'00_Formulaire_Saisie'!C54,"")</x:f>
      </x:c>
      <x:c r="D54" s="76" t="str">
        <x:f>IF('00_Formulaire_Saisie'!$P54="Validé humainement",'00_Formulaire_Saisie'!D54,"")</x:f>
      </x:c>
      <x:c r="E54" s="76" t="str">
        <x:f>IF('00_Formulaire_Saisie'!$P54="Validé humainement",'00_Formulaire_Saisie'!E54,"")</x:f>
      </x:c>
      <x:c r="F54" s="76" t="str">
        <x:f>IF('00_Formulaire_Saisie'!$P54="Validé humainement",'00_Formulaire_Saisie'!F54,"")</x:f>
      </x:c>
      <x:c r="G54" s="76" t="str">
        <x:f>IF('00_Formulaire_Saisie'!$P54="Validé humainement",'00_Formulaire_Saisie'!G54,"")</x:f>
      </x:c>
      <x:c r="H54" s="77" t="str">
        <x:f>IF('00_Formulaire_Saisie'!$P54="Validé humainement",'00_Formulaire_Saisie'!H54,"")</x:f>
      </x:c>
      <x:c r="I54" s="76" t="str">
        <x:f>IF('00_Formulaire_Saisie'!$P54="Validé humainement",'00_Formulaire_Saisie'!I54,"")</x:f>
      </x:c>
      <x:c r="J54" s="76" t="str">
        <x:f>IF('00_Formulaire_Saisie'!$P54="Validé humainement",'00_Formulaire_Saisie'!J54,"")</x:f>
      </x:c>
      <x:c r="K54" s="76" t="str">
        <x:f>IF('00_Formulaire_Saisie'!$P54="Validé humainement",'00_Formulaire_Saisie'!K54,"")</x:f>
      </x:c>
      <x:c r="L54" s="76" t="str">
        <x:f>IF('00_Formulaire_Saisie'!$P54="Validé humainement",'00_Formulaire_Saisie'!L54,"")</x:f>
      </x:c>
      <x:c r="M54" s="76" t="str">
        <x:f>IF('00_Formulaire_Saisie'!$P54="Validé humainement",'00_Formulaire_Saisie'!M54,"")</x:f>
      </x:c>
      <x:c r="N54" s="76" t="str">
        <x:f>IF('00_Formulaire_Saisie'!$P54="Validé humainement",'00_Formulaire_Saisie'!N54,"")</x:f>
      </x:c>
      <x:c r="O54" s="76" t="str">
        <x:f>IF('00_Formulaire_Saisie'!$P54="Validé humainement",'00_Formulaire_Saisie'!O54,"")</x:f>
      </x:c>
      <x:c r="P54" s="76" t="str">
        <x:f>IF('00_Formulaire_Saisie'!$P54="Validé humainement",'00_Formulaire_Saisie'!P54,"")</x:f>
      </x:c>
      <x:c r="Q54" s="76" t="str">
        <x:f>IF('00_Formulaire_Saisie'!$P54="Validé humainement",'00_Formulaire_Saisie'!Q54,"")</x:f>
      </x:c>
      <x:c r="R54" s="78" t="str">
        <x:f>IF('00_Formulaire_Saisie'!$P54="Validé humainement",'00_Formulaire_Saisie'!R54,"")</x:f>
      </x:c>
      <x:c r="S54" s="76" t="str">
        <x:f>IF('00_Formulaire_Saisie'!$P54="Validé humainement",'00_Formulaire_Saisie'!S54,"")</x:f>
      </x:c>
      <x:c r="T54" s="76" t="str">
        <x:f>IF('00_Formulaire_Saisie'!$P54="Validé humainement",'00_Formulaire_Saisie'!T54,"")</x:f>
      </x:c>
      <x:c r="U54" s="76" t="str">
        <x:f>IF('00_Formulaire_Saisie'!$P54="Validé humainement",'00_Formulaire_Saisie'!U54,"")</x:f>
      </x:c>
    </x:row>
    <x:row r="55">
      <x:c r="A55" s="76" t="str">
        <x:f>IF('00_Formulaire_Saisie'!$P55="Validé humainement",'00_Formulaire_Saisie'!A55,"")</x:f>
      </x:c>
      <x:c r="B55" s="76" t="str">
        <x:f>IF('00_Formulaire_Saisie'!$P55="Validé humainement",'00_Formulaire_Saisie'!B55,"")</x:f>
      </x:c>
      <x:c r="C55" s="76" t="str">
        <x:f>IF('00_Formulaire_Saisie'!$P55="Validé humainement",'00_Formulaire_Saisie'!C55,"")</x:f>
      </x:c>
      <x:c r="D55" s="76" t="str">
        <x:f>IF('00_Formulaire_Saisie'!$P55="Validé humainement",'00_Formulaire_Saisie'!D55,"")</x:f>
      </x:c>
      <x:c r="E55" s="76" t="str">
        <x:f>IF('00_Formulaire_Saisie'!$P55="Validé humainement",'00_Formulaire_Saisie'!E55,"")</x:f>
      </x:c>
      <x:c r="F55" s="76" t="str">
        <x:f>IF('00_Formulaire_Saisie'!$P55="Validé humainement",'00_Formulaire_Saisie'!F55,"")</x:f>
      </x:c>
      <x:c r="G55" s="76" t="str">
        <x:f>IF('00_Formulaire_Saisie'!$P55="Validé humainement",'00_Formulaire_Saisie'!G55,"")</x:f>
      </x:c>
      <x:c r="H55" s="77" t="str">
        <x:f>IF('00_Formulaire_Saisie'!$P55="Validé humainement",'00_Formulaire_Saisie'!H55,"")</x:f>
      </x:c>
      <x:c r="I55" s="76" t="str">
        <x:f>IF('00_Formulaire_Saisie'!$P55="Validé humainement",'00_Formulaire_Saisie'!I55,"")</x:f>
      </x:c>
      <x:c r="J55" s="76" t="str">
        <x:f>IF('00_Formulaire_Saisie'!$P55="Validé humainement",'00_Formulaire_Saisie'!J55,"")</x:f>
      </x:c>
      <x:c r="K55" s="76" t="str">
        <x:f>IF('00_Formulaire_Saisie'!$P55="Validé humainement",'00_Formulaire_Saisie'!K55,"")</x:f>
      </x:c>
      <x:c r="L55" s="76" t="str">
        <x:f>IF('00_Formulaire_Saisie'!$P55="Validé humainement",'00_Formulaire_Saisie'!L55,"")</x:f>
      </x:c>
      <x:c r="M55" s="76" t="str">
        <x:f>IF('00_Formulaire_Saisie'!$P55="Validé humainement",'00_Formulaire_Saisie'!M55,"")</x:f>
      </x:c>
      <x:c r="N55" s="76" t="str">
        <x:f>IF('00_Formulaire_Saisie'!$P55="Validé humainement",'00_Formulaire_Saisie'!N55,"")</x:f>
      </x:c>
      <x:c r="O55" s="76" t="str">
        <x:f>IF('00_Formulaire_Saisie'!$P55="Validé humainement",'00_Formulaire_Saisie'!O55,"")</x:f>
      </x:c>
      <x:c r="P55" s="76" t="str">
        <x:f>IF('00_Formulaire_Saisie'!$P55="Validé humainement",'00_Formulaire_Saisie'!P55,"")</x:f>
      </x:c>
      <x:c r="Q55" s="76" t="str">
        <x:f>IF('00_Formulaire_Saisie'!$P55="Validé humainement",'00_Formulaire_Saisie'!Q55,"")</x:f>
      </x:c>
      <x:c r="R55" s="78" t="str">
        <x:f>IF('00_Formulaire_Saisie'!$P55="Validé humainement",'00_Formulaire_Saisie'!R55,"")</x:f>
      </x:c>
      <x:c r="S55" s="76" t="str">
        <x:f>IF('00_Formulaire_Saisie'!$P55="Validé humainement",'00_Formulaire_Saisie'!S55,"")</x:f>
      </x:c>
      <x:c r="T55" s="76" t="str">
        <x:f>IF('00_Formulaire_Saisie'!$P55="Validé humainement",'00_Formulaire_Saisie'!T55,"")</x:f>
      </x:c>
      <x:c r="U55" s="76" t="str">
        <x:f>IF('00_Formulaire_Saisie'!$P55="Validé humainement",'00_Formulaire_Saisie'!U55,"")</x:f>
      </x:c>
    </x:row>
    <x:row r="56">
      <x:c r="A56" s="76" t="str">
        <x:f>IF('00_Formulaire_Saisie'!$P56="Validé humainement",'00_Formulaire_Saisie'!A56,"")</x:f>
      </x:c>
      <x:c r="B56" s="76" t="str">
        <x:f>IF('00_Formulaire_Saisie'!$P56="Validé humainement",'00_Formulaire_Saisie'!B56,"")</x:f>
      </x:c>
      <x:c r="C56" s="76" t="str">
        <x:f>IF('00_Formulaire_Saisie'!$P56="Validé humainement",'00_Formulaire_Saisie'!C56,"")</x:f>
      </x:c>
      <x:c r="D56" s="76" t="str">
        <x:f>IF('00_Formulaire_Saisie'!$P56="Validé humainement",'00_Formulaire_Saisie'!D56,"")</x:f>
      </x:c>
      <x:c r="E56" s="76" t="str">
        <x:f>IF('00_Formulaire_Saisie'!$P56="Validé humainement",'00_Formulaire_Saisie'!E56,"")</x:f>
      </x:c>
      <x:c r="F56" s="76" t="str">
        <x:f>IF('00_Formulaire_Saisie'!$P56="Validé humainement",'00_Formulaire_Saisie'!F56,"")</x:f>
      </x:c>
      <x:c r="G56" s="76" t="str">
        <x:f>IF('00_Formulaire_Saisie'!$P56="Validé humainement",'00_Formulaire_Saisie'!G56,"")</x:f>
      </x:c>
      <x:c r="H56" s="77" t="str">
        <x:f>IF('00_Formulaire_Saisie'!$P56="Validé humainement",'00_Formulaire_Saisie'!H56,"")</x:f>
      </x:c>
      <x:c r="I56" s="76" t="str">
        <x:f>IF('00_Formulaire_Saisie'!$P56="Validé humainement",'00_Formulaire_Saisie'!I56,"")</x:f>
      </x:c>
      <x:c r="J56" s="76" t="str">
        <x:f>IF('00_Formulaire_Saisie'!$P56="Validé humainement",'00_Formulaire_Saisie'!J56,"")</x:f>
      </x:c>
      <x:c r="K56" s="76" t="str">
        <x:f>IF('00_Formulaire_Saisie'!$P56="Validé humainement",'00_Formulaire_Saisie'!K56,"")</x:f>
      </x:c>
      <x:c r="L56" s="76" t="str">
        <x:f>IF('00_Formulaire_Saisie'!$P56="Validé humainement",'00_Formulaire_Saisie'!L56,"")</x:f>
      </x:c>
      <x:c r="M56" s="76" t="str">
        <x:f>IF('00_Formulaire_Saisie'!$P56="Validé humainement",'00_Formulaire_Saisie'!M56,"")</x:f>
      </x:c>
      <x:c r="N56" s="76" t="str">
        <x:f>IF('00_Formulaire_Saisie'!$P56="Validé humainement",'00_Formulaire_Saisie'!N56,"")</x:f>
      </x:c>
      <x:c r="O56" s="76" t="str">
        <x:f>IF('00_Formulaire_Saisie'!$P56="Validé humainement",'00_Formulaire_Saisie'!O56,"")</x:f>
      </x:c>
      <x:c r="P56" s="76" t="str">
        <x:f>IF('00_Formulaire_Saisie'!$P56="Validé humainement",'00_Formulaire_Saisie'!P56,"")</x:f>
      </x:c>
      <x:c r="Q56" s="76" t="str">
        <x:f>IF('00_Formulaire_Saisie'!$P56="Validé humainement",'00_Formulaire_Saisie'!Q56,"")</x:f>
      </x:c>
      <x:c r="R56" s="78" t="str">
        <x:f>IF('00_Formulaire_Saisie'!$P56="Validé humainement",'00_Formulaire_Saisie'!R56,"")</x:f>
      </x:c>
      <x:c r="S56" s="76" t="str">
        <x:f>IF('00_Formulaire_Saisie'!$P56="Validé humainement",'00_Formulaire_Saisie'!S56,"")</x:f>
      </x:c>
      <x:c r="T56" s="76" t="str">
        <x:f>IF('00_Formulaire_Saisie'!$P56="Validé humainement",'00_Formulaire_Saisie'!T56,"")</x:f>
      </x:c>
      <x:c r="U56" s="76" t="str">
        <x:f>IF('00_Formulaire_Saisie'!$P56="Validé humainement",'00_Formulaire_Saisie'!U56,"")</x:f>
      </x:c>
    </x:row>
    <x:row r="57">
      <x:c r="A57" s="76" t="str">
        <x:f>IF('00_Formulaire_Saisie'!$P57="Validé humainement",'00_Formulaire_Saisie'!A57,"")</x:f>
      </x:c>
      <x:c r="B57" s="76" t="str">
        <x:f>IF('00_Formulaire_Saisie'!$P57="Validé humainement",'00_Formulaire_Saisie'!B57,"")</x:f>
      </x:c>
      <x:c r="C57" s="76" t="str">
        <x:f>IF('00_Formulaire_Saisie'!$P57="Validé humainement",'00_Formulaire_Saisie'!C57,"")</x:f>
      </x:c>
      <x:c r="D57" s="76" t="str">
        <x:f>IF('00_Formulaire_Saisie'!$P57="Validé humainement",'00_Formulaire_Saisie'!D57,"")</x:f>
      </x:c>
      <x:c r="E57" s="76" t="str">
        <x:f>IF('00_Formulaire_Saisie'!$P57="Validé humainement",'00_Formulaire_Saisie'!E57,"")</x:f>
      </x:c>
      <x:c r="F57" s="76" t="str">
        <x:f>IF('00_Formulaire_Saisie'!$P57="Validé humainement",'00_Formulaire_Saisie'!F57,"")</x:f>
      </x:c>
      <x:c r="G57" s="76" t="str">
        <x:f>IF('00_Formulaire_Saisie'!$P57="Validé humainement",'00_Formulaire_Saisie'!G57,"")</x:f>
      </x:c>
      <x:c r="H57" s="77" t="str">
        <x:f>IF('00_Formulaire_Saisie'!$P57="Validé humainement",'00_Formulaire_Saisie'!H57,"")</x:f>
      </x:c>
      <x:c r="I57" s="76" t="str">
        <x:f>IF('00_Formulaire_Saisie'!$P57="Validé humainement",'00_Formulaire_Saisie'!I57,"")</x:f>
      </x:c>
      <x:c r="J57" s="76" t="str">
        <x:f>IF('00_Formulaire_Saisie'!$P57="Validé humainement",'00_Formulaire_Saisie'!J57,"")</x:f>
      </x:c>
      <x:c r="K57" s="76" t="str">
        <x:f>IF('00_Formulaire_Saisie'!$P57="Validé humainement",'00_Formulaire_Saisie'!K57,"")</x:f>
      </x:c>
      <x:c r="L57" s="76" t="str">
        <x:f>IF('00_Formulaire_Saisie'!$P57="Validé humainement",'00_Formulaire_Saisie'!L57,"")</x:f>
      </x:c>
      <x:c r="M57" s="76" t="str">
        <x:f>IF('00_Formulaire_Saisie'!$P57="Validé humainement",'00_Formulaire_Saisie'!M57,"")</x:f>
      </x:c>
      <x:c r="N57" s="76" t="str">
        <x:f>IF('00_Formulaire_Saisie'!$P57="Validé humainement",'00_Formulaire_Saisie'!N57,"")</x:f>
      </x:c>
      <x:c r="O57" s="76" t="str">
        <x:f>IF('00_Formulaire_Saisie'!$P57="Validé humainement",'00_Formulaire_Saisie'!O57,"")</x:f>
      </x:c>
      <x:c r="P57" s="76" t="str">
        <x:f>IF('00_Formulaire_Saisie'!$P57="Validé humainement",'00_Formulaire_Saisie'!P57,"")</x:f>
      </x:c>
      <x:c r="Q57" s="76" t="str">
        <x:f>IF('00_Formulaire_Saisie'!$P57="Validé humainement",'00_Formulaire_Saisie'!Q57,"")</x:f>
      </x:c>
      <x:c r="R57" s="78" t="str">
        <x:f>IF('00_Formulaire_Saisie'!$P57="Validé humainement",'00_Formulaire_Saisie'!R57,"")</x:f>
      </x:c>
      <x:c r="S57" s="76" t="str">
        <x:f>IF('00_Formulaire_Saisie'!$P57="Validé humainement",'00_Formulaire_Saisie'!S57,"")</x:f>
      </x:c>
      <x:c r="T57" s="76" t="str">
        <x:f>IF('00_Formulaire_Saisie'!$P57="Validé humainement",'00_Formulaire_Saisie'!T57,"")</x:f>
      </x:c>
      <x:c r="U57" s="76" t="str">
        <x:f>IF('00_Formulaire_Saisie'!$P57="Validé humainement",'00_Formulaire_Saisie'!U57,"")</x:f>
      </x:c>
    </x:row>
    <x:row r="58">
      <x:c r="A58" s="76" t="str">
        <x:f>IF('00_Formulaire_Saisie'!$P58="Validé humainement",'00_Formulaire_Saisie'!A58,"")</x:f>
      </x:c>
      <x:c r="B58" s="76" t="str">
        <x:f>IF('00_Formulaire_Saisie'!$P58="Validé humainement",'00_Formulaire_Saisie'!B58,"")</x:f>
      </x:c>
      <x:c r="C58" s="76" t="str">
        <x:f>IF('00_Formulaire_Saisie'!$P58="Validé humainement",'00_Formulaire_Saisie'!C58,"")</x:f>
      </x:c>
      <x:c r="D58" s="76" t="str">
        <x:f>IF('00_Formulaire_Saisie'!$P58="Validé humainement",'00_Formulaire_Saisie'!D58,"")</x:f>
      </x:c>
      <x:c r="E58" s="76" t="str">
        <x:f>IF('00_Formulaire_Saisie'!$P58="Validé humainement",'00_Formulaire_Saisie'!E58,"")</x:f>
      </x:c>
      <x:c r="F58" s="76" t="str">
        <x:f>IF('00_Formulaire_Saisie'!$P58="Validé humainement",'00_Formulaire_Saisie'!F58,"")</x:f>
      </x:c>
      <x:c r="G58" s="76" t="str">
        <x:f>IF('00_Formulaire_Saisie'!$P58="Validé humainement",'00_Formulaire_Saisie'!G58,"")</x:f>
      </x:c>
      <x:c r="H58" s="77" t="str">
        <x:f>IF('00_Formulaire_Saisie'!$P58="Validé humainement",'00_Formulaire_Saisie'!H58,"")</x:f>
      </x:c>
      <x:c r="I58" s="76" t="str">
        <x:f>IF('00_Formulaire_Saisie'!$P58="Validé humainement",'00_Formulaire_Saisie'!I58,"")</x:f>
      </x:c>
      <x:c r="J58" s="76" t="str">
        <x:f>IF('00_Formulaire_Saisie'!$P58="Validé humainement",'00_Formulaire_Saisie'!J58,"")</x:f>
      </x:c>
      <x:c r="K58" s="76" t="str">
        <x:f>IF('00_Formulaire_Saisie'!$P58="Validé humainement",'00_Formulaire_Saisie'!K58,"")</x:f>
      </x:c>
      <x:c r="L58" s="76" t="str">
        <x:f>IF('00_Formulaire_Saisie'!$P58="Validé humainement",'00_Formulaire_Saisie'!L58,"")</x:f>
      </x:c>
      <x:c r="M58" s="76" t="str">
        <x:f>IF('00_Formulaire_Saisie'!$P58="Validé humainement",'00_Formulaire_Saisie'!M58,"")</x:f>
      </x:c>
      <x:c r="N58" s="76" t="str">
        <x:f>IF('00_Formulaire_Saisie'!$P58="Validé humainement",'00_Formulaire_Saisie'!N58,"")</x:f>
      </x:c>
      <x:c r="O58" s="76" t="str">
        <x:f>IF('00_Formulaire_Saisie'!$P58="Validé humainement",'00_Formulaire_Saisie'!O58,"")</x:f>
      </x:c>
      <x:c r="P58" s="76" t="str">
        <x:f>IF('00_Formulaire_Saisie'!$P58="Validé humainement",'00_Formulaire_Saisie'!P58,"")</x:f>
      </x:c>
      <x:c r="Q58" s="76" t="str">
        <x:f>IF('00_Formulaire_Saisie'!$P58="Validé humainement",'00_Formulaire_Saisie'!Q58,"")</x:f>
      </x:c>
      <x:c r="R58" s="78" t="str">
        <x:f>IF('00_Formulaire_Saisie'!$P58="Validé humainement",'00_Formulaire_Saisie'!R58,"")</x:f>
      </x:c>
      <x:c r="S58" s="76" t="str">
        <x:f>IF('00_Formulaire_Saisie'!$P58="Validé humainement",'00_Formulaire_Saisie'!S58,"")</x:f>
      </x:c>
      <x:c r="T58" s="76" t="str">
        <x:f>IF('00_Formulaire_Saisie'!$P58="Validé humainement",'00_Formulaire_Saisie'!T58,"")</x:f>
      </x:c>
      <x:c r="U58" s="76" t="str">
        <x:f>IF('00_Formulaire_Saisie'!$P58="Validé humainement",'00_Formulaire_Saisie'!U58,"")</x:f>
      </x:c>
    </x:row>
    <x:row r="59">
      <x:c r="A59" s="76" t="str">
        <x:f>IF('00_Formulaire_Saisie'!$P59="Validé humainement",'00_Formulaire_Saisie'!A59,"")</x:f>
      </x:c>
      <x:c r="B59" s="76" t="str">
        <x:f>IF('00_Formulaire_Saisie'!$P59="Validé humainement",'00_Formulaire_Saisie'!B59,"")</x:f>
      </x:c>
      <x:c r="C59" s="76" t="str">
        <x:f>IF('00_Formulaire_Saisie'!$P59="Validé humainement",'00_Formulaire_Saisie'!C59,"")</x:f>
      </x:c>
      <x:c r="D59" s="76" t="str">
        <x:f>IF('00_Formulaire_Saisie'!$P59="Validé humainement",'00_Formulaire_Saisie'!D59,"")</x:f>
      </x:c>
      <x:c r="E59" s="76" t="str">
        <x:f>IF('00_Formulaire_Saisie'!$P59="Validé humainement",'00_Formulaire_Saisie'!E59,"")</x:f>
      </x:c>
      <x:c r="F59" s="76" t="str">
        <x:f>IF('00_Formulaire_Saisie'!$P59="Validé humainement",'00_Formulaire_Saisie'!F59,"")</x:f>
      </x:c>
      <x:c r="G59" s="76" t="str">
        <x:f>IF('00_Formulaire_Saisie'!$P59="Validé humainement",'00_Formulaire_Saisie'!G59,"")</x:f>
      </x:c>
      <x:c r="H59" s="77" t="str">
        <x:f>IF('00_Formulaire_Saisie'!$P59="Validé humainement",'00_Formulaire_Saisie'!H59,"")</x:f>
      </x:c>
      <x:c r="I59" s="76" t="str">
        <x:f>IF('00_Formulaire_Saisie'!$P59="Validé humainement",'00_Formulaire_Saisie'!I59,"")</x:f>
      </x:c>
      <x:c r="J59" s="76" t="str">
        <x:f>IF('00_Formulaire_Saisie'!$P59="Validé humainement",'00_Formulaire_Saisie'!J59,"")</x:f>
      </x:c>
      <x:c r="K59" s="76" t="str">
        <x:f>IF('00_Formulaire_Saisie'!$P59="Validé humainement",'00_Formulaire_Saisie'!K59,"")</x:f>
      </x:c>
      <x:c r="L59" s="76" t="str">
        <x:f>IF('00_Formulaire_Saisie'!$P59="Validé humainement",'00_Formulaire_Saisie'!L59,"")</x:f>
      </x:c>
      <x:c r="M59" s="76" t="str">
        <x:f>IF('00_Formulaire_Saisie'!$P59="Validé humainement",'00_Formulaire_Saisie'!M59,"")</x:f>
      </x:c>
      <x:c r="N59" s="76" t="str">
        <x:f>IF('00_Formulaire_Saisie'!$P59="Validé humainement",'00_Formulaire_Saisie'!N59,"")</x:f>
      </x:c>
      <x:c r="O59" s="76" t="str">
        <x:f>IF('00_Formulaire_Saisie'!$P59="Validé humainement",'00_Formulaire_Saisie'!O59,"")</x:f>
      </x:c>
      <x:c r="P59" s="76" t="str">
        <x:f>IF('00_Formulaire_Saisie'!$P59="Validé humainement",'00_Formulaire_Saisie'!P59,"")</x:f>
      </x:c>
      <x:c r="Q59" s="76" t="str">
        <x:f>IF('00_Formulaire_Saisie'!$P59="Validé humainement",'00_Formulaire_Saisie'!Q59,"")</x:f>
      </x:c>
      <x:c r="R59" s="78" t="str">
        <x:f>IF('00_Formulaire_Saisie'!$P59="Validé humainement",'00_Formulaire_Saisie'!R59,"")</x:f>
      </x:c>
      <x:c r="S59" s="76" t="str">
        <x:f>IF('00_Formulaire_Saisie'!$P59="Validé humainement",'00_Formulaire_Saisie'!S59,"")</x:f>
      </x:c>
      <x:c r="T59" s="76" t="str">
        <x:f>IF('00_Formulaire_Saisie'!$P59="Validé humainement",'00_Formulaire_Saisie'!T59,"")</x:f>
      </x:c>
      <x:c r="U59" s="76" t="str">
        <x:f>IF('00_Formulaire_Saisie'!$P59="Validé humainement",'00_Formulaire_Saisie'!U59,"")</x:f>
      </x:c>
    </x:row>
    <x:row r="60">
      <x:c r="A60" s="76" t="str">
        <x:f>IF('00_Formulaire_Saisie'!$P60="Validé humainement",'00_Formulaire_Saisie'!A60,"")</x:f>
      </x:c>
      <x:c r="B60" s="76" t="str">
        <x:f>IF('00_Formulaire_Saisie'!$P60="Validé humainement",'00_Formulaire_Saisie'!B60,"")</x:f>
      </x:c>
      <x:c r="C60" s="76" t="str">
        <x:f>IF('00_Formulaire_Saisie'!$P60="Validé humainement",'00_Formulaire_Saisie'!C60,"")</x:f>
      </x:c>
      <x:c r="D60" s="76" t="str">
        <x:f>IF('00_Formulaire_Saisie'!$P60="Validé humainement",'00_Formulaire_Saisie'!D60,"")</x:f>
      </x:c>
      <x:c r="E60" s="76" t="str">
        <x:f>IF('00_Formulaire_Saisie'!$P60="Validé humainement",'00_Formulaire_Saisie'!E60,"")</x:f>
      </x:c>
      <x:c r="F60" s="76" t="str">
        <x:f>IF('00_Formulaire_Saisie'!$P60="Validé humainement",'00_Formulaire_Saisie'!F60,"")</x:f>
      </x:c>
      <x:c r="G60" s="76" t="str">
        <x:f>IF('00_Formulaire_Saisie'!$P60="Validé humainement",'00_Formulaire_Saisie'!G60,"")</x:f>
      </x:c>
      <x:c r="H60" s="77" t="str">
        <x:f>IF('00_Formulaire_Saisie'!$P60="Validé humainement",'00_Formulaire_Saisie'!H60,"")</x:f>
      </x:c>
      <x:c r="I60" s="76" t="str">
        <x:f>IF('00_Formulaire_Saisie'!$P60="Validé humainement",'00_Formulaire_Saisie'!I60,"")</x:f>
      </x:c>
      <x:c r="J60" s="76" t="str">
        <x:f>IF('00_Formulaire_Saisie'!$P60="Validé humainement",'00_Formulaire_Saisie'!J60,"")</x:f>
      </x:c>
      <x:c r="K60" s="76" t="str">
        <x:f>IF('00_Formulaire_Saisie'!$P60="Validé humainement",'00_Formulaire_Saisie'!K60,"")</x:f>
      </x:c>
      <x:c r="L60" s="76" t="str">
        <x:f>IF('00_Formulaire_Saisie'!$P60="Validé humainement",'00_Formulaire_Saisie'!L60,"")</x:f>
      </x:c>
      <x:c r="M60" s="76" t="str">
        <x:f>IF('00_Formulaire_Saisie'!$P60="Validé humainement",'00_Formulaire_Saisie'!M60,"")</x:f>
      </x:c>
      <x:c r="N60" s="76" t="str">
        <x:f>IF('00_Formulaire_Saisie'!$P60="Validé humainement",'00_Formulaire_Saisie'!N60,"")</x:f>
      </x:c>
      <x:c r="O60" s="76" t="str">
        <x:f>IF('00_Formulaire_Saisie'!$P60="Validé humainement",'00_Formulaire_Saisie'!O60,"")</x:f>
      </x:c>
      <x:c r="P60" s="76" t="str">
        <x:f>IF('00_Formulaire_Saisie'!$P60="Validé humainement",'00_Formulaire_Saisie'!P60,"")</x:f>
      </x:c>
      <x:c r="Q60" s="76" t="str">
        <x:f>IF('00_Formulaire_Saisie'!$P60="Validé humainement",'00_Formulaire_Saisie'!Q60,"")</x:f>
      </x:c>
      <x:c r="R60" s="78" t="str">
        <x:f>IF('00_Formulaire_Saisie'!$P60="Validé humainement",'00_Formulaire_Saisie'!R60,"")</x:f>
      </x:c>
      <x:c r="S60" s="76" t="str">
        <x:f>IF('00_Formulaire_Saisie'!$P60="Validé humainement",'00_Formulaire_Saisie'!S60,"")</x:f>
      </x:c>
      <x:c r="T60" s="76" t="str">
        <x:f>IF('00_Formulaire_Saisie'!$P60="Validé humainement",'00_Formulaire_Saisie'!T60,"")</x:f>
      </x:c>
      <x:c r="U60" s="76" t="str">
        <x:f>IF('00_Formulaire_Saisie'!$P60="Validé humainement",'00_Formulaire_Saisie'!U60,"")</x:f>
      </x:c>
    </x:row>
    <x:row r="61">
      <x:c r="A61" s="76" t="str">
        <x:f>IF('00_Formulaire_Saisie'!$P61="Validé humainement",'00_Formulaire_Saisie'!A61,"")</x:f>
      </x:c>
      <x:c r="B61" s="76" t="str">
        <x:f>IF('00_Formulaire_Saisie'!$P61="Validé humainement",'00_Formulaire_Saisie'!B61,"")</x:f>
      </x:c>
      <x:c r="C61" s="76" t="str">
        <x:f>IF('00_Formulaire_Saisie'!$P61="Validé humainement",'00_Formulaire_Saisie'!C61,"")</x:f>
      </x:c>
      <x:c r="D61" s="76" t="str">
        <x:f>IF('00_Formulaire_Saisie'!$P61="Validé humainement",'00_Formulaire_Saisie'!D61,"")</x:f>
      </x:c>
      <x:c r="E61" s="76" t="str">
        <x:f>IF('00_Formulaire_Saisie'!$P61="Validé humainement",'00_Formulaire_Saisie'!E61,"")</x:f>
      </x:c>
      <x:c r="F61" s="76" t="str">
        <x:f>IF('00_Formulaire_Saisie'!$P61="Validé humainement",'00_Formulaire_Saisie'!F61,"")</x:f>
      </x:c>
      <x:c r="G61" s="76" t="str">
        <x:f>IF('00_Formulaire_Saisie'!$P61="Validé humainement",'00_Formulaire_Saisie'!G61,"")</x:f>
      </x:c>
      <x:c r="H61" s="77" t="str">
        <x:f>IF('00_Formulaire_Saisie'!$P61="Validé humainement",'00_Formulaire_Saisie'!H61,"")</x:f>
      </x:c>
      <x:c r="I61" s="76" t="str">
        <x:f>IF('00_Formulaire_Saisie'!$P61="Validé humainement",'00_Formulaire_Saisie'!I61,"")</x:f>
      </x:c>
      <x:c r="J61" s="76" t="str">
        <x:f>IF('00_Formulaire_Saisie'!$P61="Validé humainement",'00_Formulaire_Saisie'!J61,"")</x:f>
      </x:c>
      <x:c r="K61" s="76" t="str">
        <x:f>IF('00_Formulaire_Saisie'!$P61="Validé humainement",'00_Formulaire_Saisie'!K61,"")</x:f>
      </x:c>
      <x:c r="L61" s="76" t="str">
        <x:f>IF('00_Formulaire_Saisie'!$P61="Validé humainement",'00_Formulaire_Saisie'!L61,"")</x:f>
      </x:c>
      <x:c r="M61" s="76" t="str">
        <x:f>IF('00_Formulaire_Saisie'!$P61="Validé humainement",'00_Formulaire_Saisie'!M61,"")</x:f>
      </x:c>
      <x:c r="N61" s="76" t="str">
        <x:f>IF('00_Formulaire_Saisie'!$P61="Validé humainement",'00_Formulaire_Saisie'!N61,"")</x:f>
      </x:c>
      <x:c r="O61" s="76" t="str">
        <x:f>IF('00_Formulaire_Saisie'!$P61="Validé humainement",'00_Formulaire_Saisie'!O61,"")</x:f>
      </x:c>
      <x:c r="P61" s="76" t="str">
        <x:f>IF('00_Formulaire_Saisie'!$P61="Validé humainement",'00_Formulaire_Saisie'!P61,"")</x:f>
      </x:c>
      <x:c r="Q61" s="76" t="str">
        <x:f>IF('00_Formulaire_Saisie'!$P61="Validé humainement",'00_Formulaire_Saisie'!Q61,"")</x:f>
      </x:c>
      <x:c r="R61" s="78" t="str">
        <x:f>IF('00_Formulaire_Saisie'!$P61="Validé humainement",'00_Formulaire_Saisie'!R61,"")</x:f>
      </x:c>
      <x:c r="S61" s="76" t="str">
        <x:f>IF('00_Formulaire_Saisie'!$P61="Validé humainement",'00_Formulaire_Saisie'!S61,"")</x:f>
      </x:c>
      <x:c r="T61" s="76" t="str">
        <x:f>IF('00_Formulaire_Saisie'!$P61="Validé humainement",'00_Formulaire_Saisie'!T61,"")</x:f>
      </x:c>
      <x:c r="U61" s="76" t="str">
        <x:f>IF('00_Formulaire_Saisie'!$P61="Validé humainement",'00_Formulaire_Saisie'!U61,"")</x:f>
      </x:c>
    </x:row>
    <x:row r="62">
      <x:c r="A62" s="76" t="str">
        <x:f>IF('00_Formulaire_Saisie'!$P62="Validé humainement",'00_Formulaire_Saisie'!A62,"")</x:f>
      </x:c>
      <x:c r="B62" s="76" t="str">
        <x:f>IF('00_Formulaire_Saisie'!$P62="Validé humainement",'00_Formulaire_Saisie'!B62,"")</x:f>
      </x:c>
      <x:c r="C62" s="76" t="str">
        <x:f>IF('00_Formulaire_Saisie'!$P62="Validé humainement",'00_Formulaire_Saisie'!C62,"")</x:f>
      </x:c>
      <x:c r="D62" s="76" t="str">
        <x:f>IF('00_Formulaire_Saisie'!$P62="Validé humainement",'00_Formulaire_Saisie'!D62,"")</x:f>
      </x:c>
      <x:c r="E62" s="76" t="str">
        <x:f>IF('00_Formulaire_Saisie'!$P62="Validé humainement",'00_Formulaire_Saisie'!E62,"")</x:f>
      </x:c>
      <x:c r="F62" s="76" t="str">
        <x:f>IF('00_Formulaire_Saisie'!$P62="Validé humainement",'00_Formulaire_Saisie'!F62,"")</x:f>
      </x:c>
      <x:c r="G62" s="76" t="str">
        <x:f>IF('00_Formulaire_Saisie'!$P62="Validé humainement",'00_Formulaire_Saisie'!G62,"")</x:f>
      </x:c>
      <x:c r="H62" s="77" t="str">
        <x:f>IF('00_Formulaire_Saisie'!$P62="Validé humainement",'00_Formulaire_Saisie'!H62,"")</x:f>
      </x:c>
      <x:c r="I62" s="76" t="str">
        <x:f>IF('00_Formulaire_Saisie'!$P62="Validé humainement",'00_Formulaire_Saisie'!I62,"")</x:f>
      </x:c>
      <x:c r="J62" s="76" t="str">
        <x:f>IF('00_Formulaire_Saisie'!$P62="Validé humainement",'00_Formulaire_Saisie'!J62,"")</x:f>
      </x:c>
      <x:c r="K62" s="76" t="str">
        <x:f>IF('00_Formulaire_Saisie'!$P62="Validé humainement",'00_Formulaire_Saisie'!K62,"")</x:f>
      </x:c>
      <x:c r="L62" s="76" t="str">
        <x:f>IF('00_Formulaire_Saisie'!$P62="Validé humainement",'00_Formulaire_Saisie'!L62,"")</x:f>
      </x:c>
      <x:c r="M62" s="76" t="str">
        <x:f>IF('00_Formulaire_Saisie'!$P62="Validé humainement",'00_Formulaire_Saisie'!M62,"")</x:f>
      </x:c>
      <x:c r="N62" s="76" t="str">
        <x:f>IF('00_Formulaire_Saisie'!$P62="Validé humainement",'00_Formulaire_Saisie'!N62,"")</x:f>
      </x:c>
      <x:c r="O62" s="76" t="str">
        <x:f>IF('00_Formulaire_Saisie'!$P62="Validé humainement",'00_Formulaire_Saisie'!O62,"")</x:f>
      </x:c>
      <x:c r="P62" s="76" t="str">
        <x:f>IF('00_Formulaire_Saisie'!$P62="Validé humainement",'00_Formulaire_Saisie'!P62,"")</x:f>
      </x:c>
      <x:c r="Q62" s="76" t="str">
        <x:f>IF('00_Formulaire_Saisie'!$P62="Validé humainement",'00_Formulaire_Saisie'!Q62,"")</x:f>
      </x:c>
      <x:c r="R62" s="78" t="str">
        <x:f>IF('00_Formulaire_Saisie'!$P62="Validé humainement",'00_Formulaire_Saisie'!R62,"")</x:f>
      </x:c>
      <x:c r="S62" s="76" t="str">
        <x:f>IF('00_Formulaire_Saisie'!$P62="Validé humainement",'00_Formulaire_Saisie'!S62,"")</x:f>
      </x:c>
      <x:c r="T62" s="76" t="str">
        <x:f>IF('00_Formulaire_Saisie'!$P62="Validé humainement",'00_Formulaire_Saisie'!T62,"")</x:f>
      </x:c>
      <x:c r="U62" s="76" t="str">
        <x:f>IF('00_Formulaire_Saisie'!$P62="Validé humainement",'00_Formulaire_Saisie'!U62,"")</x:f>
      </x:c>
    </x:row>
    <x:row r="63">
      <x:c r="A63" s="76" t="str">
        <x:f>IF('00_Formulaire_Saisie'!$P63="Validé humainement",'00_Formulaire_Saisie'!A63,"")</x:f>
      </x:c>
      <x:c r="B63" s="76" t="str">
        <x:f>IF('00_Formulaire_Saisie'!$P63="Validé humainement",'00_Formulaire_Saisie'!B63,"")</x:f>
      </x:c>
      <x:c r="C63" s="76" t="str">
        <x:f>IF('00_Formulaire_Saisie'!$P63="Validé humainement",'00_Formulaire_Saisie'!C63,"")</x:f>
      </x:c>
      <x:c r="D63" s="76" t="str">
        <x:f>IF('00_Formulaire_Saisie'!$P63="Validé humainement",'00_Formulaire_Saisie'!D63,"")</x:f>
      </x:c>
      <x:c r="E63" s="76" t="str">
        <x:f>IF('00_Formulaire_Saisie'!$P63="Validé humainement",'00_Formulaire_Saisie'!E63,"")</x:f>
      </x:c>
      <x:c r="F63" s="76" t="str">
        <x:f>IF('00_Formulaire_Saisie'!$P63="Validé humainement",'00_Formulaire_Saisie'!F63,"")</x:f>
      </x:c>
      <x:c r="G63" s="76" t="str">
        <x:f>IF('00_Formulaire_Saisie'!$P63="Validé humainement",'00_Formulaire_Saisie'!G63,"")</x:f>
      </x:c>
      <x:c r="H63" s="77" t="str">
        <x:f>IF('00_Formulaire_Saisie'!$P63="Validé humainement",'00_Formulaire_Saisie'!H63,"")</x:f>
      </x:c>
      <x:c r="I63" s="76" t="str">
        <x:f>IF('00_Formulaire_Saisie'!$P63="Validé humainement",'00_Formulaire_Saisie'!I63,"")</x:f>
      </x:c>
      <x:c r="J63" s="76" t="str">
        <x:f>IF('00_Formulaire_Saisie'!$P63="Validé humainement",'00_Formulaire_Saisie'!J63,"")</x:f>
      </x:c>
      <x:c r="K63" s="76" t="str">
        <x:f>IF('00_Formulaire_Saisie'!$P63="Validé humainement",'00_Formulaire_Saisie'!K63,"")</x:f>
      </x:c>
      <x:c r="L63" s="76" t="str">
        <x:f>IF('00_Formulaire_Saisie'!$P63="Validé humainement",'00_Formulaire_Saisie'!L63,"")</x:f>
      </x:c>
      <x:c r="M63" s="76" t="str">
        <x:f>IF('00_Formulaire_Saisie'!$P63="Validé humainement",'00_Formulaire_Saisie'!M63,"")</x:f>
      </x:c>
      <x:c r="N63" s="76" t="str">
        <x:f>IF('00_Formulaire_Saisie'!$P63="Validé humainement",'00_Formulaire_Saisie'!N63,"")</x:f>
      </x:c>
      <x:c r="O63" s="76" t="str">
        <x:f>IF('00_Formulaire_Saisie'!$P63="Validé humainement",'00_Formulaire_Saisie'!O63,"")</x:f>
      </x:c>
      <x:c r="P63" s="76" t="str">
        <x:f>IF('00_Formulaire_Saisie'!$P63="Validé humainement",'00_Formulaire_Saisie'!P63,"")</x:f>
      </x:c>
      <x:c r="Q63" s="76" t="str">
        <x:f>IF('00_Formulaire_Saisie'!$P63="Validé humainement",'00_Formulaire_Saisie'!Q63,"")</x:f>
      </x:c>
      <x:c r="R63" s="78" t="str">
        <x:f>IF('00_Formulaire_Saisie'!$P63="Validé humainement",'00_Formulaire_Saisie'!R63,"")</x:f>
      </x:c>
      <x:c r="S63" s="76" t="str">
        <x:f>IF('00_Formulaire_Saisie'!$P63="Validé humainement",'00_Formulaire_Saisie'!S63,"")</x:f>
      </x:c>
      <x:c r="T63" s="76" t="str">
        <x:f>IF('00_Formulaire_Saisie'!$P63="Validé humainement",'00_Formulaire_Saisie'!T63,"")</x:f>
      </x:c>
      <x:c r="U63" s="76" t="str">
        <x:f>IF('00_Formulaire_Saisie'!$P63="Validé humainement",'00_Formulaire_Saisie'!U63,"")</x:f>
      </x:c>
    </x:row>
    <x:row r="64">
      <x:c r="A64" s="76" t="str">
        <x:f>IF('00_Formulaire_Saisie'!$P64="Validé humainement",'00_Formulaire_Saisie'!A64,"")</x:f>
      </x:c>
      <x:c r="B64" s="76" t="str">
        <x:f>IF('00_Formulaire_Saisie'!$P64="Validé humainement",'00_Formulaire_Saisie'!B64,"")</x:f>
      </x:c>
      <x:c r="C64" s="76" t="str">
        <x:f>IF('00_Formulaire_Saisie'!$P64="Validé humainement",'00_Formulaire_Saisie'!C64,"")</x:f>
      </x:c>
      <x:c r="D64" s="76" t="str">
        <x:f>IF('00_Formulaire_Saisie'!$P64="Validé humainement",'00_Formulaire_Saisie'!D64,"")</x:f>
      </x:c>
      <x:c r="E64" s="76" t="str">
        <x:f>IF('00_Formulaire_Saisie'!$P64="Validé humainement",'00_Formulaire_Saisie'!E64,"")</x:f>
      </x:c>
      <x:c r="F64" s="76" t="str">
        <x:f>IF('00_Formulaire_Saisie'!$P64="Validé humainement",'00_Formulaire_Saisie'!F64,"")</x:f>
      </x:c>
      <x:c r="G64" s="76" t="str">
        <x:f>IF('00_Formulaire_Saisie'!$P64="Validé humainement",'00_Formulaire_Saisie'!G64,"")</x:f>
      </x:c>
      <x:c r="H64" s="77" t="str">
        <x:f>IF('00_Formulaire_Saisie'!$P64="Validé humainement",'00_Formulaire_Saisie'!H64,"")</x:f>
      </x:c>
      <x:c r="I64" s="76" t="str">
        <x:f>IF('00_Formulaire_Saisie'!$P64="Validé humainement",'00_Formulaire_Saisie'!I64,"")</x:f>
      </x:c>
      <x:c r="J64" s="76" t="str">
        <x:f>IF('00_Formulaire_Saisie'!$P64="Validé humainement",'00_Formulaire_Saisie'!J64,"")</x:f>
      </x:c>
      <x:c r="K64" s="76" t="str">
        <x:f>IF('00_Formulaire_Saisie'!$P64="Validé humainement",'00_Formulaire_Saisie'!K64,"")</x:f>
      </x:c>
      <x:c r="L64" s="76" t="str">
        <x:f>IF('00_Formulaire_Saisie'!$P64="Validé humainement",'00_Formulaire_Saisie'!L64,"")</x:f>
      </x:c>
      <x:c r="M64" s="76" t="str">
        <x:f>IF('00_Formulaire_Saisie'!$P64="Validé humainement",'00_Formulaire_Saisie'!M64,"")</x:f>
      </x:c>
      <x:c r="N64" s="76" t="str">
        <x:f>IF('00_Formulaire_Saisie'!$P64="Validé humainement",'00_Formulaire_Saisie'!N64,"")</x:f>
      </x:c>
      <x:c r="O64" s="76" t="str">
        <x:f>IF('00_Formulaire_Saisie'!$P64="Validé humainement",'00_Formulaire_Saisie'!O64,"")</x:f>
      </x:c>
      <x:c r="P64" s="76" t="str">
        <x:f>IF('00_Formulaire_Saisie'!$P64="Validé humainement",'00_Formulaire_Saisie'!P64,"")</x:f>
      </x:c>
      <x:c r="Q64" s="76" t="str">
        <x:f>IF('00_Formulaire_Saisie'!$P64="Validé humainement",'00_Formulaire_Saisie'!Q64,"")</x:f>
      </x:c>
      <x:c r="R64" s="78" t="str">
        <x:f>IF('00_Formulaire_Saisie'!$P64="Validé humainement",'00_Formulaire_Saisie'!R64,"")</x:f>
      </x:c>
      <x:c r="S64" s="76" t="str">
        <x:f>IF('00_Formulaire_Saisie'!$P64="Validé humainement",'00_Formulaire_Saisie'!S64,"")</x:f>
      </x:c>
      <x:c r="T64" s="76" t="str">
        <x:f>IF('00_Formulaire_Saisie'!$P64="Validé humainement",'00_Formulaire_Saisie'!T64,"")</x:f>
      </x:c>
      <x:c r="U64" s="76" t="str">
        <x:f>IF('00_Formulaire_Saisie'!$P64="Validé humainement",'00_Formulaire_Saisie'!U64,"")</x:f>
      </x:c>
    </x:row>
    <x:row r="65">
      <x:c r="A65" s="76" t="str">
        <x:f>IF('00_Formulaire_Saisie'!$P65="Validé humainement",'00_Formulaire_Saisie'!A65,"")</x:f>
      </x:c>
      <x:c r="B65" s="76" t="str">
        <x:f>IF('00_Formulaire_Saisie'!$P65="Validé humainement",'00_Formulaire_Saisie'!B65,"")</x:f>
      </x:c>
      <x:c r="C65" s="76" t="str">
        <x:f>IF('00_Formulaire_Saisie'!$P65="Validé humainement",'00_Formulaire_Saisie'!C65,"")</x:f>
      </x:c>
      <x:c r="D65" s="76" t="str">
        <x:f>IF('00_Formulaire_Saisie'!$P65="Validé humainement",'00_Formulaire_Saisie'!D65,"")</x:f>
      </x:c>
      <x:c r="E65" s="76" t="str">
        <x:f>IF('00_Formulaire_Saisie'!$P65="Validé humainement",'00_Formulaire_Saisie'!E65,"")</x:f>
      </x:c>
      <x:c r="F65" s="76" t="str">
        <x:f>IF('00_Formulaire_Saisie'!$P65="Validé humainement",'00_Formulaire_Saisie'!F65,"")</x:f>
      </x:c>
      <x:c r="G65" s="76" t="str">
        <x:f>IF('00_Formulaire_Saisie'!$P65="Validé humainement",'00_Formulaire_Saisie'!G65,"")</x:f>
      </x:c>
      <x:c r="H65" s="77" t="str">
        <x:f>IF('00_Formulaire_Saisie'!$P65="Validé humainement",'00_Formulaire_Saisie'!H65,"")</x:f>
      </x:c>
      <x:c r="I65" s="76" t="str">
        <x:f>IF('00_Formulaire_Saisie'!$P65="Validé humainement",'00_Formulaire_Saisie'!I65,"")</x:f>
      </x:c>
      <x:c r="J65" s="76" t="str">
        <x:f>IF('00_Formulaire_Saisie'!$P65="Validé humainement",'00_Formulaire_Saisie'!J65,"")</x:f>
      </x:c>
      <x:c r="K65" s="76" t="str">
        <x:f>IF('00_Formulaire_Saisie'!$P65="Validé humainement",'00_Formulaire_Saisie'!K65,"")</x:f>
      </x:c>
      <x:c r="L65" s="76" t="str">
        <x:f>IF('00_Formulaire_Saisie'!$P65="Validé humainement",'00_Formulaire_Saisie'!L65,"")</x:f>
      </x:c>
      <x:c r="M65" s="76" t="str">
        <x:f>IF('00_Formulaire_Saisie'!$P65="Validé humainement",'00_Formulaire_Saisie'!M65,"")</x:f>
      </x:c>
      <x:c r="N65" s="76" t="str">
        <x:f>IF('00_Formulaire_Saisie'!$P65="Validé humainement",'00_Formulaire_Saisie'!N65,"")</x:f>
      </x:c>
      <x:c r="O65" s="76" t="str">
        <x:f>IF('00_Formulaire_Saisie'!$P65="Validé humainement",'00_Formulaire_Saisie'!O65,"")</x:f>
      </x:c>
      <x:c r="P65" s="76" t="str">
        <x:f>IF('00_Formulaire_Saisie'!$P65="Validé humainement",'00_Formulaire_Saisie'!P65,"")</x:f>
      </x:c>
      <x:c r="Q65" s="76" t="str">
        <x:f>IF('00_Formulaire_Saisie'!$P65="Validé humainement",'00_Formulaire_Saisie'!Q65,"")</x:f>
      </x:c>
      <x:c r="R65" s="78" t="str">
        <x:f>IF('00_Formulaire_Saisie'!$P65="Validé humainement",'00_Formulaire_Saisie'!R65,"")</x:f>
      </x:c>
      <x:c r="S65" s="76" t="str">
        <x:f>IF('00_Formulaire_Saisie'!$P65="Validé humainement",'00_Formulaire_Saisie'!S65,"")</x:f>
      </x:c>
      <x:c r="T65" s="76" t="str">
        <x:f>IF('00_Formulaire_Saisie'!$P65="Validé humainement",'00_Formulaire_Saisie'!T65,"")</x:f>
      </x:c>
      <x:c r="U65" s="76" t="str">
        <x:f>IF('00_Formulaire_Saisie'!$P65="Validé humainement",'00_Formulaire_Saisie'!U65,"")</x:f>
      </x:c>
    </x:row>
    <x:row r="66">
      <x:c r="A66" s="76" t="str">
        <x:f>IF('00_Formulaire_Saisie'!$P66="Validé humainement",'00_Formulaire_Saisie'!A66,"")</x:f>
      </x:c>
      <x:c r="B66" s="76" t="str">
        <x:f>IF('00_Formulaire_Saisie'!$P66="Validé humainement",'00_Formulaire_Saisie'!B66,"")</x:f>
      </x:c>
      <x:c r="C66" s="76" t="str">
        <x:f>IF('00_Formulaire_Saisie'!$P66="Validé humainement",'00_Formulaire_Saisie'!C66,"")</x:f>
      </x:c>
      <x:c r="D66" s="76" t="str">
        <x:f>IF('00_Formulaire_Saisie'!$P66="Validé humainement",'00_Formulaire_Saisie'!D66,"")</x:f>
      </x:c>
      <x:c r="E66" s="76" t="str">
        <x:f>IF('00_Formulaire_Saisie'!$P66="Validé humainement",'00_Formulaire_Saisie'!E66,"")</x:f>
      </x:c>
      <x:c r="F66" s="76" t="str">
        <x:f>IF('00_Formulaire_Saisie'!$P66="Validé humainement",'00_Formulaire_Saisie'!F66,"")</x:f>
      </x:c>
      <x:c r="G66" s="76" t="str">
        <x:f>IF('00_Formulaire_Saisie'!$P66="Validé humainement",'00_Formulaire_Saisie'!G66,"")</x:f>
      </x:c>
      <x:c r="H66" s="77" t="str">
        <x:f>IF('00_Formulaire_Saisie'!$P66="Validé humainement",'00_Formulaire_Saisie'!H66,"")</x:f>
      </x:c>
      <x:c r="I66" s="76" t="str">
        <x:f>IF('00_Formulaire_Saisie'!$P66="Validé humainement",'00_Formulaire_Saisie'!I66,"")</x:f>
      </x:c>
      <x:c r="J66" s="76" t="str">
        <x:f>IF('00_Formulaire_Saisie'!$P66="Validé humainement",'00_Formulaire_Saisie'!J66,"")</x:f>
      </x:c>
      <x:c r="K66" s="76" t="str">
        <x:f>IF('00_Formulaire_Saisie'!$P66="Validé humainement",'00_Formulaire_Saisie'!K66,"")</x:f>
      </x:c>
      <x:c r="L66" s="76" t="str">
        <x:f>IF('00_Formulaire_Saisie'!$P66="Validé humainement",'00_Formulaire_Saisie'!L66,"")</x:f>
      </x:c>
      <x:c r="M66" s="76" t="str">
        <x:f>IF('00_Formulaire_Saisie'!$P66="Validé humainement",'00_Formulaire_Saisie'!M66,"")</x:f>
      </x:c>
      <x:c r="N66" s="76" t="str">
        <x:f>IF('00_Formulaire_Saisie'!$P66="Validé humainement",'00_Formulaire_Saisie'!N66,"")</x:f>
      </x:c>
      <x:c r="O66" s="76" t="str">
        <x:f>IF('00_Formulaire_Saisie'!$P66="Validé humainement",'00_Formulaire_Saisie'!O66,"")</x:f>
      </x:c>
      <x:c r="P66" s="76" t="str">
        <x:f>IF('00_Formulaire_Saisie'!$P66="Validé humainement",'00_Formulaire_Saisie'!P66,"")</x:f>
      </x:c>
      <x:c r="Q66" s="76" t="str">
        <x:f>IF('00_Formulaire_Saisie'!$P66="Validé humainement",'00_Formulaire_Saisie'!Q66,"")</x:f>
      </x:c>
      <x:c r="R66" s="78" t="str">
        <x:f>IF('00_Formulaire_Saisie'!$P66="Validé humainement",'00_Formulaire_Saisie'!R66,"")</x:f>
      </x:c>
      <x:c r="S66" s="76" t="str">
        <x:f>IF('00_Formulaire_Saisie'!$P66="Validé humainement",'00_Formulaire_Saisie'!S66,"")</x:f>
      </x:c>
      <x:c r="T66" s="76" t="str">
        <x:f>IF('00_Formulaire_Saisie'!$P66="Validé humainement",'00_Formulaire_Saisie'!T66,"")</x:f>
      </x:c>
      <x:c r="U66" s="76" t="str">
        <x:f>IF('00_Formulaire_Saisie'!$P66="Validé humainement",'00_Formulaire_Saisie'!U66,"")</x:f>
      </x:c>
    </x:row>
    <x:row r="67">
      <x:c r="A67" s="76" t="str">
        <x:f>IF('00_Formulaire_Saisie'!$P67="Validé humainement",'00_Formulaire_Saisie'!A67,"")</x:f>
      </x:c>
      <x:c r="B67" s="76" t="str">
        <x:f>IF('00_Formulaire_Saisie'!$P67="Validé humainement",'00_Formulaire_Saisie'!B67,"")</x:f>
      </x:c>
      <x:c r="C67" s="76" t="str">
        <x:f>IF('00_Formulaire_Saisie'!$P67="Validé humainement",'00_Formulaire_Saisie'!C67,"")</x:f>
      </x:c>
      <x:c r="D67" s="76" t="str">
        <x:f>IF('00_Formulaire_Saisie'!$P67="Validé humainement",'00_Formulaire_Saisie'!D67,"")</x:f>
      </x:c>
      <x:c r="E67" s="76" t="str">
        <x:f>IF('00_Formulaire_Saisie'!$P67="Validé humainement",'00_Formulaire_Saisie'!E67,"")</x:f>
      </x:c>
      <x:c r="F67" s="76" t="str">
        <x:f>IF('00_Formulaire_Saisie'!$P67="Validé humainement",'00_Formulaire_Saisie'!F67,"")</x:f>
      </x:c>
      <x:c r="G67" s="76" t="str">
        <x:f>IF('00_Formulaire_Saisie'!$P67="Validé humainement",'00_Formulaire_Saisie'!G67,"")</x:f>
      </x:c>
      <x:c r="H67" s="77" t="str">
        <x:f>IF('00_Formulaire_Saisie'!$P67="Validé humainement",'00_Formulaire_Saisie'!H67,"")</x:f>
      </x:c>
      <x:c r="I67" s="76" t="str">
        <x:f>IF('00_Formulaire_Saisie'!$P67="Validé humainement",'00_Formulaire_Saisie'!I67,"")</x:f>
      </x:c>
      <x:c r="J67" s="76" t="str">
        <x:f>IF('00_Formulaire_Saisie'!$P67="Validé humainement",'00_Formulaire_Saisie'!J67,"")</x:f>
      </x:c>
      <x:c r="K67" s="76" t="str">
        <x:f>IF('00_Formulaire_Saisie'!$P67="Validé humainement",'00_Formulaire_Saisie'!K67,"")</x:f>
      </x:c>
      <x:c r="L67" s="76" t="str">
        <x:f>IF('00_Formulaire_Saisie'!$P67="Validé humainement",'00_Formulaire_Saisie'!L67,"")</x:f>
      </x:c>
      <x:c r="M67" s="76" t="str">
        <x:f>IF('00_Formulaire_Saisie'!$P67="Validé humainement",'00_Formulaire_Saisie'!M67,"")</x:f>
      </x:c>
      <x:c r="N67" s="76" t="str">
        <x:f>IF('00_Formulaire_Saisie'!$P67="Validé humainement",'00_Formulaire_Saisie'!N67,"")</x:f>
      </x:c>
      <x:c r="O67" s="76" t="str">
        <x:f>IF('00_Formulaire_Saisie'!$P67="Validé humainement",'00_Formulaire_Saisie'!O67,"")</x:f>
      </x:c>
      <x:c r="P67" s="76" t="str">
        <x:f>IF('00_Formulaire_Saisie'!$P67="Validé humainement",'00_Formulaire_Saisie'!P67,"")</x:f>
      </x:c>
      <x:c r="Q67" s="76" t="str">
        <x:f>IF('00_Formulaire_Saisie'!$P67="Validé humainement",'00_Formulaire_Saisie'!Q67,"")</x:f>
      </x:c>
      <x:c r="R67" s="78" t="str">
        <x:f>IF('00_Formulaire_Saisie'!$P67="Validé humainement",'00_Formulaire_Saisie'!R67,"")</x:f>
      </x:c>
      <x:c r="S67" s="76" t="str">
        <x:f>IF('00_Formulaire_Saisie'!$P67="Validé humainement",'00_Formulaire_Saisie'!S67,"")</x:f>
      </x:c>
      <x:c r="T67" s="76" t="str">
        <x:f>IF('00_Formulaire_Saisie'!$P67="Validé humainement",'00_Formulaire_Saisie'!T67,"")</x:f>
      </x:c>
      <x:c r="U67" s="76" t="str">
        <x:f>IF('00_Formulaire_Saisie'!$P67="Validé humainement",'00_Formulaire_Saisie'!U67,"")</x:f>
      </x:c>
    </x:row>
    <x:row r="68">
      <x:c r="A68" s="76" t="str">
        <x:f>IF('00_Formulaire_Saisie'!$P68="Validé humainement",'00_Formulaire_Saisie'!A68,"")</x:f>
      </x:c>
      <x:c r="B68" s="76" t="str">
        <x:f>IF('00_Formulaire_Saisie'!$P68="Validé humainement",'00_Formulaire_Saisie'!B68,"")</x:f>
      </x:c>
      <x:c r="C68" s="76" t="str">
        <x:f>IF('00_Formulaire_Saisie'!$P68="Validé humainement",'00_Formulaire_Saisie'!C68,"")</x:f>
      </x:c>
      <x:c r="D68" s="76" t="str">
        <x:f>IF('00_Formulaire_Saisie'!$P68="Validé humainement",'00_Formulaire_Saisie'!D68,"")</x:f>
      </x:c>
      <x:c r="E68" s="76" t="str">
        <x:f>IF('00_Formulaire_Saisie'!$P68="Validé humainement",'00_Formulaire_Saisie'!E68,"")</x:f>
      </x:c>
      <x:c r="F68" s="76" t="str">
        <x:f>IF('00_Formulaire_Saisie'!$P68="Validé humainement",'00_Formulaire_Saisie'!F68,"")</x:f>
      </x:c>
      <x:c r="G68" s="76" t="str">
        <x:f>IF('00_Formulaire_Saisie'!$P68="Validé humainement",'00_Formulaire_Saisie'!G68,"")</x:f>
      </x:c>
      <x:c r="H68" s="77" t="str">
        <x:f>IF('00_Formulaire_Saisie'!$P68="Validé humainement",'00_Formulaire_Saisie'!H68,"")</x:f>
      </x:c>
      <x:c r="I68" s="76" t="str">
        <x:f>IF('00_Formulaire_Saisie'!$P68="Validé humainement",'00_Formulaire_Saisie'!I68,"")</x:f>
      </x:c>
      <x:c r="J68" s="76" t="str">
        <x:f>IF('00_Formulaire_Saisie'!$P68="Validé humainement",'00_Formulaire_Saisie'!J68,"")</x:f>
      </x:c>
      <x:c r="K68" s="76" t="str">
        <x:f>IF('00_Formulaire_Saisie'!$P68="Validé humainement",'00_Formulaire_Saisie'!K68,"")</x:f>
      </x:c>
      <x:c r="L68" s="76" t="str">
        <x:f>IF('00_Formulaire_Saisie'!$P68="Validé humainement",'00_Formulaire_Saisie'!L68,"")</x:f>
      </x:c>
      <x:c r="M68" s="76" t="str">
        <x:f>IF('00_Formulaire_Saisie'!$P68="Validé humainement",'00_Formulaire_Saisie'!M68,"")</x:f>
      </x:c>
      <x:c r="N68" s="76" t="str">
        <x:f>IF('00_Formulaire_Saisie'!$P68="Validé humainement",'00_Formulaire_Saisie'!N68,"")</x:f>
      </x:c>
      <x:c r="O68" s="76" t="str">
        <x:f>IF('00_Formulaire_Saisie'!$P68="Validé humainement",'00_Formulaire_Saisie'!O68,"")</x:f>
      </x:c>
      <x:c r="P68" s="76" t="str">
        <x:f>IF('00_Formulaire_Saisie'!$P68="Validé humainement",'00_Formulaire_Saisie'!P68,"")</x:f>
      </x:c>
      <x:c r="Q68" s="76" t="str">
        <x:f>IF('00_Formulaire_Saisie'!$P68="Validé humainement",'00_Formulaire_Saisie'!Q68,"")</x:f>
      </x:c>
      <x:c r="R68" s="78" t="str">
        <x:f>IF('00_Formulaire_Saisie'!$P68="Validé humainement",'00_Formulaire_Saisie'!R68,"")</x:f>
      </x:c>
      <x:c r="S68" s="76" t="str">
        <x:f>IF('00_Formulaire_Saisie'!$P68="Validé humainement",'00_Formulaire_Saisie'!S68,"")</x:f>
      </x:c>
      <x:c r="T68" s="76" t="str">
        <x:f>IF('00_Formulaire_Saisie'!$P68="Validé humainement",'00_Formulaire_Saisie'!T68,"")</x:f>
      </x:c>
      <x:c r="U68" s="76" t="str">
        <x:f>IF('00_Formulaire_Saisie'!$P68="Validé humainement",'00_Formulaire_Saisie'!U68,"")</x:f>
      </x:c>
    </x:row>
    <x:row r="69">
      <x:c r="A69" s="76" t="str">
        <x:f>IF('00_Formulaire_Saisie'!$P69="Validé humainement",'00_Formulaire_Saisie'!A69,"")</x:f>
      </x:c>
      <x:c r="B69" s="76" t="str">
        <x:f>IF('00_Formulaire_Saisie'!$P69="Validé humainement",'00_Formulaire_Saisie'!B69,"")</x:f>
      </x:c>
      <x:c r="C69" s="76" t="str">
        <x:f>IF('00_Formulaire_Saisie'!$P69="Validé humainement",'00_Formulaire_Saisie'!C69,"")</x:f>
      </x:c>
      <x:c r="D69" s="76" t="str">
        <x:f>IF('00_Formulaire_Saisie'!$P69="Validé humainement",'00_Formulaire_Saisie'!D69,"")</x:f>
      </x:c>
      <x:c r="E69" s="76" t="str">
        <x:f>IF('00_Formulaire_Saisie'!$P69="Validé humainement",'00_Formulaire_Saisie'!E69,"")</x:f>
      </x:c>
      <x:c r="F69" s="76" t="str">
        <x:f>IF('00_Formulaire_Saisie'!$P69="Validé humainement",'00_Formulaire_Saisie'!F69,"")</x:f>
      </x:c>
      <x:c r="G69" s="76" t="str">
        <x:f>IF('00_Formulaire_Saisie'!$P69="Validé humainement",'00_Formulaire_Saisie'!G69,"")</x:f>
      </x:c>
      <x:c r="H69" s="77" t="str">
        <x:f>IF('00_Formulaire_Saisie'!$P69="Validé humainement",'00_Formulaire_Saisie'!H69,"")</x:f>
      </x:c>
      <x:c r="I69" s="76" t="str">
        <x:f>IF('00_Formulaire_Saisie'!$P69="Validé humainement",'00_Formulaire_Saisie'!I69,"")</x:f>
      </x:c>
      <x:c r="J69" s="76" t="str">
        <x:f>IF('00_Formulaire_Saisie'!$P69="Validé humainement",'00_Formulaire_Saisie'!J69,"")</x:f>
      </x:c>
      <x:c r="K69" s="76" t="str">
        <x:f>IF('00_Formulaire_Saisie'!$P69="Validé humainement",'00_Formulaire_Saisie'!K69,"")</x:f>
      </x:c>
      <x:c r="L69" s="76" t="str">
        <x:f>IF('00_Formulaire_Saisie'!$P69="Validé humainement",'00_Formulaire_Saisie'!L69,"")</x:f>
      </x:c>
      <x:c r="M69" s="76" t="str">
        <x:f>IF('00_Formulaire_Saisie'!$P69="Validé humainement",'00_Formulaire_Saisie'!M69,"")</x:f>
      </x:c>
      <x:c r="N69" s="76" t="str">
        <x:f>IF('00_Formulaire_Saisie'!$P69="Validé humainement",'00_Formulaire_Saisie'!N69,"")</x:f>
      </x:c>
      <x:c r="O69" s="76" t="str">
        <x:f>IF('00_Formulaire_Saisie'!$P69="Validé humainement",'00_Formulaire_Saisie'!O69,"")</x:f>
      </x:c>
      <x:c r="P69" s="76" t="str">
        <x:f>IF('00_Formulaire_Saisie'!$P69="Validé humainement",'00_Formulaire_Saisie'!P69,"")</x:f>
      </x:c>
      <x:c r="Q69" s="76" t="str">
        <x:f>IF('00_Formulaire_Saisie'!$P69="Validé humainement",'00_Formulaire_Saisie'!Q69,"")</x:f>
      </x:c>
      <x:c r="R69" s="78" t="str">
        <x:f>IF('00_Formulaire_Saisie'!$P69="Validé humainement",'00_Formulaire_Saisie'!R69,"")</x:f>
      </x:c>
      <x:c r="S69" s="76" t="str">
        <x:f>IF('00_Formulaire_Saisie'!$P69="Validé humainement",'00_Formulaire_Saisie'!S69,"")</x:f>
      </x:c>
      <x:c r="T69" s="76" t="str">
        <x:f>IF('00_Formulaire_Saisie'!$P69="Validé humainement",'00_Formulaire_Saisie'!T69,"")</x:f>
      </x:c>
      <x:c r="U69" s="76" t="str">
        <x:f>IF('00_Formulaire_Saisie'!$P69="Validé humainement",'00_Formulaire_Saisie'!U69,"")</x:f>
      </x:c>
    </x:row>
    <x:row r="70">
      <x:c r="A70" s="76" t="str">
        <x:f>IF('00_Formulaire_Saisie'!$P70="Validé humainement",'00_Formulaire_Saisie'!A70,"")</x:f>
      </x:c>
      <x:c r="B70" s="76" t="str">
        <x:f>IF('00_Formulaire_Saisie'!$P70="Validé humainement",'00_Formulaire_Saisie'!B70,"")</x:f>
      </x:c>
      <x:c r="C70" s="76" t="str">
        <x:f>IF('00_Formulaire_Saisie'!$P70="Validé humainement",'00_Formulaire_Saisie'!C70,"")</x:f>
      </x:c>
      <x:c r="D70" s="76" t="str">
        <x:f>IF('00_Formulaire_Saisie'!$P70="Validé humainement",'00_Formulaire_Saisie'!D70,"")</x:f>
      </x:c>
      <x:c r="E70" s="76" t="str">
        <x:f>IF('00_Formulaire_Saisie'!$P70="Validé humainement",'00_Formulaire_Saisie'!E70,"")</x:f>
      </x:c>
      <x:c r="F70" s="76" t="str">
        <x:f>IF('00_Formulaire_Saisie'!$P70="Validé humainement",'00_Formulaire_Saisie'!F70,"")</x:f>
      </x:c>
      <x:c r="G70" s="76" t="str">
        <x:f>IF('00_Formulaire_Saisie'!$P70="Validé humainement",'00_Formulaire_Saisie'!G70,"")</x:f>
      </x:c>
      <x:c r="H70" s="77" t="str">
        <x:f>IF('00_Formulaire_Saisie'!$P70="Validé humainement",'00_Formulaire_Saisie'!H70,"")</x:f>
      </x:c>
      <x:c r="I70" s="76" t="str">
        <x:f>IF('00_Formulaire_Saisie'!$P70="Validé humainement",'00_Formulaire_Saisie'!I70,"")</x:f>
      </x:c>
      <x:c r="J70" s="76" t="str">
        <x:f>IF('00_Formulaire_Saisie'!$P70="Validé humainement",'00_Formulaire_Saisie'!J70,"")</x:f>
      </x:c>
      <x:c r="K70" s="76" t="str">
        <x:f>IF('00_Formulaire_Saisie'!$P70="Validé humainement",'00_Formulaire_Saisie'!K70,"")</x:f>
      </x:c>
      <x:c r="L70" s="76" t="str">
        <x:f>IF('00_Formulaire_Saisie'!$P70="Validé humainement",'00_Formulaire_Saisie'!L70,"")</x:f>
      </x:c>
      <x:c r="M70" s="76" t="str">
        <x:f>IF('00_Formulaire_Saisie'!$P70="Validé humainement",'00_Formulaire_Saisie'!M70,"")</x:f>
      </x:c>
      <x:c r="N70" s="76" t="str">
        <x:f>IF('00_Formulaire_Saisie'!$P70="Validé humainement",'00_Formulaire_Saisie'!N70,"")</x:f>
      </x:c>
      <x:c r="O70" s="76" t="str">
        <x:f>IF('00_Formulaire_Saisie'!$P70="Validé humainement",'00_Formulaire_Saisie'!O70,"")</x:f>
      </x:c>
      <x:c r="P70" s="76" t="str">
        <x:f>IF('00_Formulaire_Saisie'!$P70="Validé humainement",'00_Formulaire_Saisie'!P70,"")</x:f>
      </x:c>
      <x:c r="Q70" s="76" t="str">
        <x:f>IF('00_Formulaire_Saisie'!$P70="Validé humainement",'00_Formulaire_Saisie'!Q70,"")</x:f>
      </x:c>
      <x:c r="R70" s="78" t="str">
        <x:f>IF('00_Formulaire_Saisie'!$P70="Validé humainement",'00_Formulaire_Saisie'!R70,"")</x:f>
      </x:c>
      <x:c r="S70" s="76" t="str">
        <x:f>IF('00_Formulaire_Saisie'!$P70="Validé humainement",'00_Formulaire_Saisie'!S70,"")</x:f>
      </x:c>
      <x:c r="T70" s="76" t="str">
        <x:f>IF('00_Formulaire_Saisie'!$P70="Validé humainement",'00_Formulaire_Saisie'!T70,"")</x:f>
      </x:c>
      <x:c r="U70" s="76" t="str">
        <x:f>IF('00_Formulaire_Saisie'!$P70="Validé humainement",'00_Formulaire_Saisie'!U70,"")</x:f>
      </x:c>
    </x:row>
    <x:row r="71">
      <x:c r="A71" s="76" t="str">
        <x:f>IF('00_Formulaire_Saisie'!$P71="Validé humainement",'00_Formulaire_Saisie'!A71,"")</x:f>
      </x:c>
      <x:c r="B71" s="76" t="str">
        <x:f>IF('00_Formulaire_Saisie'!$P71="Validé humainement",'00_Formulaire_Saisie'!B71,"")</x:f>
      </x:c>
      <x:c r="C71" s="76" t="str">
        <x:f>IF('00_Formulaire_Saisie'!$P71="Validé humainement",'00_Formulaire_Saisie'!C71,"")</x:f>
      </x:c>
      <x:c r="D71" s="76" t="str">
        <x:f>IF('00_Formulaire_Saisie'!$P71="Validé humainement",'00_Formulaire_Saisie'!D71,"")</x:f>
      </x:c>
      <x:c r="E71" s="76" t="str">
        <x:f>IF('00_Formulaire_Saisie'!$P71="Validé humainement",'00_Formulaire_Saisie'!E71,"")</x:f>
      </x:c>
      <x:c r="F71" s="76" t="str">
        <x:f>IF('00_Formulaire_Saisie'!$P71="Validé humainement",'00_Formulaire_Saisie'!F71,"")</x:f>
      </x:c>
      <x:c r="G71" s="76" t="str">
        <x:f>IF('00_Formulaire_Saisie'!$P71="Validé humainement",'00_Formulaire_Saisie'!G71,"")</x:f>
      </x:c>
      <x:c r="H71" s="77" t="str">
        <x:f>IF('00_Formulaire_Saisie'!$P71="Validé humainement",'00_Formulaire_Saisie'!H71,"")</x:f>
      </x:c>
      <x:c r="I71" s="76" t="str">
        <x:f>IF('00_Formulaire_Saisie'!$P71="Validé humainement",'00_Formulaire_Saisie'!I71,"")</x:f>
      </x:c>
      <x:c r="J71" s="76" t="str">
        <x:f>IF('00_Formulaire_Saisie'!$P71="Validé humainement",'00_Formulaire_Saisie'!J71,"")</x:f>
      </x:c>
      <x:c r="K71" s="76" t="str">
        <x:f>IF('00_Formulaire_Saisie'!$P71="Validé humainement",'00_Formulaire_Saisie'!K71,"")</x:f>
      </x:c>
      <x:c r="L71" s="76" t="str">
        <x:f>IF('00_Formulaire_Saisie'!$P71="Validé humainement",'00_Formulaire_Saisie'!L71,"")</x:f>
      </x:c>
      <x:c r="M71" s="76" t="str">
        <x:f>IF('00_Formulaire_Saisie'!$P71="Validé humainement",'00_Formulaire_Saisie'!M71,"")</x:f>
      </x:c>
      <x:c r="N71" s="76" t="str">
        <x:f>IF('00_Formulaire_Saisie'!$P71="Validé humainement",'00_Formulaire_Saisie'!N71,"")</x:f>
      </x:c>
      <x:c r="O71" s="76" t="str">
        <x:f>IF('00_Formulaire_Saisie'!$P71="Validé humainement",'00_Formulaire_Saisie'!O71,"")</x:f>
      </x:c>
      <x:c r="P71" s="76" t="str">
        <x:f>IF('00_Formulaire_Saisie'!$P71="Validé humainement",'00_Formulaire_Saisie'!P71,"")</x:f>
      </x:c>
      <x:c r="Q71" s="76" t="str">
        <x:f>IF('00_Formulaire_Saisie'!$P71="Validé humainement",'00_Formulaire_Saisie'!Q71,"")</x:f>
      </x:c>
      <x:c r="R71" s="78" t="str">
        <x:f>IF('00_Formulaire_Saisie'!$P71="Validé humainement",'00_Formulaire_Saisie'!R71,"")</x:f>
      </x:c>
      <x:c r="S71" s="76" t="str">
        <x:f>IF('00_Formulaire_Saisie'!$P71="Validé humainement",'00_Formulaire_Saisie'!S71,"")</x:f>
      </x:c>
      <x:c r="T71" s="76" t="str">
        <x:f>IF('00_Formulaire_Saisie'!$P71="Validé humainement",'00_Formulaire_Saisie'!T71,"")</x:f>
      </x:c>
      <x:c r="U71" s="76" t="str">
        <x:f>IF('00_Formulaire_Saisie'!$P71="Validé humainement",'00_Formulaire_Saisie'!U71,"")</x:f>
      </x:c>
    </x:row>
    <x:row r="72">
      <x:c r="A72" s="76" t="str">
        <x:f>IF('00_Formulaire_Saisie'!$P72="Validé humainement",'00_Formulaire_Saisie'!A72,"")</x:f>
      </x:c>
      <x:c r="B72" s="76" t="str">
        <x:f>IF('00_Formulaire_Saisie'!$P72="Validé humainement",'00_Formulaire_Saisie'!B72,"")</x:f>
      </x:c>
      <x:c r="C72" s="76" t="str">
        <x:f>IF('00_Formulaire_Saisie'!$P72="Validé humainement",'00_Formulaire_Saisie'!C72,"")</x:f>
      </x:c>
      <x:c r="D72" s="76" t="str">
        <x:f>IF('00_Formulaire_Saisie'!$P72="Validé humainement",'00_Formulaire_Saisie'!D72,"")</x:f>
      </x:c>
      <x:c r="E72" s="76" t="str">
        <x:f>IF('00_Formulaire_Saisie'!$P72="Validé humainement",'00_Formulaire_Saisie'!E72,"")</x:f>
      </x:c>
      <x:c r="F72" s="76" t="str">
        <x:f>IF('00_Formulaire_Saisie'!$P72="Validé humainement",'00_Formulaire_Saisie'!F72,"")</x:f>
      </x:c>
      <x:c r="G72" s="76" t="str">
        <x:f>IF('00_Formulaire_Saisie'!$P72="Validé humainement",'00_Formulaire_Saisie'!G72,"")</x:f>
      </x:c>
      <x:c r="H72" s="77" t="str">
        <x:f>IF('00_Formulaire_Saisie'!$P72="Validé humainement",'00_Formulaire_Saisie'!H72,"")</x:f>
      </x:c>
      <x:c r="I72" s="76" t="str">
        <x:f>IF('00_Formulaire_Saisie'!$P72="Validé humainement",'00_Formulaire_Saisie'!I72,"")</x:f>
      </x:c>
      <x:c r="J72" s="76" t="str">
        <x:f>IF('00_Formulaire_Saisie'!$P72="Validé humainement",'00_Formulaire_Saisie'!J72,"")</x:f>
      </x:c>
      <x:c r="K72" s="76" t="str">
        <x:f>IF('00_Formulaire_Saisie'!$P72="Validé humainement",'00_Formulaire_Saisie'!K72,"")</x:f>
      </x:c>
      <x:c r="L72" s="76" t="str">
        <x:f>IF('00_Formulaire_Saisie'!$P72="Validé humainement",'00_Formulaire_Saisie'!L72,"")</x:f>
      </x:c>
      <x:c r="M72" s="76" t="str">
        <x:f>IF('00_Formulaire_Saisie'!$P72="Validé humainement",'00_Formulaire_Saisie'!M72,"")</x:f>
      </x:c>
      <x:c r="N72" s="76" t="str">
        <x:f>IF('00_Formulaire_Saisie'!$P72="Validé humainement",'00_Formulaire_Saisie'!N72,"")</x:f>
      </x:c>
      <x:c r="O72" s="76" t="str">
        <x:f>IF('00_Formulaire_Saisie'!$P72="Validé humainement",'00_Formulaire_Saisie'!O72,"")</x:f>
      </x:c>
      <x:c r="P72" s="76" t="str">
        <x:f>IF('00_Formulaire_Saisie'!$P72="Validé humainement",'00_Formulaire_Saisie'!P72,"")</x:f>
      </x:c>
      <x:c r="Q72" s="76" t="str">
        <x:f>IF('00_Formulaire_Saisie'!$P72="Validé humainement",'00_Formulaire_Saisie'!Q72,"")</x:f>
      </x:c>
      <x:c r="R72" s="78" t="str">
        <x:f>IF('00_Formulaire_Saisie'!$P72="Validé humainement",'00_Formulaire_Saisie'!R72,"")</x:f>
      </x:c>
      <x:c r="S72" s="76" t="str">
        <x:f>IF('00_Formulaire_Saisie'!$P72="Validé humainement",'00_Formulaire_Saisie'!S72,"")</x:f>
      </x:c>
      <x:c r="T72" s="76" t="str">
        <x:f>IF('00_Formulaire_Saisie'!$P72="Validé humainement",'00_Formulaire_Saisie'!T72,"")</x:f>
      </x:c>
      <x:c r="U72" s="76" t="str">
        <x:f>IF('00_Formulaire_Saisie'!$P72="Validé humainement",'00_Formulaire_Saisie'!U72,"")</x:f>
      </x:c>
    </x:row>
    <x:row r="73">
      <x:c r="A73" s="76" t="str">
        <x:f>IF('00_Formulaire_Saisie'!$P73="Validé humainement",'00_Formulaire_Saisie'!A73,"")</x:f>
      </x:c>
      <x:c r="B73" s="76" t="str">
        <x:f>IF('00_Formulaire_Saisie'!$P73="Validé humainement",'00_Formulaire_Saisie'!B73,"")</x:f>
      </x:c>
      <x:c r="C73" s="76" t="str">
        <x:f>IF('00_Formulaire_Saisie'!$P73="Validé humainement",'00_Formulaire_Saisie'!C73,"")</x:f>
      </x:c>
      <x:c r="D73" s="76" t="str">
        <x:f>IF('00_Formulaire_Saisie'!$P73="Validé humainement",'00_Formulaire_Saisie'!D73,"")</x:f>
      </x:c>
      <x:c r="E73" s="76" t="str">
        <x:f>IF('00_Formulaire_Saisie'!$P73="Validé humainement",'00_Formulaire_Saisie'!E73,"")</x:f>
      </x:c>
      <x:c r="F73" s="76" t="str">
        <x:f>IF('00_Formulaire_Saisie'!$P73="Validé humainement",'00_Formulaire_Saisie'!F73,"")</x:f>
      </x:c>
      <x:c r="G73" s="76" t="str">
        <x:f>IF('00_Formulaire_Saisie'!$P73="Validé humainement",'00_Formulaire_Saisie'!G73,"")</x:f>
      </x:c>
      <x:c r="H73" s="77" t="str">
        <x:f>IF('00_Formulaire_Saisie'!$P73="Validé humainement",'00_Formulaire_Saisie'!H73,"")</x:f>
      </x:c>
      <x:c r="I73" s="76" t="str">
        <x:f>IF('00_Formulaire_Saisie'!$P73="Validé humainement",'00_Formulaire_Saisie'!I73,"")</x:f>
      </x:c>
      <x:c r="J73" s="76" t="str">
        <x:f>IF('00_Formulaire_Saisie'!$P73="Validé humainement",'00_Formulaire_Saisie'!J73,"")</x:f>
      </x:c>
      <x:c r="K73" s="76" t="str">
        <x:f>IF('00_Formulaire_Saisie'!$P73="Validé humainement",'00_Formulaire_Saisie'!K73,"")</x:f>
      </x:c>
      <x:c r="L73" s="76" t="str">
        <x:f>IF('00_Formulaire_Saisie'!$P73="Validé humainement",'00_Formulaire_Saisie'!L73,"")</x:f>
      </x:c>
      <x:c r="M73" s="76" t="str">
        <x:f>IF('00_Formulaire_Saisie'!$P73="Validé humainement",'00_Formulaire_Saisie'!M73,"")</x:f>
      </x:c>
      <x:c r="N73" s="76" t="str">
        <x:f>IF('00_Formulaire_Saisie'!$P73="Validé humainement",'00_Formulaire_Saisie'!N73,"")</x:f>
      </x:c>
      <x:c r="O73" s="76" t="str">
        <x:f>IF('00_Formulaire_Saisie'!$P73="Validé humainement",'00_Formulaire_Saisie'!O73,"")</x:f>
      </x:c>
      <x:c r="P73" s="76" t="str">
        <x:f>IF('00_Formulaire_Saisie'!$P73="Validé humainement",'00_Formulaire_Saisie'!P73,"")</x:f>
      </x:c>
      <x:c r="Q73" s="76" t="str">
        <x:f>IF('00_Formulaire_Saisie'!$P73="Validé humainement",'00_Formulaire_Saisie'!Q73,"")</x:f>
      </x:c>
      <x:c r="R73" s="78" t="str">
        <x:f>IF('00_Formulaire_Saisie'!$P73="Validé humainement",'00_Formulaire_Saisie'!R73,"")</x:f>
      </x:c>
      <x:c r="S73" s="76" t="str">
        <x:f>IF('00_Formulaire_Saisie'!$P73="Validé humainement",'00_Formulaire_Saisie'!S73,"")</x:f>
      </x:c>
      <x:c r="T73" s="76" t="str">
        <x:f>IF('00_Formulaire_Saisie'!$P73="Validé humainement",'00_Formulaire_Saisie'!T73,"")</x:f>
      </x:c>
      <x:c r="U73" s="76" t="str">
        <x:f>IF('00_Formulaire_Saisie'!$P73="Validé humainement",'00_Formulaire_Saisie'!U73,"")</x:f>
      </x:c>
    </x:row>
    <x:row r="74">
      <x:c r="A74" s="76" t="str">
        <x:f>IF('00_Formulaire_Saisie'!$P74="Validé humainement",'00_Formulaire_Saisie'!A74,"")</x:f>
      </x:c>
      <x:c r="B74" s="76" t="str">
        <x:f>IF('00_Formulaire_Saisie'!$P74="Validé humainement",'00_Formulaire_Saisie'!B74,"")</x:f>
      </x:c>
      <x:c r="C74" s="76" t="str">
        <x:f>IF('00_Formulaire_Saisie'!$P74="Validé humainement",'00_Formulaire_Saisie'!C74,"")</x:f>
      </x:c>
      <x:c r="D74" s="76" t="str">
        <x:f>IF('00_Formulaire_Saisie'!$P74="Validé humainement",'00_Formulaire_Saisie'!D74,"")</x:f>
      </x:c>
      <x:c r="E74" s="76" t="str">
        <x:f>IF('00_Formulaire_Saisie'!$P74="Validé humainement",'00_Formulaire_Saisie'!E74,"")</x:f>
      </x:c>
      <x:c r="F74" s="76" t="str">
        <x:f>IF('00_Formulaire_Saisie'!$P74="Validé humainement",'00_Formulaire_Saisie'!F74,"")</x:f>
      </x:c>
      <x:c r="G74" s="76" t="str">
        <x:f>IF('00_Formulaire_Saisie'!$P74="Validé humainement",'00_Formulaire_Saisie'!G74,"")</x:f>
      </x:c>
      <x:c r="H74" s="77" t="str">
        <x:f>IF('00_Formulaire_Saisie'!$P74="Validé humainement",'00_Formulaire_Saisie'!H74,"")</x:f>
      </x:c>
      <x:c r="I74" s="76" t="str">
        <x:f>IF('00_Formulaire_Saisie'!$P74="Validé humainement",'00_Formulaire_Saisie'!I74,"")</x:f>
      </x:c>
      <x:c r="J74" s="76" t="str">
        <x:f>IF('00_Formulaire_Saisie'!$P74="Validé humainement",'00_Formulaire_Saisie'!J74,"")</x:f>
      </x:c>
      <x:c r="K74" s="76" t="str">
        <x:f>IF('00_Formulaire_Saisie'!$P74="Validé humainement",'00_Formulaire_Saisie'!K74,"")</x:f>
      </x:c>
      <x:c r="L74" s="76" t="str">
        <x:f>IF('00_Formulaire_Saisie'!$P74="Validé humainement",'00_Formulaire_Saisie'!L74,"")</x:f>
      </x:c>
      <x:c r="M74" s="76" t="str">
        <x:f>IF('00_Formulaire_Saisie'!$P74="Validé humainement",'00_Formulaire_Saisie'!M74,"")</x:f>
      </x:c>
      <x:c r="N74" s="76" t="str">
        <x:f>IF('00_Formulaire_Saisie'!$P74="Validé humainement",'00_Formulaire_Saisie'!N74,"")</x:f>
      </x:c>
      <x:c r="O74" s="76" t="str">
        <x:f>IF('00_Formulaire_Saisie'!$P74="Validé humainement",'00_Formulaire_Saisie'!O74,"")</x:f>
      </x:c>
      <x:c r="P74" s="76" t="str">
        <x:f>IF('00_Formulaire_Saisie'!$P74="Validé humainement",'00_Formulaire_Saisie'!P74,"")</x:f>
      </x:c>
      <x:c r="Q74" s="76" t="str">
        <x:f>IF('00_Formulaire_Saisie'!$P74="Validé humainement",'00_Formulaire_Saisie'!Q74,"")</x:f>
      </x:c>
      <x:c r="R74" s="78" t="str">
        <x:f>IF('00_Formulaire_Saisie'!$P74="Validé humainement",'00_Formulaire_Saisie'!R74,"")</x:f>
      </x:c>
      <x:c r="S74" s="76" t="str">
        <x:f>IF('00_Formulaire_Saisie'!$P74="Validé humainement",'00_Formulaire_Saisie'!S74,"")</x:f>
      </x:c>
      <x:c r="T74" s="76" t="str">
        <x:f>IF('00_Formulaire_Saisie'!$P74="Validé humainement",'00_Formulaire_Saisie'!T74,"")</x:f>
      </x:c>
      <x:c r="U74" s="76" t="str">
        <x:f>IF('00_Formulaire_Saisie'!$P74="Validé humainement",'00_Formulaire_Saisie'!U74,"")</x:f>
      </x:c>
    </x:row>
    <x:row r="75">
      <x:c r="A75" s="76" t="str">
        <x:f>IF('00_Formulaire_Saisie'!$P75="Validé humainement",'00_Formulaire_Saisie'!A75,"")</x:f>
      </x:c>
      <x:c r="B75" s="76" t="str">
        <x:f>IF('00_Formulaire_Saisie'!$P75="Validé humainement",'00_Formulaire_Saisie'!B75,"")</x:f>
      </x:c>
      <x:c r="C75" s="76" t="str">
        <x:f>IF('00_Formulaire_Saisie'!$P75="Validé humainement",'00_Formulaire_Saisie'!C75,"")</x:f>
      </x:c>
      <x:c r="D75" s="76" t="str">
        <x:f>IF('00_Formulaire_Saisie'!$P75="Validé humainement",'00_Formulaire_Saisie'!D75,"")</x:f>
      </x:c>
      <x:c r="E75" s="76" t="str">
        <x:f>IF('00_Formulaire_Saisie'!$P75="Validé humainement",'00_Formulaire_Saisie'!E75,"")</x:f>
      </x:c>
      <x:c r="F75" s="76" t="str">
        <x:f>IF('00_Formulaire_Saisie'!$P75="Validé humainement",'00_Formulaire_Saisie'!F75,"")</x:f>
      </x:c>
      <x:c r="G75" s="76" t="str">
        <x:f>IF('00_Formulaire_Saisie'!$P75="Validé humainement",'00_Formulaire_Saisie'!G75,"")</x:f>
      </x:c>
      <x:c r="H75" s="77" t="str">
        <x:f>IF('00_Formulaire_Saisie'!$P75="Validé humainement",'00_Formulaire_Saisie'!H75,"")</x:f>
      </x:c>
      <x:c r="I75" s="76" t="str">
        <x:f>IF('00_Formulaire_Saisie'!$P75="Validé humainement",'00_Formulaire_Saisie'!I75,"")</x:f>
      </x:c>
      <x:c r="J75" s="76" t="str">
        <x:f>IF('00_Formulaire_Saisie'!$P75="Validé humainement",'00_Formulaire_Saisie'!J75,"")</x:f>
      </x:c>
      <x:c r="K75" s="76" t="str">
        <x:f>IF('00_Formulaire_Saisie'!$P75="Validé humainement",'00_Formulaire_Saisie'!K75,"")</x:f>
      </x:c>
      <x:c r="L75" s="76" t="str">
        <x:f>IF('00_Formulaire_Saisie'!$P75="Validé humainement",'00_Formulaire_Saisie'!L75,"")</x:f>
      </x:c>
      <x:c r="M75" s="76" t="str">
        <x:f>IF('00_Formulaire_Saisie'!$P75="Validé humainement",'00_Formulaire_Saisie'!M75,"")</x:f>
      </x:c>
      <x:c r="N75" s="76" t="str">
        <x:f>IF('00_Formulaire_Saisie'!$P75="Validé humainement",'00_Formulaire_Saisie'!N75,"")</x:f>
      </x:c>
      <x:c r="O75" s="76" t="str">
        <x:f>IF('00_Formulaire_Saisie'!$P75="Validé humainement",'00_Formulaire_Saisie'!O75,"")</x:f>
      </x:c>
      <x:c r="P75" s="76" t="str">
        <x:f>IF('00_Formulaire_Saisie'!$P75="Validé humainement",'00_Formulaire_Saisie'!P75,"")</x:f>
      </x:c>
      <x:c r="Q75" s="76" t="str">
        <x:f>IF('00_Formulaire_Saisie'!$P75="Validé humainement",'00_Formulaire_Saisie'!Q75,"")</x:f>
      </x:c>
      <x:c r="R75" s="78" t="str">
        <x:f>IF('00_Formulaire_Saisie'!$P75="Validé humainement",'00_Formulaire_Saisie'!R75,"")</x:f>
      </x:c>
      <x:c r="S75" s="76" t="str">
        <x:f>IF('00_Formulaire_Saisie'!$P75="Validé humainement",'00_Formulaire_Saisie'!S75,"")</x:f>
      </x:c>
      <x:c r="T75" s="76" t="str">
        <x:f>IF('00_Formulaire_Saisie'!$P75="Validé humainement",'00_Formulaire_Saisie'!T75,"")</x:f>
      </x:c>
      <x:c r="U75" s="76" t="str">
        <x:f>IF('00_Formulaire_Saisie'!$P75="Validé humainement",'00_Formulaire_Saisie'!U75,"")</x:f>
      </x:c>
    </x:row>
    <x:row r="76">
      <x:c r="A76" s="76" t="str">
        <x:f>IF('00_Formulaire_Saisie'!$P76="Validé humainement",'00_Formulaire_Saisie'!A76,"")</x:f>
      </x:c>
      <x:c r="B76" s="76" t="str">
        <x:f>IF('00_Formulaire_Saisie'!$P76="Validé humainement",'00_Formulaire_Saisie'!B76,"")</x:f>
      </x:c>
      <x:c r="C76" s="76" t="str">
        <x:f>IF('00_Formulaire_Saisie'!$P76="Validé humainement",'00_Formulaire_Saisie'!C76,"")</x:f>
      </x:c>
      <x:c r="D76" s="76" t="str">
        <x:f>IF('00_Formulaire_Saisie'!$P76="Validé humainement",'00_Formulaire_Saisie'!D76,"")</x:f>
      </x:c>
      <x:c r="E76" s="76" t="str">
        <x:f>IF('00_Formulaire_Saisie'!$P76="Validé humainement",'00_Formulaire_Saisie'!E76,"")</x:f>
      </x:c>
      <x:c r="F76" s="76" t="str">
        <x:f>IF('00_Formulaire_Saisie'!$P76="Validé humainement",'00_Formulaire_Saisie'!F76,"")</x:f>
      </x:c>
      <x:c r="G76" s="76" t="str">
        <x:f>IF('00_Formulaire_Saisie'!$P76="Validé humainement",'00_Formulaire_Saisie'!G76,"")</x:f>
      </x:c>
      <x:c r="H76" s="77" t="str">
        <x:f>IF('00_Formulaire_Saisie'!$P76="Validé humainement",'00_Formulaire_Saisie'!H76,"")</x:f>
      </x:c>
      <x:c r="I76" s="76" t="str">
        <x:f>IF('00_Formulaire_Saisie'!$P76="Validé humainement",'00_Formulaire_Saisie'!I76,"")</x:f>
      </x:c>
      <x:c r="J76" s="76" t="str">
        <x:f>IF('00_Formulaire_Saisie'!$P76="Validé humainement",'00_Formulaire_Saisie'!J76,"")</x:f>
      </x:c>
      <x:c r="K76" s="76" t="str">
        <x:f>IF('00_Formulaire_Saisie'!$P76="Validé humainement",'00_Formulaire_Saisie'!K76,"")</x:f>
      </x:c>
      <x:c r="L76" s="76" t="str">
        <x:f>IF('00_Formulaire_Saisie'!$P76="Validé humainement",'00_Formulaire_Saisie'!L76,"")</x:f>
      </x:c>
      <x:c r="M76" s="76" t="str">
        <x:f>IF('00_Formulaire_Saisie'!$P76="Validé humainement",'00_Formulaire_Saisie'!M76,"")</x:f>
      </x:c>
      <x:c r="N76" s="76" t="str">
        <x:f>IF('00_Formulaire_Saisie'!$P76="Validé humainement",'00_Formulaire_Saisie'!N76,"")</x:f>
      </x:c>
      <x:c r="O76" s="76" t="str">
        <x:f>IF('00_Formulaire_Saisie'!$P76="Validé humainement",'00_Formulaire_Saisie'!O76,"")</x:f>
      </x:c>
      <x:c r="P76" s="76" t="str">
        <x:f>IF('00_Formulaire_Saisie'!$P76="Validé humainement",'00_Formulaire_Saisie'!P76,"")</x:f>
      </x:c>
      <x:c r="Q76" s="76" t="str">
        <x:f>IF('00_Formulaire_Saisie'!$P76="Validé humainement",'00_Formulaire_Saisie'!Q76,"")</x:f>
      </x:c>
      <x:c r="R76" s="78" t="str">
        <x:f>IF('00_Formulaire_Saisie'!$P76="Validé humainement",'00_Formulaire_Saisie'!R76,"")</x:f>
      </x:c>
      <x:c r="S76" s="76" t="str">
        <x:f>IF('00_Formulaire_Saisie'!$P76="Validé humainement",'00_Formulaire_Saisie'!S76,"")</x:f>
      </x:c>
      <x:c r="T76" s="76" t="str">
        <x:f>IF('00_Formulaire_Saisie'!$P76="Validé humainement",'00_Formulaire_Saisie'!T76,"")</x:f>
      </x:c>
      <x:c r="U76" s="76" t="str">
        <x:f>IF('00_Formulaire_Saisie'!$P76="Validé humainement",'00_Formulaire_Saisie'!U76,"")</x:f>
      </x:c>
    </x:row>
    <x:row r="77">
      <x:c r="A77" s="76" t="str">
        <x:f>IF('00_Formulaire_Saisie'!$P77="Validé humainement",'00_Formulaire_Saisie'!A77,"")</x:f>
      </x:c>
      <x:c r="B77" s="76" t="str">
        <x:f>IF('00_Formulaire_Saisie'!$P77="Validé humainement",'00_Formulaire_Saisie'!B77,"")</x:f>
      </x:c>
      <x:c r="C77" s="76" t="str">
        <x:f>IF('00_Formulaire_Saisie'!$P77="Validé humainement",'00_Formulaire_Saisie'!C77,"")</x:f>
      </x:c>
      <x:c r="D77" s="76" t="str">
        <x:f>IF('00_Formulaire_Saisie'!$P77="Validé humainement",'00_Formulaire_Saisie'!D77,"")</x:f>
      </x:c>
      <x:c r="E77" s="76" t="str">
        <x:f>IF('00_Formulaire_Saisie'!$P77="Validé humainement",'00_Formulaire_Saisie'!E77,"")</x:f>
      </x:c>
      <x:c r="F77" s="76" t="str">
        <x:f>IF('00_Formulaire_Saisie'!$P77="Validé humainement",'00_Formulaire_Saisie'!F77,"")</x:f>
      </x:c>
      <x:c r="G77" s="76" t="str">
        <x:f>IF('00_Formulaire_Saisie'!$P77="Validé humainement",'00_Formulaire_Saisie'!G77,"")</x:f>
      </x:c>
      <x:c r="H77" s="77" t="str">
        <x:f>IF('00_Formulaire_Saisie'!$P77="Validé humainement",'00_Formulaire_Saisie'!H77,"")</x:f>
      </x:c>
      <x:c r="I77" s="76" t="str">
        <x:f>IF('00_Formulaire_Saisie'!$P77="Validé humainement",'00_Formulaire_Saisie'!I77,"")</x:f>
      </x:c>
      <x:c r="J77" s="76" t="str">
        <x:f>IF('00_Formulaire_Saisie'!$P77="Validé humainement",'00_Formulaire_Saisie'!J77,"")</x:f>
      </x:c>
      <x:c r="K77" s="76" t="str">
        <x:f>IF('00_Formulaire_Saisie'!$P77="Validé humainement",'00_Formulaire_Saisie'!K77,"")</x:f>
      </x:c>
      <x:c r="L77" s="76" t="str">
        <x:f>IF('00_Formulaire_Saisie'!$P77="Validé humainement",'00_Formulaire_Saisie'!L77,"")</x:f>
      </x:c>
      <x:c r="M77" s="76" t="str">
        <x:f>IF('00_Formulaire_Saisie'!$P77="Validé humainement",'00_Formulaire_Saisie'!M77,"")</x:f>
      </x:c>
      <x:c r="N77" s="76" t="str">
        <x:f>IF('00_Formulaire_Saisie'!$P77="Validé humainement",'00_Formulaire_Saisie'!N77,"")</x:f>
      </x:c>
      <x:c r="O77" s="76" t="str">
        <x:f>IF('00_Formulaire_Saisie'!$P77="Validé humainement",'00_Formulaire_Saisie'!O77,"")</x:f>
      </x:c>
      <x:c r="P77" s="76" t="str">
        <x:f>IF('00_Formulaire_Saisie'!$P77="Validé humainement",'00_Formulaire_Saisie'!P77,"")</x:f>
      </x:c>
      <x:c r="Q77" s="76" t="str">
        <x:f>IF('00_Formulaire_Saisie'!$P77="Validé humainement",'00_Formulaire_Saisie'!Q77,"")</x:f>
      </x:c>
      <x:c r="R77" s="78" t="str">
        <x:f>IF('00_Formulaire_Saisie'!$P77="Validé humainement",'00_Formulaire_Saisie'!R77,"")</x:f>
      </x:c>
      <x:c r="S77" s="76" t="str">
        <x:f>IF('00_Formulaire_Saisie'!$P77="Validé humainement",'00_Formulaire_Saisie'!S77,"")</x:f>
      </x:c>
      <x:c r="T77" s="76" t="str">
        <x:f>IF('00_Formulaire_Saisie'!$P77="Validé humainement",'00_Formulaire_Saisie'!T77,"")</x:f>
      </x:c>
      <x:c r="U77" s="76" t="str">
        <x:f>IF('00_Formulaire_Saisie'!$P77="Validé humainement",'00_Formulaire_Saisie'!U77,"")</x:f>
      </x:c>
    </x:row>
    <x:row r="78">
      <x:c r="A78" s="76" t="str">
        <x:f>IF('00_Formulaire_Saisie'!$P78="Validé humainement",'00_Formulaire_Saisie'!A78,"")</x:f>
      </x:c>
      <x:c r="B78" s="76" t="str">
        <x:f>IF('00_Formulaire_Saisie'!$P78="Validé humainement",'00_Formulaire_Saisie'!B78,"")</x:f>
      </x:c>
      <x:c r="C78" s="76" t="str">
        <x:f>IF('00_Formulaire_Saisie'!$P78="Validé humainement",'00_Formulaire_Saisie'!C78,"")</x:f>
      </x:c>
      <x:c r="D78" s="76" t="str">
        <x:f>IF('00_Formulaire_Saisie'!$P78="Validé humainement",'00_Formulaire_Saisie'!D78,"")</x:f>
      </x:c>
      <x:c r="E78" s="76" t="str">
        <x:f>IF('00_Formulaire_Saisie'!$P78="Validé humainement",'00_Formulaire_Saisie'!E78,"")</x:f>
      </x:c>
      <x:c r="F78" s="76" t="str">
        <x:f>IF('00_Formulaire_Saisie'!$P78="Validé humainement",'00_Formulaire_Saisie'!F78,"")</x:f>
      </x:c>
      <x:c r="G78" s="76" t="str">
        <x:f>IF('00_Formulaire_Saisie'!$P78="Validé humainement",'00_Formulaire_Saisie'!G78,"")</x:f>
      </x:c>
      <x:c r="H78" s="77" t="str">
        <x:f>IF('00_Formulaire_Saisie'!$P78="Validé humainement",'00_Formulaire_Saisie'!H78,"")</x:f>
      </x:c>
      <x:c r="I78" s="76" t="str">
        <x:f>IF('00_Formulaire_Saisie'!$P78="Validé humainement",'00_Formulaire_Saisie'!I78,"")</x:f>
      </x:c>
      <x:c r="J78" s="76" t="str">
        <x:f>IF('00_Formulaire_Saisie'!$P78="Validé humainement",'00_Formulaire_Saisie'!J78,"")</x:f>
      </x:c>
      <x:c r="K78" s="76" t="str">
        <x:f>IF('00_Formulaire_Saisie'!$P78="Validé humainement",'00_Formulaire_Saisie'!K78,"")</x:f>
      </x:c>
      <x:c r="L78" s="76" t="str">
        <x:f>IF('00_Formulaire_Saisie'!$P78="Validé humainement",'00_Formulaire_Saisie'!L78,"")</x:f>
      </x:c>
      <x:c r="M78" s="76" t="str">
        <x:f>IF('00_Formulaire_Saisie'!$P78="Validé humainement",'00_Formulaire_Saisie'!M78,"")</x:f>
      </x:c>
      <x:c r="N78" s="76" t="str">
        <x:f>IF('00_Formulaire_Saisie'!$P78="Validé humainement",'00_Formulaire_Saisie'!N78,"")</x:f>
      </x:c>
      <x:c r="O78" s="76" t="str">
        <x:f>IF('00_Formulaire_Saisie'!$P78="Validé humainement",'00_Formulaire_Saisie'!O78,"")</x:f>
      </x:c>
      <x:c r="P78" s="76" t="str">
        <x:f>IF('00_Formulaire_Saisie'!$P78="Validé humainement",'00_Formulaire_Saisie'!P78,"")</x:f>
      </x:c>
      <x:c r="Q78" s="76" t="str">
        <x:f>IF('00_Formulaire_Saisie'!$P78="Validé humainement",'00_Formulaire_Saisie'!Q78,"")</x:f>
      </x:c>
      <x:c r="R78" s="78" t="str">
        <x:f>IF('00_Formulaire_Saisie'!$P78="Validé humainement",'00_Formulaire_Saisie'!R78,"")</x:f>
      </x:c>
      <x:c r="S78" s="76" t="str">
        <x:f>IF('00_Formulaire_Saisie'!$P78="Validé humainement",'00_Formulaire_Saisie'!S78,"")</x:f>
      </x:c>
      <x:c r="T78" s="76" t="str">
        <x:f>IF('00_Formulaire_Saisie'!$P78="Validé humainement",'00_Formulaire_Saisie'!T78,"")</x:f>
      </x:c>
      <x:c r="U78" s="76" t="str">
        <x:f>IF('00_Formulaire_Saisie'!$P78="Validé humainement",'00_Formulaire_Saisie'!U78,"")</x:f>
      </x:c>
    </x:row>
    <x:row r="79">
      <x:c r="A79" s="76" t="str">
        <x:f>IF('00_Formulaire_Saisie'!$P79="Validé humainement",'00_Formulaire_Saisie'!A79,"")</x:f>
      </x:c>
      <x:c r="B79" s="76" t="str">
        <x:f>IF('00_Formulaire_Saisie'!$P79="Validé humainement",'00_Formulaire_Saisie'!B79,"")</x:f>
      </x:c>
      <x:c r="C79" s="76" t="str">
        <x:f>IF('00_Formulaire_Saisie'!$P79="Validé humainement",'00_Formulaire_Saisie'!C79,"")</x:f>
      </x:c>
      <x:c r="D79" s="76" t="str">
        <x:f>IF('00_Formulaire_Saisie'!$P79="Validé humainement",'00_Formulaire_Saisie'!D79,"")</x:f>
      </x:c>
      <x:c r="E79" s="76" t="str">
        <x:f>IF('00_Formulaire_Saisie'!$P79="Validé humainement",'00_Formulaire_Saisie'!E79,"")</x:f>
      </x:c>
      <x:c r="F79" s="76" t="str">
        <x:f>IF('00_Formulaire_Saisie'!$P79="Validé humainement",'00_Formulaire_Saisie'!F79,"")</x:f>
      </x:c>
      <x:c r="G79" s="76" t="str">
        <x:f>IF('00_Formulaire_Saisie'!$P79="Validé humainement",'00_Formulaire_Saisie'!G79,"")</x:f>
      </x:c>
      <x:c r="H79" s="77" t="str">
        <x:f>IF('00_Formulaire_Saisie'!$P79="Validé humainement",'00_Formulaire_Saisie'!H79,"")</x:f>
      </x:c>
      <x:c r="I79" s="76" t="str">
        <x:f>IF('00_Formulaire_Saisie'!$P79="Validé humainement",'00_Formulaire_Saisie'!I79,"")</x:f>
      </x:c>
      <x:c r="J79" s="76" t="str">
        <x:f>IF('00_Formulaire_Saisie'!$P79="Validé humainement",'00_Formulaire_Saisie'!J79,"")</x:f>
      </x:c>
      <x:c r="K79" s="76" t="str">
        <x:f>IF('00_Formulaire_Saisie'!$P79="Validé humainement",'00_Formulaire_Saisie'!K79,"")</x:f>
      </x:c>
      <x:c r="L79" s="76" t="str">
        <x:f>IF('00_Formulaire_Saisie'!$P79="Validé humainement",'00_Formulaire_Saisie'!L79,"")</x:f>
      </x:c>
      <x:c r="M79" s="76" t="str">
        <x:f>IF('00_Formulaire_Saisie'!$P79="Validé humainement",'00_Formulaire_Saisie'!M79,"")</x:f>
      </x:c>
      <x:c r="N79" s="76" t="str">
        <x:f>IF('00_Formulaire_Saisie'!$P79="Validé humainement",'00_Formulaire_Saisie'!N79,"")</x:f>
      </x:c>
      <x:c r="O79" s="76" t="str">
        <x:f>IF('00_Formulaire_Saisie'!$P79="Validé humainement",'00_Formulaire_Saisie'!O79,"")</x:f>
      </x:c>
      <x:c r="P79" s="76" t="str">
        <x:f>IF('00_Formulaire_Saisie'!$P79="Validé humainement",'00_Formulaire_Saisie'!P79,"")</x:f>
      </x:c>
      <x:c r="Q79" s="76" t="str">
        <x:f>IF('00_Formulaire_Saisie'!$P79="Validé humainement",'00_Formulaire_Saisie'!Q79,"")</x:f>
      </x:c>
      <x:c r="R79" s="78" t="str">
        <x:f>IF('00_Formulaire_Saisie'!$P79="Validé humainement",'00_Formulaire_Saisie'!R79,"")</x:f>
      </x:c>
      <x:c r="S79" s="76" t="str">
        <x:f>IF('00_Formulaire_Saisie'!$P79="Validé humainement",'00_Formulaire_Saisie'!S79,"")</x:f>
      </x:c>
      <x:c r="T79" s="76" t="str">
        <x:f>IF('00_Formulaire_Saisie'!$P79="Validé humainement",'00_Formulaire_Saisie'!T79,"")</x:f>
      </x:c>
      <x:c r="U79" s="76" t="str">
        <x:f>IF('00_Formulaire_Saisie'!$P79="Validé humainement",'00_Formulaire_Saisie'!U79,"")</x:f>
      </x:c>
    </x:row>
    <x:row r="80">
      <x:c r="A80" s="76" t="str">
        <x:f>IF('00_Formulaire_Saisie'!$P80="Validé humainement",'00_Formulaire_Saisie'!A80,"")</x:f>
      </x:c>
      <x:c r="B80" s="76" t="str">
        <x:f>IF('00_Formulaire_Saisie'!$P80="Validé humainement",'00_Formulaire_Saisie'!B80,"")</x:f>
      </x:c>
      <x:c r="C80" s="76" t="str">
        <x:f>IF('00_Formulaire_Saisie'!$P80="Validé humainement",'00_Formulaire_Saisie'!C80,"")</x:f>
      </x:c>
      <x:c r="D80" s="76" t="str">
        <x:f>IF('00_Formulaire_Saisie'!$P80="Validé humainement",'00_Formulaire_Saisie'!D80,"")</x:f>
      </x:c>
      <x:c r="E80" s="76" t="str">
        <x:f>IF('00_Formulaire_Saisie'!$P80="Validé humainement",'00_Formulaire_Saisie'!E80,"")</x:f>
      </x:c>
      <x:c r="F80" s="76" t="str">
        <x:f>IF('00_Formulaire_Saisie'!$P80="Validé humainement",'00_Formulaire_Saisie'!F80,"")</x:f>
      </x:c>
      <x:c r="G80" s="76" t="str">
        <x:f>IF('00_Formulaire_Saisie'!$P80="Validé humainement",'00_Formulaire_Saisie'!G80,"")</x:f>
      </x:c>
      <x:c r="H80" s="77" t="str">
        <x:f>IF('00_Formulaire_Saisie'!$P80="Validé humainement",'00_Formulaire_Saisie'!H80,"")</x:f>
      </x:c>
      <x:c r="I80" s="76" t="str">
        <x:f>IF('00_Formulaire_Saisie'!$P80="Validé humainement",'00_Formulaire_Saisie'!I80,"")</x:f>
      </x:c>
      <x:c r="J80" s="76" t="str">
        <x:f>IF('00_Formulaire_Saisie'!$P80="Validé humainement",'00_Formulaire_Saisie'!J80,"")</x:f>
      </x:c>
      <x:c r="K80" s="76" t="str">
        <x:f>IF('00_Formulaire_Saisie'!$P80="Validé humainement",'00_Formulaire_Saisie'!K80,"")</x:f>
      </x:c>
      <x:c r="L80" s="76" t="str">
        <x:f>IF('00_Formulaire_Saisie'!$P80="Validé humainement",'00_Formulaire_Saisie'!L80,"")</x:f>
      </x:c>
      <x:c r="M80" s="76" t="str">
        <x:f>IF('00_Formulaire_Saisie'!$P80="Validé humainement",'00_Formulaire_Saisie'!M80,"")</x:f>
      </x:c>
      <x:c r="N80" s="76" t="str">
        <x:f>IF('00_Formulaire_Saisie'!$P80="Validé humainement",'00_Formulaire_Saisie'!N80,"")</x:f>
      </x:c>
      <x:c r="O80" s="76" t="str">
        <x:f>IF('00_Formulaire_Saisie'!$P80="Validé humainement",'00_Formulaire_Saisie'!O80,"")</x:f>
      </x:c>
      <x:c r="P80" s="76" t="str">
        <x:f>IF('00_Formulaire_Saisie'!$P80="Validé humainement",'00_Formulaire_Saisie'!P80,"")</x:f>
      </x:c>
      <x:c r="Q80" s="76" t="str">
        <x:f>IF('00_Formulaire_Saisie'!$P80="Validé humainement",'00_Formulaire_Saisie'!Q80,"")</x:f>
      </x:c>
      <x:c r="R80" s="78" t="str">
        <x:f>IF('00_Formulaire_Saisie'!$P80="Validé humainement",'00_Formulaire_Saisie'!R80,"")</x:f>
      </x:c>
      <x:c r="S80" s="76" t="str">
        <x:f>IF('00_Formulaire_Saisie'!$P80="Validé humainement",'00_Formulaire_Saisie'!S80,"")</x:f>
      </x:c>
      <x:c r="T80" s="76" t="str">
        <x:f>IF('00_Formulaire_Saisie'!$P80="Validé humainement",'00_Formulaire_Saisie'!T80,"")</x:f>
      </x:c>
      <x:c r="U80" s="76" t="str">
        <x:f>IF('00_Formulaire_Saisie'!$P80="Validé humainement",'00_Formulaire_Saisie'!U80,"")</x:f>
      </x:c>
    </x:row>
    <x:row r="81">
      <x:c r="A81" s="76" t="str">
        <x:f>IF('00_Formulaire_Saisie'!$P81="Validé humainement",'00_Formulaire_Saisie'!A81,"")</x:f>
      </x:c>
      <x:c r="B81" s="76" t="str">
        <x:f>IF('00_Formulaire_Saisie'!$P81="Validé humainement",'00_Formulaire_Saisie'!B81,"")</x:f>
      </x:c>
      <x:c r="C81" s="76" t="str">
        <x:f>IF('00_Formulaire_Saisie'!$P81="Validé humainement",'00_Formulaire_Saisie'!C81,"")</x:f>
      </x:c>
      <x:c r="D81" s="76" t="str">
        <x:f>IF('00_Formulaire_Saisie'!$P81="Validé humainement",'00_Formulaire_Saisie'!D81,"")</x:f>
      </x:c>
      <x:c r="E81" s="76" t="str">
        <x:f>IF('00_Formulaire_Saisie'!$P81="Validé humainement",'00_Formulaire_Saisie'!E81,"")</x:f>
      </x:c>
      <x:c r="F81" s="76" t="str">
        <x:f>IF('00_Formulaire_Saisie'!$P81="Validé humainement",'00_Formulaire_Saisie'!F81,"")</x:f>
      </x:c>
      <x:c r="G81" s="76" t="str">
        <x:f>IF('00_Formulaire_Saisie'!$P81="Validé humainement",'00_Formulaire_Saisie'!G81,"")</x:f>
      </x:c>
      <x:c r="H81" s="77" t="str">
        <x:f>IF('00_Formulaire_Saisie'!$P81="Validé humainement",'00_Formulaire_Saisie'!H81,"")</x:f>
      </x:c>
      <x:c r="I81" s="76" t="str">
        <x:f>IF('00_Formulaire_Saisie'!$P81="Validé humainement",'00_Formulaire_Saisie'!I81,"")</x:f>
      </x:c>
      <x:c r="J81" s="76" t="str">
        <x:f>IF('00_Formulaire_Saisie'!$P81="Validé humainement",'00_Formulaire_Saisie'!J81,"")</x:f>
      </x:c>
      <x:c r="K81" s="76" t="str">
        <x:f>IF('00_Formulaire_Saisie'!$P81="Validé humainement",'00_Formulaire_Saisie'!K81,"")</x:f>
      </x:c>
      <x:c r="L81" s="76" t="str">
        <x:f>IF('00_Formulaire_Saisie'!$P81="Validé humainement",'00_Formulaire_Saisie'!L81,"")</x:f>
      </x:c>
      <x:c r="M81" s="76" t="str">
        <x:f>IF('00_Formulaire_Saisie'!$P81="Validé humainement",'00_Formulaire_Saisie'!M81,"")</x:f>
      </x:c>
      <x:c r="N81" s="76" t="str">
        <x:f>IF('00_Formulaire_Saisie'!$P81="Validé humainement",'00_Formulaire_Saisie'!N81,"")</x:f>
      </x:c>
      <x:c r="O81" s="76" t="str">
        <x:f>IF('00_Formulaire_Saisie'!$P81="Validé humainement",'00_Formulaire_Saisie'!O81,"")</x:f>
      </x:c>
      <x:c r="P81" s="76" t="str">
        <x:f>IF('00_Formulaire_Saisie'!$P81="Validé humainement",'00_Formulaire_Saisie'!P81,"")</x:f>
      </x:c>
      <x:c r="Q81" s="76" t="str">
        <x:f>IF('00_Formulaire_Saisie'!$P81="Validé humainement",'00_Formulaire_Saisie'!Q81,"")</x:f>
      </x:c>
      <x:c r="R81" s="78" t="str">
        <x:f>IF('00_Formulaire_Saisie'!$P81="Validé humainement",'00_Formulaire_Saisie'!R81,"")</x:f>
      </x:c>
      <x:c r="S81" s="76" t="str">
        <x:f>IF('00_Formulaire_Saisie'!$P81="Validé humainement",'00_Formulaire_Saisie'!S81,"")</x:f>
      </x:c>
      <x:c r="T81" s="76" t="str">
        <x:f>IF('00_Formulaire_Saisie'!$P81="Validé humainement",'00_Formulaire_Saisie'!T81,"")</x:f>
      </x:c>
      <x:c r="U81" s="76" t="str">
        <x:f>IF('00_Formulaire_Saisie'!$P81="Validé humainement",'00_Formulaire_Saisie'!U81,"")</x:f>
      </x:c>
    </x:row>
    <x:row r="82">
      <x:c r="A82" s="76" t="str">
        <x:f>IF('00_Formulaire_Saisie'!$P82="Validé humainement",'00_Formulaire_Saisie'!A82,"")</x:f>
      </x:c>
      <x:c r="B82" s="76" t="str">
        <x:f>IF('00_Formulaire_Saisie'!$P82="Validé humainement",'00_Formulaire_Saisie'!B82,"")</x:f>
      </x:c>
      <x:c r="C82" s="76" t="str">
        <x:f>IF('00_Formulaire_Saisie'!$P82="Validé humainement",'00_Formulaire_Saisie'!C82,"")</x:f>
      </x:c>
      <x:c r="D82" s="76" t="str">
        <x:f>IF('00_Formulaire_Saisie'!$P82="Validé humainement",'00_Formulaire_Saisie'!D82,"")</x:f>
      </x:c>
      <x:c r="E82" s="76" t="str">
        <x:f>IF('00_Formulaire_Saisie'!$P82="Validé humainement",'00_Formulaire_Saisie'!E82,"")</x:f>
      </x:c>
      <x:c r="F82" s="76" t="str">
        <x:f>IF('00_Formulaire_Saisie'!$P82="Validé humainement",'00_Formulaire_Saisie'!F82,"")</x:f>
      </x:c>
      <x:c r="G82" s="76" t="str">
        <x:f>IF('00_Formulaire_Saisie'!$P82="Validé humainement",'00_Formulaire_Saisie'!G82,"")</x:f>
      </x:c>
      <x:c r="H82" s="77" t="str">
        <x:f>IF('00_Formulaire_Saisie'!$P82="Validé humainement",'00_Formulaire_Saisie'!H82,"")</x:f>
      </x:c>
      <x:c r="I82" s="76" t="str">
        <x:f>IF('00_Formulaire_Saisie'!$P82="Validé humainement",'00_Formulaire_Saisie'!I82,"")</x:f>
      </x:c>
      <x:c r="J82" s="76" t="str">
        <x:f>IF('00_Formulaire_Saisie'!$P82="Validé humainement",'00_Formulaire_Saisie'!J82,"")</x:f>
      </x:c>
      <x:c r="K82" s="76" t="str">
        <x:f>IF('00_Formulaire_Saisie'!$P82="Validé humainement",'00_Formulaire_Saisie'!K82,"")</x:f>
      </x:c>
      <x:c r="L82" s="76" t="str">
        <x:f>IF('00_Formulaire_Saisie'!$P82="Validé humainement",'00_Formulaire_Saisie'!L82,"")</x:f>
      </x:c>
      <x:c r="M82" s="76" t="str">
        <x:f>IF('00_Formulaire_Saisie'!$P82="Validé humainement",'00_Formulaire_Saisie'!M82,"")</x:f>
      </x:c>
      <x:c r="N82" s="76" t="str">
        <x:f>IF('00_Formulaire_Saisie'!$P82="Validé humainement",'00_Formulaire_Saisie'!N82,"")</x:f>
      </x:c>
      <x:c r="O82" s="76" t="str">
        <x:f>IF('00_Formulaire_Saisie'!$P82="Validé humainement",'00_Formulaire_Saisie'!O82,"")</x:f>
      </x:c>
      <x:c r="P82" s="76" t="str">
        <x:f>IF('00_Formulaire_Saisie'!$P82="Validé humainement",'00_Formulaire_Saisie'!P82,"")</x:f>
      </x:c>
      <x:c r="Q82" s="76" t="str">
        <x:f>IF('00_Formulaire_Saisie'!$P82="Validé humainement",'00_Formulaire_Saisie'!Q82,"")</x:f>
      </x:c>
      <x:c r="R82" s="78" t="str">
        <x:f>IF('00_Formulaire_Saisie'!$P82="Validé humainement",'00_Formulaire_Saisie'!R82,"")</x:f>
      </x:c>
      <x:c r="S82" s="76" t="str">
        <x:f>IF('00_Formulaire_Saisie'!$P82="Validé humainement",'00_Formulaire_Saisie'!S82,"")</x:f>
      </x:c>
      <x:c r="T82" s="76" t="str">
        <x:f>IF('00_Formulaire_Saisie'!$P82="Validé humainement",'00_Formulaire_Saisie'!T82,"")</x:f>
      </x:c>
      <x:c r="U82" s="76" t="str">
        <x:f>IF('00_Formulaire_Saisie'!$P82="Validé humainement",'00_Formulaire_Saisie'!U82,"")</x:f>
      </x:c>
    </x:row>
    <x:row r="83">
      <x:c r="A83" s="76" t="str">
        <x:f>IF('00_Formulaire_Saisie'!$P83="Validé humainement",'00_Formulaire_Saisie'!A83,"")</x:f>
      </x:c>
      <x:c r="B83" s="76" t="str">
        <x:f>IF('00_Formulaire_Saisie'!$P83="Validé humainement",'00_Formulaire_Saisie'!B83,"")</x:f>
      </x:c>
      <x:c r="C83" s="76" t="str">
        <x:f>IF('00_Formulaire_Saisie'!$P83="Validé humainement",'00_Formulaire_Saisie'!C83,"")</x:f>
      </x:c>
      <x:c r="D83" s="76" t="str">
        <x:f>IF('00_Formulaire_Saisie'!$P83="Validé humainement",'00_Formulaire_Saisie'!D83,"")</x:f>
      </x:c>
      <x:c r="E83" s="76" t="str">
        <x:f>IF('00_Formulaire_Saisie'!$P83="Validé humainement",'00_Formulaire_Saisie'!E83,"")</x:f>
      </x:c>
      <x:c r="F83" s="76" t="str">
        <x:f>IF('00_Formulaire_Saisie'!$P83="Validé humainement",'00_Formulaire_Saisie'!F83,"")</x:f>
      </x:c>
      <x:c r="G83" s="76" t="str">
        <x:f>IF('00_Formulaire_Saisie'!$P83="Validé humainement",'00_Formulaire_Saisie'!G83,"")</x:f>
      </x:c>
      <x:c r="H83" s="77" t="str">
        <x:f>IF('00_Formulaire_Saisie'!$P83="Validé humainement",'00_Formulaire_Saisie'!H83,"")</x:f>
      </x:c>
      <x:c r="I83" s="76" t="str">
        <x:f>IF('00_Formulaire_Saisie'!$P83="Validé humainement",'00_Formulaire_Saisie'!I83,"")</x:f>
      </x:c>
      <x:c r="J83" s="76" t="str">
        <x:f>IF('00_Formulaire_Saisie'!$P83="Validé humainement",'00_Formulaire_Saisie'!J83,"")</x:f>
      </x:c>
      <x:c r="K83" s="76" t="str">
        <x:f>IF('00_Formulaire_Saisie'!$P83="Validé humainement",'00_Formulaire_Saisie'!K83,"")</x:f>
      </x:c>
      <x:c r="L83" s="76" t="str">
        <x:f>IF('00_Formulaire_Saisie'!$P83="Validé humainement",'00_Formulaire_Saisie'!L83,"")</x:f>
      </x:c>
      <x:c r="M83" s="76" t="str">
        <x:f>IF('00_Formulaire_Saisie'!$P83="Validé humainement",'00_Formulaire_Saisie'!M83,"")</x:f>
      </x:c>
      <x:c r="N83" s="76" t="str">
        <x:f>IF('00_Formulaire_Saisie'!$P83="Validé humainement",'00_Formulaire_Saisie'!N83,"")</x:f>
      </x:c>
      <x:c r="O83" s="76" t="str">
        <x:f>IF('00_Formulaire_Saisie'!$P83="Validé humainement",'00_Formulaire_Saisie'!O83,"")</x:f>
      </x:c>
      <x:c r="P83" s="76" t="str">
        <x:f>IF('00_Formulaire_Saisie'!$P83="Validé humainement",'00_Formulaire_Saisie'!P83,"")</x:f>
      </x:c>
      <x:c r="Q83" s="76" t="str">
        <x:f>IF('00_Formulaire_Saisie'!$P83="Validé humainement",'00_Formulaire_Saisie'!Q83,"")</x:f>
      </x:c>
      <x:c r="R83" s="78" t="str">
        <x:f>IF('00_Formulaire_Saisie'!$P83="Validé humainement",'00_Formulaire_Saisie'!R83,"")</x:f>
      </x:c>
      <x:c r="S83" s="76" t="str">
        <x:f>IF('00_Formulaire_Saisie'!$P83="Validé humainement",'00_Formulaire_Saisie'!S83,"")</x:f>
      </x:c>
      <x:c r="T83" s="76" t="str">
        <x:f>IF('00_Formulaire_Saisie'!$P83="Validé humainement",'00_Formulaire_Saisie'!T83,"")</x:f>
      </x:c>
      <x:c r="U83" s="76" t="str">
        <x:f>IF('00_Formulaire_Saisie'!$P83="Validé humainement",'00_Formulaire_Saisie'!U83,"")</x:f>
      </x:c>
    </x:row>
    <x:row r="84">
      <x:c r="A84" s="76" t="str">
        <x:f>IF('00_Formulaire_Saisie'!$P84="Validé humainement",'00_Formulaire_Saisie'!A84,"")</x:f>
      </x:c>
      <x:c r="B84" s="76" t="str">
        <x:f>IF('00_Formulaire_Saisie'!$P84="Validé humainement",'00_Formulaire_Saisie'!B84,"")</x:f>
      </x:c>
      <x:c r="C84" s="76" t="str">
        <x:f>IF('00_Formulaire_Saisie'!$P84="Validé humainement",'00_Formulaire_Saisie'!C84,"")</x:f>
      </x:c>
      <x:c r="D84" s="76" t="str">
        <x:f>IF('00_Formulaire_Saisie'!$P84="Validé humainement",'00_Formulaire_Saisie'!D84,"")</x:f>
      </x:c>
      <x:c r="E84" s="76" t="str">
        <x:f>IF('00_Formulaire_Saisie'!$P84="Validé humainement",'00_Formulaire_Saisie'!E84,"")</x:f>
      </x:c>
      <x:c r="F84" s="76" t="str">
        <x:f>IF('00_Formulaire_Saisie'!$P84="Validé humainement",'00_Formulaire_Saisie'!F84,"")</x:f>
      </x:c>
      <x:c r="G84" s="76" t="str">
        <x:f>IF('00_Formulaire_Saisie'!$P84="Validé humainement",'00_Formulaire_Saisie'!G84,"")</x:f>
      </x:c>
      <x:c r="H84" s="77" t="str">
        <x:f>IF('00_Formulaire_Saisie'!$P84="Validé humainement",'00_Formulaire_Saisie'!H84,"")</x:f>
      </x:c>
      <x:c r="I84" s="76" t="str">
        <x:f>IF('00_Formulaire_Saisie'!$P84="Validé humainement",'00_Formulaire_Saisie'!I84,"")</x:f>
      </x:c>
      <x:c r="J84" s="76" t="str">
        <x:f>IF('00_Formulaire_Saisie'!$P84="Validé humainement",'00_Formulaire_Saisie'!J84,"")</x:f>
      </x:c>
      <x:c r="K84" s="76" t="str">
        <x:f>IF('00_Formulaire_Saisie'!$P84="Validé humainement",'00_Formulaire_Saisie'!K84,"")</x:f>
      </x:c>
      <x:c r="L84" s="76" t="str">
        <x:f>IF('00_Formulaire_Saisie'!$P84="Validé humainement",'00_Formulaire_Saisie'!L84,"")</x:f>
      </x:c>
      <x:c r="M84" s="76" t="str">
        <x:f>IF('00_Formulaire_Saisie'!$P84="Validé humainement",'00_Formulaire_Saisie'!M84,"")</x:f>
      </x:c>
      <x:c r="N84" s="76" t="str">
        <x:f>IF('00_Formulaire_Saisie'!$P84="Validé humainement",'00_Formulaire_Saisie'!N84,"")</x:f>
      </x:c>
      <x:c r="O84" s="76" t="str">
        <x:f>IF('00_Formulaire_Saisie'!$P84="Validé humainement",'00_Formulaire_Saisie'!O84,"")</x:f>
      </x:c>
      <x:c r="P84" s="76" t="str">
        <x:f>IF('00_Formulaire_Saisie'!$P84="Validé humainement",'00_Formulaire_Saisie'!P84,"")</x:f>
      </x:c>
      <x:c r="Q84" s="76" t="str">
        <x:f>IF('00_Formulaire_Saisie'!$P84="Validé humainement",'00_Formulaire_Saisie'!Q84,"")</x:f>
      </x:c>
      <x:c r="R84" s="78" t="str">
        <x:f>IF('00_Formulaire_Saisie'!$P84="Validé humainement",'00_Formulaire_Saisie'!R84,"")</x:f>
      </x:c>
      <x:c r="S84" s="76" t="str">
        <x:f>IF('00_Formulaire_Saisie'!$P84="Validé humainement",'00_Formulaire_Saisie'!S84,"")</x:f>
      </x:c>
      <x:c r="T84" s="76" t="str">
        <x:f>IF('00_Formulaire_Saisie'!$P84="Validé humainement",'00_Formulaire_Saisie'!T84,"")</x:f>
      </x:c>
      <x:c r="U84" s="76" t="str">
        <x:f>IF('00_Formulaire_Saisie'!$P84="Validé humainement",'00_Formulaire_Saisie'!U84,"")</x:f>
      </x:c>
    </x:row>
    <x:row r="85">
      <x:c r="A85" s="76" t="str">
        <x:f>IF('00_Formulaire_Saisie'!$P85="Validé humainement",'00_Formulaire_Saisie'!A85,"")</x:f>
      </x:c>
      <x:c r="B85" s="76" t="str">
        <x:f>IF('00_Formulaire_Saisie'!$P85="Validé humainement",'00_Formulaire_Saisie'!B85,"")</x:f>
      </x:c>
      <x:c r="C85" s="76" t="str">
        <x:f>IF('00_Formulaire_Saisie'!$P85="Validé humainement",'00_Formulaire_Saisie'!C85,"")</x:f>
      </x:c>
      <x:c r="D85" s="76" t="str">
        <x:f>IF('00_Formulaire_Saisie'!$P85="Validé humainement",'00_Formulaire_Saisie'!D85,"")</x:f>
      </x:c>
      <x:c r="E85" s="76" t="str">
        <x:f>IF('00_Formulaire_Saisie'!$P85="Validé humainement",'00_Formulaire_Saisie'!E85,"")</x:f>
      </x:c>
      <x:c r="F85" s="76" t="str">
        <x:f>IF('00_Formulaire_Saisie'!$P85="Validé humainement",'00_Formulaire_Saisie'!F85,"")</x:f>
      </x:c>
      <x:c r="G85" s="76" t="str">
        <x:f>IF('00_Formulaire_Saisie'!$P85="Validé humainement",'00_Formulaire_Saisie'!G85,"")</x:f>
      </x:c>
      <x:c r="H85" s="77" t="str">
        <x:f>IF('00_Formulaire_Saisie'!$P85="Validé humainement",'00_Formulaire_Saisie'!H85,"")</x:f>
      </x:c>
      <x:c r="I85" s="76" t="str">
        <x:f>IF('00_Formulaire_Saisie'!$P85="Validé humainement",'00_Formulaire_Saisie'!I85,"")</x:f>
      </x:c>
      <x:c r="J85" s="76" t="str">
        <x:f>IF('00_Formulaire_Saisie'!$P85="Validé humainement",'00_Formulaire_Saisie'!J85,"")</x:f>
      </x:c>
      <x:c r="K85" s="76" t="str">
        <x:f>IF('00_Formulaire_Saisie'!$P85="Validé humainement",'00_Formulaire_Saisie'!K85,"")</x:f>
      </x:c>
      <x:c r="L85" s="76" t="str">
        <x:f>IF('00_Formulaire_Saisie'!$P85="Validé humainement",'00_Formulaire_Saisie'!L85,"")</x:f>
      </x:c>
      <x:c r="M85" s="76" t="str">
        <x:f>IF('00_Formulaire_Saisie'!$P85="Validé humainement",'00_Formulaire_Saisie'!M85,"")</x:f>
      </x:c>
      <x:c r="N85" s="76" t="str">
        <x:f>IF('00_Formulaire_Saisie'!$P85="Validé humainement",'00_Formulaire_Saisie'!N85,"")</x:f>
      </x:c>
      <x:c r="O85" s="76" t="str">
        <x:f>IF('00_Formulaire_Saisie'!$P85="Validé humainement",'00_Formulaire_Saisie'!O85,"")</x:f>
      </x:c>
      <x:c r="P85" s="76" t="str">
        <x:f>IF('00_Formulaire_Saisie'!$P85="Validé humainement",'00_Formulaire_Saisie'!P85,"")</x:f>
      </x:c>
      <x:c r="Q85" s="76" t="str">
        <x:f>IF('00_Formulaire_Saisie'!$P85="Validé humainement",'00_Formulaire_Saisie'!Q85,"")</x:f>
      </x:c>
      <x:c r="R85" s="78" t="str">
        <x:f>IF('00_Formulaire_Saisie'!$P85="Validé humainement",'00_Formulaire_Saisie'!R85,"")</x:f>
      </x:c>
      <x:c r="S85" s="76" t="str">
        <x:f>IF('00_Formulaire_Saisie'!$P85="Validé humainement",'00_Formulaire_Saisie'!S85,"")</x:f>
      </x:c>
      <x:c r="T85" s="76" t="str">
        <x:f>IF('00_Formulaire_Saisie'!$P85="Validé humainement",'00_Formulaire_Saisie'!T85,"")</x:f>
      </x:c>
      <x:c r="U85" s="76" t="str">
        <x:f>IF('00_Formulaire_Saisie'!$P85="Validé humainement",'00_Formulaire_Saisie'!U85,"")</x:f>
      </x:c>
    </x:row>
    <x:row r="86">
      <x:c r="A86" s="76" t="str">
        <x:f>IF('00_Formulaire_Saisie'!$P86="Validé humainement",'00_Formulaire_Saisie'!A86,"")</x:f>
      </x:c>
      <x:c r="B86" s="76" t="str">
        <x:f>IF('00_Formulaire_Saisie'!$P86="Validé humainement",'00_Formulaire_Saisie'!B86,"")</x:f>
      </x:c>
      <x:c r="C86" s="76" t="str">
        <x:f>IF('00_Formulaire_Saisie'!$P86="Validé humainement",'00_Formulaire_Saisie'!C86,"")</x:f>
      </x:c>
      <x:c r="D86" s="76" t="str">
        <x:f>IF('00_Formulaire_Saisie'!$P86="Validé humainement",'00_Formulaire_Saisie'!D86,"")</x:f>
      </x:c>
      <x:c r="E86" s="76" t="str">
        <x:f>IF('00_Formulaire_Saisie'!$P86="Validé humainement",'00_Formulaire_Saisie'!E86,"")</x:f>
      </x:c>
      <x:c r="F86" s="76" t="str">
        <x:f>IF('00_Formulaire_Saisie'!$P86="Validé humainement",'00_Formulaire_Saisie'!F86,"")</x:f>
      </x:c>
      <x:c r="G86" s="76" t="str">
        <x:f>IF('00_Formulaire_Saisie'!$P86="Validé humainement",'00_Formulaire_Saisie'!G86,"")</x:f>
      </x:c>
      <x:c r="H86" s="77" t="str">
        <x:f>IF('00_Formulaire_Saisie'!$P86="Validé humainement",'00_Formulaire_Saisie'!H86,"")</x:f>
      </x:c>
      <x:c r="I86" s="76" t="str">
        <x:f>IF('00_Formulaire_Saisie'!$P86="Validé humainement",'00_Formulaire_Saisie'!I86,"")</x:f>
      </x:c>
      <x:c r="J86" s="76" t="str">
        <x:f>IF('00_Formulaire_Saisie'!$P86="Validé humainement",'00_Formulaire_Saisie'!J86,"")</x:f>
      </x:c>
      <x:c r="K86" s="76" t="str">
        <x:f>IF('00_Formulaire_Saisie'!$P86="Validé humainement",'00_Formulaire_Saisie'!K86,"")</x:f>
      </x:c>
      <x:c r="L86" s="76" t="str">
        <x:f>IF('00_Formulaire_Saisie'!$P86="Validé humainement",'00_Formulaire_Saisie'!L86,"")</x:f>
      </x:c>
      <x:c r="M86" s="76" t="str">
        <x:f>IF('00_Formulaire_Saisie'!$P86="Validé humainement",'00_Formulaire_Saisie'!M86,"")</x:f>
      </x:c>
      <x:c r="N86" s="76" t="str">
        <x:f>IF('00_Formulaire_Saisie'!$P86="Validé humainement",'00_Formulaire_Saisie'!N86,"")</x:f>
      </x:c>
      <x:c r="O86" s="76" t="str">
        <x:f>IF('00_Formulaire_Saisie'!$P86="Validé humainement",'00_Formulaire_Saisie'!O86,"")</x:f>
      </x:c>
      <x:c r="P86" s="76" t="str">
        <x:f>IF('00_Formulaire_Saisie'!$P86="Validé humainement",'00_Formulaire_Saisie'!P86,"")</x:f>
      </x:c>
      <x:c r="Q86" s="76" t="str">
        <x:f>IF('00_Formulaire_Saisie'!$P86="Validé humainement",'00_Formulaire_Saisie'!Q86,"")</x:f>
      </x:c>
      <x:c r="R86" s="78" t="str">
        <x:f>IF('00_Formulaire_Saisie'!$P86="Validé humainement",'00_Formulaire_Saisie'!R86,"")</x:f>
      </x:c>
      <x:c r="S86" s="76" t="str">
        <x:f>IF('00_Formulaire_Saisie'!$P86="Validé humainement",'00_Formulaire_Saisie'!S86,"")</x:f>
      </x:c>
      <x:c r="T86" s="76" t="str">
        <x:f>IF('00_Formulaire_Saisie'!$P86="Validé humainement",'00_Formulaire_Saisie'!T86,"")</x:f>
      </x:c>
      <x:c r="U86" s="76" t="str">
        <x:f>IF('00_Formulaire_Saisie'!$P86="Validé humainement",'00_Formulaire_Saisie'!U86,"")</x:f>
      </x:c>
    </x:row>
    <x:row r="87">
      <x:c r="A87" s="76" t="str">
        <x:f>IF('00_Formulaire_Saisie'!$P87="Validé humainement",'00_Formulaire_Saisie'!A87,"")</x:f>
      </x:c>
      <x:c r="B87" s="76" t="str">
        <x:f>IF('00_Formulaire_Saisie'!$P87="Validé humainement",'00_Formulaire_Saisie'!B87,"")</x:f>
      </x:c>
      <x:c r="C87" s="76" t="str">
        <x:f>IF('00_Formulaire_Saisie'!$P87="Validé humainement",'00_Formulaire_Saisie'!C87,"")</x:f>
      </x:c>
      <x:c r="D87" s="76" t="str">
        <x:f>IF('00_Formulaire_Saisie'!$P87="Validé humainement",'00_Formulaire_Saisie'!D87,"")</x:f>
      </x:c>
      <x:c r="E87" s="76" t="str">
        <x:f>IF('00_Formulaire_Saisie'!$P87="Validé humainement",'00_Formulaire_Saisie'!E87,"")</x:f>
      </x:c>
      <x:c r="F87" s="76" t="str">
        <x:f>IF('00_Formulaire_Saisie'!$P87="Validé humainement",'00_Formulaire_Saisie'!F87,"")</x:f>
      </x:c>
      <x:c r="G87" s="76" t="str">
        <x:f>IF('00_Formulaire_Saisie'!$P87="Validé humainement",'00_Formulaire_Saisie'!G87,"")</x:f>
      </x:c>
      <x:c r="H87" s="77" t="str">
        <x:f>IF('00_Formulaire_Saisie'!$P87="Validé humainement",'00_Formulaire_Saisie'!H87,"")</x:f>
      </x:c>
      <x:c r="I87" s="76" t="str">
        <x:f>IF('00_Formulaire_Saisie'!$P87="Validé humainement",'00_Formulaire_Saisie'!I87,"")</x:f>
      </x:c>
      <x:c r="J87" s="76" t="str">
        <x:f>IF('00_Formulaire_Saisie'!$P87="Validé humainement",'00_Formulaire_Saisie'!J87,"")</x:f>
      </x:c>
      <x:c r="K87" s="76" t="str">
        <x:f>IF('00_Formulaire_Saisie'!$P87="Validé humainement",'00_Formulaire_Saisie'!K87,"")</x:f>
      </x:c>
      <x:c r="L87" s="76" t="str">
        <x:f>IF('00_Formulaire_Saisie'!$P87="Validé humainement",'00_Formulaire_Saisie'!L87,"")</x:f>
      </x:c>
      <x:c r="M87" s="76" t="str">
        <x:f>IF('00_Formulaire_Saisie'!$P87="Validé humainement",'00_Formulaire_Saisie'!M87,"")</x:f>
      </x:c>
      <x:c r="N87" s="76" t="str">
        <x:f>IF('00_Formulaire_Saisie'!$P87="Validé humainement",'00_Formulaire_Saisie'!N87,"")</x:f>
      </x:c>
      <x:c r="O87" s="76" t="str">
        <x:f>IF('00_Formulaire_Saisie'!$P87="Validé humainement",'00_Formulaire_Saisie'!O87,"")</x:f>
      </x:c>
      <x:c r="P87" s="76" t="str">
        <x:f>IF('00_Formulaire_Saisie'!$P87="Validé humainement",'00_Formulaire_Saisie'!P87,"")</x:f>
      </x:c>
      <x:c r="Q87" s="76" t="str">
        <x:f>IF('00_Formulaire_Saisie'!$P87="Validé humainement",'00_Formulaire_Saisie'!Q87,"")</x:f>
      </x:c>
      <x:c r="R87" s="78" t="str">
        <x:f>IF('00_Formulaire_Saisie'!$P87="Validé humainement",'00_Formulaire_Saisie'!R87,"")</x:f>
      </x:c>
      <x:c r="S87" s="76" t="str">
        <x:f>IF('00_Formulaire_Saisie'!$P87="Validé humainement",'00_Formulaire_Saisie'!S87,"")</x:f>
      </x:c>
      <x:c r="T87" s="76" t="str">
        <x:f>IF('00_Formulaire_Saisie'!$P87="Validé humainement",'00_Formulaire_Saisie'!T87,"")</x:f>
      </x:c>
      <x:c r="U87" s="76" t="str">
        <x:f>IF('00_Formulaire_Saisie'!$P87="Validé humainement",'00_Formulaire_Saisie'!U87,"")</x:f>
      </x:c>
    </x:row>
    <x:row r="88">
      <x:c r="A88" s="76" t="str">
        <x:f>IF('00_Formulaire_Saisie'!$P88="Validé humainement",'00_Formulaire_Saisie'!A88,"")</x:f>
      </x:c>
      <x:c r="B88" s="76" t="str">
        <x:f>IF('00_Formulaire_Saisie'!$P88="Validé humainement",'00_Formulaire_Saisie'!B88,"")</x:f>
      </x:c>
      <x:c r="C88" s="76" t="str">
        <x:f>IF('00_Formulaire_Saisie'!$P88="Validé humainement",'00_Formulaire_Saisie'!C88,"")</x:f>
      </x:c>
      <x:c r="D88" s="76" t="str">
        <x:f>IF('00_Formulaire_Saisie'!$P88="Validé humainement",'00_Formulaire_Saisie'!D88,"")</x:f>
      </x:c>
      <x:c r="E88" s="76" t="str">
        <x:f>IF('00_Formulaire_Saisie'!$P88="Validé humainement",'00_Formulaire_Saisie'!E88,"")</x:f>
      </x:c>
      <x:c r="F88" s="76" t="str">
        <x:f>IF('00_Formulaire_Saisie'!$P88="Validé humainement",'00_Formulaire_Saisie'!F88,"")</x:f>
      </x:c>
      <x:c r="G88" s="76" t="str">
        <x:f>IF('00_Formulaire_Saisie'!$P88="Validé humainement",'00_Formulaire_Saisie'!G88,"")</x:f>
      </x:c>
      <x:c r="H88" s="77" t="str">
        <x:f>IF('00_Formulaire_Saisie'!$P88="Validé humainement",'00_Formulaire_Saisie'!H88,"")</x:f>
      </x:c>
      <x:c r="I88" s="76" t="str">
        <x:f>IF('00_Formulaire_Saisie'!$P88="Validé humainement",'00_Formulaire_Saisie'!I88,"")</x:f>
      </x:c>
      <x:c r="J88" s="76" t="str">
        <x:f>IF('00_Formulaire_Saisie'!$P88="Validé humainement",'00_Formulaire_Saisie'!J88,"")</x:f>
      </x:c>
      <x:c r="K88" s="76" t="str">
        <x:f>IF('00_Formulaire_Saisie'!$P88="Validé humainement",'00_Formulaire_Saisie'!K88,"")</x:f>
      </x:c>
      <x:c r="L88" s="76" t="str">
        <x:f>IF('00_Formulaire_Saisie'!$P88="Validé humainement",'00_Formulaire_Saisie'!L88,"")</x:f>
      </x:c>
      <x:c r="M88" s="76" t="str">
        <x:f>IF('00_Formulaire_Saisie'!$P88="Validé humainement",'00_Formulaire_Saisie'!M88,"")</x:f>
      </x:c>
      <x:c r="N88" s="76" t="str">
        <x:f>IF('00_Formulaire_Saisie'!$P88="Validé humainement",'00_Formulaire_Saisie'!N88,"")</x:f>
      </x:c>
      <x:c r="O88" s="76" t="str">
        <x:f>IF('00_Formulaire_Saisie'!$P88="Validé humainement",'00_Formulaire_Saisie'!O88,"")</x:f>
      </x:c>
      <x:c r="P88" s="76" t="str">
        <x:f>IF('00_Formulaire_Saisie'!$P88="Validé humainement",'00_Formulaire_Saisie'!P88,"")</x:f>
      </x:c>
      <x:c r="Q88" s="76" t="str">
        <x:f>IF('00_Formulaire_Saisie'!$P88="Validé humainement",'00_Formulaire_Saisie'!Q88,"")</x:f>
      </x:c>
      <x:c r="R88" s="78" t="str">
        <x:f>IF('00_Formulaire_Saisie'!$P88="Validé humainement",'00_Formulaire_Saisie'!R88,"")</x:f>
      </x:c>
      <x:c r="S88" s="76" t="str">
        <x:f>IF('00_Formulaire_Saisie'!$P88="Validé humainement",'00_Formulaire_Saisie'!S88,"")</x:f>
      </x:c>
      <x:c r="T88" s="76" t="str">
        <x:f>IF('00_Formulaire_Saisie'!$P88="Validé humainement",'00_Formulaire_Saisie'!T88,"")</x:f>
      </x:c>
      <x:c r="U88" s="76" t="str">
        <x:f>IF('00_Formulaire_Saisie'!$P88="Validé humainement",'00_Formulaire_Saisie'!U88,"")</x:f>
      </x:c>
    </x:row>
    <x:row r="89">
      <x:c r="A89" s="76" t="str">
        <x:f>IF('00_Formulaire_Saisie'!$P89="Validé humainement",'00_Formulaire_Saisie'!A89,"")</x:f>
      </x:c>
      <x:c r="B89" s="76" t="str">
        <x:f>IF('00_Formulaire_Saisie'!$P89="Validé humainement",'00_Formulaire_Saisie'!B89,"")</x:f>
      </x:c>
      <x:c r="C89" s="76" t="str">
        <x:f>IF('00_Formulaire_Saisie'!$P89="Validé humainement",'00_Formulaire_Saisie'!C89,"")</x:f>
      </x:c>
      <x:c r="D89" s="76" t="str">
        <x:f>IF('00_Formulaire_Saisie'!$P89="Validé humainement",'00_Formulaire_Saisie'!D89,"")</x:f>
      </x:c>
      <x:c r="E89" s="76" t="str">
        <x:f>IF('00_Formulaire_Saisie'!$P89="Validé humainement",'00_Formulaire_Saisie'!E89,"")</x:f>
      </x:c>
      <x:c r="F89" s="76" t="str">
        <x:f>IF('00_Formulaire_Saisie'!$P89="Validé humainement",'00_Formulaire_Saisie'!F89,"")</x:f>
      </x:c>
      <x:c r="G89" s="76" t="str">
        <x:f>IF('00_Formulaire_Saisie'!$P89="Validé humainement",'00_Formulaire_Saisie'!G89,"")</x:f>
      </x:c>
      <x:c r="H89" s="77" t="str">
        <x:f>IF('00_Formulaire_Saisie'!$P89="Validé humainement",'00_Formulaire_Saisie'!H89,"")</x:f>
      </x:c>
      <x:c r="I89" s="76" t="str">
        <x:f>IF('00_Formulaire_Saisie'!$P89="Validé humainement",'00_Formulaire_Saisie'!I89,"")</x:f>
      </x:c>
      <x:c r="J89" s="76" t="str">
        <x:f>IF('00_Formulaire_Saisie'!$P89="Validé humainement",'00_Formulaire_Saisie'!J89,"")</x:f>
      </x:c>
      <x:c r="K89" s="76" t="str">
        <x:f>IF('00_Formulaire_Saisie'!$P89="Validé humainement",'00_Formulaire_Saisie'!K89,"")</x:f>
      </x:c>
      <x:c r="L89" s="76" t="str">
        <x:f>IF('00_Formulaire_Saisie'!$P89="Validé humainement",'00_Formulaire_Saisie'!L89,"")</x:f>
      </x:c>
      <x:c r="M89" s="76" t="str">
        <x:f>IF('00_Formulaire_Saisie'!$P89="Validé humainement",'00_Formulaire_Saisie'!M89,"")</x:f>
      </x:c>
      <x:c r="N89" s="76" t="str">
        <x:f>IF('00_Formulaire_Saisie'!$P89="Validé humainement",'00_Formulaire_Saisie'!N89,"")</x:f>
      </x:c>
      <x:c r="O89" s="76" t="str">
        <x:f>IF('00_Formulaire_Saisie'!$P89="Validé humainement",'00_Formulaire_Saisie'!O89,"")</x:f>
      </x:c>
      <x:c r="P89" s="76" t="str">
        <x:f>IF('00_Formulaire_Saisie'!$P89="Validé humainement",'00_Formulaire_Saisie'!P89,"")</x:f>
      </x:c>
      <x:c r="Q89" s="76" t="str">
        <x:f>IF('00_Formulaire_Saisie'!$P89="Validé humainement",'00_Formulaire_Saisie'!Q89,"")</x:f>
      </x:c>
      <x:c r="R89" s="78" t="str">
        <x:f>IF('00_Formulaire_Saisie'!$P89="Validé humainement",'00_Formulaire_Saisie'!R89,"")</x:f>
      </x:c>
      <x:c r="S89" s="76" t="str">
        <x:f>IF('00_Formulaire_Saisie'!$P89="Validé humainement",'00_Formulaire_Saisie'!S89,"")</x:f>
      </x:c>
      <x:c r="T89" s="76" t="str">
        <x:f>IF('00_Formulaire_Saisie'!$P89="Validé humainement",'00_Formulaire_Saisie'!T89,"")</x:f>
      </x:c>
      <x:c r="U89" s="76" t="str">
        <x:f>IF('00_Formulaire_Saisie'!$P89="Validé humainement",'00_Formulaire_Saisie'!U89,"")</x:f>
      </x:c>
    </x:row>
    <x:row r="90">
      <x:c r="A90" s="76" t="str">
        <x:f>IF('00_Formulaire_Saisie'!$P90="Validé humainement",'00_Formulaire_Saisie'!A90,"")</x:f>
      </x:c>
      <x:c r="B90" s="76" t="str">
        <x:f>IF('00_Formulaire_Saisie'!$P90="Validé humainement",'00_Formulaire_Saisie'!B90,"")</x:f>
      </x:c>
      <x:c r="C90" s="76" t="str">
        <x:f>IF('00_Formulaire_Saisie'!$P90="Validé humainement",'00_Formulaire_Saisie'!C90,"")</x:f>
      </x:c>
      <x:c r="D90" s="76" t="str">
        <x:f>IF('00_Formulaire_Saisie'!$P90="Validé humainement",'00_Formulaire_Saisie'!D90,"")</x:f>
      </x:c>
      <x:c r="E90" s="76" t="str">
        <x:f>IF('00_Formulaire_Saisie'!$P90="Validé humainement",'00_Formulaire_Saisie'!E90,"")</x:f>
      </x:c>
      <x:c r="F90" s="76" t="str">
        <x:f>IF('00_Formulaire_Saisie'!$P90="Validé humainement",'00_Formulaire_Saisie'!F90,"")</x:f>
      </x:c>
      <x:c r="G90" s="76" t="str">
        <x:f>IF('00_Formulaire_Saisie'!$P90="Validé humainement",'00_Formulaire_Saisie'!G90,"")</x:f>
      </x:c>
      <x:c r="H90" s="77" t="str">
        <x:f>IF('00_Formulaire_Saisie'!$P90="Validé humainement",'00_Formulaire_Saisie'!H90,"")</x:f>
      </x:c>
      <x:c r="I90" s="76" t="str">
        <x:f>IF('00_Formulaire_Saisie'!$P90="Validé humainement",'00_Formulaire_Saisie'!I90,"")</x:f>
      </x:c>
      <x:c r="J90" s="76" t="str">
        <x:f>IF('00_Formulaire_Saisie'!$P90="Validé humainement",'00_Formulaire_Saisie'!J90,"")</x:f>
      </x:c>
      <x:c r="K90" s="76" t="str">
        <x:f>IF('00_Formulaire_Saisie'!$P90="Validé humainement",'00_Formulaire_Saisie'!K90,"")</x:f>
      </x:c>
      <x:c r="L90" s="76" t="str">
        <x:f>IF('00_Formulaire_Saisie'!$P90="Validé humainement",'00_Formulaire_Saisie'!L90,"")</x:f>
      </x:c>
      <x:c r="M90" s="76" t="str">
        <x:f>IF('00_Formulaire_Saisie'!$P90="Validé humainement",'00_Formulaire_Saisie'!M90,"")</x:f>
      </x:c>
      <x:c r="N90" s="76" t="str">
        <x:f>IF('00_Formulaire_Saisie'!$P90="Validé humainement",'00_Formulaire_Saisie'!N90,"")</x:f>
      </x:c>
      <x:c r="O90" s="76" t="str">
        <x:f>IF('00_Formulaire_Saisie'!$P90="Validé humainement",'00_Formulaire_Saisie'!O90,"")</x:f>
      </x:c>
      <x:c r="P90" s="76" t="str">
        <x:f>IF('00_Formulaire_Saisie'!$P90="Validé humainement",'00_Formulaire_Saisie'!P90,"")</x:f>
      </x:c>
      <x:c r="Q90" s="76" t="str">
        <x:f>IF('00_Formulaire_Saisie'!$P90="Validé humainement",'00_Formulaire_Saisie'!Q90,"")</x:f>
      </x:c>
      <x:c r="R90" s="78" t="str">
        <x:f>IF('00_Formulaire_Saisie'!$P90="Validé humainement",'00_Formulaire_Saisie'!R90,"")</x:f>
      </x:c>
      <x:c r="S90" s="76" t="str">
        <x:f>IF('00_Formulaire_Saisie'!$P90="Validé humainement",'00_Formulaire_Saisie'!S90,"")</x:f>
      </x:c>
      <x:c r="T90" s="76" t="str">
        <x:f>IF('00_Formulaire_Saisie'!$P90="Validé humainement",'00_Formulaire_Saisie'!T90,"")</x:f>
      </x:c>
      <x:c r="U90" s="76" t="str">
        <x:f>IF('00_Formulaire_Saisie'!$P90="Validé humainement",'00_Formulaire_Saisie'!U90,"")</x:f>
      </x:c>
    </x:row>
    <x:row r="91">
      <x:c r="A91" s="76" t="str">
        <x:f>IF('00_Formulaire_Saisie'!$P91="Validé humainement",'00_Formulaire_Saisie'!A91,"")</x:f>
      </x:c>
      <x:c r="B91" s="76" t="str">
        <x:f>IF('00_Formulaire_Saisie'!$P91="Validé humainement",'00_Formulaire_Saisie'!B91,"")</x:f>
      </x:c>
      <x:c r="C91" s="76" t="str">
        <x:f>IF('00_Formulaire_Saisie'!$P91="Validé humainement",'00_Formulaire_Saisie'!C91,"")</x:f>
      </x:c>
      <x:c r="D91" s="76" t="str">
        <x:f>IF('00_Formulaire_Saisie'!$P91="Validé humainement",'00_Formulaire_Saisie'!D91,"")</x:f>
      </x:c>
      <x:c r="E91" s="76" t="str">
        <x:f>IF('00_Formulaire_Saisie'!$P91="Validé humainement",'00_Formulaire_Saisie'!E91,"")</x:f>
      </x:c>
      <x:c r="F91" s="76" t="str">
        <x:f>IF('00_Formulaire_Saisie'!$P91="Validé humainement",'00_Formulaire_Saisie'!F91,"")</x:f>
      </x:c>
      <x:c r="G91" s="76" t="str">
        <x:f>IF('00_Formulaire_Saisie'!$P91="Validé humainement",'00_Formulaire_Saisie'!G91,"")</x:f>
      </x:c>
      <x:c r="H91" s="77" t="str">
        <x:f>IF('00_Formulaire_Saisie'!$P91="Validé humainement",'00_Formulaire_Saisie'!H91,"")</x:f>
      </x:c>
      <x:c r="I91" s="76" t="str">
        <x:f>IF('00_Formulaire_Saisie'!$P91="Validé humainement",'00_Formulaire_Saisie'!I91,"")</x:f>
      </x:c>
      <x:c r="J91" s="76" t="str">
        <x:f>IF('00_Formulaire_Saisie'!$P91="Validé humainement",'00_Formulaire_Saisie'!J91,"")</x:f>
      </x:c>
      <x:c r="K91" s="76" t="str">
        <x:f>IF('00_Formulaire_Saisie'!$P91="Validé humainement",'00_Formulaire_Saisie'!K91,"")</x:f>
      </x:c>
      <x:c r="L91" s="76" t="str">
        <x:f>IF('00_Formulaire_Saisie'!$P91="Validé humainement",'00_Formulaire_Saisie'!L91,"")</x:f>
      </x:c>
      <x:c r="M91" s="76" t="str">
        <x:f>IF('00_Formulaire_Saisie'!$P91="Validé humainement",'00_Formulaire_Saisie'!M91,"")</x:f>
      </x:c>
      <x:c r="N91" s="76" t="str">
        <x:f>IF('00_Formulaire_Saisie'!$P91="Validé humainement",'00_Formulaire_Saisie'!N91,"")</x:f>
      </x:c>
      <x:c r="O91" s="76" t="str">
        <x:f>IF('00_Formulaire_Saisie'!$P91="Validé humainement",'00_Formulaire_Saisie'!O91,"")</x:f>
      </x:c>
      <x:c r="P91" s="76" t="str">
        <x:f>IF('00_Formulaire_Saisie'!$P91="Validé humainement",'00_Formulaire_Saisie'!P91,"")</x:f>
      </x:c>
      <x:c r="Q91" s="76" t="str">
        <x:f>IF('00_Formulaire_Saisie'!$P91="Validé humainement",'00_Formulaire_Saisie'!Q91,"")</x:f>
      </x:c>
      <x:c r="R91" s="78" t="str">
        <x:f>IF('00_Formulaire_Saisie'!$P91="Validé humainement",'00_Formulaire_Saisie'!R91,"")</x:f>
      </x:c>
      <x:c r="S91" s="76" t="str">
        <x:f>IF('00_Formulaire_Saisie'!$P91="Validé humainement",'00_Formulaire_Saisie'!S91,"")</x:f>
      </x:c>
      <x:c r="T91" s="76" t="str">
        <x:f>IF('00_Formulaire_Saisie'!$P91="Validé humainement",'00_Formulaire_Saisie'!T91,"")</x:f>
      </x:c>
      <x:c r="U91" s="76" t="str">
        <x:f>IF('00_Formulaire_Saisie'!$P91="Validé humainement",'00_Formulaire_Saisie'!U91,"")</x:f>
      </x:c>
    </x:row>
    <x:row r="92">
      <x:c r="A92" s="76" t="str">
        <x:f>IF('00_Formulaire_Saisie'!$P92="Validé humainement",'00_Formulaire_Saisie'!A92,"")</x:f>
      </x:c>
      <x:c r="B92" s="76" t="str">
        <x:f>IF('00_Formulaire_Saisie'!$P92="Validé humainement",'00_Formulaire_Saisie'!B92,"")</x:f>
      </x:c>
      <x:c r="C92" s="76" t="str">
        <x:f>IF('00_Formulaire_Saisie'!$P92="Validé humainement",'00_Formulaire_Saisie'!C92,"")</x:f>
      </x:c>
      <x:c r="D92" s="76" t="str">
        <x:f>IF('00_Formulaire_Saisie'!$P92="Validé humainement",'00_Formulaire_Saisie'!D92,"")</x:f>
      </x:c>
      <x:c r="E92" s="76" t="str">
        <x:f>IF('00_Formulaire_Saisie'!$P92="Validé humainement",'00_Formulaire_Saisie'!E92,"")</x:f>
      </x:c>
      <x:c r="F92" s="76" t="str">
        <x:f>IF('00_Formulaire_Saisie'!$P92="Validé humainement",'00_Formulaire_Saisie'!F92,"")</x:f>
      </x:c>
      <x:c r="G92" s="76" t="str">
        <x:f>IF('00_Formulaire_Saisie'!$P92="Validé humainement",'00_Formulaire_Saisie'!G92,"")</x:f>
      </x:c>
      <x:c r="H92" s="77" t="str">
        <x:f>IF('00_Formulaire_Saisie'!$P92="Validé humainement",'00_Formulaire_Saisie'!H92,"")</x:f>
      </x:c>
      <x:c r="I92" s="76" t="str">
        <x:f>IF('00_Formulaire_Saisie'!$P92="Validé humainement",'00_Formulaire_Saisie'!I92,"")</x:f>
      </x:c>
      <x:c r="J92" s="76" t="str">
        <x:f>IF('00_Formulaire_Saisie'!$P92="Validé humainement",'00_Formulaire_Saisie'!J92,"")</x:f>
      </x:c>
      <x:c r="K92" s="76" t="str">
        <x:f>IF('00_Formulaire_Saisie'!$P92="Validé humainement",'00_Formulaire_Saisie'!K92,"")</x:f>
      </x:c>
      <x:c r="L92" s="76" t="str">
        <x:f>IF('00_Formulaire_Saisie'!$P92="Validé humainement",'00_Formulaire_Saisie'!L92,"")</x:f>
      </x:c>
      <x:c r="M92" s="76" t="str">
        <x:f>IF('00_Formulaire_Saisie'!$P92="Validé humainement",'00_Formulaire_Saisie'!M92,"")</x:f>
      </x:c>
      <x:c r="N92" s="76" t="str">
        <x:f>IF('00_Formulaire_Saisie'!$P92="Validé humainement",'00_Formulaire_Saisie'!N92,"")</x:f>
      </x:c>
      <x:c r="O92" s="76" t="str">
        <x:f>IF('00_Formulaire_Saisie'!$P92="Validé humainement",'00_Formulaire_Saisie'!O92,"")</x:f>
      </x:c>
      <x:c r="P92" s="76" t="str">
        <x:f>IF('00_Formulaire_Saisie'!$P92="Validé humainement",'00_Formulaire_Saisie'!P92,"")</x:f>
      </x:c>
      <x:c r="Q92" s="76" t="str">
        <x:f>IF('00_Formulaire_Saisie'!$P92="Validé humainement",'00_Formulaire_Saisie'!Q92,"")</x:f>
      </x:c>
      <x:c r="R92" s="78" t="str">
        <x:f>IF('00_Formulaire_Saisie'!$P92="Validé humainement",'00_Formulaire_Saisie'!R92,"")</x:f>
      </x:c>
      <x:c r="S92" s="76" t="str">
        <x:f>IF('00_Formulaire_Saisie'!$P92="Validé humainement",'00_Formulaire_Saisie'!S92,"")</x:f>
      </x:c>
      <x:c r="T92" s="76" t="str">
        <x:f>IF('00_Formulaire_Saisie'!$P92="Validé humainement",'00_Formulaire_Saisie'!T92,"")</x:f>
      </x:c>
      <x:c r="U92" s="76" t="str">
        <x:f>IF('00_Formulaire_Saisie'!$P92="Validé humainement",'00_Formulaire_Saisie'!U92,"")</x:f>
      </x:c>
    </x:row>
    <x:row r="93">
      <x:c r="A93" s="76" t="str">
        <x:f>IF('00_Formulaire_Saisie'!$P93="Validé humainement",'00_Formulaire_Saisie'!A93,"")</x:f>
      </x:c>
      <x:c r="B93" s="76" t="str">
        <x:f>IF('00_Formulaire_Saisie'!$P93="Validé humainement",'00_Formulaire_Saisie'!B93,"")</x:f>
      </x:c>
      <x:c r="C93" s="76" t="str">
        <x:f>IF('00_Formulaire_Saisie'!$P93="Validé humainement",'00_Formulaire_Saisie'!C93,"")</x:f>
      </x:c>
      <x:c r="D93" s="76" t="str">
        <x:f>IF('00_Formulaire_Saisie'!$P93="Validé humainement",'00_Formulaire_Saisie'!D93,"")</x:f>
      </x:c>
      <x:c r="E93" s="76" t="str">
        <x:f>IF('00_Formulaire_Saisie'!$P93="Validé humainement",'00_Formulaire_Saisie'!E93,"")</x:f>
      </x:c>
      <x:c r="F93" s="76" t="str">
        <x:f>IF('00_Formulaire_Saisie'!$P93="Validé humainement",'00_Formulaire_Saisie'!F93,"")</x:f>
      </x:c>
      <x:c r="G93" s="76" t="str">
        <x:f>IF('00_Formulaire_Saisie'!$P93="Validé humainement",'00_Formulaire_Saisie'!G93,"")</x:f>
      </x:c>
      <x:c r="H93" s="77" t="str">
        <x:f>IF('00_Formulaire_Saisie'!$P93="Validé humainement",'00_Formulaire_Saisie'!H93,"")</x:f>
      </x:c>
      <x:c r="I93" s="76" t="str">
        <x:f>IF('00_Formulaire_Saisie'!$P93="Validé humainement",'00_Formulaire_Saisie'!I93,"")</x:f>
      </x:c>
      <x:c r="J93" s="76" t="str">
        <x:f>IF('00_Formulaire_Saisie'!$P93="Validé humainement",'00_Formulaire_Saisie'!J93,"")</x:f>
      </x:c>
      <x:c r="K93" s="76" t="str">
        <x:f>IF('00_Formulaire_Saisie'!$P93="Validé humainement",'00_Formulaire_Saisie'!K93,"")</x:f>
      </x:c>
      <x:c r="L93" s="76" t="str">
        <x:f>IF('00_Formulaire_Saisie'!$P93="Validé humainement",'00_Formulaire_Saisie'!L93,"")</x:f>
      </x:c>
      <x:c r="M93" s="76" t="str">
        <x:f>IF('00_Formulaire_Saisie'!$P93="Validé humainement",'00_Formulaire_Saisie'!M93,"")</x:f>
      </x:c>
      <x:c r="N93" s="76" t="str">
        <x:f>IF('00_Formulaire_Saisie'!$P93="Validé humainement",'00_Formulaire_Saisie'!N93,"")</x:f>
      </x:c>
      <x:c r="O93" s="76" t="str">
        <x:f>IF('00_Formulaire_Saisie'!$P93="Validé humainement",'00_Formulaire_Saisie'!O93,"")</x:f>
      </x:c>
      <x:c r="P93" s="76" t="str">
        <x:f>IF('00_Formulaire_Saisie'!$P93="Validé humainement",'00_Formulaire_Saisie'!P93,"")</x:f>
      </x:c>
      <x:c r="Q93" s="76" t="str">
        <x:f>IF('00_Formulaire_Saisie'!$P93="Validé humainement",'00_Formulaire_Saisie'!Q93,"")</x:f>
      </x:c>
      <x:c r="R93" s="78" t="str">
        <x:f>IF('00_Formulaire_Saisie'!$P93="Validé humainement",'00_Formulaire_Saisie'!R93,"")</x:f>
      </x:c>
      <x:c r="S93" s="76" t="str">
        <x:f>IF('00_Formulaire_Saisie'!$P93="Validé humainement",'00_Formulaire_Saisie'!S93,"")</x:f>
      </x:c>
      <x:c r="T93" s="76" t="str">
        <x:f>IF('00_Formulaire_Saisie'!$P93="Validé humainement",'00_Formulaire_Saisie'!T93,"")</x:f>
      </x:c>
      <x:c r="U93" s="76" t="str">
        <x:f>IF('00_Formulaire_Saisie'!$P93="Validé humainement",'00_Formulaire_Saisie'!U93,"")</x:f>
      </x:c>
    </x:row>
    <x:row r="94">
      <x:c r="A94" s="76" t="str">
        <x:f>IF('00_Formulaire_Saisie'!$P94="Validé humainement",'00_Formulaire_Saisie'!A94,"")</x:f>
      </x:c>
      <x:c r="B94" s="76" t="str">
        <x:f>IF('00_Formulaire_Saisie'!$P94="Validé humainement",'00_Formulaire_Saisie'!B94,"")</x:f>
      </x:c>
      <x:c r="C94" s="76" t="str">
        <x:f>IF('00_Formulaire_Saisie'!$P94="Validé humainement",'00_Formulaire_Saisie'!C94,"")</x:f>
      </x:c>
      <x:c r="D94" s="76" t="str">
        <x:f>IF('00_Formulaire_Saisie'!$P94="Validé humainement",'00_Formulaire_Saisie'!D94,"")</x:f>
      </x:c>
      <x:c r="E94" s="76" t="str">
        <x:f>IF('00_Formulaire_Saisie'!$P94="Validé humainement",'00_Formulaire_Saisie'!E94,"")</x:f>
      </x:c>
      <x:c r="F94" s="76" t="str">
        <x:f>IF('00_Formulaire_Saisie'!$P94="Validé humainement",'00_Formulaire_Saisie'!F94,"")</x:f>
      </x:c>
      <x:c r="G94" s="76" t="str">
        <x:f>IF('00_Formulaire_Saisie'!$P94="Validé humainement",'00_Formulaire_Saisie'!G94,"")</x:f>
      </x:c>
      <x:c r="H94" s="77" t="str">
        <x:f>IF('00_Formulaire_Saisie'!$P94="Validé humainement",'00_Formulaire_Saisie'!H94,"")</x:f>
      </x:c>
      <x:c r="I94" s="76" t="str">
        <x:f>IF('00_Formulaire_Saisie'!$P94="Validé humainement",'00_Formulaire_Saisie'!I94,"")</x:f>
      </x:c>
      <x:c r="J94" s="76" t="str">
        <x:f>IF('00_Formulaire_Saisie'!$P94="Validé humainement",'00_Formulaire_Saisie'!J94,"")</x:f>
      </x:c>
      <x:c r="K94" s="76" t="str">
        <x:f>IF('00_Formulaire_Saisie'!$P94="Validé humainement",'00_Formulaire_Saisie'!K94,"")</x:f>
      </x:c>
      <x:c r="L94" s="76" t="str">
        <x:f>IF('00_Formulaire_Saisie'!$P94="Validé humainement",'00_Formulaire_Saisie'!L94,"")</x:f>
      </x:c>
      <x:c r="M94" s="76" t="str">
        <x:f>IF('00_Formulaire_Saisie'!$P94="Validé humainement",'00_Formulaire_Saisie'!M94,"")</x:f>
      </x:c>
      <x:c r="N94" s="76" t="str">
        <x:f>IF('00_Formulaire_Saisie'!$P94="Validé humainement",'00_Formulaire_Saisie'!N94,"")</x:f>
      </x:c>
      <x:c r="O94" s="76" t="str">
        <x:f>IF('00_Formulaire_Saisie'!$P94="Validé humainement",'00_Formulaire_Saisie'!O94,"")</x:f>
      </x:c>
      <x:c r="P94" s="76" t="str">
        <x:f>IF('00_Formulaire_Saisie'!$P94="Validé humainement",'00_Formulaire_Saisie'!P94,"")</x:f>
      </x:c>
      <x:c r="Q94" s="76" t="str">
        <x:f>IF('00_Formulaire_Saisie'!$P94="Validé humainement",'00_Formulaire_Saisie'!Q94,"")</x:f>
      </x:c>
      <x:c r="R94" s="78" t="str">
        <x:f>IF('00_Formulaire_Saisie'!$P94="Validé humainement",'00_Formulaire_Saisie'!R94,"")</x:f>
      </x:c>
      <x:c r="S94" s="76" t="str">
        <x:f>IF('00_Formulaire_Saisie'!$P94="Validé humainement",'00_Formulaire_Saisie'!S94,"")</x:f>
      </x:c>
      <x:c r="T94" s="76" t="str">
        <x:f>IF('00_Formulaire_Saisie'!$P94="Validé humainement",'00_Formulaire_Saisie'!T94,"")</x:f>
      </x:c>
      <x:c r="U94" s="76" t="str">
        <x:f>IF('00_Formulaire_Saisie'!$P94="Validé humainement",'00_Formulaire_Saisie'!U94,"")</x:f>
      </x:c>
    </x:row>
    <x:row r="95">
      <x:c r="A95" s="76" t="str">
        <x:f>IF('00_Formulaire_Saisie'!$P95="Validé humainement",'00_Formulaire_Saisie'!A95,"")</x:f>
      </x:c>
      <x:c r="B95" s="76" t="str">
        <x:f>IF('00_Formulaire_Saisie'!$P95="Validé humainement",'00_Formulaire_Saisie'!B95,"")</x:f>
      </x:c>
      <x:c r="C95" s="76" t="str">
        <x:f>IF('00_Formulaire_Saisie'!$P95="Validé humainement",'00_Formulaire_Saisie'!C95,"")</x:f>
      </x:c>
      <x:c r="D95" s="76" t="str">
        <x:f>IF('00_Formulaire_Saisie'!$P95="Validé humainement",'00_Formulaire_Saisie'!D95,"")</x:f>
      </x:c>
      <x:c r="E95" s="76" t="str">
        <x:f>IF('00_Formulaire_Saisie'!$P95="Validé humainement",'00_Formulaire_Saisie'!E95,"")</x:f>
      </x:c>
      <x:c r="F95" s="76" t="str">
        <x:f>IF('00_Formulaire_Saisie'!$P95="Validé humainement",'00_Formulaire_Saisie'!F95,"")</x:f>
      </x:c>
      <x:c r="G95" s="76" t="str">
        <x:f>IF('00_Formulaire_Saisie'!$P95="Validé humainement",'00_Formulaire_Saisie'!G95,"")</x:f>
      </x:c>
      <x:c r="H95" s="77" t="str">
        <x:f>IF('00_Formulaire_Saisie'!$P95="Validé humainement",'00_Formulaire_Saisie'!H95,"")</x:f>
      </x:c>
      <x:c r="I95" s="76" t="str">
        <x:f>IF('00_Formulaire_Saisie'!$P95="Validé humainement",'00_Formulaire_Saisie'!I95,"")</x:f>
      </x:c>
      <x:c r="J95" s="76" t="str">
        <x:f>IF('00_Formulaire_Saisie'!$P95="Validé humainement",'00_Formulaire_Saisie'!J95,"")</x:f>
      </x:c>
      <x:c r="K95" s="76" t="str">
        <x:f>IF('00_Formulaire_Saisie'!$P95="Validé humainement",'00_Formulaire_Saisie'!K95,"")</x:f>
      </x:c>
      <x:c r="L95" s="76" t="str">
        <x:f>IF('00_Formulaire_Saisie'!$P95="Validé humainement",'00_Formulaire_Saisie'!L95,"")</x:f>
      </x:c>
      <x:c r="M95" s="76" t="str">
        <x:f>IF('00_Formulaire_Saisie'!$P95="Validé humainement",'00_Formulaire_Saisie'!M95,"")</x:f>
      </x:c>
      <x:c r="N95" s="76" t="str">
        <x:f>IF('00_Formulaire_Saisie'!$P95="Validé humainement",'00_Formulaire_Saisie'!N95,"")</x:f>
      </x:c>
      <x:c r="O95" s="76" t="str">
        <x:f>IF('00_Formulaire_Saisie'!$P95="Validé humainement",'00_Formulaire_Saisie'!O95,"")</x:f>
      </x:c>
      <x:c r="P95" s="76" t="str">
        <x:f>IF('00_Formulaire_Saisie'!$P95="Validé humainement",'00_Formulaire_Saisie'!P95,"")</x:f>
      </x:c>
      <x:c r="Q95" s="76" t="str">
        <x:f>IF('00_Formulaire_Saisie'!$P95="Validé humainement",'00_Formulaire_Saisie'!Q95,"")</x:f>
      </x:c>
      <x:c r="R95" s="78" t="str">
        <x:f>IF('00_Formulaire_Saisie'!$P95="Validé humainement",'00_Formulaire_Saisie'!R95,"")</x:f>
      </x:c>
      <x:c r="S95" s="76" t="str">
        <x:f>IF('00_Formulaire_Saisie'!$P95="Validé humainement",'00_Formulaire_Saisie'!S95,"")</x:f>
      </x:c>
      <x:c r="T95" s="76" t="str">
        <x:f>IF('00_Formulaire_Saisie'!$P95="Validé humainement",'00_Formulaire_Saisie'!T95,"")</x:f>
      </x:c>
      <x:c r="U95" s="76" t="str">
        <x:f>IF('00_Formulaire_Saisie'!$P95="Validé humainement",'00_Formulaire_Saisie'!U95,"")</x:f>
      </x:c>
    </x:row>
    <x:row r="96">
      <x:c r="A96" s="76" t="str">
        <x:f>IF('00_Formulaire_Saisie'!$P96="Validé humainement",'00_Formulaire_Saisie'!A96,"")</x:f>
      </x:c>
      <x:c r="B96" s="76" t="str">
        <x:f>IF('00_Formulaire_Saisie'!$P96="Validé humainement",'00_Formulaire_Saisie'!B96,"")</x:f>
      </x:c>
      <x:c r="C96" s="76" t="str">
        <x:f>IF('00_Formulaire_Saisie'!$P96="Validé humainement",'00_Formulaire_Saisie'!C96,"")</x:f>
      </x:c>
      <x:c r="D96" s="76" t="str">
        <x:f>IF('00_Formulaire_Saisie'!$P96="Validé humainement",'00_Formulaire_Saisie'!D96,"")</x:f>
      </x:c>
      <x:c r="E96" s="76" t="str">
        <x:f>IF('00_Formulaire_Saisie'!$P96="Validé humainement",'00_Formulaire_Saisie'!E96,"")</x:f>
      </x:c>
      <x:c r="F96" s="76" t="str">
        <x:f>IF('00_Formulaire_Saisie'!$P96="Validé humainement",'00_Formulaire_Saisie'!F96,"")</x:f>
      </x:c>
      <x:c r="G96" s="76" t="str">
        <x:f>IF('00_Formulaire_Saisie'!$P96="Validé humainement",'00_Formulaire_Saisie'!G96,"")</x:f>
      </x:c>
      <x:c r="H96" s="77" t="str">
        <x:f>IF('00_Formulaire_Saisie'!$P96="Validé humainement",'00_Formulaire_Saisie'!H96,"")</x:f>
      </x:c>
      <x:c r="I96" s="76" t="str">
        <x:f>IF('00_Formulaire_Saisie'!$P96="Validé humainement",'00_Formulaire_Saisie'!I96,"")</x:f>
      </x:c>
      <x:c r="J96" s="76" t="str">
        <x:f>IF('00_Formulaire_Saisie'!$P96="Validé humainement",'00_Formulaire_Saisie'!J96,"")</x:f>
      </x:c>
      <x:c r="K96" s="76" t="str">
        <x:f>IF('00_Formulaire_Saisie'!$P96="Validé humainement",'00_Formulaire_Saisie'!K96,"")</x:f>
      </x:c>
      <x:c r="L96" s="76" t="str">
        <x:f>IF('00_Formulaire_Saisie'!$P96="Validé humainement",'00_Formulaire_Saisie'!L96,"")</x:f>
      </x:c>
      <x:c r="M96" s="76" t="str">
        <x:f>IF('00_Formulaire_Saisie'!$P96="Validé humainement",'00_Formulaire_Saisie'!M96,"")</x:f>
      </x:c>
      <x:c r="N96" s="76" t="str">
        <x:f>IF('00_Formulaire_Saisie'!$P96="Validé humainement",'00_Formulaire_Saisie'!N96,"")</x:f>
      </x:c>
      <x:c r="O96" s="76" t="str">
        <x:f>IF('00_Formulaire_Saisie'!$P96="Validé humainement",'00_Formulaire_Saisie'!O96,"")</x:f>
      </x:c>
      <x:c r="P96" s="76" t="str">
        <x:f>IF('00_Formulaire_Saisie'!$P96="Validé humainement",'00_Formulaire_Saisie'!P96,"")</x:f>
      </x:c>
      <x:c r="Q96" s="76" t="str">
        <x:f>IF('00_Formulaire_Saisie'!$P96="Validé humainement",'00_Formulaire_Saisie'!Q96,"")</x:f>
      </x:c>
      <x:c r="R96" s="78" t="str">
        <x:f>IF('00_Formulaire_Saisie'!$P96="Validé humainement",'00_Formulaire_Saisie'!R96,"")</x:f>
      </x:c>
      <x:c r="S96" s="76" t="str">
        <x:f>IF('00_Formulaire_Saisie'!$P96="Validé humainement",'00_Formulaire_Saisie'!S96,"")</x:f>
      </x:c>
      <x:c r="T96" s="76" t="str">
        <x:f>IF('00_Formulaire_Saisie'!$P96="Validé humainement",'00_Formulaire_Saisie'!T96,"")</x:f>
      </x:c>
      <x:c r="U96" s="76" t="str">
        <x:f>IF('00_Formulaire_Saisie'!$P96="Validé humainement",'00_Formulaire_Saisie'!U96,"")</x:f>
      </x:c>
    </x:row>
    <x:row r="97">
      <x:c r="A97" s="76" t="str">
        <x:f>IF('00_Formulaire_Saisie'!$P97="Validé humainement",'00_Formulaire_Saisie'!A97,"")</x:f>
      </x:c>
      <x:c r="B97" s="76" t="str">
        <x:f>IF('00_Formulaire_Saisie'!$P97="Validé humainement",'00_Formulaire_Saisie'!B97,"")</x:f>
      </x:c>
      <x:c r="C97" s="76" t="str">
        <x:f>IF('00_Formulaire_Saisie'!$P97="Validé humainement",'00_Formulaire_Saisie'!C97,"")</x:f>
      </x:c>
      <x:c r="D97" s="76" t="str">
        <x:f>IF('00_Formulaire_Saisie'!$P97="Validé humainement",'00_Formulaire_Saisie'!D97,"")</x:f>
      </x:c>
      <x:c r="E97" s="76" t="str">
        <x:f>IF('00_Formulaire_Saisie'!$P97="Validé humainement",'00_Formulaire_Saisie'!E97,"")</x:f>
      </x:c>
      <x:c r="F97" s="76" t="str">
        <x:f>IF('00_Formulaire_Saisie'!$P97="Validé humainement",'00_Formulaire_Saisie'!F97,"")</x:f>
      </x:c>
      <x:c r="G97" s="76" t="str">
        <x:f>IF('00_Formulaire_Saisie'!$P97="Validé humainement",'00_Formulaire_Saisie'!G97,"")</x:f>
      </x:c>
      <x:c r="H97" s="77" t="str">
        <x:f>IF('00_Formulaire_Saisie'!$P97="Validé humainement",'00_Formulaire_Saisie'!H97,"")</x:f>
      </x:c>
      <x:c r="I97" s="76" t="str">
        <x:f>IF('00_Formulaire_Saisie'!$P97="Validé humainement",'00_Formulaire_Saisie'!I97,"")</x:f>
      </x:c>
      <x:c r="J97" s="76" t="str">
        <x:f>IF('00_Formulaire_Saisie'!$P97="Validé humainement",'00_Formulaire_Saisie'!J97,"")</x:f>
      </x:c>
      <x:c r="K97" s="76" t="str">
        <x:f>IF('00_Formulaire_Saisie'!$P97="Validé humainement",'00_Formulaire_Saisie'!K97,"")</x:f>
      </x:c>
      <x:c r="L97" s="76" t="str">
        <x:f>IF('00_Formulaire_Saisie'!$P97="Validé humainement",'00_Formulaire_Saisie'!L97,"")</x:f>
      </x:c>
      <x:c r="M97" s="76" t="str">
        <x:f>IF('00_Formulaire_Saisie'!$P97="Validé humainement",'00_Formulaire_Saisie'!M97,"")</x:f>
      </x:c>
      <x:c r="N97" s="76" t="str">
        <x:f>IF('00_Formulaire_Saisie'!$P97="Validé humainement",'00_Formulaire_Saisie'!N97,"")</x:f>
      </x:c>
      <x:c r="O97" s="76" t="str">
        <x:f>IF('00_Formulaire_Saisie'!$P97="Validé humainement",'00_Formulaire_Saisie'!O97,"")</x:f>
      </x:c>
      <x:c r="P97" s="76" t="str">
        <x:f>IF('00_Formulaire_Saisie'!$P97="Validé humainement",'00_Formulaire_Saisie'!P97,"")</x:f>
      </x:c>
      <x:c r="Q97" s="76" t="str">
        <x:f>IF('00_Formulaire_Saisie'!$P97="Validé humainement",'00_Formulaire_Saisie'!Q97,"")</x:f>
      </x:c>
      <x:c r="R97" s="78" t="str">
        <x:f>IF('00_Formulaire_Saisie'!$P97="Validé humainement",'00_Formulaire_Saisie'!R97,"")</x:f>
      </x:c>
      <x:c r="S97" s="76" t="str">
        <x:f>IF('00_Formulaire_Saisie'!$P97="Validé humainement",'00_Formulaire_Saisie'!S97,"")</x:f>
      </x:c>
      <x:c r="T97" s="76" t="str">
        <x:f>IF('00_Formulaire_Saisie'!$P97="Validé humainement",'00_Formulaire_Saisie'!T97,"")</x:f>
      </x:c>
      <x:c r="U97" s="76" t="str">
        <x:f>IF('00_Formulaire_Saisie'!$P97="Validé humainement",'00_Formulaire_Saisie'!U97,"")</x:f>
      </x:c>
    </x:row>
    <x:row r="98">
      <x:c r="A98" s="76" t="str">
        <x:f>IF('00_Formulaire_Saisie'!$P98="Validé humainement",'00_Formulaire_Saisie'!A98,"")</x:f>
      </x:c>
      <x:c r="B98" s="76" t="str">
        <x:f>IF('00_Formulaire_Saisie'!$P98="Validé humainement",'00_Formulaire_Saisie'!B98,"")</x:f>
      </x:c>
      <x:c r="C98" s="76" t="str">
        <x:f>IF('00_Formulaire_Saisie'!$P98="Validé humainement",'00_Formulaire_Saisie'!C98,"")</x:f>
      </x:c>
      <x:c r="D98" s="76" t="str">
        <x:f>IF('00_Formulaire_Saisie'!$P98="Validé humainement",'00_Formulaire_Saisie'!D98,"")</x:f>
      </x:c>
      <x:c r="E98" s="76" t="str">
        <x:f>IF('00_Formulaire_Saisie'!$P98="Validé humainement",'00_Formulaire_Saisie'!E98,"")</x:f>
      </x:c>
      <x:c r="F98" s="76" t="str">
        <x:f>IF('00_Formulaire_Saisie'!$P98="Validé humainement",'00_Formulaire_Saisie'!F98,"")</x:f>
      </x:c>
      <x:c r="G98" s="76" t="str">
        <x:f>IF('00_Formulaire_Saisie'!$P98="Validé humainement",'00_Formulaire_Saisie'!G98,"")</x:f>
      </x:c>
      <x:c r="H98" s="77" t="str">
        <x:f>IF('00_Formulaire_Saisie'!$P98="Validé humainement",'00_Formulaire_Saisie'!H98,"")</x:f>
      </x:c>
      <x:c r="I98" s="76" t="str">
        <x:f>IF('00_Formulaire_Saisie'!$P98="Validé humainement",'00_Formulaire_Saisie'!I98,"")</x:f>
      </x:c>
      <x:c r="J98" s="76" t="str">
        <x:f>IF('00_Formulaire_Saisie'!$P98="Validé humainement",'00_Formulaire_Saisie'!J98,"")</x:f>
      </x:c>
      <x:c r="K98" s="76" t="str">
        <x:f>IF('00_Formulaire_Saisie'!$P98="Validé humainement",'00_Formulaire_Saisie'!K98,"")</x:f>
      </x:c>
      <x:c r="L98" s="76" t="str">
        <x:f>IF('00_Formulaire_Saisie'!$P98="Validé humainement",'00_Formulaire_Saisie'!L98,"")</x:f>
      </x:c>
      <x:c r="M98" s="76" t="str">
        <x:f>IF('00_Formulaire_Saisie'!$P98="Validé humainement",'00_Formulaire_Saisie'!M98,"")</x:f>
      </x:c>
      <x:c r="N98" s="76" t="str">
        <x:f>IF('00_Formulaire_Saisie'!$P98="Validé humainement",'00_Formulaire_Saisie'!N98,"")</x:f>
      </x:c>
      <x:c r="O98" s="76" t="str">
        <x:f>IF('00_Formulaire_Saisie'!$P98="Validé humainement",'00_Formulaire_Saisie'!O98,"")</x:f>
      </x:c>
      <x:c r="P98" s="76" t="str">
        <x:f>IF('00_Formulaire_Saisie'!$P98="Validé humainement",'00_Formulaire_Saisie'!P98,"")</x:f>
      </x:c>
      <x:c r="Q98" s="76" t="str">
        <x:f>IF('00_Formulaire_Saisie'!$P98="Validé humainement",'00_Formulaire_Saisie'!Q98,"")</x:f>
      </x:c>
      <x:c r="R98" s="78" t="str">
        <x:f>IF('00_Formulaire_Saisie'!$P98="Validé humainement",'00_Formulaire_Saisie'!R98,"")</x:f>
      </x:c>
      <x:c r="S98" s="76" t="str">
        <x:f>IF('00_Formulaire_Saisie'!$P98="Validé humainement",'00_Formulaire_Saisie'!S98,"")</x:f>
      </x:c>
      <x:c r="T98" s="76" t="str">
        <x:f>IF('00_Formulaire_Saisie'!$P98="Validé humainement",'00_Formulaire_Saisie'!T98,"")</x:f>
      </x:c>
      <x:c r="U98" s="76" t="str">
        <x:f>IF('00_Formulaire_Saisie'!$P98="Validé humainement",'00_Formulaire_Saisie'!U98,"")</x:f>
      </x:c>
    </x:row>
    <x:row r="99">
      <x:c r="A99" s="76" t="str">
        <x:f>IF('00_Formulaire_Saisie'!$P99="Validé humainement",'00_Formulaire_Saisie'!A99,"")</x:f>
      </x:c>
      <x:c r="B99" s="76" t="str">
        <x:f>IF('00_Formulaire_Saisie'!$P99="Validé humainement",'00_Formulaire_Saisie'!B99,"")</x:f>
      </x:c>
      <x:c r="C99" s="76" t="str">
        <x:f>IF('00_Formulaire_Saisie'!$P99="Validé humainement",'00_Formulaire_Saisie'!C99,"")</x:f>
      </x:c>
      <x:c r="D99" s="76" t="str">
        <x:f>IF('00_Formulaire_Saisie'!$P99="Validé humainement",'00_Formulaire_Saisie'!D99,"")</x:f>
      </x:c>
      <x:c r="E99" s="76" t="str">
        <x:f>IF('00_Formulaire_Saisie'!$P99="Validé humainement",'00_Formulaire_Saisie'!E99,"")</x:f>
      </x:c>
      <x:c r="F99" s="76" t="str">
        <x:f>IF('00_Formulaire_Saisie'!$P99="Validé humainement",'00_Formulaire_Saisie'!F99,"")</x:f>
      </x:c>
      <x:c r="G99" s="76" t="str">
        <x:f>IF('00_Formulaire_Saisie'!$P99="Validé humainement",'00_Formulaire_Saisie'!G99,"")</x:f>
      </x:c>
      <x:c r="H99" s="77" t="str">
        <x:f>IF('00_Formulaire_Saisie'!$P99="Validé humainement",'00_Formulaire_Saisie'!H99,"")</x:f>
      </x:c>
      <x:c r="I99" s="76" t="str">
        <x:f>IF('00_Formulaire_Saisie'!$P99="Validé humainement",'00_Formulaire_Saisie'!I99,"")</x:f>
      </x:c>
      <x:c r="J99" s="76" t="str">
        <x:f>IF('00_Formulaire_Saisie'!$P99="Validé humainement",'00_Formulaire_Saisie'!J99,"")</x:f>
      </x:c>
      <x:c r="K99" s="76" t="str">
        <x:f>IF('00_Formulaire_Saisie'!$P99="Validé humainement",'00_Formulaire_Saisie'!K99,"")</x:f>
      </x:c>
      <x:c r="L99" s="76" t="str">
        <x:f>IF('00_Formulaire_Saisie'!$P99="Validé humainement",'00_Formulaire_Saisie'!L99,"")</x:f>
      </x:c>
      <x:c r="M99" s="76" t="str">
        <x:f>IF('00_Formulaire_Saisie'!$P99="Validé humainement",'00_Formulaire_Saisie'!M99,"")</x:f>
      </x:c>
      <x:c r="N99" s="76" t="str">
        <x:f>IF('00_Formulaire_Saisie'!$P99="Validé humainement",'00_Formulaire_Saisie'!N99,"")</x:f>
      </x:c>
      <x:c r="O99" s="76" t="str">
        <x:f>IF('00_Formulaire_Saisie'!$P99="Validé humainement",'00_Formulaire_Saisie'!O99,"")</x:f>
      </x:c>
      <x:c r="P99" s="76" t="str">
        <x:f>IF('00_Formulaire_Saisie'!$P99="Validé humainement",'00_Formulaire_Saisie'!P99,"")</x:f>
      </x:c>
      <x:c r="Q99" s="76" t="str">
        <x:f>IF('00_Formulaire_Saisie'!$P99="Validé humainement",'00_Formulaire_Saisie'!Q99,"")</x:f>
      </x:c>
      <x:c r="R99" s="78" t="str">
        <x:f>IF('00_Formulaire_Saisie'!$P99="Validé humainement",'00_Formulaire_Saisie'!R99,"")</x:f>
      </x:c>
      <x:c r="S99" s="76" t="str">
        <x:f>IF('00_Formulaire_Saisie'!$P99="Validé humainement",'00_Formulaire_Saisie'!S99,"")</x:f>
      </x:c>
      <x:c r="T99" s="76" t="str">
        <x:f>IF('00_Formulaire_Saisie'!$P99="Validé humainement",'00_Formulaire_Saisie'!T99,"")</x:f>
      </x:c>
      <x:c r="U99" s="76" t="str">
        <x:f>IF('00_Formulaire_Saisie'!$P99="Validé humainement",'00_Formulaire_Saisie'!U99,"")</x:f>
      </x:c>
    </x:row>
    <x:row r="100">
      <x:c r="A100" s="76" t="str">
        <x:f>IF('00_Formulaire_Saisie'!$P100="Validé humainement",'00_Formulaire_Saisie'!A100,"")</x:f>
      </x:c>
      <x:c r="B100" s="76" t="str">
        <x:f>IF('00_Formulaire_Saisie'!$P100="Validé humainement",'00_Formulaire_Saisie'!B100,"")</x:f>
      </x:c>
      <x:c r="C100" s="76" t="str">
        <x:f>IF('00_Formulaire_Saisie'!$P100="Validé humainement",'00_Formulaire_Saisie'!C100,"")</x:f>
      </x:c>
      <x:c r="D100" s="76" t="str">
        <x:f>IF('00_Formulaire_Saisie'!$P100="Validé humainement",'00_Formulaire_Saisie'!D100,"")</x:f>
      </x:c>
      <x:c r="E100" s="76" t="str">
        <x:f>IF('00_Formulaire_Saisie'!$P100="Validé humainement",'00_Formulaire_Saisie'!E100,"")</x:f>
      </x:c>
      <x:c r="F100" s="76" t="str">
        <x:f>IF('00_Formulaire_Saisie'!$P100="Validé humainement",'00_Formulaire_Saisie'!F100,"")</x:f>
      </x:c>
      <x:c r="G100" s="76" t="str">
        <x:f>IF('00_Formulaire_Saisie'!$P100="Validé humainement",'00_Formulaire_Saisie'!G100,"")</x:f>
      </x:c>
      <x:c r="H100" s="77" t="str">
        <x:f>IF('00_Formulaire_Saisie'!$P100="Validé humainement",'00_Formulaire_Saisie'!H100,"")</x:f>
      </x:c>
      <x:c r="I100" s="76" t="str">
        <x:f>IF('00_Formulaire_Saisie'!$P100="Validé humainement",'00_Formulaire_Saisie'!I100,"")</x:f>
      </x:c>
      <x:c r="J100" s="76" t="str">
        <x:f>IF('00_Formulaire_Saisie'!$P100="Validé humainement",'00_Formulaire_Saisie'!J100,"")</x:f>
      </x:c>
      <x:c r="K100" s="76" t="str">
        <x:f>IF('00_Formulaire_Saisie'!$P100="Validé humainement",'00_Formulaire_Saisie'!K100,"")</x:f>
      </x:c>
      <x:c r="L100" s="76" t="str">
        <x:f>IF('00_Formulaire_Saisie'!$P100="Validé humainement",'00_Formulaire_Saisie'!L100,"")</x:f>
      </x:c>
      <x:c r="M100" s="76" t="str">
        <x:f>IF('00_Formulaire_Saisie'!$P100="Validé humainement",'00_Formulaire_Saisie'!M100,"")</x:f>
      </x:c>
      <x:c r="N100" s="76" t="str">
        <x:f>IF('00_Formulaire_Saisie'!$P100="Validé humainement",'00_Formulaire_Saisie'!N100,"")</x:f>
      </x:c>
      <x:c r="O100" s="76" t="str">
        <x:f>IF('00_Formulaire_Saisie'!$P100="Validé humainement",'00_Formulaire_Saisie'!O100,"")</x:f>
      </x:c>
      <x:c r="P100" s="76" t="str">
        <x:f>IF('00_Formulaire_Saisie'!$P100="Validé humainement",'00_Formulaire_Saisie'!P100,"")</x:f>
      </x:c>
      <x:c r="Q100" s="76" t="str">
        <x:f>IF('00_Formulaire_Saisie'!$P100="Validé humainement",'00_Formulaire_Saisie'!Q100,"")</x:f>
      </x:c>
      <x:c r="R100" s="78" t="str">
        <x:f>IF('00_Formulaire_Saisie'!$P100="Validé humainement",'00_Formulaire_Saisie'!R100,"")</x:f>
      </x:c>
      <x:c r="S100" s="76" t="str">
        <x:f>IF('00_Formulaire_Saisie'!$P100="Validé humainement",'00_Formulaire_Saisie'!S100,"")</x:f>
      </x:c>
      <x:c r="T100" s="76" t="str">
        <x:f>IF('00_Formulaire_Saisie'!$P100="Validé humainement",'00_Formulaire_Saisie'!T100,"")</x:f>
      </x:c>
      <x:c r="U100" s="76" t="str">
        <x:f>IF('00_Formulaire_Saisie'!$P100="Validé humainement",'00_Formulaire_Saisie'!U100,"")</x:f>
      </x:c>
    </x:row>
    <x:row r="101">
      <x:c r="A101" s="76" t="str">
        <x:f>IF('00_Formulaire_Saisie'!$P101="Validé humainement",'00_Formulaire_Saisie'!A101,"")</x:f>
      </x:c>
      <x:c r="B101" s="76" t="str">
        <x:f>IF('00_Formulaire_Saisie'!$P101="Validé humainement",'00_Formulaire_Saisie'!B101,"")</x:f>
      </x:c>
      <x:c r="C101" s="76" t="str">
        <x:f>IF('00_Formulaire_Saisie'!$P101="Validé humainement",'00_Formulaire_Saisie'!C101,"")</x:f>
      </x:c>
      <x:c r="D101" s="76" t="str">
        <x:f>IF('00_Formulaire_Saisie'!$P101="Validé humainement",'00_Formulaire_Saisie'!D101,"")</x:f>
      </x:c>
      <x:c r="E101" s="76" t="str">
        <x:f>IF('00_Formulaire_Saisie'!$P101="Validé humainement",'00_Formulaire_Saisie'!E101,"")</x:f>
      </x:c>
      <x:c r="F101" s="76" t="str">
        <x:f>IF('00_Formulaire_Saisie'!$P101="Validé humainement",'00_Formulaire_Saisie'!F101,"")</x:f>
      </x:c>
      <x:c r="G101" s="76" t="str">
        <x:f>IF('00_Formulaire_Saisie'!$P101="Validé humainement",'00_Formulaire_Saisie'!G101,"")</x:f>
      </x:c>
      <x:c r="H101" s="77" t="str">
        <x:f>IF('00_Formulaire_Saisie'!$P101="Validé humainement",'00_Formulaire_Saisie'!H101,"")</x:f>
      </x:c>
      <x:c r="I101" s="76" t="str">
        <x:f>IF('00_Formulaire_Saisie'!$P101="Validé humainement",'00_Formulaire_Saisie'!I101,"")</x:f>
      </x:c>
      <x:c r="J101" s="76" t="str">
        <x:f>IF('00_Formulaire_Saisie'!$P101="Validé humainement",'00_Formulaire_Saisie'!J101,"")</x:f>
      </x:c>
      <x:c r="K101" s="76" t="str">
        <x:f>IF('00_Formulaire_Saisie'!$P101="Validé humainement",'00_Formulaire_Saisie'!K101,"")</x:f>
      </x:c>
      <x:c r="L101" s="76" t="str">
        <x:f>IF('00_Formulaire_Saisie'!$P101="Validé humainement",'00_Formulaire_Saisie'!L101,"")</x:f>
      </x:c>
      <x:c r="M101" s="76" t="str">
        <x:f>IF('00_Formulaire_Saisie'!$P101="Validé humainement",'00_Formulaire_Saisie'!M101,"")</x:f>
      </x:c>
      <x:c r="N101" s="76" t="str">
        <x:f>IF('00_Formulaire_Saisie'!$P101="Validé humainement",'00_Formulaire_Saisie'!N101,"")</x:f>
      </x:c>
      <x:c r="O101" s="76" t="str">
        <x:f>IF('00_Formulaire_Saisie'!$P101="Validé humainement",'00_Formulaire_Saisie'!O101,"")</x:f>
      </x:c>
      <x:c r="P101" s="76" t="str">
        <x:f>IF('00_Formulaire_Saisie'!$P101="Validé humainement",'00_Formulaire_Saisie'!P101,"")</x:f>
      </x:c>
      <x:c r="Q101" s="76" t="str">
        <x:f>IF('00_Formulaire_Saisie'!$P101="Validé humainement",'00_Formulaire_Saisie'!Q101,"")</x:f>
      </x:c>
      <x:c r="R101" s="78" t="str">
        <x:f>IF('00_Formulaire_Saisie'!$P101="Validé humainement",'00_Formulaire_Saisie'!R101,"")</x:f>
      </x:c>
      <x:c r="S101" s="76" t="str">
        <x:f>IF('00_Formulaire_Saisie'!$P101="Validé humainement",'00_Formulaire_Saisie'!S101,"")</x:f>
      </x:c>
      <x:c r="T101" s="76" t="str">
        <x:f>IF('00_Formulaire_Saisie'!$P101="Validé humainement",'00_Formulaire_Saisie'!T101,"")</x:f>
      </x:c>
      <x:c r="U101" s="76" t="str">
        <x:f>IF('00_Formulaire_Saisie'!$P101="Validé humainement",'00_Formulaire_Saisie'!U101,"")</x:f>
      </x:c>
    </x:row>
    <x:row r="102">
      <x:c r="A102" s="76" t="str">
        <x:f>IF('00_Formulaire_Saisie'!$P102="Validé humainement",'00_Formulaire_Saisie'!A102,"")</x:f>
      </x:c>
      <x:c r="B102" s="76" t="str">
        <x:f>IF('00_Formulaire_Saisie'!$P102="Validé humainement",'00_Formulaire_Saisie'!B102,"")</x:f>
      </x:c>
      <x:c r="C102" s="76" t="str">
        <x:f>IF('00_Formulaire_Saisie'!$P102="Validé humainement",'00_Formulaire_Saisie'!C102,"")</x:f>
      </x:c>
      <x:c r="D102" s="76" t="str">
        <x:f>IF('00_Formulaire_Saisie'!$P102="Validé humainement",'00_Formulaire_Saisie'!D102,"")</x:f>
      </x:c>
      <x:c r="E102" s="76" t="str">
        <x:f>IF('00_Formulaire_Saisie'!$P102="Validé humainement",'00_Formulaire_Saisie'!E102,"")</x:f>
      </x:c>
      <x:c r="F102" s="76" t="str">
        <x:f>IF('00_Formulaire_Saisie'!$P102="Validé humainement",'00_Formulaire_Saisie'!F102,"")</x:f>
      </x:c>
      <x:c r="G102" s="76" t="str">
        <x:f>IF('00_Formulaire_Saisie'!$P102="Validé humainement",'00_Formulaire_Saisie'!G102,"")</x:f>
      </x:c>
      <x:c r="H102" s="77" t="str">
        <x:f>IF('00_Formulaire_Saisie'!$P102="Validé humainement",'00_Formulaire_Saisie'!H102,"")</x:f>
      </x:c>
      <x:c r="I102" s="76" t="str">
        <x:f>IF('00_Formulaire_Saisie'!$P102="Validé humainement",'00_Formulaire_Saisie'!I102,"")</x:f>
      </x:c>
      <x:c r="J102" s="76" t="str">
        <x:f>IF('00_Formulaire_Saisie'!$P102="Validé humainement",'00_Formulaire_Saisie'!J102,"")</x:f>
      </x:c>
      <x:c r="K102" s="76" t="str">
        <x:f>IF('00_Formulaire_Saisie'!$P102="Validé humainement",'00_Formulaire_Saisie'!K102,"")</x:f>
      </x:c>
      <x:c r="L102" s="76" t="str">
        <x:f>IF('00_Formulaire_Saisie'!$P102="Validé humainement",'00_Formulaire_Saisie'!L102,"")</x:f>
      </x:c>
      <x:c r="M102" s="76" t="str">
        <x:f>IF('00_Formulaire_Saisie'!$P102="Validé humainement",'00_Formulaire_Saisie'!M102,"")</x:f>
      </x:c>
      <x:c r="N102" s="76" t="str">
        <x:f>IF('00_Formulaire_Saisie'!$P102="Validé humainement",'00_Formulaire_Saisie'!N102,"")</x:f>
      </x:c>
      <x:c r="O102" s="76" t="str">
        <x:f>IF('00_Formulaire_Saisie'!$P102="Validé humainement",'00_Formulaire_Saisie'!O102,"")</x:f>
      </x:c>
      <x:c r="P102" s="76" t="str">
        <x:f>IF('00_Formulaire_Saisie'!$P102="Validé humainement",'00_Formulaire_Saisie'!P102,"")</x:f>
      </x:c>
      <x:c r="Q102" s="76" t="str">
        <x:f>IF('00_Formulaire_Saisie'!$P102="Validé humainement",'00_Formulaire_Saisie'!Q102,"")</x:f>
      </x:c>
      <x:c r="R102" s="78" t="str">
        <x:f>IF('00_Formulaire_Saisie'!$P102="Validé humainement",'00_Formulaire_Saisie'!R102,"")</x:f>
      </x:c>
      <x:c r="S102" s="76" t="str">
        <x:f>IF('00_Formulaire_Saisie'!$P102="Validé humainement",'00_Formulaire_Saisie'!S102,"")</x:f>
      </x:c>
      <x:c r="T102" s="76" t="str">
        <x:f>IF('00_Formulaire_Saisie'!$P102="Validé humainement",'00_Formulaire_Saisie'!T102,"")</x:f>
      </x:c>
      <x:c r="U102" s="76" t="str">
        <x:f>IF('00_Formulaire_Saisie'!$P102="Validé humainement",'00_Formulaire_Saisie'!U102,"")</x:f>
      </x:c>
    </x:row>
    <x:row r="103">
      <x:c r="A103" s="76" t="str">
        <x:f>IF('00_Formulaire_Saisie'!$P103="Validé humainement",'00_Formulaire_Saisie'!A103,"")</x:f>
      </x:c>
      <x:c r="B103" s="76" t="str">
        <x:f>IF('00_Formulaire_Saisie'!$P103="Validé humainement",'00_Formulaire_Saisie'!B103,"")</x:f>
      </x:c>
      <x:c r="C103" s="76" t="str">
        <x:f>IF('00_Formulaire_Saisie'!$P103="Validé humainement",'00_Formulaire_Saisie'!C103,"")</x:f>
      </x:c>
      <x:c r="D103" s="76" t="str">
        <x:f>IF('00_Formulaire_Saisie'!$P103="Validé humainement",'00_Formulaire_Saisie'!D103,"")</x:f>
      </x:c>
      <x:c r="E103" s="76" t="str">
        <x:f>IF('00_Formulaire_Saisie'!$P103="Validé humainement",'00_Formulaire_Saisie'!E103,"")</x:f>
      </x:c>
      <x:c r="F103" s="76" t="str">
        <x:f>IF('00_Formulaire_Saisie'!$P103="Validé humainement",'00_Formulaire_Saisie'!F103,"")</x:f>
      </x:c>
      <x:c r="G103" s="76" t="str">
        <x:f>IF('00_Formulaire_Saisie'!$P103="Validé humainement",'00_Formulaire_Saisie'!G103,"")</x:f>
      </x:c>
      <x:c r="H103" s="77" t="str">
        <x:f>IF('00_Formulaire_Saisie'!$P103="Validé humainement",'00_Formulaire_Saisie'!H103,"")</x:f>
      </x:c>
      <x:c r="I103" s="76" t="str">
        <x:f>IF('00_Formulaire_Saisie'!$P103="Validé humainement",'00_Formulaire_Saisie'!I103,"")</x:f>
      </x:c>
      <x:c r="J103" s="76" t="str">
        <x:f>IF('00_Formulaire_Saisie'!$P103="Validé humainement",'00_Formulaire_Saisie'!J103,"")</x:f>
      </x:c>
      <x:c r="K103" s="76" t="str">
        <x:f>IF('00_Formulaire_Saisie'!$P103="Validé humainement",'00_Formulaire_Saisie'!K103,"")</x:f>
      </x:c>
      <x:c r="L103" s="76" t="str">
        <x:f>IF('00_Formulaire_Saisie'!$P103="Validé humainement",'00_Formulaire_Saisie'!L103,"")</x:f>
      </x:c>
      <x:c r="M103" s="76" t="str">
        <x:f>IF('00_Formulaire_Saisie'!$P103="Validé humainement",'00_Formulaire_Saisie'!M103,"")</x:f>
      </x:c>
      <x:c r="N103" s="76" t="str">
        <x:f>IF('00_Formulaire_Saisie'!$P103="Validé humainement",'00_Formulaire_Saisie'!N103,"")</x:f>
      </x:c>
      <x:c r="O103" s="76" t="str">
        <x:f>IF('00_Formulaire_Saisie'!$P103="Validé humainement",'00_Formulaire_Saisie'!O103,"")</x:f>
      </x:c>
      <x:c r="P103" s="76" t="str">
        <x:f>IF('00_Formulaire_Saisie'!$P103="Validé humainement",'00_Formulaire_Saisie'!P103,"")</x:f>
      </x:c>
      <x:c r="Q103" s="76" t="str">
        <x:f>IF('00_Formulaire_Saisie'!$P103="Validé humainement",'00_Formulaire_Saisie'!Q103,"")</x:f>
      </x:c>
      <x:c r="R103" s="78" t="str">
        <x:f>IF('00_Formulaire_Saisie'!$P103="Validé humainement",'00_Formulaire_Saisie'!R103,"")</x:f>
      </x:c>
      <x:c r="S103" s="76" t="str">
        <x:f>IF('00_Formulaire_Saisie'!$P103="Validé humainement",'00_Formulaire_Saisie'!S103,"")</x:f>
      </x:c>
      <x:c r="T103" s="76" t="str">
        <x:f>IF('00_Formulaire_Saisie'!$P103="Validé humainement",'00_Formulaire_Saisie'!T103,"")</x:f>
      </x:c>
      <x:c r="U103" s="76" t="str">
        <x:f>IF('00_Formulaire_Saisie'!$P103="Validé humainement",'00_Formulaire_Saisie'!U103,"")</x:f>
      </x:c>
    </x:row>
    <x:row r="104">
      <x:c r="A104" s="76" t="str">
        <x:f>IF('00_Formulaire_Saisie'!$P104="Validé humainement",'00_Formulaire_Saisie'!A104,"")</x:f>
      </x:c>
      <x:c r="B104" s="76" t="str">
        <x:f>IF('00_Formulaire_Saisie'!$P104="Validé humainement",'00_Formulaire_Saisie'!B104,"")</x:f>
      </x:c>
      <x:c r="C104" s="76" t="str">
        <x:f>IF('00_Formulaire_Saisie'!$P104="Validé humainement",'00_Formulaire_Saisie'!C104,"")</x:f>
      </x:c>
      <x:c r="D104" s="76" t="str">
        <x:f>IF('00_Formulaire_Saisie'!$P104="Validé humainement",'00_Formulaire_Saisie'!D104,"")</x:f>
      </x:c>
      <x:c r="E104" s="76" t="str">
        <x:f>IF('00_Formulaire_Saisie'!$P104="Validé humainement",'00_Formulaire_Saisie'!E104,"")</x:f>
      </x:c>
      <x:c r="F104" s="76" t="str">
        <x:f>IF('00_Formulaire_Saisie'!$P104="Validé humainement",'00_Formulaire_Saisie'!F104,"")</x:f>
      </x:c>
      <x:c r="G104" s="76" t="str">
        <x:f>IF('00_Formulaire_Saisie'!$P104="Validé humainement",'00_Formulaire_Saisie'!G104,"")</x:f>
      </x:c>
      <x:c r="H104" s="77" t="str">
        <x:f>IF('00_Formulaire_Saisie'!$P104="Validé humainement",'00_Formulaire_Saisie'!H104,"")</x:f>
      </x:c>
      <x:c r="I104" s="76" t="str">
        <x:f>IF('00_Formulaire_Saisie'!$P104="Validé humainement",'00_Formulaire_Saisie'!I104,"")</x:f>
      </x:c>
      <x:c r="J104" s="76" t="str">
        <x:f>IF('00_Formulaire_Saisie'!$P104="Validé humainement",'00_Formulaire_Saisie'!J104,"")</x:f>
      </x:c>
      <x:c r="K104" s="76" t="str">
        <x:f>IF('00_Formulaire_Saisie'!$P104="Validé humainement",'00_Formulaire_Saisie'!K104,"")</x:f>
      </x:c>
      <x:c r="L104" s="76" t="str">
        <x:f>IF('00_Formulaire_Saisie'!$P104="Validé humainement",'00_Formulaire_Saisie'!L104,"")</x:f>
      </x:c>
      <x:c r="M104" s="76" t="str">
        <x:f>IF('00_Formulaire_Saisie'!$P104="Validé humainement",'00_Formulaire_Saisie'!M104,"")</x:f>
      </x:c>
      <x:c r="N104" s="76" t="str">
        <x:f>IF('00_Formulaire_Saisie'!$P104="Validé humainement",'00_Formulaire_Saisie'!N104,"")</x:f>
      </x:c>
      <x:c r="O104" s="76" t="str">
        <x:f>IF('00_Formulaire_Saisie'!$P104="Validé humainement",'00_Formulaire_Saisie'!O104,"")</x:f>
      </x:c>
      <x:c r="P104" s="76" t="str">
        <x:f>IF('00_Formulaire_Saisie'!$P104="Validé humainement",'00_Formulaire_Saisie'!P104,"")</x:f>
      </x:c>
      <x:c r="Q104" s="76" t="str">
        <x:f>IF('00_Formulaire_Saisie'!$P104="Validé humainement",'00_Formulaire_Saisie'!Q104,"")</x:f>
      </x:c>
      <x:c r="R104" s="78" t="str">
        <x:f>IF('00_Formulaire_Saisie'!$P104="Validé humainement",'00_Formulaire_Saisie'!R104,"")</x:f>
      </x:c>
      <x:c r="S104" s="76" t="str">
        <x:f>IF('00_Formulaire_Saisie'!$P104="Validé humainement",'00_Formulaire_Saisie'!S104,"")</x:f>
      </x:c>
      <x:c r="T104" s="76" t="str">
        <x:f>IF('00_Formulaire_Saisie'!$P104="Validé humainement",'00_Formulaire_Saisie'!T104,"")</x:f>
      </x:c>
      <x:c r="U104" s="76" t="str">
        <x:f>IF('00_Formulaire_Saisie'!$P104="Validé humainement",'00_Formulaire_Saisie'!U104,"")</x:f>
      </x:c>
    </x:row>
  </x:sheetData>
  <x:mergeCells>
    <x:mergeCell ref="A1:U1"/>
    <x:mergeCell ref="A2:U2"/>
  </x:mergeCells>
  <x:pageMargins left="0.7" right="0.7" top="0.75" bottom="0.75" header="0.3" footer="0.3"/>
  <x:tableParts count="1">
    <x:tablePart xmlns:r="http://schemas.openxmlformats.org/officeDocument/2006/relationships" r:id="R61b03dc379e84812"/>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6.8799991607666" hidden="0" customWidth="1"/>
    <x:col min="8" max="8" width="16.8799991607666" hidden="0" customWidth="1"/>
    <x:col min="9" max="9" width="16.8799991607666" hidden="0" customWidth="1"/>
    <x:col min="10" max="10" width="18.75" hidden="0" customWidth="1"/>
    <x:col min="11" max="11" width="17.5" hidden="0" customWidth="1"/>
    <x:col min="12" max="12" width="22.5" hidden="0" customWidth="1"/>
    <x:col min="13" max="13" width="26.25" hidden="0" customWidth="1"/>
    <x:col min="14" max="14" width="18.1299991607666"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température</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01_Form_Temperature.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Date</x:v>
      </x:c>
      <x:c r="C4" s="87" t="str">
        <x:v>Année</x:v>
      </x:c>
      <x:c r="D4" s="87" t="str">
        <x:v>Mois</x:v>
      </x:c>
      <x:c r="E4" s="87" t="str">
        <x:v>Station météo</x:v>
      </x:c>
      <x:c r="F4" s="87" t="str">
        <x:v>Commune / zone</x:v>
      </x:c>
      <x:c r="G4" s="87" t="str">
        <x:v>Température moyenne</x:v>
      </x:c>
      <x:c r="H4" s="87" t="str">
        <x:v>Température minimale</x:v>
      </x:c>
      <x:c r="I4" s="87" t="str">
        <x:v>Température maximale</x:v>
      </x:c>
      <x:c r="J4" s="87" t="str">
        <x:v>Nombre de jours chauds</x:v>
      </x:c>
      <x:c r="K4" s="87" t="str">
        <x:v>Source</x:v>
      </x:c>
      <x:c r="L4" s="87" t="str">
        <x:v>Institution source</x:v>
      </x:c>
      <x:c r="M4" s="87" t="str">
        <x:v>Document source</x:v>
      </x:c>
      <x:c r="N4" s="87" t="str">
        <x:v>Niveau de fiabilité</x:v>
      </x:c>
      <x:c r="O4" s="87" t="str">
        <x:v>Statut validation</x:v>
      </x:c>
      <x:c r="P4" s="87" t="str">
        <x:v>Observations</x:v>
      </x:c>
      <x:c r="Q4" s="87" t="str">
        <x:v>Date de saisie</x:v>
      </x:c>
      <x:c r="R4" s="87" t="str">
        <x:v>Responsable</x:v>
      </x:c>
      <x:c r="S4" s="87" t="str">
        <x:v>Alerte_QC</x:v>
      </x:c>
      <x:c r="T4" s="87" t="str">
        <x:v>Alimente_Rapports</x:v>
      </x:c>
    </x:row>
    <x:row r="5">
      <x:c r="A5" s="76" t="str">
        <x:f>IF('01_Form_Temperature'!$O5="Validé humainement",'01_Form_Temperature'!A5,"")</x:f>
      </x:c>
      <x:c r="B5" s="78" t="str">
        <x:f>IF('01_Form_Temperature'!$O5="Validé humainement",'01_Form_Temperature'!B5,"")</x:f>
      </x:c>
      <x:c r="C5" s="76" t="str">
        <x:f>IF('01_Form_Temperature'!$O5="Validé humainement",'01_Form_Temperature'!C5,"")</x:f>
      </x:c>
      <x:c r="D5" s="76" t="str">
        <x:f>IF('01_Form_Temperature'!$O5="Validé humainement",'01_Form_Temperature'!D5,"")</x:f>
      </x:c>
      <x:c r="E5" s="76" t="str">
        <x:f>IF('01_Form_Temperature'!$O5="Validé humainement",'01_Form_Temperature'!E5,"")</x:f>
      </x:c>
      <x:c r="F5" s="76" t="str">
        <x:f>IF('01_Form_Temperature'!$O5="Validé humainement",'01_Form_Temperature'!F5,"")</x:f>
      </x:c>
      <x:c r="G5" s="79" t="str">
        <x:f>IF('01_Form_Temperature'!$O5="Validé humainement",'01_Form_Temperature'!G5,"")</x:f>
      </x:c>
      <x:c r="H5" s="79" t="str">
        <x:f>IF('01_Form_Temperature'!$O5="Validé humainement",'01_Form_Temperature'!H5,"")</x:f>
      </x:c>
      <x:c r="I5" s="79" t="str">
        <x:f>IF('01_Form_Temperature'!$O5="Validé humainement",'01_Form_Temperature'!I5,"")</x:f>
      </x:c>
      <x:c r="J5" s="76" t="str">
        <x:f>IF('01_Form_Temperature'!$O5="Validé humainement",'01_Form_Temperature'!J5,"")</x:f>
      </x:c>
      <x:c r="K5" s="76" t="str">
        <x:f>IF('01_Form_Temperature'!$O5="Validé humainement",'01_Form_Temperature'!K5,"")</x:f>
      </x:c>
      <x:c r="L5" s="76" t="str">
        <x:f>IF('01_Form_Temperature'!$O5="Validé humainement",'01_Form_Temperature'!L5,"")</x:f>
      </x:c>
      <x:c r="M5" s="76" t="str">
        <x:f>IF('01_Form_Temperature'!$O5="Validé humainement",'01_Form_Temperature'!M5,"")</x:f>
      </x:c>
      <x:c r="N5" s="76" t="str">
        <x:f>IF('01_Form_Temperature'!$O5="Validé humainement",'01_Form_Temperature'!N5,"")</x:f>
      </x:c>
      <x:c r="O5" s="76" t="str">
        <x:f>IF('01_Form_Temperature'!$O5="Validé humainement",'01_Form_Temperature'!O5,"")</x:f>
      </x:c>
      <x:c r="P5" s="76" t="str">
        <x:f>IF('01_Form_Temperature'!$O5="Validé humainement",'01_Form_Temperature'!P5,"")</x:f>
      </x:c>
      <x:c r="Q5" s="78" t="str">
        <x:f>IF('01_Form_Temperature'!$O5="Validé humainement",'01_Form_Temperature'!Q5,"")</x:f>
      </x:c>
      <x:c r="R5" s="76" t="str">
        <x:f>IF('01_Form_Temperature'!$O5="Validé humainement",'01_Form_Temperature'!R5,"")</x:f>
      </x:c>
      <x:c r="S5" s="76" t="str">
        <x:f>IF('01_Form_Temperature'!$O5="Validé humainement",'01_Form_Temperature'!S5,"")</x:f>
      </x:c>
      <x:c r="T5" s="76" t="str">
        <x:f>IF('01_Form_Temperature'!$O5="Validé humainement",'01_Form_Temperature'!T5,"")</x:f>
      </x:c>
    </x:row>
    <x:row r="6">
      <x:c r="A6" s="76" t="str">
        <x:f>IF('01_Form_Temperature'!$O6="Validé humainement",'01_Form_Temperature'!A6,"")</x:f>
      </x:c>
      <x:c r="B6" s="78" t="str">
        <x:f>IF('01_Form_Temperature'!$O6="Validé humainement",'01_Form_Temperature'!B6,"")</x:f>
      </x:c>
      <x:c r="C6" s="76" t="str">
        <x:f>IF('01_Form_Temperature'!$O6="Validé humainement",'01_Form_Temperature'!C6,"")</x:f>
      </x:c>
      <x:c r="D6" s="76" t="str">
        <x:f>IF('01_Form_Temperature'!$O6="Validé humainement",'01_Form_Temperature'!D6,"")</x:f>
      </x:c>
      <x:c r="E6" s="76" t="str">
        <x:f>IF('01_Form_Temperature'!$O6="Validé humainement",'01_Form_Temperature'!E6,"")</x:f>
      </x:c>
      <x:c r="F6" s="76" t="str">
        <x:f>IF('01_Form_Temperature'!$O6="Validé humainement",'01_Form_Temperature'!F6,"")</x:f>
      </x:c>
      <x:c r="G6" s="79" t="str">
        <x:f>IF('01_Form_Temperature'!$O6="Validé humainement",'01_Form_Temperature'!G6,"")</x:f>
      </x:c>
      <x:c r="H6" s="79" t="str">
        <x:f>IF('01_Form_Temperature'!$O6="Validé humainement",'01_Form_Temperature'!H6,"")</x:f>
      </x:c>
      <x:c r="I6" s="79" t="str">
        <x:f>IF('01_Form_Temperature'!$O6="Validé humainement",'01_Form_Temperature'!I6,"")</x:f>
      </x:c>
      <x:c r="J6" s="76" t="str">
        <x:f>IF('01_Form_Temperature'!$O6="Validé humainement",'01_Form_Temperature'!J6,"")</x:f>
      </x:c>
      <x:c r="K6" s="76" t="str">
        <x:f>IF('01_Form_Temperature'!$O6="Validé humainement",'01_Form_Temperature'!K6,"")</x:f>
      </x:c>
      <x:c r="L6" s="76" t="str">
        <x:f>IF('01_Form_Temperature'!$O6="Validé humainement",'01_Form_Temperature'!L6,"")</x:f>
      </x:c>
      <x:c r="M6" s="76" t="str">
        <x:f>IF('01_Form_Temperature'!$O6="Validé humainement",'01_Form_Temperature'!M6,"")</x:f>
      </x:c>
      <x:c r="N6" s="76" t="str">
        <x:f>IF('01_Form_Temperature'!$O6="Validé humainement",'01_Form_Temperature'!N6,"")</x:f>
      </x:c>
      <x:c r="O6" s="76" t="str">
        <x:f>IF('01_Form_Temperature'!$O6="Validé humainement",'01_Form_Temperature'!O6,"")</x:f>
      </x:c>
      <x:c r="P6" s="76" t="str">
        <x:f>IF('01_Form_Temperature'!$O6="Validé humainement",'01_Form_Temperature'!P6,"")</x:f>
      </x:c>
      <x:c r="Q6" s="78" t="str">
        <x:f>IF('01_Form_Temperature'!$O6="Validé humainement",'01_Form_Temperature'!Q6,"")</x:f>
      </x:c>
      <x:c r="R6" s="76" t="str">
        <x:f>IF('01_Form_Temperature'!$O6="Validé humainement",'01_Form_Temperature'!R6,"")</x:f>
      </x:c>
      <x:c r="S6" s="76" t="str">
        <x:f>IF('01_Form_Temperature'!$O6="Validé humainement",'01_Form_Temperature'!S6,"")</x:f>
      </x:c>
      <x:c r="T6" s="76" t="str">
        <x:f>IF('01_Form_Temperature'!$O6="Validé humainement",'01_Form_Temperature'!T6,"")</x:f>
      </x:c>
    </x:row>
    <x:row r="7">
      <x:c r="A7" s="76" t="str">
        <x:f>IF('01_Form_Temperature'!$O7="Validé humainement",'01_Form_Temperature'!A7,"")</x:f>
      </x:c>
      <x:c r="B7" s="78" t="str">
        <x:f>IF('01_Form_Temperature'!$O7="Validé humainement",'01_Form_Temperature'!B7,"")</x:f>
      </x:c>
      <x:c r="C7" s="76" t="str">
        <x:f>IF('01_Form_Temperature'!$O7="Validé humainement",'01_Form_Temperature'!C7,"")</x:f>
      </x:c>
      <x:c r="D7" s="76" t="str">
        <x:f>IF('01_Form_Temperature'!$O7="Validé humainement",'01_Form_Temperature'!D7,"")</x:f>
      </x:c>
      <x:c r="E7" s="76" t="str">
        <x:f>IF('01_Form_Temperature'!$O7="Validé humainement",'01_Form_Temperature'!E7,"")</x:f>
      </x:c>
      <x:c r="F7" s="76" t="str">
        <x:f>IF('01_Form_Temperature'!$O7="Validé humainement",'01_Form_Temperature'!F7,"")</x:f>
      </x:c>
      <x:c r="G7" s="79" t="str">
        <x:f>IF('01_Form_Temperature'!$O7="Validé humainement",'01_Form_Temperature'!G7,"")</x:f>
      </x:c>
      <x:c r="H7" s="79" t="str">
        <x:f>IF('01_Form_Temperature'!$O7="Validé humainement",'01_Form_Temperature'!H7,"")</x:f>
      </x:c>
      <x:c r="I7" s="79" t="str">
        <x:f>IF('01_Form_Temperature'!$O7="Validé humainement",'01_Form_Temperature'!I7,"")</x:f>
      </x:c>
      <x:c r="J7" s="76" t="str">
        <x:f>IF('01_Form_Temperature'!$O7="Validé humainement",'01_Form_Temperature'!J7,"")</x:f>
      </x:c>
      <x:c r="K7" s="76" t="str">
        <x:f>IF('01_Form_Temperature'!$O7="Validé humainement",'01_Form_Temperature'!K7,"")</x:f>
      </x:c>
      <x:c r="L7" s="76" t="str">
        <x:f>IF('01_Form_Temperature'!$O7="Validé humainement",'01_Form_Temperature'!L7,"")</x:f>
      </x:c>
      <x:c r="M7" s="76" t="str">
        <x:f>IF('01_Form_Temperature'!$O7="Validé humainement",'01_Form_Temperature'!M7,"")</x:f>
      </x:c>
      <x:c r="N7" s="76" t="str">
        <x:f>IF('01_Form_Temperature'!$O7="Validé humainement",'01_Form_Temperature'!N7,"")</x:f>
      </x:c>
      <x:c r="O7" s="76" t="str">
        <x:f>IF('01_Form_Temperature'!$O7="Validé humainement",'01_Form_Temperature'!O7,"")</x:f>
      </x:c>
      <x:c r="P7" s="76" t="str">
        <x:f>IF('01_Form_Temperature'!$O7="Validé humainement",'01_Form_Temperature'!P7,"")</x:f>
      </x:c>
      <x:c r="Q7" s="78" t="str">
        <x:f>IF('01_Form_Temperature'!$O7="Validé humainement",'01_Form_Temperature'!Q7,"")</x:f>
      </x:c>
      <x:c r="R7" s="76" t="str">
        <x:f>IF('01_Form_Temperature'!$O7="Validé humainement",'01_Form_Temperature'!R7,"")</x:f>
      </x:c>
      <x:c r="S7" s="76" t="str">
        <x:f>IF('01_Form_Temperature'!$O7="Validé humainement",'01_Form_Temperature'!S7,"")</x:f>
      </x:c>
      <x:c r="T7" s="76" t="str">
        <x:f>IF('01_Form_Temperature'!$O7="Validé humainement",'01_Form_Temperature'!T7,"")</x:f>
      </x:c>
    </x:row>
    <x:row r="8">
      <x:c r="A8" s="76" t="str">
        <x:f>IF('01_Form_Temperature'!$O8="Validé humainement",'01_Form_Temperature'!A8,"")</x:f>
      </x:c>
      <x:c r="B8" s="78" t="str">
        <x:f>IF('01_Form_Temperature'!$O8="Validé humainement",'01_Form_Temperature'!B8,"")</x:f>
      </x:c>
      <x:c r="C8" s="76" t="str">
        <x:f>IF('01_Form_Temperature'!$O8="Validé humainement",'01_Form_Temperature'!C8,"")</x:f>
      </x:c>
      <x:c r="D8" s="76" t="str">
        <x:f>IF('01_Form_Temperature'!$O8="Validé humainement",'01_Form_Temperature'!D8,"")</x:f>
      </x:c>
      <x:c r="E8" s="76" t="str">
        <x:f>IF('01_Form_Temperature'!$O8="Validé humainement",'01_Form_Temperature'!E8,"")</x:f>
      </x:c>
      <x:c r="F8" s="76" t="str">
        <x:f>IF('01_Form_Temperature'!$O8="Validé humainement",'01_Form_Temperature'!F8,"")</x:f>
      </x:c>
      <x:c r="G8" s="79" t="str">
        <x:f>IF('01_Form_Temperature'!$O8="Validé humainement",'01_Form_Temperature'!G8,"")</x:f>
      </x:c>
      <x:c r="H8" s="79" t="str">
        <x:f>IF('01_Form_Temperature'!$O8="Validé humainement",'01_Form_Temperature'!H8,"")</x:f>
      </x:c>
      <x:c r="I8" s="79" t="str">
        <x:f>IF('01_Form_Temperature'!$O8="Validé humainement",'01_Form_Temperature'!I8,"")</x:f>
      </x:c>
      <x:c r="J8" s="76" t="str">
        <x:f>IF('01_Form_Temperature'!$O8="Validé humainement",'01_Form_Temperature'!J8,"")</x:f>
      </x:c>
      <x:c r="K8" s="76" t="str">
        <x:f>IF('01_Form_Temperature'!$O8="Validé humainement",'01_Form_Temperature'!K8,"")</x:f>
      </x:c>
      <x:c r="L8" s="76" t="str">
        <x:f>IF('01_Form_Temperature'!$O8="Validé humainement",'01_Form_Temperature'!L8,"")</x:f>
      </x:c>
      <x:c r="M8" s="76" t="str">
        <x:f>IF('01_Form_Temperature'!$O8="Validé humainement",'01_Form_Temperature'!M8,"")</x:f>
      </x:c>
      <x:c r="N8" s="76" t="str">
        <x:f>IF('01_Form_Temperature'!$O8="Validé humainement",'01_Form_Temperature'!N8,"")</x:f>
      </x:c>
      <x:c r="O8" s="76" t="str">
        <x:f>IF('01_Form_Temperature'!$O8="Validé humainement",'01_Form_Temperature'!O8,"")</x:f>
      </x:c>
      <x:c r="P8" s="76" t="str">
        <x:f>IF('01_Form_Temperature'!$O8="Validé humainement",'01_Form_Temperature'!P8,"")</x:f>
      </x:c>
      <x:c r="Q8" s="78" t="str">
        <x:f>IF('01_Form_Temperature'!$O8="Validé humainement",'01_Form_Temperature'!Q8,"")</x:f>
      </x:c>
      <x:c r="R8" s="76" t="str">
        <x:f>IF('01_Form_Temperature'!$O8="Validé humainement",'01_Form_Temperature'!R8,"")</x:f>
      </x:c>
      <x:c r="S8" s="76" t="str">
        <x:f>IF('01_Form_Temperature'!$O8="Validé humainement",'01_Form_Temperature'!S8,"")</x:f>
      </x:c>
      <x:c r="T8" s="76" t="str">
        <x:f>IF('01_Form_Temperature'!$O8="Validé humainement",'01_Form_Temperature'!T8,"")</x:f>
      </x:c>
    </x:row>
    <x:row r="9">
      <x:c r="A9" s="76" t="str">
        <x:f>IF('01_Form_Temperature'!$O9="Validé humainement",'01_Form_Temperature'!A9,"")</x:f>
      </x:c>
      <x:c r="B9" s="78" t="str">
        <x:f>IF('01_Form_Temperature'!$O9="Validé humainement",'01_Form_Temperature'!B9,"")</x:f>
      </x:c>
      <x:c r="C9" s="76" t="str">
        <x:f>IF('01_Form_Temperature'!$O9="Validé humainement",'01_Form_Temperature'!C9,"")</x:f>
      </x:c>
      <x:c r="D9" s="76" t="str">
        <x:f>IF('01_Form_Temperature'!$O9="Validé humainement",'01_Form_Temperature'!D9,"")</x:f>
      </x:c>
      <x:c r="E9" s="76" t="str">
        <x:f>IF('01_Form_Temperature'!$O9="Validé humainement",'01_Form_Temperature'!E9,"")</x:f>
      </x:c>
      <x:c r="F9" s="76" t="str">
        <x:f>IF('01_Form_Temperature'!$O9="Validé humainement",'01_Form_Temperature'!F9,"")</x:f>
      </x:c>
      <x:c r="G9" s="79" t="str">
        <x:f>IF('01_Form_Temperature'!$O9="Validé humainement",'01_Form_Temperature'!G9,"")</x:f>
      </x:c>
      <x:c r="H9" s="79" t="str">
        <x:f>IF('01_Form_Temperature'!$O9="Validé humainement",'01_Form_Temperature'!H9,"")</x:f>
      </x:c>
      <x:c r="I9" s="79" t="str">
        <x:f>IF('01_Form_Temperature'!$O9="Validé humainement",'01_Form_Temperature'!I9,"")</x:f>
      </x:c>
      <x:c r="J9" s="76" t="str">
        <x:f>IF('01_Form_Temperature'!$O9="Validé humainement",'01_Form_Temperature'!J9,"")</x:f>
      </x:c>
      <x:c r="K9" s="76" t="str">
        <x:f>IF('01_Form_Temperature'!$O9="Validé humainement",'01_Form_Temperature'!K9,"")</x:f>
      </x:c>
      <x:c r="L9" s="76" t="str">
        <x:f>IF('01_Form_Temperature'!$O9="Validé humainement",'01_Form_Temperature'!L9,"")</x:f>
      </x:c>
      <x:c r="M9" s="76" t="str">
        <x:f>IF('01_Form_Temperature'!$O9="Validé humainement",'01_Form_Temperature'!M9,"")</x:f>
      </x:c>
      <x:c r="N9" s="76" t="str">
        <x:f>IF('01_Form_Temperature'!$O9="Validé humainement",'01_Form_Temperature'!N9,"")</x:f>
      </x:c>
      <x:c r="O9" s="76" t="str">
        <x:f>IF('01_Form_Temperature'!$O9="Validé humainement",'01_Form_Temperature'!O9,"")</x:f>
      </x:c>
      <x:c r="P9" s="76" t="str">
        <x:f>IF('01_Form_Temperature'!$O9="Validé humainement",'01_Form_Temperature'!P9,"")</x:f>
      </x:c>
      <x:c r="Q9" s="78" t="str">
        <x:f>IF('01_Form_Temperature'!$O9="Validé humainement",'01_Form_Temperature'!Q9,"")</x:f>
      </x:c>
      <x:c r="R9" s="76" t="str">
        <x:f>IF('01_Form_Temperature'!$O9="Validé humainement",'01_Form_Temperature'!R9,"")</x:f>
      </x:c>
      <x:c r="S9" s="76" t="str">
        <x:f>IF('01_Form_Temperature'!$O9="Validé humainement",'01_Form_Temperature'!S9,"")</x:f>
      </x:c>
      <x:c r="T9" s="76" t="str">
        <x:f>IF('01_Form_Temperature'!$O9="Validé humainement",'01_Form_Temperature'!T9,"")</x:f>
      </x:c>
    </x:row>
    <x:row r="10">
      <x:c r="A10" s="76" t="str">
        <x:f>IF('01_Form_Temperature'!$O10="Validé humainement",'01_Form_Temperature'!A10,"")</x:f>
      </x:c>
      <x:c r="B10" s="78" t="str">
        <x:f>IF('01_Form_Temperature'!$O10="Validé humainement",'01_Form_Temperature'!B10,"")</x:f>
      </x:c>
      <x:c r="C10" s="76" t="str">
        <x:f>IF('01_Form_Temperature'!$O10="Validé humainement",'01_Form_Temperature'!C10,"")</x:f>
      </x:c>
      <x:c r="D10" s="76" t="str">
        <x:f>IF('01_Form_Temperature'!$O10="Validé humainement",'01_Form_Temperature'!D10,"")</x:f>
      </x:c>
      <x:c r="E10" s="76" t="str">
        <x:f>IF('01_Form_Temperature'!$O10="Validé humainement",'01_Form_Temperature'!E10,"")</x:f>
      </x:c>
      <x:c r="F10" s="76" t="str">
        <x:f>IF('01_Form_Temperature'!$O10="Validé humainement",'01_Form_Temperature'!F10,"")</x:f>
      </x:c>
      <x:c r="G10" s="79" t="str">
        <x:f>IF('01_Form_Temperature'!$O10="Validé humainement",'01_Form_Temperature'!G10,"")</x:f>
      </x:c>
      <x:c r="H10" s="79" t="str">
        <x:f>IF('01_Form_Temperature'!$O10="Validé humainement",'01_Form_Temperature'!H10,"")</x:f>
      </x:c>
      <x:c r="I10" s="79" t="str">
        <x:f>IF('01_Form_Temperature'!$O10="Validé humainement",'01_Form_Temperature'!I10,"")</x:f>
      </x:c>
      <x:c r="J10" s="76" t="str">
        <x:f>IF('01_Form_Temperature'!$O10="Validé humainement",'01_Form_Temperature'!J10,"")</x:f>
      </x:c>
      <x:c r="K10" s="76" t="str">
        <x:f>IF('01_Form_Temperature'!$O10="Validé humainement",'01_Form_Temperature'!K10,"")</x:f>
      </x:c>
      <x:c r="L10" s="76" t="str">
        <x:f>IF('01_Form_Temperature'!$O10="Validé humainement",'01_Form_Temperature'!L10,"")</x:f>
      </x:c>
      <x:c r="M10" s="76" t="str">
        <x:f>IF('01_Form_Temperature'!$O10="Validé humainement",'01_Form_Temperature'!M10,"")</x:f>
      </x:c>
      <x:c r="N10" s="76" t="str">
        <x:f>IF('01_Form_Temperature'!$O10="Validé humainement",'01_Form_Temperature'!N10,"")</x:f>
      </x:c>
      <x:c r="O10" s="76" t="str">
        <x:f>IF('01_Form_Temperature'!$O10="Validé humainement",'01_Form_Temperature'!O10,"")</x:f>
      </x:c>
      <x:c r="P10" s="76" t="str">
        <x:f>IF('01_Form_Temperature'!$O10="Validé humainement",'01_Form_Temperature'!P10,"")</x:f>
      </x:c>
      <x:c r="Q10" s="78" t="str">
        <x:f>IF('01_Form_Temperature'!$O10="Validé humainement",'01_Form_Temperature'!Q10,"")</x:f>
      </x:c>
      <x:c r="R10" s="76" t="str">
        <x:f>IF('01_Form_Temperature'!$O10="Validé humainement",'01_Form_Temperature'!R10,"")</x:f>
      </x:c>
      <x:c r="S10" s="76" t="str">
        <x:f>IF('01_Form_Temperature'!$O10="Validé humainement",'01_Form_Temperature'!S10,"")</x:f>
      </x:c>
      <x:c r="T10" s="76" t="str">
        <x:f>IF('01_Form_Temperature'!$O10="Validé humainement",'01_Form_Temperature'!T10,"")</x:f>
      </x:c>
    </x:row>
    <x:row r="11">
      <x:c r="A11" s="76" t="str">
        <x:f>IF('01_Form_Temperature'!$O11="Validé humainement",'01_Form_Temperature'!A11,"")</x:f>
      </x:c>
      <x:c r="B11" s="78" t="str">
        <x:f>IF('01_Form_Temperature'!$O11="Validé humainement",'01_Form_Temperature'!B11,"")</x:f>
      </x:c>
      <x:c r="C11" s="76" t="str">
        <x:f>IF('01_Form_Temperature'!$O11="Validé humainement",'01_Form_Temperature'!C11,"")</x:f>
      </x:c>
      <x:c r="D11" s="76" t="str">
        <x:f>IF('01_Form_Temperature'!$O11="Validé humainement",'01_Form_Temperature'!D11,"")</x:f>
      </x:c>
      <x:c r="E11" s="76" t="str">
        <x:f>IF('01_Form_Temperature'!$O11="Validé humainement",'01_Form_Temperature'!E11,"")</x:f>
      </x:c>
      <x:c r="F11" s="76" t="str">
        <x:f>IF('01_Form_Temperature'!$O11="Validé humainement",'01_Form_Temperature'!F11,"")</x:f>
      </x:c>
      <x:c r="G11" s="79" t="str">
        <x:f>IF('01_Form_Temperature'!$O11="Validé humainement",'01_Form_Temperature'!G11,"")</x:f>
      </x:c>
      <x:c r="H11" s="79" t="str">
        <x:f>IF('01_Form_Temperature'!$O11="Validé humainement",'01_Form_Temperature'!H11,"")</x:f>
      </x:c>
      <x:c r="I11" s="79" t="str">
        <x:f>IF('01_Form_Temperature'!$O11="Validé humainement",'01_Form_Temperature'!I11,"")</x:f>
      </x:c>
      <x:c r="J11" s="76" t="str">
        <x:f>IF('01_Form_Temperature'!$O11="Validé humainement",'01_Form_Temperature'!J11,"")</x:f>
      </x:c>
      <x:c r="K11" s="76" t="str">
        <x:f>IF('01_Form_Temperature'!$O11="Validé humainement",'01_Form_Temperature'!K11,"")</x:f>
      </x:c>
      <x:c r="L11" s="76" t="str">
        <x:f>IF('01_Form_Temperature'!$O11="Validé humainement",'01_Form_Temperature'!L11,"")</x:f>
      </x:c>
      <x:c r="M11" s="76" t="str">
        <x:f>IF('01_Form_Temperature'!$O11="Validé humainement",'01_Form_Temperature'!M11,"")</x:f>
      </x:c>
      <x:c r="N11" s="76" t="str">
        <x:f>IF('01_Form_Temperature'!$O11="Validé humainement",'01_Form_Temperature'!N11,"")</x:f>
      </x:c>
      <x:c r="O11" s="76" t="str">
        <x:f>IF('01_Form_Temperature'!$O11="Validé humainement",'01_Form_Temperature'!O11,"")</x:f>
      </x:c>
      <x:c r="P11" s="76" t="str">
        <x:f>IF('01_Form_Temperature'!$O11="Validé humainement",'01_Form_Temperature'!P11,"")</x:f>
      </x:c>
      <x:c r="Q11" s="78" t="str">
        <x:f>IF('01_Form_Temperature'!$O11="Validé humainement",'01_Form_Temperature'!Q11,"")</x:f>
      </x:c>
      <x:c r="R11" s="76" t="str">
        <x:f>IF('01_Form_Temperature'!$O11="Validé humainement",'01_Form_Temperature'!R11,"")</x:f>
      </x:c>
      <x:c r="S11" s="76" t="str">
        <x:f>IF('01_Form_Temperature'!$O11="Validé humainement",'01_Form_Temperature'!S11,"")</x:f>
      </x:c>
      <x:c r="T11" s="76" t="str">
        <x:f>IF('01_Form_Temperature'!$O11="Validé humainement",'01_Form_Temperature'!T11,"")</x:f>
      </x:c>
    </x:row>
    <x:row r="12">
      <x:c r="A12" s="76" t="str">
        <x:f>IF('01_Form_Temperature'!$O12="Validé humainement",'01_Form_Temperature'!A12,"")</x:f>
      </x:c>
      <x:c r="B12" s="78" t="str">
        <x:f>IF('01_Form_Temperature'!$O12="Validé humainement",'01_Form_Temperature'!B12,"")</x:f>
      </x:c>
      <x:c r="C12" s="76" t="str">
        <x:f>IF('01_Form_Temperature'!$O12="Validé humainement",'01_Form_Temperature'!C12,"")</x:f>
      </x:c>
      <x:c r="D12" s="76" t="str">
        <x:f>IF('01_Form_Temperature'!$O12="Validé humainement",'01_Form_Temperature'!D12,"")</x:f>
      </x:c>
      <x:c r="E12" s="76" t="str">
        <x:f>IF('01_Form_Temperature'!$O12="Validé humainement",'01_Form_Temperature'!E12,"")</x:f>
      </x:c>
      <x:c r="F12" s="76" t="str">
        <x:f>IF('01_Form_Temperature'!$O12="Validé humainement",'01_Form_Temperature'!F12,"")</x:f>
      </x:c>
      <x:c r="G12" s="79" t="str">
        <x:f>IF('01_Form_Temperature'!$O12="Validé humainement",'01_Form_Temperature'!G12,"")</x:f>
      </x:c>
      <x:c r="H12" s="79" t="str">
        <x:f>IF('01_Form_Temperature'!$O12="Validé humainement",'01_Form_Temperature'!H12,"")</x:f>
      </x:c>
      <x:c r="I12" s="79" t="str">
        <x:f>IF('01_Form_Temperature'!$O12="Validé humainement",'01_Form_Temperature'!I12,"")</x:f>
      </x:c>
      <x:c r="J12" s="76" t="str">
        <x:f>IF('01_Form_Temperature'!$O12="Validé humainement",'01_Form_Temperature'!J12,"")</x:f>
      </x:c>
      <x:c r="K12" s="76" t="str">
        <x:f>IF('01_Form_Temperature'!$O12="Validé humainement",'01_Form_Temperature'!K12,"")</x:f>
      </x:c>
      <x:c r="L12" s="76" t="str">
        <x:f>IF('01_Form_Temperature'!$O12="Validé humainement",'01_Form_Temperature'!L12,"")</x:f>
      </x:c>
      <x:c r="M12" s="76" t="str">
        <x:f>IF('01_Form_Temperature'!$O12="Validé humainement",'01_Form_Temperature'!M12,"")</x:f>
      </x:c>
      <x:c r="N12" s="76" t="str">
        <x:f>IF('01_Form_Temperature'!$O12="Validé humainement",'01_Form_Temperature'!N12,"")</x:f>
      </x:c>
      <x:c r="O12" s="76" t="str">
        <x:f>IF('01_Form_Temperature'!$O12="Validé humainement",'01_Form_Temperature'!O12,"")</x:f>
      </x:c>
      <x:c r="P12" s="76" t="str">
        <x:f>IF('01_Form_Temperature'!$O12="Validé humainement",'01_Form_Temperature'!P12,"")</x:f>
      </x:c>
      <x:c r="Q12" s="78" t="str">
        <x:f>IF('01_Form_Temperature'!$O12="Validé humainement",'01_Form_Temperature'!Q12,"")</x:f>
      </x:c>
      <x:c r="R12" s="76" t="str">
        <x:f>IF('01_Form_Temperature'!$O12="Validé humainement",'01_Form_Temperature'!R12,"")</x:f>
      </x:c>
      <x:c r="S12" s="76" t="str">
        <x:f>IF('01_Form_Temperature'!$O12="Validé humainement",'01_Form_Temperature'!S12,"")</x:f>
      </x:c>
      <x:c r="T12" s="76" t="str">
        <x:f>IF('01_Form_Temperature'!$O12="Validé humainement",'01_Form_Temperature'!T12,"")</x:f>
      </x:c>
    </x:row>
    <x:row r="13">
      <x:c r="A13" s="76" t="str">
        <x:f>IF('01_Form_Temperature'!$O13="Validé humainement",'01_Form_Temperature'!A13,"")</x:f>
      </x:c>
      <x:c r="B13" s="78" t="str">
        <x:f>IF('01_Form_Temperature'!$O13="Validé humainement",'01_Form_Temperature'!B13,"")</x:f>
      </x:c>
      <x:c r="C13" s="76" t="str">
        <x:f>IF('01_Form_Temperature'!$O13="Validé humainement",'01_Form_Temperature'!C13,"")</x:f>
      </x:c>
      <x:c r="D13" s="76" t="str">
        <x:f>IF('01_Form_Temperature'!$O13="Validé humainement",'01_Form_Temperature'!D13,"")</x:f>
      </x:c>
      <x:c r="E13" s="76" t="str">
        <x:f>IF('01_Form_Temperature'!$O13="Validé humainement",'01_Form_Temperature'!E13,"")</x:f>
      </x:c>
      <x:c r="F13" s="76" t="str">
        <x:f>IF('01_Form_Temperature'!$O13="Validé humainement",'01_Form_Temperature'!F13,"")</x:f>
      </x:c>
      <x:c r="G13" s="79" t="str">
        <x:f>IF('01_Form_Temperature'!$O13="Validé humainement",'01_Form_Temperature'!G13,"")</x:f>
      </x:c>
      <x:c r="H13" s="79" t="str">
        <x:f>IF('01_Form_Temperature'!$O13="Validé humainement",'01_Form_Temperature'!H13,"")</x:f>
      </x:c>
      <x:c r="I13" s="79" t="str">
        <x:f>IF('01_Form_Temperature'!$O13="Validé humainement",'01_Form_Temperature'!I13,"")</x:f>
      </x:c>
      <x:c r="J13" s="76" t="str">
        <x:f>IF('01_Form_Temperature'!$O13="Validé humainement",'01_Form_Temperature'!J13,"")</x:f>
      </x:c>
      <x:c r="K13" s="76" t="str">
        <x:f>IF('01_Form_Temperature'!$O13="Validé humainement",'01_Form_Temperature'!K13,"")</x:f>
      </x:c>
      <x:c r="L13" s="76" t="str">
        <x:f>IF('01_Form_Temperature'!$O13="Validé humainement",'01_Form_Temperature'!L13,"")</x:f>
      </x:c>
      <x:c r="M13" s="76" t="str">
        <x:f>IF('01_Form_Temperature'!$O13="Validé humainement",'01_Form_Temperature'!M13,"")</x:f>
      </x:c>
      <x:c r="N13" s="76" t="str">
        <x:f>IF('01_Form_Temperature'!$O13="Validé humainement",'01_Form_Temperature'!N13,"")</x:f>
      </x:c>
      <x:c r="O13" s="76" t="str">
        <x:f>IF('01_Form_Temperature'!$O13="Validé humainement",'01_Form_Temperature'!O13,"")</x:f>
      </x:c>
      <x:c r="P13" s="76" t="str">
        <x:f>IF('01_Form_Temperature'!$O13="Validé humainement",'01_Form_Temperature'!P13,"")</x:f>
      </x:c>
      <x:c r="Q13" s="78" t="str">
        <x:f>IF('01_Form_Temperature'!$O13="Validé humainement",'01_Form_Temperature'!Q13,"")</x:f>
      </x:c>
      <x:c r="R13" s="76" t="str">
        <x:f>IF('01_Form_Temperature'!$O13="Validé humainement",'01_Form_Temperature'!R13,"")</x:f>
      </x:c>
      <x:c r="S13" s="76" t="str">
        <x:f>IF('01_Form_Temperature'!$O13="Validé humainement",'01_Form_Temperature'!S13,"")</x:f>
      </x:c>
      <x:c r="T13" s="76" t="str">
        <x:f>IF('01_Form_Temperature'!$O13="Validé humainement",'01_Form_Temperature'!T13,"")</x:f>
      </x:c>
    </x:row>
    <x:row r="14">
      <x:c r="A14" s="76" t="str">
        <x:f>IF('01_Form_Temperature'!$O14="Validé humainement",'01_Form_Temperature'!A14,"")</x:f>
      </x:c>
      <x:c r="B14" s="78" t="str">
        <x:f>IF('01_Form_Temperature'!$O14="Validé humainement",'01_Form_Temperature'!B14,"")</x:f>
      </x:c>
      <x:c r="C14" s="76" t="str">
        <x:f>IF('01_Form_Temperature'!$O14="Validé humainement",'01_Form_Temperature'!C14,"")</x:f>
      </x:c>
      <x:c r="D14" s="76" t="str">
        <x:f>IF('01_Form_Temperature'!$O14="Validé humainement",'01_Form_Temperature'!D14,"")</x:f>
      </x:c>
      <x:c r="E14" s="76" t="str">
        <x:f>IF('01_Form_Temperature'!$O14="Validé humainement",'01_Form_Temperature'!E14,"")</x:f>
      </x:c>
      <x:c r="F14" s="76" t="str">
        <x:f>IF('01_Form_Temperature'!$O14="Validé humainement",'01_Form_Temperature'!F14,"")</x:f>
      </x:c>
      <x:c r="G14" s="79" t="str">
        <x:f>IF('01_Form_Temperature'!$O14="Validé humainement",'01_Form_Temperature'!G14,"")</x:f>
      </x:c>
      <x:c r="H14" s="79" t="str">
        <x:f>IF('01_Form_Temperature'!$O14="Validé humainement",'01_Form_Temperature'!H14,"")</x:f>
      </x:c>
      <x:c r="I14" s="79" t="str">
        <x:f>IF('01_Form_Temperature'!$O14="Validé humainement",'01_Form_Temperature'!I14,"")</x:f>
      </x:c>
      <x:c r="J14" s="76" t="str">
        <x:f>IF('01_Form_Temperature'!$O14="Validé humainement",'01_Form_Temperature'!J14,"")</x:f>
      </x:c>
      <x:c r="K14" s="76" t="str">
        <x:f>IF('01_Form_Temperature'!$O14="Validé humainement",'01_Form_Temperature'!K14,"")</x:f>
      </x:c>
      <x:c r="L14" s="76" t="str">
        <x:f>IF('01_Form_Temperature'!$O14="Validé humainement",'01_Form_Temperature'!L14,"")</x:f>
      </x:c>
      <x:c r="M14" s="76" t="str">
        <x:f>IF('01_Form_Temperature'!$O14="Validé humainement",'01_Form_Temperature'!M14,"")</x:f>
      </x:c>
      <x:c r="N14" s="76" t="str">
        <x:f>IF('01_Form_Temperature'!$O14="Validé humainement",'01_Form_Temperature'!N14,"")</x:f>
      </x:c>
      <x:c r="O14" s="76" t="str">
        <x:f>IF('01_Form_Temperature'!$O14="Validé humainement",'01_Form_Temperature'!O14,"")</x:f>
      </x:c>
      <x:c r="P14" s="76" t="str">
        <x:f>IF('01_Form_Temperature'!$O14="Validé humainement",'01_Form_Temperature'!P14,"")</x:f>
      </x:c>
      <x:c r="Q14" s="78" t="str">
        <x:f>IF('01_Form_Temperature'!$O14="Validé humainement",'01_Form_Temperature'!Q14,"")</x:f>
      </x:c>
      <x:c r="R14" s="76" t="str">
        <x:f>IF('01_Form_Temperature'!$O14="Validé humainement",'01_Form_Temperature'!R14,"")</x:f>
      </x:c>
      <x:c r="S14" s="76" t="str">
        <x:f>IF('01_Form_Temperature'!$O14="Validé humainement",'01_Form_Temperature'!S14,"")</x:f>
      </x:c>
      <x:c r="T14" s="76" t="str">
        <x:f>IF('01_Form_Temperature'!$O14="Validé humainement",'01_Form_Temperature'!T14,"")</x:f>
      </x:c>
    </x:row>
    <x:row r="15">
      <x:c r="A15" s="76" t="str">
        <x:f>IF('01_Form_Temperature'!$O15="Validé humainement",'01_Form_Temperature'!A15,"")</x:f>
      </x:c>
      <x:c r="B15" s="78" t="str">
        <x:f>IF('01_Form_Temperature'!$O15="Validé humainement",'01_Form_Temperature'!B15,"")</x:f>
      </x:c>
      <x:c r="C15" s="76" t="str">
        <x:f>IF('01_Form_Temperature'!$O15="Validé humainement",'01_Form_Temperature'!C15,"")</x:f>
      </x:c>
      <x:c r="D15" s="76" t="str">
        <x:f>IF('01_Form_Temperature'!$O15="Validé humainement",'01_Form_Temperature'!D15,"")</x:f>
      </x:c>
      <x:c r="E15" s="76" t="str">
        <x:f>IF('01_Form_Temperature'!$O15="Validé humainement",'01_Form_Temperature'!E15,"")</x:f>
      </x:c>
      <x:c r="F15" s="76" t="str">
        <x:f>IF('01_Form_Temperature'!$O15="Validé humainement",'01_Form_Temperature'!F15,"")</x:f>
      </x:c>
      <x:c r="G15" s="79" t="str">
        <x:f>IF('01_Form_Temperature'!$O15="Validé humainement",'01_Form_Temperature'!G15,"")</x:f>
      </x:c>
      <x:c r="H15" s="79" t="str">
        <x:f>IF('01_Form_Temperature'!$O15="Validé humainement",'01_Form_Temperature'!H15,"")</x:f>
      </x:c>
      <x:c r="I15" s="79" t="str">
        <x:f>IF('01_Form_Temperature'!$O15="Validé humainement",'01_Form_Temperature'!I15,"")</x:f>
      </x:c>
      <x:c r="J15" s="76" t="str">
        <x:f>IF('01_Form_Temperature'!$O15="Validé humainement",'01_Form_Temperature'!J15,"")</x:f>
      </x:c>
      <x:c r="K15" s="76" t="str">
        <x:f>IF('01_Form_Temperature'!$O15="Validé humainement",'01_Form_Temperature'!K15,"")</x:f>
      </x:c>
      <x:c r="L15" s="76" t="str">
        <x:f>IF('01_Form_Temperature'!$O15="Validé humainement",'01_Form_Temperature'!L15,"")</x:f>
      </x:c>
      <x:c r="M15" s="76" t="str">
        <x:f>IF('01_Form_Temperature'!$O15="Validé humainement",'01_Form_Temperature'!M15,"")</x:f>
      </x:c>
      <x:c r="N15" s="76" t="str">
        <x:f>IF('01_Form_Temperature'!$O15="Validé humainement",'01_Form_Temperature'!N15,"")</x:f>
      </x:c>
      <x:c r="O15" s="76" t="str">
        <x:f>IF('01_Form_Temperature'!$O15="Validé humainement",'01_Form_Temperature'!O15,"")</x:f>
      </x:c>
      <x:c r="P15" s="76" t="str">
        <x:f>IF('01_Form_Temperature'!$O15="Validé humainement",'01_Form_Temperature'!P15,"")</x:f>
      </x:c>
      <x:c r="Q15" s="78" t="str">
        <x:f>IF('01_Form_Temperature'!$O15="Validé humainement",'01_Form_Temperature'!Q15,"")</x:f>
      </x:c>
      <x:c r="R15" s="76" t="str">
        <x:f>IF('01_Form_Temperature'!$O15="Validé humainement",'01_Form_Temperature'!R15,"")</x:f>
      </x:c>
      <x:c r="S15" s="76" t="str">
        <x:f>IF('01_Form_Temperature'!$O15="Validé humainement",'01_Form_Temperature'!S15,"")</x:f>
      </x:c>
      <x:c r="T15" s="76" t="str">
        <x:f>IF('01_Form_Temperature'!$O15="Validé humainement",'01_Form_Temperature'!T15,"")</x:f>
      </x:c>
    </x:row>
    <x:row r="16">
      <x:c r="A16" s="76" t="str">
        <x:f>IF('01_Form_Temperature'!$O16="Validé humainement",'01_Form_Temperature'!A16,"")</x:f>
      </x:c>
      <x:c r="B16" s="78" t="str">
        <x:f>IF('01_Form_Temperature'!$O16="Validé humainement",'01_Form_Temperature'!B16,"")</x:f>
      </x:c>
      <x:c r="C16" s="76" t="str">
        <x:f>IF('01_Form_Temperature'!$O16="Validé humainement",'01_Form_Temperature'!C16,"")</x:f>
      </x:c>
      <x:c r="D16" s="76" t="str">
        <x:f>IF('01_Form_Temperature'!$O16="Validé humainement",'01_Form_Temperature'!D16,"")</x:f>
      </x:c>
      <x:c r="E16" s="76" t="str">
        <x:f>IF('01_Form_Temperature'!$O16="Validé humainement",'01_Form_Temperature'!E16,"")</x:f>
      </x:c>
      <x:c r="F16" s="76" t="str">
        <x:f>IF('01_Form_Temperature'!$O16="Validé humainement",'01_Form_Temperature'!F16,"")</x:f>
      </x:c>
      <x:c r="G16" s="79" t="str">
        <x:f>IF('01_Form_Temperature'!$O16="Validé humainement",'01_Form_Temperature'!G16,"")</x:f>
      </x:c>
      <x:c r="H16" s="79" t="str">
        <x:f>IF('01_Form_Temperature'!$O16="Validé humainement",'01_Form_Temperature'!H16,"")</x:f>
      </x:c>
      <x:c r="I16" s="79" t="str">
        <x:f>IF('01_Form_Temperature'!$O16="Validé humainement",'01_Form_Temperature'!I16,"")</x:f>
      </x:c>
      <x:c r="J16" s="76" t="str">
        <x:f>IF('01_Form_Temperature'!$O16="Validé humainement",'01_Form_Temperature'!J16,"")</x:f>
      </x:c>
      <x:c r="K16" s="76" t="str">
        <x:f>IF('01_Form_Temperature'!$O16="Validé humainement",'01_Form_Temperature'!K16,"")</x:f>
      </x:c>
      <x:c r="L16" s="76" t="str">
        <x:f>IF('01_Form_Temperature'!$O16="Validé humainement",'01_Form_Temperature'!L16,"")</x:f>
      </x:c>
      <x:c r="M16" s="76" t="str">
        <x:f>IF('01_Form_Temperature'!$O16="Validé humainement",'01_Form_Temperature'!M16,"")</x:f>
      </x:c>
      <x:c r="N16" s="76" t="str">
        <x:f>IF('01_Form_Temperature'!$O16="Validé humainement",'01_Form_Temperature'!N16,"")</x:f>
      </x:c>
      <x:c r="O16" s="76" t="str">
        <x:f>IF('01_Form_Temperature'!$O16="Validé humainement",'01_Form_Temperature'!O16,"")</x:f>
      </x:c>
      <x:c r="P16" s="76" t="str">
        <x:f>IF('01_Form_Temperature'!$O16="Validé humainement",'01_Form_Temperature'!P16,"")</x:f>
      </x:c>
      <x:c r="Q16" s="78" t="str">
        <x:f>IF('01_Form_Temperature'!$O16="Validé humainement",'01_Form_Temperature'!Q16,"")</x:f>
      </x:c>
      <x:c r="R16" s="76" t="str">
        <x:f>IF('01_Form_Temperature'!$O16="Validé humainement",'01_Form_Temperature'!R16,"")</x:f>
      </x:c>
      <x:c r="S16" s="76" t="str">
        <x:f>IF('01_Form_Temperature'!$O16="Validé humainement",'01_Form_Temperature'!S16,"")</x:f>
      </x:c>
      <x:c r="T16" s="76" t="str">
        <x:f>IF('01_Form_Temperature'!$O16="Validé humainement",'01_Form_Temperature'!T16,"")</x:f>
      </x:c>
    </x:row>
    <x:row r="17">
      <x:c r="A17" s="76" t="str">
        <x:f>IF('01_Form_Temperature'!$O17="Validé humainement",'01_Form_Temperature'!A17,"")</x:f>
      </x:c>
      <x:c r="B17" s="78" t="str">
        <x:f>IF('01_Form_Temperature'!$O17="Validé humainement",'01_Form_Temperature'!B17,"")</x:f>
      </x:c>
      <x:c r="C17" s="76" t="str">
        <x:f>IF('01_Form_Temperature'!$O17="Validé humainement",'01_Form_Temperature'!C17,"")</x:f>
      </x:c>
      <x:c r="D17" s="76" t="str">
        <x:f>IF('01_Form_Temperature'!$O17="Validé humainement",'01_Form_Temperature'!D17,"")</x:f>
      </x:c>
      <x:c r="E17" s="76" t="str">
        <x:f>IF('01_Form_Temperature'!$O17="Validé humainement",'01_Form_Temperature'!E17,"")</x:f>
      </x:c>
      <x:c r="F17" s="76" t="str">
        <x:f>IF('01_Form_Temperature'!$O17="Validé humainement",'01_Form_Temperature'!F17,"")</x:f>
      </x:c>
      <x:c r="G17" s="79" t="str">
        <x:f>IF('01_Form_Temperature'!$O17="Validé humainement",'01_Form_Temperature'!G17,"")</x:f>
      </x:c>
      <x:c r="H17" s="79" t="str">
        <x:f>IF('01_Form_Temperature'!$O17="Validé humainement",'01_Form_Temperature'!H17,"")</x:f>
      </x:c>
      <x:c r="I17" s="79" t="str">
        <x:f>IF('01_Form_Temperature'!$O17="Validé humainement",'01_Form_Temperature'!I17,"")</x:f>
      </x:c>
      <x:c r="J17" s="76" t="str">
        <x:f>IF('01_Form_Temperature'!$O17="Validé humainement",'01_Form_Temperature'!J17,"")</x:f>
      </x:c>
      <x:c r="K17" s="76" t="str">
        <x:f>IF('01_Form_Temperature'!$O17="Validé humainement",'01_Form_Temperature'!K17,"")</x:f>
      </x:c>
      <x:c r="L17" s="76" t="str">
        <x:f>IF('01_Form_Temperature'!$O17="Validé humainement",'01_Form_Temperature'!L17,"")</x:f>
      </x:c>
      <x:c r="M17" s="76" t="str">
        <x:f>IF('01_Form_Temperature'!$O17="Validé humainement",'01_Form_Temperature'!M17,"")</x:f>
      </x:c>
      <x:c r="N17" s="76" t="str">
        <x:f>IF('01_Form_Temperature'!$O17="Validé humainement",'01_Form_Temperature'!N17,"")</x:f>
      </x:c>
      <x:c r="O17" s="76" t="str">
        <x:f>IF('01_Form_Temperature'!$O17="Validé humainement",'01_Form_Temperature'!O17,"")</x:f>
      </x:c>
      <x:c r="P17" s="76" t="str">
        <x:f>IF('01_Form_Temperature'!$O17="Validé humainement",'01_Form_Temperature'!P17,"")</x:f>
      </x:c>
      <x:c r="Q17" s="78" t="str">
        <x:f>IF('01_Form_Temperature'!$O17="Validé humainement",'01_Form_Temperature'!Q17,"")</x:f>
      </x:c>
      <x:c r="R17" s="76" t="str">
        <x:f>IF('01_Form_Temperature'!$O17="Validé humainement",'01_Form_Temperature'!R17,"")</x:f>
      </x:c>
      <x:c r="S17" s="76" t="str">
        <x:f>IF('01_Form_Temperature'!$O17="Validé humainement",'01_Form_Temperature'!S17,"")</x:f>
      </x:c>
      <x:c r="T17" s="76" t="str">
        <x:f>IF('01_Form_Temperature'!$O17="Validé humainement",'01_Form_Temperature'!T17,"")</x:f>
      </x:c>
    </x:row>
    <x:row r="18">
      <x:c r="A18" s="76" t="str">
        <x:f>IF('01_Form_Temperature'!$O18="Validé humainement",'01_Form_Temperature'!A18,"")</x:f>
      </x:c>
      <x:c r="B18" s="78" t="str">
        <x:f>IF('01_Form_Temperature'!$O18="Validé humainement",'01_Form_Temperature'!B18,"")</x:f>
      </x:c>
      <x:c r="C18" s="76" t="str">
        <x:f>IF('01_Form_Temperature'!$O18="Validé humainement",'01_Form_Temperature'!C18,"")</x:f>
      </x:c>
      <x:c r="D18" s="76" t="str">
        <x:f>IF('01_Form_Temperature'!$O18="Validé humainement",'01_Form_Temperature'!D18,"")</x:f>
      </x:c>
      <x:c r="E18" s="76" t="str">
        <x:f>IF('01_Form_Temperature'!$O18="Validé humainement",'01_Form_Temperature'!E18,"")</x:f>
      </x:c>
      <x:c r="F18" s="76" t="str">
        <x:f>IF('01_Form_Temperature'!$O18="Validé humainement",'01_Form_Temperature'!F18,"")</x:f>
      </x:c>
      <x:c r="G18" s="79" t="str">
        <x:f>IF('01_Form_Temperature'!$O18="Validé humainement",'01_Form_Temperature'!G18,"")</x:f>
      </x:c>
      <x:c r="H18" s="79" t="str">
        <x:f>IF('01_Form_Temperature'!$O18="Validé humainement",'01_Form_Temperature'!H18,"")</x:f>
      </x:c>
      <x:c r="I18" s="79" t="str">
        <x:f>IF('01_Form_Temperature'!$O18="Validé humainement",'01_Form_Temperature'!I18,"")</x:f>
      </x:c>
      <x:c r="J18" s="76" t="str">
        <x:f>IF('01_Form_Temperature'!$O18="Validé humainement",'01_Form_Temperature'!J18,"")</x:f>
      </x:c>
      <x:c r="K18" s="76" t="str">
        <x:f>IF('01_Form_Temperature'!$O18="Validé humainement",'01_Form_Temperature'!K18,"")</x:f>
      </x:c>
      <x:c r="L18" s="76" t="str">
        <x:f>IF('01_Form_Temperature'!$O18="Validé humainement",'01_Form_Temperature'!L18,"")</x:f>
      </x:c>
      <x:c r="M18" s="76" t="str">
        <x:f>IF('01_Form_Temperature'!$O18="Validé humainement",'01_Form_Temperature'!M18,"")</x:f>
      </x:c>
      <x:c r="N18" s="76" t="str">
        <x:f>IF('01_Form_Temperature'!$O18="Validé humainement",'01_Form_Temperature'!N18,"")</x:f>
      </x:c>
      <x:c r="O18" s="76" t="str">
        <x:f>IF('01_Form_Temperature'!$O18="Validé humainement",'01_Form_Temperature'!O18,"")</x:f>
      </x:c>
      <x:c r="P18" s="76" t="str">
        <x:f>IF('01_Form_Temperature'!$O18="Validé humainement",'01_Form_Temperature'!P18,"")</x:f>
      </x:c>
      <x:c r="Q18" s="78" t="str">
        <x:f>IF('01_Form_Temperature'!$O18="Validé humainement",'01_Form_Temperature'!Q18,"")</x:f>
      </x:c>
      <x:c r="R18" s="76" t="str">
        <x:f>IF('01_Form_Temperature'!$O18="Validé humainement",'01_Form_Temperature'!R18,"")</x:f>
      </x:c>
      <x:c r="S18" s="76" t="str">
        <x:f>IF('01_Form_Temperature'!$O18="Validé humainement",'01_Form_Temperature'!S18,"")</x:f>
      </x:c>
      <x:c r="T18" s="76" t="str">
        <x:f>IF('01_Form_Temperature'!$O18="Validé humainement",'01_Form_Temperature'!T18,"")</x:f>
      </x:c>
    </x:row>
    <x:row r="19">
      <x:c r="A19" s="76" t="str">
        <x:f>IF('01_Form_Temperature'!$O19="Validé humainement",'01_Form_Temperature'!A19,"")</x:f>
      </x:c>
      <x:c r="B19" s="78" t="str">
        <x:f>IF('01_Form_Temperature'!$O19="Validé humainement",'01_Form_Temperature'!B19,"")</x:f>
      </x:c>
      <x:c r="C19" s="76" t="str">
        <x:f>IF('01_Form_Temperature'!$O19="Validé humainement",'01_Form_Temperature'!C19,"")</x:f>
      </x:c>
      <x:c r="D19" s="76" t="str">
        <x:f>IF('01_Form_Temperature'!$O19="Validé humainement",'01_Form_Temperature'!D19,"")</x:f>
      </x:c>
      <x:c r="E19" s="76" t="str">
        <x:f>IF('01_Form_Temperature'!$O19="Validé humainement",'01_Form_Temperature'!E19,"")</x:f>
      </x:c>
      <x:c r="F19" s="76" t="str">
        <x:f>IF('01_Form_Temperature'!$O19="Validé humainement",'01_Form_Temperature'!F19,"")</x:f>
      </x:c>
      <x:c r="G19" s="79" t="str">
        <x:f>IF('01_Form_Temperature'!$O19="Validé humainement",'01_Form_Temperature'!G19,"")</x:f>
      </x:c>
      <x:c r="H19" s="79" t="str">
        <x:f>IF('01_Form_Temperature'!$O19="Validé humainement",'01_Form_Temperature'!H19,"")</x:f>
      </x:c>
      <x:c r="I19" s="79" t="str">
        <x:f>IF('01_Form_Temperature'!$O19="Validé humainement",'01_Form_Temperature'!I19,"")</x:f>
      </x:c>
      <x:c r="J19" s="76" t="str">
        <x:f>IF('01_Form_Temperature'!$O19="Validé humainement",'01_Form_Temperature'!J19,"")</x:f>
      </x:c>
      <x:c r="K19" s="76" t="str">
        <x:f>IF('01_Form_Temperature'!$O19="Validé humainement",'01_Form_Temperature'!K19,"")</x:f>
      </x:c>
      <x:c r="L19" s="76" t="str">
        <x:f>IF('01_Form_Temperature'!$O19="Validé humainement",'01_Form_Temperature'!L19,"")</x:f>
      </x:c>
      <x:c r="M19" s="76" t="str">
        <x:f>IF('01_Form_Temperature'!$O19="Validé humainement",'01_Form_Temperature'!M19,"")</x:f>
      </x:c>
      <x:c r="N19" s="76" t="str">
        <x:f>IF('01_Form_Temperature'!$O19="Validé humainement",'01_Form_Temperature'!N19,"")</x:f>
      </x:c>
      <x:c r="O19" s="76" t="str">
        <x:f>IF('01_Form_Temperature'!$O19="Validé humainement",'01_Form_Temperature'!O19,"")</x:f>
      </x:c>
      <x:c r="P19" s="76" t="str">
        <x:f>IF('01_Form_Temperature'!$O19="Validé humainement",'01_Form_Temperature'!P19,"")</x:f>
      </x:c>
      <x:c r="Q19" s="78" t="str">
        <x:f>IF('01_Form_Temperature'!$O19="Validé humainement",'01_Form_Temperature'!Q19,"")</x:f>
      </x:c>
      <x:c r="R19" s="76" t="str">
        <x:f>IF('01_Form_Temperature'!$O19="Validé humainement",'01_Form_Temperature'!R19,"")</x:f>
      </x:c>
      <x:c r="S19" s="76" t="str">
        <x:f>IF('01_Form_Temperature'!$O19="Validé humainement",'01_Form_Temperature'!S19,"")</x:f>
      </x:c>
      <x:c r="T19" s="76" t="str">
        <x:f>IF('01_Form_Temperature'!$O19="Validé humainement",'01_Form_Temperature'!T19,"")</x:f>
      </x:c>
    </x:row>
    <x:row r="20">
      <x:c r="A20" s="76" t="str">
        <x:f>IF('01_Form_Temperature'!$O20="Validé humainement",'01_Form_Temperature'!A20,"")</x:f>
      </x:c>
      <x:c r="B20" s="78" t="str">
        <x:f>IF('01_Form_Temperature'!$O20="Validé humainement",'01_Form_Temperature'!B20,"")</x:f>
      </x:c>
      <x:c r="C20" s="76" t="str">
        <x:f>IF('01_Form_Temperature'!$O20="Validé humainement",'01_Form_Temperature'!C20,"")</x:f>
      </x:c>
      <x:c r="D20" s="76" t="str">
        <x:f>IF('01_Form_Temperature'!$O20="Validé humainement",'01_Form_Temperature'!D20,"")</x:f>
      </x:c>
      <x:c r="E20" s="76" t="str">
        <x:f>IF('01_Form_Temperature'!$O20="Validé humainement",'01_Form_Temperature'!E20,"")</x:f>
      </x:c>
      <x:c r="F20" s="76" t="str">
        <x:f>IF('01_Form_Temperature'!$O20="Validé humainement",'01_Form_Temperature'!F20,"")</x:f>
      </x:c>
      <x:c r="G20" s="79" t="str">
        <x:f>IF('01_Form_Temperature'!$O20="Validé humainement",'01_Form_Temperature'!G20,"")</x:f>
      </x:c>
      <x:c r="H20" s="79" t="str">
        <x:f>IF('01_Form_Temperature'!$O20="Validé humainement",'01_Form_Temperature'!H20,"")</x:f>
      </x:c>
      <x:c r="I20" s="79" t="str">
        <x:f>IF('01_Form_Temperature'!$O20="Validé humainement",'01_Form_Temperature'!I20,"")</x:f>
      </x:c>
      <x:c r="J20" s="76" t="str">
        <x:f>IF('01_Form_Temperature'!$O20="Validé humainement",'01_Form_Temperature'!J20,"")</x:f>
      </x:c>
      <x:c r="K20" s="76" t="str">
        <x:f>IF('01_Form_Temperature'!$O20="Validé humainement",'01_Form_Temperature'!K20,"")</x:f>
      </x:c>
      <x:c r="L20" s="76" t="str">
        <x:f>IF('01_Form_Temperature'!$O20="Validé humainement",'01_Form_Temperature'!L20,"")</x:f>
      </x:c>
      <x:c r="M20" s="76" t="str">
        <x:f>IF('01_Form_Temperature'!$O20="Validé humainement",'01_Form_Temperature'!M20,"")</x:f>
      </x:c>
      <x:c r="N20" s="76" t="str">
        <x:f>IF('01_Form_Temperature'!$O20="Validé humainement",'01_Form_Temperature'!N20,"")</x:f>
      </x:c>
      <x:c r="O20" s="76" t="str">
        <x:f>IF('01_Form_Temperature'!$O20="Validé humainement",'01_Form_Temperature'!O20,"")</x:f>
      </x:c>
      <x:c r="P20" s="76" t="str">
        <x:f>IF('01_Form_Temperature'!$O20="Validé humainement",'01_Form_Temperature'!P20,"")</x:f>
      </x:c>
      <x:c r="Q20" s="78" t="str">
        <x:f>IF('01_Form_Temperature'!$O20="Validé humainement",'01_Form_Temperature'!Q20,"")</x:f>
      </x:c>
      <x:c r="R20" s="76" t="str">
        <x:f>IF('01_Form_Temperature'!$O20="Validé humainement",'01_Form_Temperature'!R20,"")</x:f>
      </x:c>
      <x:c r="S20" s="76" t="str">
        <x:f>IF('01_Form_Temperature'!$O20="Validé humainement",'01_Form_Temperature'!S20,"")</x:f>
      </x:c>
      <x:c r="T20" s="76" t="str">
        <x:f>IF('01_Form_Temperature'!$O20="Validé humainement",'01_Form_Temperature'!T20,"")</x:f>
      </x:c>
    </x:row>
    <x:row r="21">
      <x:c r="A21" s="76" t="str">
        <x:f>IF('01_Form_Temperature'!$O21="Validé humainement",'01_Form_Temperature'!A21,"")</x:f>
      </x:c>
      <x:c r="B21" s="78" t="str">
        <x:f>IF('01_Form_Temperature'!$O21="Validé humainement",'01_Form_Temperature'!B21,"")</x:f>
      </x:c>
      <x:c r="C21" s="76" t="str">
        <x:f>IF('01_Form_Temperature'!$O21="Validé humainement",'01_Form_Temperature'!C21,"")</x:f>
      </x:c>
      <x:c r="D21" s="76" t="str">
        <x:f>IF('01_Form_Temperature'!$O21="Validé humainement",'01_Form_Temperature'!D21,"")</x:f>
      </x:c>
      <x:c r="E21" s="76" t="str">
        <x:f>IF('01_Form_Temperature'!$O21="Validé humainement",'01_Form_Temperature'!E21,"")</x:f>
      </x:c>
      <x:c r="F21" s="76" t="str">
        <x:f>IF('01_Form_Temperature'!$O21="Validé humainement",'01_Form_Temperature'!F21,"")</x:f>
      </x:c>
      <x:c r="G21" s="79" t="str">
        <x:f>IF('01_Form_Temperature'!$O21="Validé humainement",'01_Form_Temperature'!G21,"")</x:f>
      </x:c>
      <x:c r="H21" s="79" t="str">
        <x:f>IF('01_Form_Temperature'!$O21="Validé humainement",'01_Form_Temperature'!H21,"")</x:f>
      </x:c>
      <x:c r="I21" s="79" t="str">
        <x:f>IF('01_Form_Temperature'!$O21="Validé humainement",'01_Form_Temperature'!I21,"")</x:f>
      </x:c>
      <x:c r="J21" s="76" t="str">
        <x:f>IF('01_Form_Temperature'!$O21="Validé humainement",'01_Form_Temperature'!J21,"")</x:f>
      </x:c>
      <x:c r="K21" s="76" t="str">
        <x:f>IF('01_Form_Temperature'!$O21="Validé humainement",'01_Form_Temperature'!K21,"")</x:f>
      </x:c>
      <x:c r="L21" s="76" t="str">
        <x:f>IF('01_Form_Temperature'!$O21="Validé humainement",'01_Form_Temperature'!L21,"")</x:f>
      </x:c>
      <x:c r="M21" s="76" t="str">
        <x:f>IF('01_Form_Temperature'!$O21="Validé humainement",'01_Form_Temperature'!M21,"")</x:f>
      </x:c>
      <x:c r="N21" s="76" t="str">
        <x:f>IF('01_Form_Temperature'!$O21="Validé humainement",'01_Form_Temperature'!N21,"")</x:f>
      </x:c>
      <x:c r="O21" s="76" t="str">
        <x:f>IF('01_Form_Temperature'!$O21="Validé humainement",'01_Form_Temperature'!O21,"")</x:f>
      </x:c>
      <x:c r="P21" s="76" t="str">
        <x:f>IF('01_Form_Temperature'!$O21="Validé humainement",'01_Form_Temperature'!P21,"")</x:f>
      </x:c>
      <x:c r="Q21" s="78" t="str">
        <x:f>IF('01_Form_Temperature'!$O21="Validé humainement",'01_Form_Temperature'!Q21,"")</x:f>
      </x:c>
      <x:c r="R21" s="76" t="str">
        <x:f>IF('01_Form_Temperature'!$O21="Validé humainement",'01_Form_Temperature'!R21,"")</x:f>
      </x:c>
      <x:c r="S21" s="76" t="str">
        <x:f>IF('01_Form_Temperature'!$O21="Validé humainement",'01_Form_Temperature'!S21,"")</x:f>
      </x:c>
      <x:c r="T21" s="76" t="str">
        <x:f>IF('01_Form_Temperature'!$O21="Validé humainement",'01_Form_Temperature'!T21,"")</x:f>
      </x:c>
    </x:row>
    <x:row r="22">
      <x:c r="A22" s="76" t="str">
        <x:f>IF('01_Form_Temperature'!$O22="Validé humainement",'01_Form_Temperature'!A22,"")</x:f>
      </x:c>
      <x:c r="B22" s="78" t="str">
        <x:f>IF('01_Form_Temperature'!$O22="Validé humainement",'01_Form_Temperature'!B22,"")</x:f>
      </x:c>
      <x:c r="C22" s="76" t="str">
        <x:f>IF('01_Form_Temperature'!$O22="Validé humainement",'01_Form_Temperature'!C22,"")</x:f>
      </x:c>
      <x:c r="D22" s="76" t="str">
        <x:f>IF('01_Form_Temperature'!$O22="Validé humainement",'01_Form_Temperature'!D22,"")</x:f>
      </x:c>
      <x:c r="E22" s="76" t="str">
        <x:f>IF('01_Form_Temperature'!$O22="Validé humainement",'01_Form_Temperature'!E22,"")</x:f>
      </x:c>
      <x:c r="F22" s="76" t="str">
        <x:f>IF('01_Form_Temperature'!$O22="Validé humainement",'01_Form_Temperature'!F22,"")</x:f>
      </x:c>
      <x:c r="G22" s="79" t="str">
        <x:f>IF('01_Form_Temperature'!$O22="Validé humainement",'01_Form_Temperature'!G22,"")</x:f>
      </x:c>
      <x:c r="H22" s="79" t="str">
        <x:f>IF('01_Form_Temperature'!$O22="Validé humainement",'01_Form_Temperature'!H22,"")</x:f>
      </x:c>
      <x:c r="I22" s="79" t="str">
        <x:f>IF('01_Form_Temperature'!$O22="Validé humainement",'01_Form_Temperature'!I22,"")</x:f>
      </x:c>
      <x:c r="J22" s="76" t="str">
        <x:f>IF('01_Form_Temperature'!$O22="Validé humainement",'01_Form_Temperature'!J22,"")</x:f>
      </x:c>
      <x:c r="K22" s="76" t="str">
        <x:f>IF('01_Form_Temperature'!$O22="Validé humainement",'01_Form_Temperature'!K22,"")</x:f>
      </x:c>
      <x:c r="L22" s="76" t="str">
        <x:f>IF('01_Form_Temperature'!$O22="Validé humainement",'01_Form_Temperature'!L22,"")</x:f>
      </x:c>
      <x:c r="M22" s="76" t="str">
        <x:f>IF('01_Form_Temperature'!$O22="Validé humainement",'01_Form_Temperature'!M22,"")</x:f>
      </x:c>
      <x:c r="N22" s="76" t="str">
        <x:f>IF('01_Form_Temperature'!$O22="Validé humainement",'01_Form_Temperature'!N22,"")</x:f>
      </x:c>
      <x:c r="O22" s="76" t="str">
        <x:f>IF('01_Form_Temperature'!$O22="Validé humainement",'01_Form_Temperature'!O22,"")</x:f>
      </x:c>
      <x:c r="P22" s="76" t="str">
        <x:f>IF('01_Form_Temperature'!$O22="Validé humainement",'01_Form_Temperature'!P22,"")</x:f>
      </x:c>
      <x:c r="Q22" s="78" t="str">
        <x:f>IF('01_Form_Temperature'!$O22="Validé humainement",'01_Form_Temperature'!Q22,"")</x:f>
      </x:c>
      <x:c r="R22" s="76" t="str">
        <x:f>IF('01_Form_Temperature'!$O22="Validé humainement",'01_Form_Temperature'!R22,"")</x:f>
      </x:c>
      <x:c r="S22" s="76" t="str">
        <x:f>IF('01_Form_Temperature'!$O22="Validé humainement",'01_Form_Temperature'!S22,"")</x:f>
      </x:c>
      <x:c r="T22" s="76" t="str">
        <x:f>IF('01_Form_Temperature'!$O22="Validé humainement",'01_Form_Temperature'!T22,"")</x:f>
      </x:c>
    </x:row>
    <x:row r="23">
      <x:c r="A23" s="76" t="str">
        <x:f>IF('01_Form_Temperature'!$O23="Validé humainement",'01_Form_Temperature'!A23,"")</x:f>
      </x:c>
      <x:c r="B23" s="78" t="str">
        <x:f>IF('01_Form_Temperature'!$O23="Validé humainement",'01_Form_Temperature'!B23,"")</x:f>
      </x:c>
      <x:c r="C23" s="76" t="str">
        <x:f>IF('01_Form_Temperature'!$O23="Validé humainement",'01_Form_Temperature'!C23,"")</x:f>
      </x:c>
      <x:c r="D23" s="76" t="str">
        <x:f>IF('01_Form_Temperature'!$O23="Validé humainement",'01_Form_Temperature'!D23,"")</x:f>
      </x:c>
      <x:c r="E23" s="76" t="str">
        <x:f>IF('01_Form_Temperature'!$O23="Validé humainement",'01_Form_Temperature'!E23,"")</x:f>
      </x:c>
      <x:c r="F23" s="76" t="str">
        <x:f>IF('01_Form_Temperature'!$O23="Validé humainement",'01_Form_Temperature'!F23,"")</x:f>
      </x:c>
      <x:c r="G23" s="79" t="str">
        <x:f>IF('01_Form_Temperature'!$O23="Validé humainement",'01_Form_Temperature'!G23,"")</x:f>
      </x:c>
      <x:c r="H23" s="79" t="str">
        <x:f>IF('01_Form_Temperature'!$O23="Validé humainement",'01_Form_Temperature'!H23,"")</x:f>
      </x:c>
      <x:c r="I23" s="79" t="str">
        <x:f>IF('01_Form_Temperature'!$O23="Validé humainement",'01_Form_Temperature'!I23,"")</x:f>
      </x:c>
      <x:c r="J23" s="76" t="str">
        <x:f>IF('01_Form_Temperature'!$O23="Validé humainement",'01_Form_Temperature'!J23,"")</x:f>
      </x:c>
      <x:c r="K23" s="76" t="str">
        <x:f>IF('01_Form_Temperature'!$O23="Validé humainement",'01_Form_Temperature'!K23,"")</x:f>
      </x:c>
      <x:c r="L23" s="76" t="str">
        <x:f>IF('01_Form_Temperature'!$O23="Validé humainement",'01_Form_Temperature'!L23,"")</x:f>
      </x:c>
      <x:c r="M23" s="76" t="str">
        <x:f>IF('01_Form_Temperature'!$O23="Validé humainement",'01_Form_Temperature'!M23,"")</x:f>
      </x:c>
      <x:c r="N23" s="76" t="str">
        <x:f>IF('01_Form_Temperature'!$O23="Validé humainement",'01_Form_Temperature'!N23,"")</x:f>
      </x:c>
      <x:c r="O23" s="76" t="str">
        <x:f>IF('01_Form_Temperature'!$O23="Validé humainement",'01_Form_Temperature'!O23,"")</x:f>
      </x:c>
      <x:c r="P23" s="76" t="str">
        <x:f>IF('01_Form_Temperature'!$O23="Validé humainement",'01_Form_Temperature'!P23,"")</x:f>
      </x:c>
      <x:c r="Q23" s="78" t="str">
        <x:f>IF('01_Form_Temperature'!$O23="Validé humainement",'01_Form_Temperature'!Q23,"")</x:f>
      </x:c>
      <x:c r="R23" s="76" t="str">
        <x:f>IF('01_Form_Temperature'!$O23="Validé humainement",'01_Form_Temperature'!R23,"")</x:f>
      </x:c>
      <x:c r="S23" s="76" t="str">
        <x:f>IF('01_Form_Temperature'!$O23="Validé humainement",'01_Form_Temperature'!S23,"")</x:f>
      </x:c>
      <x:c r="T23" s="76" t="str">
        <x:f>IF('01_Form_Temperature'!$O23="Validé humainement",'01_Form_Temperature'!T23,"")</x:f>
      </x:c>
    </x:row>
    <x:row r="24">
      <x:c r="A24" s="76" t="str">
        <x:f>IF('01_Form_Temperature'!$O24="Validé humainement",'01_Form_Temperature'!A24,"")</x:f>
      </x:c>
      <x:c r="B24" s="78" t="str">
        <x:f>IF('01_Form_Temperature'!$O24="Validé humainement",'01_Form_Temperature'!B24,"")</x:f>
      </x:c>
      <x:c r="C24" s="76" t="str">
        <x:f>IF('01_Form_Temperature'!$O24="Validé humainement",'01_Form_Temperature'!C24,"")</x:f>
      </x:c>
      <x:c r="D24" s="76" t="str">
        <x:f>IF('01_Form_Temperature'!$O24="Validé humainement",'01_Form_Temperature'!D24,"")</x:f>
      </x:c>
      <x:c r="E24" s="76" t="str">
        <x:f>IF('01_Form_Temperature'!$O24="Validé humainement",'01_Form_Temperature'!E24,"")</x:f>
      </x:c>
      <x:c r="F24" s="76" t="str">
        <x:f>IF('01_Form_Temperature'!$O24="Validé humainement",'01_Form_Temperature'!F24,"")</x:f>
      </x:c>
      <x:c r="G24" s="79" t="str">
        <x:f>IF('01_Form_Temperature'!$O24="Validé humainement",'01_Form_Temperature'!G24,"")</x:f>
      </x:c>
      <x:c r="H24" s="79" t="str">
        <x:f>IF('01_Form_Temperature'!$O24="Validé humainement",'01_Form_Temperature'!H24,"")</x:f>
      </x:c>
      <x:c r="I24" s="79" t="str">
        <x:f>IF('01_Form_Temperature'!$O24="Validé humainement",'01_Form_Temperature'!I24,"")</x:f>
      </x:c>
      <x:c r="J24" s="76" t="str">
        <x:f>IF('01_Form_Temperature'!$O24="Validé humainement",'01_Form_Temperature'!J24,"")</x:f>
      </x:c>
      <x:c r="K24" s="76" t="str">
        <x:f>IF('01_Form_Temperature'!$O24="Validé humainement",'01_Form_Temperature'!K24,"")</x:f>
      </x:c>
      <x:c r="L24" s="76" t="str">
        <x:f>IF('01_Form_Temperature'!$O24="Validé humainement",'01_Form_Temperature'!L24,"")</x:f>
      </x:c>
      <x:c r="M24" s="76" t="str">
        <x:f>IF('01_Form_Temperature'!$O24="Validé humainement",'01_Form_Temperature'!M24,"")</x:f>
      </x:c>
      <x:c r="N24" s="76" t="str">
        <x:f>IF('01_Form_Temperature'!$O24="Validé humainement",'01_Form_Temperature'!N24,"")</x:f>
      </x:c>
      <x:c r="O24" s="76" t="str">
        <x:f>IF('01_Form_Temperature'!$O24="Validé humainement",'01_Form_Temperature'!O24,"")</x:f>
      </x:c>
      <x:c r="P24" s="76" t="str">
        <x:f>IF('01_Form_Temperature'!$O24="Validé humainement",'01_Form_Temperature'!P24,"")</x:f>
      </x:c>
      <x:c r="Q24" s="78" t="str">
        <x:f>IF('01_Form_Temperature'!$O24="Validé humainement",'01_Form_Temperature'!Q24,"")</x:f>
      </x:c>
      <x:c r="R24" s="76" t="str">
        <x:f>IF('01_Form_Temperature'!$O24="Validé humainement",'01_Form_Temperature'!R24,"")</x:f>
      </x:c>
      <x:c r="S24" s="76" t="str">
        <x:f>IF('01_Form_Temperature'!$O24="Validé humainement",'01_Form_Temperature'!S24,"")</x:f>
      </x:c>
      <x:c r="T24" s="76" t="str">
        <x:f>IF('01_Form_Temperature'!$O24="Validé humainement",'01_Form_Temperature'!T24,"")</x:f>
      </x:c>
    </x:row>
    <x:row r="25">
      <x:c r="A25" s="76" t="str">
        <x:f>IF('01_Form_Temperature'!$O25="Validé humainement",'01_Form_Temperature'!A25,"")</x:f>
      </x:c>
      <x:c r="B25" s="78" t="str">
        <x:f>IF('01_Form_Temperature'!$O25="Validé humainement",'01_Form_Temperature'!B25,"")</x:f>
      </x:c>
      <x:c r="C25" s="76" t="str">
        <x:f>IF('01_Form_Temperature'!$O25="Validé humainement",'01_Form_Temperature'!C25,"")</x:f>
      </x:c>
      <x:c r="D25" s="76" t="str">
        <x:f>IF('01_Form_Temperature'!$O25="Validé humainement",'01_Form_Temperature'!D25,"")</x:f>
      </x:c>
      <x:c r="E25" s="76" t="str">
        <x:f>IF('01_Form_Temperature'!$O25="Validé humainement",'01_Form_Temperature'!E25,"")</x:f>
      </x:c>
      <x:c r="F25" s="76" t="str">
        <x:f>IF('01_Form_Temperature'!$O25="Validé humainement",'01_Form_Temperature'!F25,"")</x:f>
      </x:c>
      <x:c r="G25" s="79" t="str">
        <x:f>IF('01_Form_Temperature'!$O25="Validé humainement",'01_Form_Temperature'!G25,"")</x:f>
      </x:c>
      <x:c r="H25" s="79" t="str">
        <x:f>IF('01_Form_Temperature'!$O25="Validé humainement",'01_Form_Temperature'!H25,"")</x:f>
      </x:c>
      <x:c r="I25" s="79" t="str">
        <x:f>IF('01_Form_Temperature'!$O25="Validé humainement",'01_Form_Temperature'!I25,"")</x:f>
      </x:c>
      <x:c r="J25" s="76" t="str">
        <x:f>IF('01_Form_Temperature'!$O25="Validé humainement",'01_Form_Temperature'!J25,"")</x:f>
      </x:c>
      <x:c r="K25" s="76" t="str">
        <x:f>IF('01_Form_Temperature'!$O25="Validé humainement",'01_Form_Temperature'!K25,"")</x:f>
      </x:c>
      <x:c r="L25" s="76" t="str">
        <x:f>IF('01_Form_Temperature'!$O25="Validé humainement",'01_Form_Temperature'!L25,"")</x:f>
      </x:c>
      <x:c r="M25" s="76" t="str">
        <x:f>IF('01_Form_Temperature'!$O25="Validé humainement",'01_Form_Temperature'!M25,"")</x:f>
      </x:c>
      <x:c r="N25" s="76" t="str">
        <x:f>IF('01_Form_Temperature'!$O25="Validé humainement",'01_Form_Temperature'!N25,"")</x:f>
      </x:c>
      <x:c r="O25" s="76" t="str">
        <x:f>IF('01_Form_Temperature'!$O25="Validé humainement",'01_Form_Temperature'!O25,"")</x:f>
      </x:c>
      <x:c r="P25" s="76" t="str">
        <x:f>IF('01_Form_Temperature'!$O25="Validé humainement",'01_Form_Temperature'!P25,"")</x:f>
      </x:c>
      <x:c r="Q25" s="78" t="str">
        <x:f>IF('01_Form_Temperature'!$O25="Validé humainement",'01_Form_Temperature'!Q25,"")</x:f>
      </x:c>
      <x:c r="R25" s="76" t="str">
        <x:f>IF('01_Form_Temperature'!$O25="Validé humainement",'01_Form_Temperature'!R25,"")</x:f>
      </x:c>
      <x:c r="S25" s="76" t="str">
        <x:f>IF('01_Form_Temperature'!$O25="Validé humainement",'01_Form_Temperature'!S25,"")</x:f>
      </x:c>
      <x:c r="T25" s="76" t="str">
        <x:f>IF('01_Form_Temperature'!$O25="Validé humainement",'01_Form_Temperature'!T25,"")</x:f>
      </x:c>
    </x:row>
    <x:row r="26">
      <x:c r="A26" s="76" t="str">
        <x:f>IF('01_Form_Temperature'!$O26="Validé humainement",'01_Form_Temperature'!A26,"")</x:f>
      </x:c>
      <x:c r="B26" s="78" t="str">
        <x:f>IF('01_Form_Temperature'!$O26="Validé humainement",'01_Form_Temperature'!B26,"")</x:f>
      </x:c>
      <x:c r="C26" s="76" t="str">
        <x:f>IF('01_Form_Temperature'!$O26="Validé humainement",'01_Form_Temperature'!C26,"")</x:f>
      </x:c>
      <x:c r="D26" s="76" t="str">
        <x:f>IF('01_Form_Temperature'!$O26="Validé humainement",'01_Form_Temperature'!D26,"")</x:f>
      </x:c>
      <x:c r="E26" s="76" t="str">
        <x:f>IF('01_Form_Temperature'!$O26="Validé humainement",'01_Form_Temperature'!E26,"")</x:f>
      </x:c>
      <x:c r="F26" s="76" t="str">
        <x:f>IF('01_Form_Temperature'!$O26="Validé humainement",'01_Form_Temperature'!F26,"")</x:f>
      </x:c>
      <x:c r="G26" s="79" t="str">
        <x:f>IF('01_Form_Temperature'!$O26="Validé humainement",'01_Form_Temperature'!G26,"")</x:f>
      </x:c>
      <x:c r="H26" s="79" t="str">
        <x:f>IF('01_Form_Temperature'!$O26="Validé humainement",'01_Form_Temperature'!H26,"")</x:f>
      </x:c>
      <x:c r="I26" s="79" t="str">
        <x:f>IF('01_Form_Temperature'!$O26="Validé humainement",'01_Form_Temperature'!I26,"")</x:f>
      </x:c>
      <x:c r="J26" s="76" t="str">
        <x:f>IF('01_Form_Temperature'!$O26="Validé humainement",'01_Form_Temperature'!J26,"")</x:f>
      </x:c>
      <x:c r="K26" s="76" t="str">
        <x:f>IF('01_Form_Temperature'!$O26="Validé humainement",'01_Form_Temperature'!K26,"")</x:f>
      </x:c>
      <x:c r="L26" s="76" t="str">
        <x:f>IF('01_Form_Temperature'!$O26="Validé humainement",'01_Form_Temperature'!L26,"")</x:f>
      </x:c>
      <x:c r="M26" s="76" t="str">
        <x:f>IF('01_Form_Temperature'!$O26="Validé humainement",'01_Form_Temperature'!M26,"")</x:f>
      </x:c>
      <x:c r="N26" s="76" t="str">
        <x:f>IF('01_Form_Temperature'!$O26="Validé humainement",'01_Form_Temperature'!N26,"")</x:f>
      </x:c>
      <x:c r="O26" s="76" t="str">
        <x:f>IF('01_Form_Temperature'!$O26="Validé humainement",'01_Form_Temperature'!O26,"")</x:f>
      </x:c>
      <x:c r="P26" s="76" t="str">
        <x:f>IF('01_Form_Temperature'!$O26="Validé humainement",'01_Form_Temperature'!P26,"")</x:f>
      </x:c>
      <x:c r="Q26" s="78" t="str">
        <x:f>IF('01_Form_Temperature'!$O26="Validé humainement",'01_Form_Temperature'!Q26,"")</x:f>
      </x:c>
      <x:c r="R26" s="76" t="str">
        <x:f>IF('01_Form_Temperature'!$O26="Validé humainement",'01_Form_Temperature'!R26,"")</x:f>
      </x:c>
      <x:c r="S26" s="76" t="str">
        <x:f>IF('01_Form_Temperature'!$O26="Validé humainement",'01_Form_Temperature'!S26,"")</x:f>
      </x:c>
      <x:c r="T26" s="76" t="str">
        <x:f>IF('01_Form_Temperature'!$O26="Validé humainement",'01_Form_Temperature'!T26,"")</x:f>
      </x:c>
    </x:row>
    <x:row r="27">
      <x:c r="A27" s="76" t="str">
        <x:f>IF('01_Form_Temperature'!$O27="Validé humainement",'01_Form_Temperature'!A27,"")</x:f>
      </x:c>
      <x:c r="B27" s="78" t="str">
        <x:f>IF('01_Form_Temperature'!$O27="Validé humainement",'01_Form_Temperature'!B27,"")</x:f>
      </x:c>
      <x:c r="C27" s="76" t="str">
        <x:f>IF('01_Form_Temperature'!$O27="Validé humainement",'01_Form_Temperature'!C27,"")</x:f>
      </x:c>
      <x:c r="D27" s="76" t="str">
        <x:f>IF('01_Form_Temperature'!$O27="Validé humainement",'01_Form_Temperature'!D27,"")</x:f>
      </x:c>
      <x:c r="E27" s="76" t="str">
        <x:f>IF('01_Form_Temperature'!$O27="Validé humainement",'01_Form_Temperature'!E27,"")</x:f>
      </x:c>
      <x:c r="F27" s="76" t="str">
        <x:f>IF('01_Form_Temperature'!$O27="Validé humainement",'01_Form_Temperature'!F27,"")</x:f>
      </x:c>
      <x:c r="G27" s="79" t="str">
        <x:f>IF('01_Form_Temperature'!$O27="Validé humainement",'01_Form_Temperature'!G27,"")</x:f>
      </x:c>
      <x:c r="H27" s="79" t="str">
        <x:f>IF('01_Form_Temperature'!$O27="Validé humainement",'01_Form_Temperature'!H27,"")</x:f>
      </x:c>
      <x:c r="I27" s="79" t="str">
        <x:f>IF('01_Form_Temperature'!$O27="Validé humainement",'01_Form_Temperature'!I27,"")</x:f>
      </x:c>
      <x:c r="J27" s="76" t="str">
        <x:f>IF('01_Form_Temperature'!$O27="Validé humainement",'01_Form_Temperature'!J27,"")</x:f>
      </x:c>
      <x:c r="K27" s="76" t="str">
        <x:f>IF('01_Form_Temperature'!$O27="Validé humainement",'01_Form_Temperature'!K27,"")</x:f>
      </x:c>
      <x:c r="L27" s="76" t="str">
        <x:f>IF('01_Form_Temperature'!$O27="Validé humainement",'01_Form_Temperature'!L27,"")</x:f>
      </x:c>
      <x:c r="M27" s="76" t="str">
        <x:f>IF('01_Form_Temperature'!$O27="Validé humainement",'01_Form_Temperature'!M27,"")</x:f>
      </x:c>
      <x:c r="N27" s="76" t="str">
        <x:f>IF('01_Form_Temperature'!$O27="Validé humainement",'01_Form_Temperature'!N27,"")</x:f>
      </x:c>
      <x:c r="O27" s="76" t="str">
        <x:f>IF('01_Form_Temperature'!$O27="Validé humainement",'01_Form_Temperature'!O27,"")</x:f>
      </x:c>
      <x:c r="P27" s="76" t="str">
        <x:f>IF('01_Form_Temperature'!$O27="Validé humainement",'01_Form_Temperature'!P27,"")</x:f>
      </x:c>
      <x:c r="Q27" s="78" t="str">
        <x:f>IF('01_Form_Temperature'!$O27="Validé humainement",'01_Form_Temperature'!Q27,"")</x:f>
      </x:c>
      <x:c r="R27" s="76" t="str">
        <x:f>IF('01_Form_Temperature'!$O27="Validé humainement",'01_Form_Temperature'!R27,"")</x:f>
      </x:c>
      <x:c r="S27" s="76" t="str">
        <x:f>IF('01_Form_Temperature'!$O27="Validé humainement",'01_Form_Temperature'!S27,"")</x:f>
      </x:c>
      <x:c r="T27" s="76" t="str">
        <x:f>IF('01_Form_Temperature'!$O27="Validé humainement",'01_Form_Temperature'!T27,"")</x:f>
      </x:c>
    </x:row>
    <x:row r="28">
      <x:c r="A28" s="76" t="str">
        <x:f>IF('01_Form_Temperature'!$O28="Validé humainement",'01_Form_Temperature'!A28,"")</x:f>
      </x:c>
      <x:c r="B28" s="78" t="str">
        <x:f>IF('01_Form_Temperature'!$O28="Validé humainement",'01_Form_Temperature'!B28,"")</x:f>
      </x:c>
      <x:c r="C28" s="76" t="str">
        <x:f>IF('01_Form_Temperature'!$O28="Validé humainement",'01_Form_Temperature'!C28,"")</x:f>
      </x:c>
      <x:c r="D28" s="76" t="str">
        <x:f>IF('01_Form_Temperature'!$O28="Validé humainement",'01_Form_Temperature'!D28,"")</x:f>
      </x:c>
      <x:c r="E28" s="76" t="str">
        <x:f>IF('01_Form_Temperature'!$O28="Validé humainement",'01_Form_Temperature'!E28,"")</x:f>
      </x:c>
      <x:c r="F28" s="76" t="str">
        <x:f>IF('01_Form_Temperature'!$O28="Validé humainement",'01_Form_Temperature'!F28,"")</x:f>
      </x:c>
      <x:c r="G28" s="79" t="str">
        <x:f>IF('01_Form_Temperature'!$O28="Validé humainement",'01_Form_Temperature'!G28,"")</x:f>
      </x:c>
      <x:c r="H28" s="79" t="str">
        <x:f>IF('01_Form_Temperature'!$O28="Validé humainement",'01_Form_Temperature'!H28,"")</x:f>
      </x:c>
      <x:c r="I28" s="79" t="str">
        <x:f>IF('01_Form_Temperature'!$O28="Validé humainement",'01_Form_Temperature'!I28,"")</x:f>
      </x:c>
      <x:c r="J28" s="76" t="str">
        <x:f>IF('01_Form_Temperature'!$O28="Validé humainement",'01_Form_Temperature'!J28,"")</x:f>
      </x:c>
      <x:c r="K28" s="76" t="str">
        <x:f>IF('01_Form_Temperature'!$O28="Validé humainement",'01_Form_Temperature'!K28,"")</x:f>
      </x:c>
      <x:c r="L28" s="76" t="str">
        <x:f>IF('01_Form_Temperature'!$O28="Validé humainement",'01_Form_Temperature'!L28,"")</x:f>
      </x:c>
      <x:c r="M28" s="76" t="str">
        <x:f>IF('01_Form_Temperature'!$O28="Validé humainement",'01_Form_Temperature'!M28,"")</x:f>
      </x:c>
      <x:c r="N28" s="76" t="str">
        <x:f>IF('01_Form_Temperature'!$O28="Validé humainement",'01_Form_Temperature'!N28,"")</x:f>
      </x:c>
      <x:c r="O28" s="76" t="str">
        <x:f>IF('01_Form_Temperature'!$O28="Validé humainement",'01_Form_Temperature'!O28,"")</x:f>
      </x:c>
      <x:c r="P28" s="76" t="str">
        <x:f>IF('01_Form_Temperature'!$O28="Validé humainement",'01_Form_Temperature'!P28,"")</x:f>
      </x:c>
      <x:c r="Q28" s="78" t="str">
        <x:f>IF('01_Form_Temperature'!$O28="Validé humainement",'01_Form_Temperature'!Q28,"")</x:f>
      </x:c>
      <x:c r="R28" s="76" t="str">
        <x:f>IF('01_Form_Temperature'!$O28="Validé humainement",'01_Form_Temperature'!R28,"")</x:f>
      </x:c>
      <x:c r="S28" s="76" t="str">
        <x:f>IF('01_Form_Temperature'!$O28="Validé humainement",'01_Form_Temperature'!S28,"")</x:f>
      </x:c>
      <x:c r="T28" s="76" t="str">
        <x:f>IF('01_Form_Temperature'!$O28="Validé humainement",'01_Form_Temperature'!T28,"")</x:f>
      </x:c>
    </x:row>
    <x:row r="29">
      <x:c r="A29" s="76" t="str">
        <x:f>IF('01_Form_Temperature'!$O29="Validé humainement",'01_Form_Temperature'!A29,"")</x:f>
      </x:c>
      <x:c r="B29" s="78" t="str">
        <x:f>IF('01_Form_Temperature'!$O29="Validé humainement",'01_Form_Temperature'!B29,"")</x:f>
      </x:c>
      <x:c r="C29" s="76" t="str">
        <x:f>IF('01_Form_Temperature'!$O29="Validé humainement",'01_Form_Temperature'!C29,"")</x:f>
      </x:c>
      <x:c r="D29" s="76" t="str">
        <x:f>IF('01_Form_Temperature'!$O29="Validé humainement",'01_Form_Temperature'!D29,"")</x:f>
      </x:c>
      <x:c r="E29" s="76" t="str">
        <x:f>IF('01_Form_Temperature'!$O29="Validé humainement",'01_Form_Temperature'!E29,"")</x:f>
      </x:c>
      <x:c r="F29" s="76" t="str">
        <x:f>IF('01_Form_Temperature'!$O29="Validé humainement",'01_Form_Temperature'!F29,"")</x:f>
      </x:c>
      <x:c r="G29" s="79" t="str">
        <x:f>IF('01_Form_Temperature'!$O29="Validé humainement",'01_Form_Temperature'!G29,"")</x:f>
      </x:c>
      <x:c r="H29" s="79" t="str">
        <x:f>IF('01_Form_Temperature'!$O29="Validé humainement",'01_Form_Temperature'!H29,"")</x:f>
      </x:c>
      <x:c r="I29" s="79" t="str">
        <x:f>IF('01_Form_Temperature'!$O29="Validé humainement",'01_Form_Temperature'!I29,"")</x:f>
      </x:c>
      <x:c r="J29" s="76" t="str">
        <x:f>IF('01_Form_Temperature'!$O29="Validé humainement",'01_Form_Temperature'!J29,"")</x:f>
      </x:c>
      <x:c r="K29" s="76" t="str">
        <x:f>IF('01_Form_Temperature'!$O29="Validé humainement",'01_Form_Temperature'!K29,"")</x:f>
      </x:c>
      <x:c r="L29" s="76" t="str">
        <x:f>IF('01_Form_Temperature'!$O29="Validé humainement",'01_Form_Temperature'!L29,"")</x:f>
      </x:c>
      <x:c r="M29" s="76" t="str">
        <x:f>IF('01_Form_Temperature'!$O29="Validé humainement",'01_Form_Temperature'!M29,"")</x:f>
      </x:c>
      <x:c r="N29" s="76" t="str">
        <x:f>IF('01_Form_Temperature'!$O29="Validé humainement",'01_Form_Temperature'!N29,"")</x:f>
      </x:c>
      <x:c r="O29" s="76" t="str">
        <x:f>IF('01_Form_Temperature'!$O29="Validé humainement",'01_Form_Temperature'!O29,"")</x:f>
      </x:c>
      <x:c r="P29" s="76" t="str">
        <x:f>IF('01_Form_Temperature'!$O29="Validé humainement",'01_Form_Temperature'!P29,"")</x:f>
      </x:c>
      <x:c r="Q29" s="78" t="str">
        <x:f>IF('01_Form_Temperature'!$O29="Validé humainement",'01_Form_Temperature'!Q29,"")</x:f>
      </x:c>
      <x:c r="R29" s="76" t="str">
        <x:f>IF('01_Form_Temperature'!$O29="Validé humainement",'01_Form_Temperature'!R29,"")</x:f>
      </x:c>
      <x:c r="S29" s="76" t="str">
        <x:f>IF('01_Form_Temperature'!$O29="Validé humainement",'01_Form_Temperature'!S29,"")</x:f>
      </x:c>
      <x:c r="T29" s="76" t="str">
        <x:f>IF('01_Form_Temperature'!$O29="Validé humainement",'01_Form_Temperature'!T29,"")</x:f>
      </x:c>
    </x:row>
    <x:row r="30">
      <x:c r="A30" s="76" t="str">
        <x:f>IF('01_Form_Temperature'!$O30="Validé humainement",'01_Form_Temperature'!A30,"")</x:f>
      </x:c>
      <x:c r="B30" s="78" t="str">
        <x:f>IF('01_Form_Temperature'!$O30="Validé humainement",'01_Form_Temperature'!B30,"")</x:f>
      </x:c>
      <x:c r="C30" s="76" t="str">
        <x:f>IF('01_Form_Temperature'!$O30="Validé humainement",'01_Form_Temperature'!C30,"")</x:f>
      </x:c>
      <x:c r="D30" s="76" t="str">
        <x:f>IF('01_Form_Temperature'!$O30="Validé humainement",'01_Form_Temperature'!D30,"")</x:f>
      </x:c>
      <x:c r="E30" s="76" t="str">
        <x:f>IF('01_Form_Temperature'!$O30="Validé humainement",'01_Form_Temperature'!E30,"")</x:f>
      </x:c>
      <x:c r="F30" s="76" t="str">
        <x:f>IF('01_Form_Temperature'!$O30="Validé humainement",'01_Form_Temperature'!F30,"")</x:f>
      </x:c>
      <x:c r="G30" s="79" t="str">
        <x:f>IF('01_Form_Temperature'!$O30="Validé humainement",'01_Form_Temperature'!G30,"")</x:f>
      </x:c>
      <x:c r="H30" s="79" t="str">
        <x:f>IF('01_Form_Temperature'!$O30="Validé humainement",'01_Form_Temperature'!H30,"")</x:f>
      </x:c>
      <x:c r="I30" s="79" t="str">
        <x:f>IF('01_Form_Temperature'!$O30="Validé humainement",'01_Form_Temperature'!I30,"")</x:f>
      </x:c>
      <x:c r="J30" s="76" t="str">
        <x:f>IF('01_Form_Temperature'!$O30="Validé humainement",'01_Form_Temperature'!J30,"")</x:f>
      </x:c>
      <x:c r="K30" s="76" t="str">
        <x:f>IF('01_Form_Temperature'!$O30="Validé humainement",'01_Form_Temperature'!K30,"")</x:f>
      </x:c>
      <x:c r="L30" s="76" t="str">
        <x:f>IF('01_Form_Temperature'!$O30="Validé humainement",'01_Form_Temperature'!L30,"")</x:f>
      </x:c>
      <x:c r="M30" s="76" t="str">
        <x:f>IF('01_Form_Temperature'!$O30="Validé humainement",'01_Form_Temperature'!M30,"")</x:f>
      </x:c>
      <x:c r="N30" s="76" t="str">
        <x:f>IF('01_Form_Temperature'!$O30="Validé humainement",'01_Form_Temperature'!N30,"")</x:f>
      </x:c>
      <x:c r="O30" s="76" t="str">
        <x:f>IF('01_Form_Temperature'!$O30="Validé humainement",'01_Form_Temperature'!O30,"")</x:f>
      </x:c>
      <x:c r="P30" s="76" t="str">
        <x:f>IF('01_Form_Temperature'!$O30="Validé humainement",'01_Form_Temperature'!P30,"")</x:f>
      </x:c>
      <x:c r="Q30" s="78" t="str">
        <x:f>IF('01_Form_Temperature'!$O30="Validé humainement",'01_Form_Temperature'!Q30,"")</x:f>
      </x:c>
      <x:c r="R30" s="76" t="str">
        <x:f>IF('01_Form_Temperature'!$O30="Validé humainement",'01_Form_Temperature'!R30,"")</x:f>
      </x:c>
      <x:c r="S30" s="76" t="str">
        <x:f>IF('01_Form_Temperature'!$O30="Validé humainement",'01_Form_Temperature'!S30,"")</x:f>
      </x:c>
      <x:c r="T30" s="76" t="str">
        <x:f>IF('01_Form_Temperature'!$O30="Validé humainement",'01_Form_Temperature'!T30,"")</x:f>
      </x:c>
    </x:row>
    <x:row r="31">
      <x:c r="A31" s="76" t="str">
        <x:f>IF('01_Form_Temperature'!$O31="Validé humainement",'01_Form_Temperature'!A31,"")</x:f>
      </x:c>
      <x:c r="B31" s="78" t="str">
        <x:f>IF('01_Form_Temperature'!$O31="Validé humainement",'01_Form_Temperature'!B31,"")</x:f>
      </x:c>
      <x:c r="C31" s="76" t="str">
        <x:f>IF('01_Form_Temperature'!$O31="Validé humainement",'01_Form_Temperature'!C31,"")</x:f>
      </x:c>
      <x:c r="D31" s="76" t="str">
        <x:f>IF('01_Form_Temperature'!$O31="Validé humainement",'01_Form_Temperature'!D31,"")</x:f>
      </x:c>
      <x:c r="E31" s="76" t="str">
        <x:f>IF('01_Form_Temperature'!$O31="Validé humainement",'01_Form_Temperature'!E31,"")</x:f>
      </x:c>
      <x:c r="F31" s="76" t="str">
        <x:f>IF('01_Form_Temperature'!$O31="Validé humainement",'01_Form_Temperature'!F31,"")</x:f>
      </x:c>
      <x:c r="G31" s="79" t="str">
        <x:f>IF('01_Form_Temperature'!$O31="Validé humainement",'01_Form_Temperature'!G31,"")</x:f>
      </x:c>
      <x:c r="H31" s="79" t="str">
        <x:f>IF('01_Form_Temperature'!$O31="Validé humainement",'01_Form_Temperature'!H31,"")</x:f>
      </x:c>
      <x:c r="I31" s="79" t="str">
        <x:f>IF('01_Form_Temperature'!$O31="Validé humainement",'01_Form_Temperature'!I31,"")</x:f>
      </x:c>
      <x:c r="J31" s="76" t="str">
        <x:f>IF('01_Form_Temperature'!$O31="Validé humainement",'01_Form_Temperature'!J31,"")</x:f>
      </x:c>
      <x:c r="K31" s="76" t="str">
        <x:f>IF('01_Form_Temperature'!$O31="Validé humainement",'01_Form_Temperature'!K31,"")</x:f>
      </x:c>
      <x:c r="L31" s="76" t="str">
        <x:f>IF('01_Form_Temperature'!$O31="Validé humainement",'01_Form_Temperature'!L31,"")</x:f>
      </x:c>
      <x:c r="M31" s="76" t="str">
        <x:f>IF('01_Form_Temperature'!$O31="Validé humainement",'01_Form_Temperature'!M31,"")</x:f>
      </x:c>
      <x:c r="N31" s="76" t="str">
        <x:f>IF('01_Form_Temperature'!$O31="Validé humainement",'01_Form_Temperature'!N31,"")</x:f>
      </x:c>
      <x:c r="O31" s="76" t="str">
        <x:f>IF('01_Form_Temperature'!$O31="Validé humainement",'01_Form_Temperature'!O31,"")</x:f>
      </x:c>
      <x:c r="P31" s="76" t="str">
        <x:f>IF('01_Form_Temperature'!$O31="Validé humainement",'01_Form_Temperature'!P31,"")</x:f>
      </x:c>
      <x:c r="Q31" s="78" t="str">
        <x:f>IF('01_Form_Temperature'!$O31="Validé humainement",'01_Form_Temperature'!Q31,"")</x:f>
      </x:c>
      <x:c r="R31" s="76" t="str">
        <x:f>IF('01_Form_Temperature'!$O31="Validé humainement",'01_Form_Temperature'!R31,"")</x:f>
      </x:c>
      <x:c r="S31" s="76" t="str">
        <x:f>IF('01_Form_Temperature'!$O31="Validé humainement",'01_Form_Temperature'!S31,"")</x:f>
      </x:c>
      <x:c r="T31" s="76" t="str">
        <x:f>IF('01_Form_Temperature'!$O31="Validé humainement",'01_Form_Temperature'!T31,"")</x:f>
      </x:c>
    </x:row>
    <x:row r="32">
      <x:c r="A32" s="76" t="str">
        <x:f>IF('01_Form_Temperature'!$O32="Validé humainement",'01_Form_Temperature'!A32,"")</x:f>
      </x:c>
      <x:c r="B32" s="78" t="str">
        <x:f>IF('01_Form_Temperature'!$O32="Validé humainement",'01_Form_Temperature'!B32,"")</x:f>
      </x:c>
      <x:c r="C32" s="76" t="str">
        <x:f>IF('01_Form_Temperature'!$O32="Validé humainement",'01_Form_Temperature'!C32,"")</x:f>
      </x:c>
      <x:c r="D32" s="76" t="str">
        <x:f>IF('01_Form_Temperature'!$O32="Validé humainement",'01_Form_Temperature'!D32,"")</x:f>
      </x:c>
      <x:c r="E32" s="76" t="str">
        <x:f>IF('01_Form_Temperature'!$O32="Validé humainement",'01_Form_Temperature'!E32,"")</x:f>
      </x:c>
      <x:c r="F32" s="76" t="str">
        <x:f>IF('01_Form_Temperature'!$O32="Validé humainement",'01_Form_Temperature'!F32,"")</x:f>
      </x:c>
      <x:c r="G32" s="79" t="str">
        <x:f>IF('01_Form_Temperature'!$O32="Validé humainement",'01_Form_Temperature'!G32,"")</x:f>
      </x:c>
      <x:c r="H32" s="79" t="str">
        <x:f>IF('01_Form_Temperature'!$O32="Validé humainement",'01_Form_Temperature'!H32,"")</x:f>
      </x:c>
      <x:c r="I32" s="79" t="str">
        <x:f>IF('01_Form_Temperature'!$O32="Validé humainement",'01_Form_Temperature'!I32,"")</x:f>
      </x:c>
      <x:c r="J32" s="76" t="str">
        <x:f>IF('01_Form_Temperature'!$O32="Validé humainement",'01_Form_Temperature'!J32,"")</x:f>
      </x:c>
      <x:c r="K32" s="76" t="str">
        <x:f>IF('01_Form_Temperature'!$O32="Validé humainement",'01_Form_Temperature'!K32,"")</x:f>
      </x:c>
      <x:c r="L32" s="76" t="str">
        <x:f>IF('01_Form_Temperature'!$O32="Validé humainement",'01_Form_Temperature'!L32,"")</x:f>
      </x:c>
      <x:c r="M32" s="76" t="str">
        <x:f>IF('01_Form_Temperature'!$O32="Validé humainement",'01_Form_Temperature'!M32,"")</x:f>
      </x:c>
      <x:c r="N32" s="76" t="str">
        <x:f>IF('01_Form_Temperature'!$O32="Validé humainement",'01_Form_Temperature'!N32,"")</x:f>
      </x:c>
      <x:c r="O32" s="76" t="str">
        <x:f>IF('01_Form_Temperature'!$O32="Validé humainement",'01_Form_Temperature'!O32,"")</x:f>
      </x:c>
      <x:c r="P32" s="76" t="str">
        <x:f>IF('01_Form_Temperature'!$O32="Validé humainement",'01_Form_Temperature'!P32,"")</x:f>
      </x:c>
      <x:c r="Q32" s="78" t="str">
        <x:f>IF('01_Form_Temperature'!$O32="Validé humainement",'01_Form_Temperature'!Q32,"")</x:f>
      </x:c>
      <x:c r="R32" s="76" t="str">
        <x:f>IF('01_Form_Temperature'!$O32="Validé humainement",'01_Form_Temperature'!R32,"")</x:f>
      </x:c>
      <x:c r="S32" s="76" t="str">
        <x:f>IF('01_Form_Temperature'!$O32="Validé humainement",'01_Form_Temperature'!S32,"")</x:f>
      </x:c>
      <x:c r="T32" s="76" t="str">
        <x:f>IF('01_Form_Temperature'!$O32="Validé humainement",'01_Form_Temperature'!T32,"")</x:f>
      </x:c>
    </x:row>
    <x:row r="33">
      <x:c r="A33" s="76" t="str">
        <x:f>IF('01_Form_Temperature'!$O33="Validé humainement",'01_Form_Temperature'!A33,"")</x:f>
      </x:c>
      <x:c r="B33" s="78" t="str">
        <x:f>IF('01_Form_Temperature'!$O33="Validé humainement",'01_Form_Temperature'!B33,"")</x:f>
      </x:c>
      <x:c r="C33" s="76" t="str">
        <x:f>IF('01_Form_Temperature'!$O33="Validé humainement",'01_Form_Temperature'!C33,"")</x:f>
      </x:c>
      <x:c r="D33" s="76" t="str">
        <x:f>IF('01_Form_Temperature'!$O33="Validé humainement",'01_Form_Temperature'!D33,"")</x:f>
      </x:c>
      <x:c r="E33" s="76" t="str">
        <x:f>IF('01_Form_Temperature'!$O33="Validé humainement",'01_Form_Temperature'!E33,"")</x:f>
      </x:c>
      <x:c r="F33" s="76" t="str">
        <x:f>IF('01_Form_Temperature'!$O33="Validé humainement",'01_Form_Temperature'!F33,"")</x:f>
      </x:c>
      <x:c r="G33" s="79" t="str">
        <x:f>IF('01_Form_Temperature'!$O33="Validé humainement",'01_Form_Temperature'!G33,"")</x:f>
      </x:c>
      <x:c r="H33" s="79" t="str">
        <x:f>IF('01_Form_Temperature'!$O33="Validé humainement",'01_Form_Temperature'!H33,"")</x:f>
      </x:c>
      <x:c r="I33" s="79" t="str">
        <x:f>IF('01_Form_Temperature'!$O33="Validé humainement",'01_Form_Temperature'!I33,"")</x:f>
      </x:c>
      <x:c r="J33" s="76" t="str">
        <x:f>IF('01_Form_Temperature'!$O33="Validé humainement",'01_Form_Temperature'!J33,"")</x:f>
      </x:c>
      <x:c r="K33" s="76" t="str">
        <x:f>IF('01_Form_Temperature'!$O33="Validé humainement",'01_Form_Temperature'!K33,"")</x:f>
      </x:c>
      <x:c r="L33" s="76" t="str">
        <x:f>IF('01_Form_Temperature'!$O33="Validé humainement",'01_Form_Temperature'!L33,"")</x:f>
      </x:c>
      <x:c r="M33" s="76" t="str">
        <x:f>IF('01_Form_Temperature'!$O33="Validé humainement",'01_Form_Temperature'!M33,"")</x:f>
      </x:c>
      <x:c r="N33" s="76" t="str">
        <x:f>IF('01_Form_Temperature'!$O33="Validé humainement",'01_Form_Temperature'!N33,"")</x:f>
      </x:c>
      <x:c r="O33" s="76" t="str">
        <x:f>IF('01_Form_Temperature'!$O33="Validé humainement",'01_Form_Temperature'!O33,"")</x:f>
      </x:c>
      <x:c r="P33" s="76" t="str">
        <x:f>IF('01_Form_Temperature'!$O33="Validé humainement",'01_Form_Temperature'!P33,"")</x:f>
      </x:c>
      <x:c r="Q33" s="78" t="str">
        <x:f>IF('01_Form_Temperature'!$O33="Validé humainement",'01_Form_Temperature'!Q33,"")</x:f>
      </x:c>
      <x:c r="R33" s="76" t="str">
        <x:f>IF('01_Form_Temperature'!$O33="Validé humainement",'01_Form_Temperature'!R33,"")</x:f>
      </x:c>
      <x:c r="S33" s="76" t="str">
        <x:f>IF('01_Form_Temperature'!$O33="Validé humainement",'01_Form_Temperature'!S33,"")</x:f>
      </x:c>
      <x:c r="T33" s="76" t="str">
        <x:f>IF('01_Form_Temperature'!$O33="Validé humainement",'01_Form_Temperature'!T33,"")</x:f>
      </x:c>
    </x:row>
    <x:row r="34">
      <x:c r="A34" s="76" t="str">
        <x:f>IF('01_Form_Temperature'!$O34="Validé humainement",'01_Form_Temperature'!A34,"")</x:f>
      </x:c>
      <x:c r="B34" s="78" t="str">
        <x:f>IF('01_Form_Temperature'!$O34="Validé humainement",'01_Form_Temperature'!B34,"")</x:f>
      </x:c>
      <x:c r="C34" s="76" t="str">
        <x:f>IF('01_Form_Temperature'!$O34="Validé humainement",'01_Form_Temperature'!C34,"")</x:f>
      </x:c>
      <x:c r="D34" s="76" t="str">
        <x:f>IF('01_Form_Temperature'!$O34="Validé humainement",'01_Form_Temperature'!D34,"")</x:f>
      </x:c>
      <x:c r="E34" s="76" t="str">
        <x:f>IF('01_Form_Temperature'!$O34="Validé humainement",'01_Form_Temperature'!E34,"")</x:f>
      </x:c>
      <x:c r="F34" s="76" t="str">
        <x:f>IF('01_Form_Temperature'!$O34="Validé humainement",'01_Form_Temperature'!F34,"")</x:f>
      </x:c>
      <x:c r="G34" s="79" t="str">
        <x:f>IF('01_Form_Temperature'!$O34="Validé humainement",'01_Form_Temperature'!G34,"")</x:f>
      </x:c>
      <x:c r="H34" s="79" t="str">
        <x:f>IF('01_Form_Temperature'!$O34="Validé humainement",'01_Form_Temperature'!H34,"")</x:f>
      </x:c>
      <x:c r="I34" s="79" t="str">
        <x:f>IF('01_Form_Temperature'!$O34="Validé humainement",'01_Form_Temperature'!I34,"")</x:f>
      </x:c>
      <x:c r="J34" s="76" t="str">
        <x:f>IF('01_Form_Temperature'!$O34="Validé humainement",'01_Form_Temperature'!J34,"")</x:f>
      </x:c>
      <x:c r="K34" s="76" t="str">
        <x:f>IF('01_Form_Temperature'!$O34="Validé humainement",'01_Form_Temperature'!K34,"")</x:f>
      </x:c>
      <x:c r="L34" s="76" t="str">
        <x:f>IF('01_Form_Temperature'!$O34="Validé humainement",'01_Form_Temperature'!L34,"")</x:f>
      </x:c>
      <x:c r="M34" s="76" t="str">
        <x:f>IF('01_Form_Temperature'!$O34="Validé humainement",'01_Form_Temperature'!M34,"")</x:f>
      </x:c>
      <x:c r="N34" s="76" t="str">
        <x:f>IF('01_Form_Temperature'!$O34="Validé humainement",'01_Form_Temperature'!N34,"")</x:f>
      </x:c>
      <x:c r="O34" s="76" t="str">
        <x:f>IF('01_Form_Temperature'!$O34="Validé humainement",'01_Form_Temperature'!O34,"")</x:f>
      </x:c>
      <x:c r="P34" s="76" t="str">
        <x:f>IF('01_Form_Temperature'!$O34="Validé humainement",'01_Form_Temperature'!P34,"")</x:f>
      </x:c>
      <x:c r="Q34" s="78" t="str">
        <x:f>IF('01_Form_Temperature'!$O34="Validé humainement",'01_Form_Temperature'!Q34,"")</x:f>
      </x:c>
      <x:c r="R34" s="76" t="str">
        <x:f>IF('01_Form_Temperature'!$O34="Validé humainement",'01_Form_Temperature'!R34,"")</x:f>
      </x:c>
      <x:c r="S34" s="76" t="str">
        <x:f>IF('01_Form_Temperature'!$O34="Validé humainement",'01_Form_Temperature'!S34,"")</x:f>
      </x:c>
      <x:c r="T34" s="76" t="str">
        <x:f>IF('01_Form_Temperature'!$O34="Validé humainement",'01_Form_Temperature'!T34,"")</x:f>
      </x:c>
    </x:row>
    <x:row r="35">
      <x:c r="A35" s="76" t="str">
        <x:f>IF('01_Form_Temperature'!$O35="Validé humainement",'01_Form_Temperature'!A35,"")</x:f>
      </x:c>
      <x:c r="B35" s="78" t="str">
        <x:f>IF('01_Form_Temperature'!$O35="Validé humainement",'01_Form_Temperature'!B35,"")</x:f>
      </x:c>
      <x:c r="C35" s="76" t="str">
        <x:f>IF('01_Form_Temperature'!$O35="Validé humainement",'01_Form_Temperature'!C35,"")</x:f>
      </x:c>
      <x:c r="D35" s="76" t="str">
        <x:f>IF('01_Form_Temperature'!$O35="Validé humainement",'01_Form_Temperature'!D35,"")</x:f>
      </x:c>
      <x:c r="E35" s="76" t="str">
        <x:f>IF('01_Form_Temperature'!$O35="Validé humainement",'01_Form_Temperature'!E35,"")</x:f>
      </x:c>
      <x:c r="F35" s="76" t="str">
        <x:f>IF('01_Form_Temperature'!$O35="Validé humainement",'01_Form_Temperature'!F35,"")</x:f>
      </x:c>
      <x:c r="G35" s="79" t="str">
        <x:f>IF('01_Form_Temperature'!$O35="Validé humainement",'01_Form_Temperature'!G35,"")</x:f>
      </x:c>
      <x:c r="H35" s="79" t="str">
        <x:f>IF('01_Form_Temperature'!$O35="Validé humainement",'01_Form_Temperature'!H35,"")</x:f>
      </x:c>
      <x:c r="I35" s="79" t="str">
        <x:f>IF('01_Form_Temperature'!$O35="Validé humainement",'01_Form_Temperature'!I35,"")</x:f>
      </x:c>
      <x:c r="J35" s="76" t="str">
        <x:f>IF('01_Form_Temperature'!$O35="Validé humainement",'01_Form_Temperature'!J35,"")</x:f>
      </x:c>
      <x:c r="K35" s="76" t="str">
        <x:f>IF('01_Form_Temperature'!$O35="Validé humainement",'01_Form_Temperature'!K35,"")</x:f>
      </x:c>
      <x:c r="L35" s="76" t="str">
        <x:f>IF('01_Form_Temperature'!$O35="Validé humainement",'01_Form_Temperature'!L35,"")</x:f>
      </x:c>
      <x:c r="M35" s="76" t="str">
        <x:f>IF('01_Form_Temperature'!$O35="Validé humainement",'01_Form_Temperature'!M35,"")</x:f>
      </x:c>
      <x:c r="N35" s="76" t="str">
        <x:f>IF('01_Form_Temperature'!$O35="Validé humainement",'01_Form_Temperature'!N35,"")</x:f>
      </x:c>
      <x:c r="O35" s="76" t="str">
        <x:f>IF('01_Form_Temperature'!$O35="Validé humainement",'01_Form_Temperature'!O35,"")</x:f>
      </x:c>
      <x:c r="P35" s="76" t="str">
        <x:f>IF('01_Form_Temperature'!$O35="Validé humainement",'01_Form_Temperature'!P35,"")</x:f>
      </x:c>
      <x:c r="Q35" s="78" t="str">
        <x:f>IF('01_Form_Temperature'!$O35="Validé humainement",'01_Form_Temperature'!Q35,"")</x:f>
      </x:c>
      <x:c r="R35" s="76" t="str">
        <x:f>IF('01_Form_Temperature'!$O35="Validé humainement",'01_Form_Temperature'!R35,"")</x:f>
      </x:c>
      <x:c r="S35" s="76" t="str">
        <x:f>IF('01_Form_Temperature'!$O35="Validé humainement",'01_Form_Temperature'!S35,"")</x:f>
      </x:c>
      <x:c r="T35" s="76" t="str">
        <x:f>IF('01_Form_Temperature'!$O35="Validé humainement",'01_Form_Temperature'!T35,"")</x:f>
      </x:c>
    </x:row>
    <x:row r="36">
      <x:c r="A36" s="76" t="str">
        <x:f>IF('01_Form_Temperature'!$O36="Validé humainement",'01_Form_Temperature'!A36,"")</x:f>
      </x:c>
      <x:c r="B36" s="78" t="str">
        <x:f>IF('01_Form_Temperature'!$O36="Validé humainement",'01_Form_Temperature'!B36,"")</x:f>
      </x:c>
      <x:c r="C36" s="76" t="str">
        <x:f>IF('01_Form_Temperature'!$O36="Validé humainement",'01_Form_Temperature'!C36,"")</x:f>
      </x:c>
      <x:c r="D36" s="76" t="str">
        <x:f>IF('01_Form_Temperature'!$O36="Validé humainement",'01_Form_Temperature'!D36,"")</x:f>
      </x:c>
      <x:c r="E36" s="76" t="str">
        <x:f>IF('01_Form_Temperature'!$O36="Validé humainement",'01_Form_Temperature'!E36,"")</x:f>
      </x:c>
      <x:c r="F36" s="76" t="str">
        <x:f>IF('01_Form_Temperature'!$O36="Validé humainement",'01_Form_Temperature'!F36,"")</x:f>
      </x:c>
      <x:c r="G36" s="79" t="str">
        <x:f>IF('01_Form_Temperature'!$O36="Validé humainement",'01_Form_Temperature'!G36,"")</x:f>
      </x:c>
      <x:c r="H36" s="79" t="str">
        <x:f>IF('01_Form_Temperature'!$O36="Validé humainement",'01_Form_Temperature'!H36,"")</x:f>
      </x:c>
      <x:c r="I36" s="79" t="str">
        <x:f>IF('01_Form_Temperature'!$O36="Validé humainement",'01_Form_Temperature'!I36,"")</x:f>
      </x:c>
      <x:c r="J36" s="76" t="str">
        <x:f>IF('01_Form_Temperature'!$O36="Validé humainement",'01_Form_Temperature'!J36,"")</x:f>
      </x:c>
      <x:c r="K36" s="76" t="str">
        <x:f>IF('01_Form_Temperature'!$O36="Validé humainement",'01_Form_Temperature'!K36,"")</x:f>
      </x:c>
      <x:c r="L36" s="76" t="str">
        <x:f>IF('01_Form_Temperature'!$O36="Validé humainement",'01_Form_Temperature'!L36,"")</x:f>
      </x:c>
      <x:c r="M36" s="76" t="str">
        <x:f>IF('01_Form_Temperature'!$O36="Validé humainement",'01_Form_Temperature'!M36,"")</x:f>
      </x:c>
      <x:c r="N36" s="76" t="str">
        <x:f>IF('01_Form_Temperature'!$O36="Validé humainement",'01_Form_Temperature'!N36,"")</x:f>
      </x:c>
      <x:c r="O36" s="76" t="str">
        <x:f>IF('01_Form_Temperature'!$O36="Validé humainement",'01_Form_Temperature'!O36,"")</x:f>
      </x:c>
      <x:c r="P36" s="76" t="str">
        <x:f>IF('01_Form_Temperature'!$O36="Validé humainement",'01_Form_Temperature'!P36,"")</x:f>
      </x:c>
      <x:c r="Q36" s="78" t="str">
        <x:f>IF('01_Form_Temperature'!$O36="Validé humainement",'01_Form_Temperature'!Q36,"")</x:f>
      </x:c>
      <x:c r="R36" s="76" t="str">
        <x:f>IF('01_Form_Temperature'!$O36="Validé humainement",'01_Form_Temperature'!R36,"")</x:f>
      </x:c>
      <x:c r="S36" s="76" t="str">
        <x:f>IF('01_Form_Temperature'!$O36="Validé humainement",'01_Form_Temperature'!S36,"")</x:f>
      </x:c>
      <x:c r="T36" s="76" t="str">
        <x:f>IF('01_Form_Temperature'!$O36="Validé humainement",'01_Form_Temperature'!T36,"")</x:f>
      </x:c>
    </x:row>
    <x:row r="37">
      <x:c r="A37" s="76" t="str">
        <x:f>IF('01_Form_Temperature'!$O37="Validé humainement",'01_Form_Temperature'!A37,"")</x:f>
      </x:c>
      <x:c r="B37" s="78" t="str">
        <x:f>IF('01_Form_Temperature'!$O37="Validé humainement",'01_Form_Temperature'!B37,"")</x:f>
      </x:c>
      <x:c r="C37" s="76" t="str">
        <x:f>IF('01_Form_Temperature'!$O37="Validé humainement",'01_Form_Temperature'!C37,"")</x:f>
      </x:c>
      <x:c r="D37" s="76" t="str">
        <x:f>IF('01_Form_Temperature'!$O37="Validé humainement",'01_Form_Temperature'!D37,"")</x:f>
      </x:c>
      <x:c r="E37" s="76" t="str">
        <x:f>IF('01_Form_Temperature'!$O37="Validé humainement",'01_Form_Temperature'!E37,"")</x:f>
      </x:c>
      <x:c r="F37" s="76" t="str">
        <x:f>IF('01_Form_Temperature'!$O37="Validé humainement",'01_Form_Temperature'!F37,"")</x:f>
      </x:c>
      <x:c r="G37" s="79" t="str">
        <x:f>IF('01_Form_Temperature'!$O37="Validé humainement",'01_Form_Temperature'!G37,"")</x:f>
      </x:c>
      <x:c r="H37" s="79" t="str">
        <x:f>IF('01_Form_Temperature'!$O37="Validé humainement",'01_Form_Temperature'!H37,"")</x:f>
      </x:c>
      <x:c r="I37" s="79" t="str">
        <x:f>IF('01_Form_Temperature'!$O37="Validé humainement",'01_Form_Temperature'!I37,"")</x:f>
      </x:c>
      <x:c r="J37" s="76" t="str">
        <x:f>IF('01_Form_Temperature'!$O37="Validé humainement",'01_Form_Temperature'!J37,"")</x:f>
      </x:c>
      <x:c r="K37" s="76" t="str">
        <x:f>IF('01_Form_Temperature'!$O37="Validé humainement",'01_Form_Temperature'!K37,"")</x:f>
      </x:c>
      <x:c r="L37" s="76" t="str">
        <x:f>IF('01_Form_Temperature'!$O37="Validé humainement",'01_Form_Temperature'!L37,"")</x:f>
      </x:c>
      <x:c r="M37" s="76" t="str">
        <x:f>IF('01_Form_Temperature'!$O37="Validé humainement",'01_Form_Temperature'!M37,"")</x:f>
      </x:c>
      <x:c r="N37" s="76" t="str">
        <x:f>IF('01_Form_Temperature'!$O37="Validé humainement",'01_Form_Temperature'!N37,"")</x:f>
      </x:c>
      <x:c r="O37" s="76" t="str">
        <x:f>IF('01_Form_Temperature'!$O37="Validé humainement",'01_Form_Temperature'!O37,"")</x:f>
      </x:c>
      <x:c r="P37" s="76" t="str">
        <x:f>IF('01_Form_Temperature'!$O37="Validé humainement",'01_Form_Temperature'!P37,"")</x:f>
      </x:c>
      <x:c r="Q37" s="78" t="str">
        <x:f>IF('01_Form_Temperature'!$O37="Validé humainement",'01_Form_Temperature'!Q37,"")</x:f>
      </x:c>
      <x:c r="R37" s="76" t="str">
        <x:f>IF('01_Form_Temperature'!$O37="Validé humainement",'01_Form_Temperature'!R37,"")</x:f>
      </x:c>
      <x:c r="S37" s="76" t="str">
        <x:f>IF('01_Form_Temperature'!$O37="Validé humainement",'01_Form_Temperature'!S37,"")</x:f>
      </x:c>
      <x:c r="T37" s="76" t="str">
        <x:f>IF('01_Form_Temperature'!$O37="Validé humainement",'01_Form_Temperature'!T37,"")</x:f>
      </x:c>
    </x:row>
    <x:row r="38">
      <x:c r="A38" s="76" t="str">
        <x:f>IF('01_Form_Temperature'!$O38="Validé humainement",'01_Form_Temperature'!A38,"")</x:f>
      </x:c>
      <x:c r="B38" s="78" t="str">
        <x:f>IF('01_Form_Temperature'!$O38="Validé humainement",'01_Form_Temperature'!B38,"")</x:f>
      </x:c>
      <x:c r="C38" s="76" t="str">
        <x:f>IF('01_Form_Temperature'!$O38="Validé humainement",'01_Form_Temperature'!C38,"")</x:f>
      </x:c>
      <x:c r="D38" s="76" t="str">
        <x:f>IF('01_Form_Temperature'!$O38="Validé humainement",'01_Form_Temperature'!D38,"")</x:f>
      </x:c>
      <x:c r="E38" s="76" t="str">
        <x:f>IF('01_Form_Temperature'!$O38="Validé humainement",'01_Form_Temperature'!E38,"")</x:f>
      </x:c>
      <x:c r="F38" s="76" t="str">
        <x:f>IF('01_Form_Temperature'!$O38="Validé humainement",'01_Form_Temperature'!F38,"")</x:f>
      </x:c>
      <x:c r="G38" s="79" t="str">
        <x:f>IF('01_Form_Temperature'!$O38="Validé humainement",'01_Form_Temperature'!G38,"")</x:f>
      </x:c>
      <x:c r="H38" s="79" t="str">
        <x:f>IF('01_Form_Temperature'!$O38="Validé humainement",'01_Form_Temperature'!H38,"")</x:f>
      </x:c>
      <x:c r="I38" s="79" t="str">
        <x:f>IF('01_Form_Temperature'!$O38="Validé humainement",'01_Form_Temperature'!I38,"")</x:f>
      </x:c>
      <x:c r="J38" s="76" t="str">
        <x:f>IF('01_Form_Temperature'!$O38="Validé humainement",'01_Form_Temperature'!J38,"")</x:f>
      </x:c>
      <x:c r="K38" s="76" t="str">
        <x:f>IF('01_Form_Temperature'!$O38="Validé humainement",'01_Form_Temperature'!K38,"")</x:f>
      </x:c>
      <x:c r="L38" s="76" t="str">
        <x:f>IF('01_Form_Temperature'!$O38="Validé humainement",'01_Form_Temperature'!L38,"")</x:f>
      </x:c>
      <x:c r="M38" s="76" t="str">
        <x:f>IF('01_Form_Temperature'!$O38="Validé humainement",'01_Form_Temperature'!M38,"")</x:f>
      </x:c>
      <x:c r="N38" s="76" t="str">
        <x:f>IF('01_Form_Temperature'!$O38="Validé humainement",'01_Form_Temperature'!N38,"")</x:f>
      </x:c>
      <x:c r="O38" s="76" t="str">
        <x:f>IF('01_Form_Temperature'!$O38="Validé humainement",'01_Form_Temperature'!O38,"")</x:f>
      </x:c>
      <x:c r="P38" s="76" t="str">
        <x:f>IF('01_Form_Temperature'!$O38="Validé humainement",'01_Form_Temperature'!P38,"")</x:f>
      </x:c>
      <x:c r="Q38" s="78" t="str">
        <x:f>IF('01_Form_Temperature'!$O38="Validé humainement",'01_Form_Temperature'!Q38,"")</x:f>
      </x:c>
      <x:c r="R38" s="76" t="str">
        <x:f>IF('01_Form_Temperature'!$O38="Validé humainement",'01_Form_Temperature'!R38,"")</x:f>
      </x:c>
      <x:c r="S38" s="76" t="str">
        <x:f>IF('01_Form_Temperature'!$O38="Validé humainement",'01_Form_Temperature'!S38,"")</x:f>
      </x:c>
      <x:c r="T38" s="76" t="str">
        <x:f>IF('01_Form_Temperature'!$O38="Validé humainement",'01_Form_Temperature'!T38,"")</x:f>
      </x:c>
    </x:row>
    <x:row r="39">
      <x:c r="A39" s="76" t="str">
        <x:f>IF('01_Form_Temperature'!$O39="Validé humainement",'01_Form_Temperature'!A39,"")</x:f>
      </x:c>
      <x:c r="B39" s="78" t="str">
        <x:f>IF('01_Form_Temperature'!$O39="Validé humainement",'01_Form_Temperature'!B39,"")</x:f>
      </x:c>
      <x:c r="C39" s="76" t="str">
        <x:f>IF('01_Form_Temperature'!$O39="Validé humainement",'01_Form_Temperature'!C39,"")</x:f>
      </x:c>
      <x:c r="D39" s="76" t="str">
        <x:f>IF('01_Form_Temperature'!$O39="Validé humainement",'01_Form_Temperature'!D39,"")</x:f>
      </x:c>
      <x:c r="E39" s="76" t="str">
        <x:f>IF('01_Form_Temperature'!$O39="Validé humainement",'01_Form_Temperature'!E39,"")</x:f>
      </x:c>
      <x:c r="F39" s="76" t="str">
        <x:f>IF('01_Form_Temperature'!$O39="Validé humainement",'01_Form_Temperature'!F39,"")</x:f>
      </x:c>
      <x:c r="G39" s="79" t="str">
        <x:f>IF('01_Form_Temperature'!$O39="Validé humainement",'01_Form_Temperature'!G39,"")</x:f>
      </x:c>
      <x:c r="H39" s="79" t="str">
        <x:f>IF('01_Form_Temperature'!$O39="Validé humainement",'01_Form_Temperature'!H39,"")</x:f>
      </x:c>
      <x:c r="I39" s="79" t="str">
        <x:f>IF('01_Form_Temperature'!$O39="Validé humainement",'01_Form_Temperature'!I39,"")</x:f>
      </x:c>
      <x:c r="J39" s="76" t="str">
        <x:f>IF('01_Form_Temperature'!$O39="Validé humainement",'01_Form_Temperature'!J39,"")</x:f>
      </x:c>
      <x:c r="K39" s="76" t="str">
        <x:f>IF('01_Form_Temperature'!$O39="Validé humainement",'01_Form_Temperature'!K39,"")</x:f>
      </x:c>
      <x:c r="L39" s="76" t="str">
        <x:f>IF('01_Form_Temperature'!$O39="Validé humainement",'01_Form_Temperature'!L39,"")</x:f>
      </x:c>
      <x:c r="M39" s="76" t="str">
        <x:f>IF('01_Form_Temperature'!$O39="Validé humainement",'01_Form_Temperature'!M39,"")</x:f>
      </x:c>
      <x:c r="N39" s="76" t="str">
        <x:f>IF('01_Form_Temperature'!$O39="Validé humainement",'01_Form_Temperature'!N39,"")</x:f>
      </x:c>
      <x:c r="O39" s="76" t="str">
        <x:f>IF('01_Form_Temperature'!$O39="Validé humainement",'01_Form_Temperature'!O39,"")</x:f>
      </x:c>
      <x:c r="P39" s="76" t="str">
        <x:f>IF('01_Form_Temperature'!$O39="Validé humainement",'01_Form_Temperature'!P39,"")</x:f>
      </x:c>
      <x:c r="Q39" s="78" t="str">
        <x:f>IF('01_Form_Temperature'!$O39="Validé humainement",'01_Form_Temperature'!Q39,"")</x:f>
      </x:c>
      <x:c r="R39" s="76" t="str">
        <x:f>IF('01_Form_Temperature'!$O39="Validé humainement",'01_Form_Temperature'!R39,"")</x:f>
      </x:c>
      <x:c r="S39" s="76" t="str">
        <x:f>IF('01_Form_Temperature'!$O39="Validé humainement",'01_Form_Temperature'!S39,"")</x:f>
      </x:c>
      <x:c r="T39" s="76" t="str">
        <x:f>IF('01_Form_Temperature'!$O39="Validé humainement",'01_Form_Temperature'!T39,"")</x:f>
      </x:c>
    </x:row>
    <x:row r="40">
      <x:c r="A40" s="76" t="str">
        <x:f>IF('01_Form_Temperature'!$O40="Validé humainement",'01_Form_Temperature'!A40,"")</x:f>
      </x:c>
      <x:c r="B40" s="78" t="str">
        <x:f>IF('01_Form_Temperature'!$O40="Validé humainement",'01_Form_Temperature'!B40,"")</x:f>
      </x:c>
      <x:c r="C40" s="76" t="str">
        <x:f>IF('01_Form_Temperature'!$O40="Validé humainement",'01_Form_Temperature'!C40,"")</x:f>
      </x:c>
      <x:c r="D40" s="76" t="str">
        <x:f>IF('01_Form_Temperature'!$O40="Validé humainement",'01_Form_Temperature'!D40,"")</x:f>
      </x:c>
      <x:c r="E40" s="76" t="str">
        <x:f>IF('01_Form_Temperature'!$O40="Validé humainement",'01_Form_Temperature'!E40,"")</x:f>
      </x:c>
      <x:c r="F40" s="76" t="str">
        <x:f>IF('01_Form_Temperature'!$O40="Validé humainement",'01_Form_Temperature'!F40,"")</x:f>
      </x:c>
      <x:c r="G40" s="79" t="str">
        <x:f>IF('01_Form_Temperature'!$O40="Validé humainement",'01_Form_Temperature'!G40,"")</x:f>
      </x:c>
      <x:c r="H40" s="79" t="str">
        <x:f>IF('01_Form_Temperature'!$O40="Validé humainement",'01_Form_Temperature'!H40,"")</x:f>
      </x:c>
      <x:c r="I40" s="79" t="str">
        <x:f>IF('01_Form_Temperature'!$O40="Validé humainement",'01_Form_Temperature'!I40,"")</x:f>
      </x:c>
      <x:c r="J40" s="76" t="str">
        <x:f>IF('01_Form_Temperature'!$O40="Validé humainement",'01_Form_Temperature'!J40,"")</x:f>
      </x:c>
      <x:c r="K40" s="76" t="str">
        <x:f>IF('01_Form_Temperature'!$O40="Validé humainement",'01_Form_Temperature'!K40,"")</x:f>
      </x:c>
      <x:c r="L40" s="76" t="str">
        <x:f>IF('01_Form_Temperature'!$O40="Validé humainement",'01_Form_Temperature'!L40,"")</x:f>
      </x:c>
      <x:c r="M40" s="76" t="str">
        <x:f>IF('01_Form_Temperature'!$O40="Validé humainement",'01_Form_Temperature'!M40,"")</x:f>
      </x:c>
      <x:c r="N40" s="76" t="str">
        <x:f>IF('01_Form_Temperature'!$O40="Validé humainement",'01_Form_Temperature'!N40,"")</x:f>
      </x:c>
      <x:c r="O40" s="76" t="str">
        <x:f>IF('01_Form_Temperature'!$O40="Validé humainement",'01_Form_Temperature'!O40,"")</x:f>
      </x:c>
      <x:c r="P40" s="76" t="str">
        <x:f>IF('01_Form_Temperature'!$O40="Validé humainement",'01_Form_Temperature'!P40,"")</x:f>
      </x:c>
      <x:c r="Q40" s="78" t="str">
        <x:f>IF('01_Form_Temperature'!$O40="Validé humainement",'01_Form_Temperature'!Q40,"")</x:f>
      </x:c>
      <x:c r="R40" s="76" t="str">
        <x:f>IF('01_Form_Temperature'!$O40="Validé humainement",'01_Form_Temperature'!R40,"")</x:f>
      </x:c>
      <x:c r="S40" s="76" t="str">
        <x:f>IF('01_Form_Temperature'!$O40="Validé humainement",'01_Form_Temperature'!S40,"")</x:f>
      </x:c>
      <x:c r="T40" s="76" t="str">
        <x:f>IF('01_Form_Temperature'!$O40="Validé humainement",'01_Form_Temperature'!T40,"")</x:f>
      </x:c>
    </x:row>
    <x:row r="41">
      <x:c r="A41" s="76" t="str">
        <x:f>IF('01_Form_Temperature'!$O41="Validé humainement",'01_Form_Temperature'!A41,"")</x:f>
      </x:c>
      <x:c r="B41" s="78" t="str">
        <x:f>IF('01_Form_Temperature'!$O41="Validé humainement",'01_Form_Temperature'!B41,"")</x:f>
      </x:c>
      <x:c r="C41" s="76" t="str">
        <x:f>IF('01_Form_Temperature'!$O41="Validé humainement",'01_Form_Temperature'!C41,"")</x:f>
      </x:c>
      <x:c r="D41" s="76" t="str">
        <x:f>IF('01_Form_Temperature'!$O41="Validé humainement",'01_Form_Temperature'!D41,"")</x:f>
      </x:c>
      <x:c r="E41" s="76" t="str">
        <x:f>IF('01_Form_Temperature'!$O41="Validé humainement",'01_Form_Temperature'!E41,"")</x:f>
      </x:c>
      <x:c r="F41" s="76" t="str">
        <x:f>IF('01_Form_Temperature'!$O41="Validé humainement",'01_Form_Temperature'!F41,"")</x:f>
      </x:c>
      <x:c r="G41" s="79" t="str">
        <x:f>IF('01_Form_Temperature'!$O41="Validé humainement",'01_Form_Temperature'!G41,"")</x:f>
      </x:c>
      <x:c r="H41" s="79" t="str">
        <x:f>IF('01_Form_Temperature'!$O41="Validé humainement",'01_Form_Temperature'!H41,"")</x:f>
      </x:c>
      <x:c r="I41" s="79" t="str">
        <x:f>IF('01_Form_Temperature'!$O41="Validé humainement",'01_Form_Temperature'!I41,"")</x:f>
      </x:c>
      <x:c r="J41" s="76" t="str">
        <x:f>IF('01_Form_Temperature'!$O41="Validé humainement",'01_Form_Temperature'!J41,"")</x:f>
      </x:c>
      <x:c r="K41" s="76" t="str">
        <x:f>IF('01_Form_Temperature'!$O41="Validé humainement",'01_Form_Temperature'!K41,"")</x:f>
      </x:c>
      <x:c r="L41" s="76" t="str">
        <x:f>IF('01_Form_Temperature'!$O41="Validé humainement",'01_Form_Temperature'!L41,"")</x:f>
      </x:c>
      <x:c r="M41" s="76" t="str">
        <x:f>IF('01_Form_Temperature'!$O41="Validé humainement",'01_Form_Temperature'!M41,"")</x:f>
      </x:c>
      <x:c r="N41" s="76" t="str">
        <x:f>IF('01_Form_Temperature'!$O41="Validé humainement",'01_Form_Temperature'!N41,"")</x:f>
      </x:c>
      <x:c r="O41" s="76" t="str">
        <x:f>IF('01_Form_Temperature'!$O41="Validé humainement",'01_Form_Temperature'!O41,"")</x:f>
      </x:c>
      <x:c r="P41" s="76" t="str">
        <x:f>IF('01_Form_Temperature'!$O41="Validé humainement",'01_Form_Temperature'!P41,"")</x:f>
      </x:c>
      <x:c r="Q41" s="78" t="str">
        <x:f>IF('01_Form_Temperature'!$O41="Validé humainement",'01_Form_Temperature'!Q41,"")</x:f>
      </x:c>
      <x:c r="R41" s="76" t="str">
        <x:f>IF('01_Form_Temperature'!$O41="Validé humainement",'01_Form_Temperature'!R41,"")</x:f>
      </x:c>
      <x:c r="S41" s="76" t="str">
        <x:f>IF('01_Form_Temperature'!$O41="Validé humainement",'01_Form_Temperature'!S41,"")</x:f>
      </x:c>
      <x:c r="T41" s="76" t="str">
        <x:f>IF('01_Form_Temperature'!$O41="Validé humainement",'01_Form_Temperature'!T41,"")</x:f>
      </x:c>
    </x:row>
    <x:row r="42">
      <x:c r="A42" s="76" t="str">
        <x:f>IF('01_Form_Temperature'!$O42="Validé humainement",'01_Form_Temperature'!A42,"")</x:f>
      </x:c>
      <x:c r="B42" s="78" t="str">
        <x:f>IF('01_Form_Temperature'!$O42="Validé humainement",'01_Form_Temperature'!B42,"")</x:f>
      </x:c>
      <x:c r="C42" s="76" t="str">
        <x:f>IF('01_Form_Temperature'!$O42="Validé humainement",'01_Form_Temperature'!C42,"")</x:f>
      </x:c>
      <x:c r="D42" s="76" t="str">
        <x:f>IF('01_Form_Temperature'!$O42="Validé humainement",'01_Form_Temperature'!D42,"")</x:f>
      </x:c>
      <x:c r="E42" s="76" t="str">
        <x:f>IF('01_Form_Temperature'!$O42="Validé humainement",'01_Form_Temperature'!E42,"")</x:f>
      </x:c>
      <x:c r="F42" s="76" t="str">
        <x:f>IF('01_Form_Temperature'!$O42="Validé humainement",'01_Form_Temperature'!F42,"")</x:f>
      </x:c>
      <x:c r="G42" s="79" t="str">
        <x:f>IF('01_Form_Temperature'!$O42="Validé humainement",'01_Form_Temperature'!G42,"")</x:f>
      </x:c>
      <x:c r="H42" s="79" t="str">
        <x:f>IF('01_Form_Temperature'!$O42="Validé humainement",'01_Form_Temperature'!H42,"")</x:f>
      </x:c>
      <x:c r="I42" s="79" t="str">
        <x:f>IF('01_Form_Temperature'!$O42="Validé humainement",'01_Form_Temperature'!I42,"")</x:f>
      </x:c>
      <x:c r="J42" s="76" t="str">
        <x:f>IF('01_Form_Temperature'!$O42="Validé humainement",'01_Form_Temperature'!J42,"")</x:f>
      </x:c>
      <x:c r="K42" s="76" t="str">
        <x:f>IF('01_Form_Temperature'!$O42="Validé humainement",'01_Form_Temperature'!K42,"")</x:f>
      </x:c>
      <x:c r="L42" s="76" t="str">
        <x:f>IF('01_Form_Temperature'!$O42="Validé humainement",'01_Form_Temperature'!L42,"")</x:f>
      </x:c>
      <x:c r="M42" s="76" t="str">
        <x:f>IF('01_Form_Temperature'!$O42="Validé humainement",'01_Form_Temperature'!M42,"")</x:f>
      </x:c>
      <x:c r="N42" s="76" t="str">
        <x:f>IF('01_Form_Temperature'!$O42="Validé humainement",'01_Form_Temperature'!N42,"")</x:f>
      </x:c>
      <x:c r="O42" s="76" t="str">
        <x:f>IF('01_Form_Temperature'!$O42="Validé humainement",'01_Form_Temperature'!O42,"")</x:f>
      </x:c>
      <x:c r="P42" s="76" t="str">
        <x:f>IF('01_Form_Temperature'!$O42="Validé humainement",'01_Form_Temperature'!P42,"")</x:f>
      </x:c>
      <x:c r="Q42" s="78" t="str">
        <x:f>IF('01_Form_Temperature'!$O42="Validé humainement",'01_Form_Temperature'!Q42,"")</x:f>
      </x:c>
      <x:c r="R42" s="76" t="str">
        <x:f>IF('01_Form_Temperature'!$O42="Validé humainement",'01_Form_Temperature'!R42,"")</x:f>
      </x:c>
      <x:c r="S42" s="76" t="str">
        <x:f>IF('01_Form_Temperature'!$O42="Validé humainement",'01_Form_Temperature'!S42,"")</x:f>
      </x:c>
      <x:c r="T42" s="76" t="str">
        <x:f>IF('01_Form_Temperature'!$O42="Validé humainement",'01_Form_Temperature'!T42,"")</x:f>
      </x:c>
    </x:row>
    <x:row r="43">
      <x:c r="A43" s="76" t="str">
        <x:f>IF('01_Form_Temperature'!$O43="Validé humainement",'01_Form_Temperature'!A43,"")</x:f>
      </x:c>
      <x:c r="B43" s="78" t="str">
        <x:f>IF('01_Form_Temperature'!$O43="Validé humainement",'01_Form_Temperature'!B43,"")</x:f>
      </x:c>
      <x:c r="C43" s="76" t="str">
        <x:f>IF('01_Form_Temperature'!$O43="Validé humainement",'01_Form_Temperature'!C43,"")</x:f>
      </x:c>
      <x:c r="D43" s="76" t="str">
        <x:f>IF('01_Form_Temperature'!$O43="Validé humainement",'01_Form_Temperature'!D43,"")</x:f>
      </x:c>
      <x:c r="E43" s="76" t="str">
        <x:f>IF('01_Form_Temperature'!$O43="Validé humainement",'01_Form_Temperature'!E43,"")</x:f>
      </x:c>
      <x:c r="F43" s="76" t="str">
        <x:f>IF('01_Form_Temperature'!$O43="Validé humainement",'01_Form_Temperature'!F43,"")</x:f>
      </x:c>
      <x:c r="G43" s="79" t="str">
        <x:f>IF('01_Form_Temperature'!$O43="Validé humainement",'01_Form_Temperature'!G43,"")</x:f>
      </x:c>
      <x:c r="H43" s="79" t="str">
        <x:f>IF('01_Form_Temperature'!$O43="Validé humainement",'01_Form_Temperature'!H43,"")</x:f>
      </x:c>
      <x:c r="I43" s="79" t="str">
        <x:f>IF('01_Form_Temperature'!$O43="Validé humainement",'01_Form_Temperature'!I43,"")</x:f>
      </x:c>
      <x:c r="J43" s="76" t="str">
        <x:f>IF('01_Form_Temperature'!$O43="Validé humainement",'01_Form_Temperature'!J43,"")</x:f>
      </x:c>
      <x:c r="K43" s="76" t="str">
        <x:f>IF('01_Form_Temperature'!$O43="Validé humainement",'01_Form_Temperature'!K43,"")</x:f>
      </x:c>
      <x:c r="L43" s="76" t="str">
        <x:f>IF('01_Form_Temperature'!$O43="Validé humainement",'01_Form_Temperature'!L43,"")</x:f>
      </x:c>
      <x:c r="M43" s="76" t="str">
        <x:f>IF('01_Form_Temperature'!$O43="Validé humainement",'01_Form_Temperature'!M43,"")</x:f>
      </x:c>
      <x:c r="N43" s="76" t="str">
        <x:f>IF('01_Form_Temperature'!$O43="Validé humainement",'01_Form_Temperature'!N43,"")</x:f>
      </x:c>
      <x:c r="O43" s="76" t="str">
        <x:f>IF('01_Form_Temperature'!$O43="Validé humainement",'01_Form_Temperature'!O43,"")</x:f>
      </x:c>
      <x:c r="P43" s="76" t="str">
        <x:f>IF('01_Form_Temperature'!$O43="Validé humainement",'01_Form_Temperature'!P43,"")</x:f>
      </x:c>
      <x:c r="Q43" s="78" t="str">
        <x:f>IF('01_Form_Temperature'!$O43="Validé humainement",'01_Form_Temperature'!Q43,"")</x:f>
      </x:c>
      <x:c r="R43" s="76" t="str">
        <x:f>IF('01_Form_Temperature'!$O43="Validé humainement",'01_Form_Temperature'!R43,"")</x:f>
      </x:c>
      <x:c r="S43" s="76" t="str">
        <x:f>IF('01_Form_Temperature'!$O43="Validé humainement",'01_Form_Temperature'!S43,"")</x:f>
      </x:c>
      <x:c r="T43" s="76" t="str">
        <x:f>IF('01_Form_Temperature'!$O43="Validé humainement",'01_Form_Temperature'!T43,"")</x:f>
      </x:c>
    </x:row>
    <x:row r="44">
      <x:c r="A44" s="76" t="str">
        <x:f>IF('01_Form_Temperature'!$O44="Validé humainement",'01_Form_Temperature'!A44,"")</x:f>
      </x:c>
      <x:c r="B44" s="78" t="str">
        <x:f>IF('01_Form_Temperature'!$O44="Validé humainement",'01_Form_Temperature'!B44,"")</x:f>
      </x:c>
      <x:c r="C44" s="76" t="str">
        <x:f>IF('01_Form_Temperature'!$O44="Validé humainement",'01_Form_Temperature'!C44,"")</x:f>
      </x:c>
      <x:c r="D44" s="76" t="str">
        <x:f>IF('01_Form_Temperature'!$O44="Validé humainement",'01_Form_Temperature'!D44,"")</x:f>
      </x:c>
      <x:c r="E44" s="76" t="str">
        <x:f>IF('01_Form_Temperature'!$O44="Validé humainement",'01_Form_Temperature'!E44,"")</x:f>
      </x:c>
      <x:c r="F44" s="76" t="str">
        <x:f>IF('01_Form_Temperature'!$O44="Validé humainement",'01_Form_Temperature'!F44,"")</x:f>
      </x:c>
      <x:c r="G44" s="79" t="str">
        <x:f>IF('01_Form_Temperature'!$O44="Validé humainement",'01_Form_Temperature'!G44,"")</x:f>
      </x:c>
      <x:c r="H44" s="79" t="str">
        <x:f>IF('01_Form_Temperature'!$O44="Validé humainement",'01_Form_Temperature'!H44,"")</x:f>
      </x:c>
      <x:c r="I44" s="79" t="str">
        <x:f>IF('01_Form_Temperature'!$O44="Validé humainement",'01_Form_Temperature'!I44,"")</x:f>
      </x:c>
      <x:c r="J44" s="76" t="str">
        <x:f>IF('01_Form_Temperature'!$O44="Validé humainement",'01_Form_Temperature'!J44,"")</x:f>
      </x:c>
      <x:c r="K44" s="76" t="str">
        <x:f>IF('01_Form_Temperature'!$O44="Validé humainement",'01_Form_Temperature'!K44,"")</x:f>
      </x:c>
      <x:c r="L44" s="76" t="str">
        <x:f>IF('01_Form_Temperature'!$O44="Validé humainement",'01_Form_Temperature'!L44,"")</x:f>
      </x:c>
      <x:c r="M44" s="76" t="str">
        <x:f>IF('01_Form_Temperature'!$O44="Validé humainement",'01_Form_Temperature'!M44,"")</x:f>
      </x:c>
      <x:c r="N44" s="76" t="str">
        <x:f>IF('01_Form_Temperature'!$O44="Validé humainement",'01_Form_Temperature'!N44,"")</x:f>
      </x:c>
      <x:c r="O44" s="76" t="str">
        <x:f>IF('01_Form_Temperature'!$O44="Validé humainement",'01_Form_Temperature'!O44,"")</x:f>
      </x:c>
      <x:c r="P44" s="76" t="str">
        <x:f>IF('01_Form_Temperature'!$O44="Validé humainement",'01_Form_Temperature'!P44,"")</x:f>
      </x:c>
      <x:c r="Q44" s="78" t="str">
        <x:f>IF('01_Form_Temperature'!$O44="Validé humainement",'01_Form_Temperature'!Q44,"")</x:f>
      </x:c>
      <x:c r="R44" s="76" t="str">
        <x:f>IF('01_Form_Temperature'!$O44="Validé humainement",'01_Form_Temperature'!R44,"")</x:f>
      </x:c>
      <x:c r="S44" s="76" t="str">
        <x:f>IF('01_Form_Temperature'!$O44="Validé humainement",'01_Form_Temperature'!S44,"")</x:f>
      </x:c>
      <x:c r="T44" s="76" t="str">
        <x:f>IF('01_Form_Temperature'!$O44="Validé humainement",'01_Form_Temperature'!T44,"")</x:f>
      </x:c>
    </x:row>
    <x:row r="45">
      <x:c r="A45" s="76" t="str">
        <x:f>IF('01_Form_Temperature'!$O45="Validé humainement",'01_Form_Temperature'!A45,"")</x:f>
      </x:c>
      <x:c r="B45" s="78" t="str">
        <x:f>IF('01_Form_Temperature'!$O45="Validé humainement",'01_Form_Temperature'!B45,"")</x:f>
      </x:c>
      <x:c r="C45" s="76" t="str">
        <x:f>IF('01_Form_Temperature'!$O45="Validé humainement",'01_Form_Temperature'!C45,"")</x:f>
      </x:c>
      <x:c r="D45" s="76" t="str">
        <x:f>IF('01_Form_Temperature'!$O45="Validé humainement",'01_Form_Temperature'!D45,"")</x:f>
      </x:c>
      <x:c r="E45" s="76" t="str">
        <x:f>IF('01_Form_Temperature'!$O45="Validé humainement",'01_Form_Temperature'!E45,"")</x:f>
      </x:c>
      <x:c r="F45" s="76" t="str">
        <x:f>IF('01_Form_Temperature'!$O45="Validé humainement",'01_Form_Temperature'!F45,"")</x:f>
      </x:c>
      <x:c r="G45" s="79" t="str">
        <x:f>IF('01_Form_Temperature'!$O45="Validé humainement",'01_Form_Temperature'!G45,"")</x:f>
      </x:c>
      <x:c r="H45" s="79" t="str">
        <x:f>IF('01_Form_Temperature'!$O45="Validé humainement",'01_Form_Temperature'!H45,"")</x:f>
      </x:c>
      <x:c r="I45" s="79" t="str">
        <x:f>IF('01_Form_Temperature'!$O45="Validé humainement",'01_Form_Temperature'!I45,"")</x:f>
      </x:c>
      <x:c r="J45" s="76" t="str">
        <x:f>IF('01_Form_Temperature'!$O45="Validé humainement",'01_Form_Temperature'!J45,"")</x:f>
      </x:c>
      <x:c r="K45" s="76" t="str">
        <x:f>IF('01_Form_Temperature'!$O45="Validé humainement",'01_Form_Temperature'!K45,"")</x:f>
      </x:c>
      <x:c r="L45" s="76" t="str">
        <x:f>IF('01_Form_Temperature'!$O45="Validé humainement",'01_Form_Temperature'!L45,"")</x:f>
      </x:c>
      <x:c r="M45" s="76" t="str">
        <x:f>IF('01_Form_Temperature'!$O45="Validé humainement",'01_Form_Temperature'!M45,"")</x:f>
      </x:c>
      <x:c r="N45" s="76" t="str">
        <x:f>IF('01_Form_Temperature'!$O45="Validé humainement",'01_Form_Temperature'!N45,"")</x:f>
      </x:c>
      <x:c r="O45" s="76" t="str">
        <x:f>IF('01_Form_Temperature'!$O45="Validé humainement",'01_Form_Temperature'!O45,"")</x:f>
      </x:c>
      <x:c r="P45" s="76" t="str">
        <x:f>IF('01_Form_Temperature'!$O45="Validé humainement",'01_Form_Temperature'!P45,"")</x:f>
      </x:c>
      <x:c r="Q45" s="78" t="str">
        <x:f>IF('01_Form_Temperature'!$O45="Validé humainement",'01_Form_Temperature'!Q45,"")</x:f>
      </x:c>
      <x:c r="R45" s="76" t="str">
        <x:f>IF('01_Form_Temperature'!$O45="Validé humainement",'01_Form_Temperature'!R45,"")</x:f>
      </x:c>
      <x:c r="S45" s="76" t="str">
        <x:f>IF('01_Form_Temperature'!$O45="Validé humainement",'01_Form_Temperature'!S45,"")</x:f>
      </x:c>
      <x:c r="T45" s="76" t="str">
        <x:f>IF('01_Form_Temperature'!$O45="Validé humainement",'01_Form_Temperature'!T45,"")</x:f>
      </x:c>
    </x:row>
    <x:row r="46">
      <x:c r="A46" s="76" t="str">
        <x:f>IF('01_Form_Temperature'!$O46="Validé humainement",'01_Form_Temperature'!A46,"")</x:f>
      </x:c>
      <x:c r="B46" s="78" t="str">
        <x:f>IF('01_Form_Temperature'!$O46="Validé humainement",'01_Form_Temperature'!B46,"")</x:f>
      </x:c>
      <x:c r="C46" s="76" t="str">
        <x:f>IF('01_Form_Temperature'!$O46="Validé humainement",'01_Form_Temperature'!C46,"")</x:f>
      </x:c>
      <x:c r="D46" s="76" t="str">
        <x:f>IF('01_Form_Temperature'!$O46="Validé humainement",'01_Form_Temperature'!D46,"")</x:f>
      </x:c>
      <x:c r="E46" s="76" t="str">
        <x:f>IF('01_Form_Temperature'!$O46="Validé humainement",'01_Form_Temperature'!E46,"")</x:f>
      </x:c>
      <x:c r="F46" s="76" t="str">
        <x:f>IF('01_Form_Temperature'!$O46="Validé humainement",'01_Form_Temperature'!F46,"")</x:f>
      </x:c>
      <x:c r="G46" s="79" t="str">
        <x:f>IF('01_Form_Temperature'!$O46="Validé humainement",'01_Form_Temperature'!G46,"")</x:f>
      </x:c>
      <x:c r="H46" s="79" t="str">
        <x:f>IF('01_Form_Temperature'!$O46="Validé humainement",'01_Form_Temperature'!H46,"")</x:f>
      </x:c>
      <x:c r="I46" s="79" t="str">
        <x:f>IF('01_Form_Temperature'!$O46="Validé humainement",'01_Form_Temperature'!I46,"")</x:f>
      </x:c>
      <x:c r="J46" s="76" t="str">
        <x:f>IF('01_Form_Temperature'!$O46="Validé humainement",'01_Form_Temperature'!J46,"")</x:f>
      </x:c>
      <x:c r="K46" s="76" t="str">
        <x:f>IF('01_Form_Temperature'!$O46="Validé humainement",'01_Form_Temperature'!K46,"")</x:f>
      </x:c>
      <x:c r="L46" s="76" t="str">
        <x:f>IF('01_Form_Temperature'!$O46="Validé humainement",'01_Form_Temperature'!L46,"")</x:f>
      </x:c>
      <x:c r="M46" s="76" t="str">
        <x:f>IF('01_Form_Temperature'!$O46="Validé humainement",'01_Form_Temperature'!M46,"")</x:f>
      </x:c>
      <x:c r="N46" s="76" t="str">
        <x:f>IF('01_Form_Temperature'!$O46="Validé humainement",'01_Form_Temperature'!N46,"")</x:f>
      </x:c>
      <x:c r="O46" s="76" t="str">
        <x:f>IF('01_Form_Temperature'!$O46="Validé humainement",'01_Form_Temperature'!O46,"")</x:f>
      </x:c>
      <x:c r="P46" s="76" t="str">
        <x:f>IF('01_Form_Temperature'!$O46="Validé humainement",'01_Form_Temperature'!P46,"")</x:f>
      </x:c>
      <x:c r="Q46" s="78" t="str">
        <x:f>IF('01_Form_Temperature'!$O46="Validé humainement",'01_Form_Temperature'!Q46,"")</x:f>
      </x:c>
      <x:c r="R46" s="76" t="str">
        <x:f>IF('01_Form_Temperature'!$O46="Validé humainement",'01_Form_Temperature'!R46,"")</x:f>
      </x:c>
      <x:c r="S46" s="76" t="str">
        <x:f>IF('01_Form_Temperature'!$O46="Validé humainement",'01_Form_Temperature'!S46,"")</x:f>
      </x:c>
      <x:c r="T46" s="76" t="str">
        <x:f>IF('01_Form_Temperature'!$O46="Validé humainement",'01_Form_Temperature'!T46,"")</x:f>
      </x:c>
    </x:row>
    <x:row r="47">
      <x:c r="A47" s="76" t="str">
        <x:f>IF('01_Form_Temperature'!$O47="Validé humainement",'01_Form_Temperature'!A47,"")</x:f>
      </x:c>
      <x:c r="B47" s="78" t="str">
        <x:f>IF('01_Form_Temperature'!$O47="Validé humainement",'01_Form_Temperature'!B47,"")</x:f>
      </x:c>
      <x:c r="C47" s="76" t="str">
        <x:f>IF('01_Form_Temperature'!$O47="Validé humainement",'01_Form_Temperature'!C47,"")</x:f>
      </x:c>
      <x:c r="D47" s="76" t="str">
        <x:f>IF('01_Form_Temperature'!$O47="Validé humainement",'01_Form_Temperature'!D47,"")</x:f>
      </x:c>
      <x:c r="E47" s="76" t="str">
        <x:f>IF('01_Form_Temperature'!$O47="Validé humainement",'01_Form_Temperature'!E47,"")</x:f>
      </x:c>
      <x:c r="F47" s="76" t="str">
        <x:f>IF('01_Form_Temperature'!$O47="Validé humainement",'01_Form_Temperature'!F47,"")</x:f>
      </x:c>
      <x:c r="G47" s="79" t="str">
        <x:f>IF('01_Form_Temperature'!$O47="Validé humainement",'01_Form_Temperature'!G47,"")</x:f>
      </x:c>
      <x:c r="H47" s="79" t="str">
        <x:f>IF('01_Form_Temperature'!$O47="Validé humainement",'01_Form_Temperature'!H47,"")</x:f>
      </x:c>
      <x:c r="I47" s="79" t="str">
        <x:f>IF('01_Form_Temperature'!$O47="Validé humainement",'01_Form_Temperature'!I47,"")</x:f>
      </x:c>
      <x:c r="J47" s="76" t="str">
        <x:f>IF('01_Form_Temperature'!$O47="Validé humainement",'01_Form_Temperature'!J47,"")</x:f>
      </x:c>
      <x:c r="K47" s="76" t="str">
        <x:f>IF('01_Form_Temperature'!$O47="Validé humainement",'01_Form_Temperature'!K47,"")</x:f>
      </x:c>
      <x:c r="L47" s="76" t="str">
        <x:f>IF('01_Form_Temperature'!$O47="Validé humainement",'01_Form_Temperature'!L47,"")</x:f>
      </x:c>
      <x:c r="M47" s="76" t="str">
        <x:f>IF('01_Form_Temperature'!$O47="Validé humainement",'01_Form_Temperature'!M47,"")</x:f>
      </x:c>
      <x:c r="N47" s="76" t="str">
        <x:f>IF('01_Form_Temperature'!$O47="Validé humainement",'01_Form_Temperature'!N47,"")</x:f>
      </x:c>
      <x:c r="O47" s="76" t="str">
        <x:f>IF('01_Form_Temperature'!$O47="Validé humainement",'01_Form_Temperature'!O47,"")</x:f>
      </x:c>
      <x:c r="P47" s="76" t="str">
        <x:f>IF('01_Form_Temperature'!$O47="Validé humainement",'01_Form_Temperature'!P47,"")</x:f>
      </x:c>
      <x:c r="Q47" s="78" t="str">
        <x:f>IF('01_Form_Temperature'!$O47="Validé humainement",'01_Form_Temperature'!Q47,"")</x:f>
      </x:c>
      <x:c r="R47" s="76" t="str">
        <x:f>IF('01_Form_Temperature'!$O47="Validé humainement",'01_Form_Temperature'!R47,"")</x:f>
      </x:c>
      <x:c r="S47" s="76" t="str">
        <x:f>IF('01_Form_Temperature'!$O47="Validé humainement",'01_Form_Temperature'!S47,"")</x:f>
      </x:c>
      <x:c r="T47" s="76" t="str">
        <x:f>IF('01_Form_Temperature'!$O47="Validé humainement",'01_Form_Temperature'!T47,"")</x:f>
      </x:c>
    </x:row>
    <x:row r="48">
      <x:c r="A48" s="76" t="str">
        <x:f>IF('01_Form_Temperature'!$O48="Validé humainement",'01_Form_Temperature'!A48,"")</x:f>
      </x:c>
      <x:c r="B48" s="78" t="str">
        <x:f>IF('01_Form_Temperature'!$O48="Validé humainement",'01_Form_Temperature'!B48,"")</x:f>
      </x:c>
      <x:c r="C48" s="76" t="str">
        <x:f>IF('01_Form_Temperature'!$O48="Validé humainement",'01_Form_Temperature'!C48,"")</x:f>
      </x:c>
      <x:c r="D48" s="76" t="str">
        <x:f>IF('01_Form_Temperature'!$O48="Validé humainement",'01_Form_Temperature'!D48,"")</x:f>
      </x:c>
      <x:c r="E48" s="76" t="str">
        <x:f>IF('01_Form_Temperature'!$O48="Validé humainement",'01_Form_Temperature'!E48,"")</x:f>
      </x:c>
      <x:c r="F48" s="76" t="str">
        <x:f>IF('01_Form_Temperature'!$O48="Validé humainement",'01_Form_Temperature'!F48,"")</x:f>
      </x:c>
      <x:c r="G48" s="79" t="str">
        <x:f>IF('01_Form_Temperature'!$O48="Validé humainement",'01_Form_Temperature'!G48,"")</x:f>
      </x:c>
      <x:c r="H48" s="79" t="str">
        <x:f>IF('01_Form_Temperature'!$O48="Validé humainement",'01_Form_Temperature'!H48,"")</x:f>
      </x:c>
      <x:c r="I48" s="79" t="str">
        <x:f>IF('01_Form_Temperature'!$O48="Validé humainement",'01_Form_Temperature'!I48,"")</x:f>
      </x:c>
      <x:c r="J48" s="76" t="str">
        <x:f>IF('01_Form_Temperature'!$O48="Validé humainement",'01_Form_Temperature'!J48,"")</x:f>
      </x:c>
      <x:c r="K48" s="76" t="str">
        <x:f>IF('01_Form_Temperature'!$O48="Validé humainement",'01_Form_Temperature'!K48,"")</x:f>
      </x:c>
      <x:c r="L48" s="76" t="str">
        <x:f>IF('01_Form_Temperature'!$O48="Validé humainement",'01_Form_Temperature'!L48,"")</x:f>
      </x:c>
      <x:c r="M48" s="76" t="str">
        <x:f>IF('01_Form_Temperature'!$O48="Validé humainement",'01_Form_Temperature'!M48,"")</x:f>
      </x:c>
      <x:c r="N48" s="76" t="str">
        <x:f>IF('01_Form_Temperature'!$O48="Validé humainement",'01_Form_Temperature'!N48,"")</x:f>
      </x:c>
      <x:c r="O48" s="76" t="str">
        <x:f>IF('01_Form_Temperature'!$O48="Validé humainement",'01_Form_Temperature'!O48,"")</x:f>
      </x:c>
      <x:c r="P48" s="76" t="str">
        <x:f>IF('01_Form_Temperature'!$O48="Validé humainement",'01_Form_Temperature'!P48,"")</x:f>
      </x:c>
      <x:c r="Q48" s="78" t="str">
        <x:f>IF('01_Form_Temperature'!$O48="Validé humainement",'01_Form_Temperature'!Q48,"")</x:f>
      </x:c>
      <x:c r="R48" s="76" t="str">
        <x:f>IF('01_Form_Temperature'!$O48="Validé humainement",'01_Form_Temperature'!R48,"")</x:f>
      </x:c>
      <x:c r="S48" s="76" t="str">
        <x:f>IF('01_Form_Temperature'!$O48="Validé humainement",'01_Form_Temperature'!S48,"")</x:f>
      </x:c>
      <x:c r="T48" s="76" t="str">
        <x:f>IF('01_Form_Temperature'!$O48="Validé humainement",'01_Form_Temperature'!T48,"")</x:f>
      </x:c>
    </x:row>
    <x:row r="49">
      <x:c r="A49" s="76" t="str">
        <x:f>IF('01_Form_Temperature'!$O49="Validé humainement",'01_Form_Temperature'!A49,"")</x:f>
      </x:c>
      <x:c r="B49" s="78" t="str">
        <x:f>IF('01_Form_Temperature'!$O49="Validé humainement",'01_Form_Temperature'!B49,"")</x:f>
      </x:c>
      <x:c r="C49" s="76" t="str">
        <x:f>IF('01_Form_Temperature'!$O49="Validé humainement",'01_Form_Temperature'!C49,"")</x:f>
      </x:c>
      <x:c r="D49" s="76" t="str">
        <x:f>IF('01_Form_Temperature'!$O49="Validé humainement",'01_Form_Temperature'!D49,"")</x:f>
      </x:c>
      <x:c r="E49" s="76" t="str">
        <x:f>IF('01_Form_Temperature'!$O49="Validé humainement",'01_Form_Temperature'!E49,"")</x:f>
      </x:c>
      <x:c r="F49" s="76" t="str">
        <x:f>IF('01_Form_Temperature'!$O49="Validé humainement",'01_Form_Temperature'!F49,"")</x:f>
      </x:c>
      <x:c r="G49" s="79" t="str">
        <x:f>IF('01_Form_Temperature'!$O49="Validé humainement",'01_Form_Temperature'!G49,"")</x:f>
      </x:c>
      <x:c r="H49" s="79" t="str">
        <x:f>IF('01_Form_Temperature'!$O49="Validé humainement",'01_Form_Temperature'!H49,"")</x:f>
      </x:c>
      <x:c r="I49" s="79" t="str">
        <x:f>IF('01_Form_Temperature'!$O49="Validé humainement",'01_Form_Temperature'!I49,"")</x:f>
      </x:c>
      <x:c r="J49" s="76" t="str">
        <x:f>IF('01_Form_Temperature'!$O49="Validé humainement",'01_Form_Temperature'!J49,"")</x:f>
      </x:c>
      <x:c r="K49" s="76" t="str">
        <x:f>IF('01_Form_Temperature'!$O49="Validé humainement",'01_Form_Temperature'!K49,"")</x:f>
      </x:c>
      <x:c r="L49" s="76" t="str">
        <x:f>IF('01_Form_Temperature'!$O49="Validé humainement",'01_Form_Temperature'!L49,"")</x:f>
      </x:c>
      <x:c r="M49" s="76" t="str">
        <x:f>IF('01_Form_Temperature'!$O49="Validé humainement",'01_Form_Temperature'!M49,"")</x:f>
      </x:c>
      <x:c r="N49" s="76" t="str">
        <x:f>IF('01_Form_Temperature'!$O49="Validé humainement",'01_Form_Temperature'!N49,"")</x:f>
      </x:c>
      <x:c r="O49" s="76" t="str">
        <x:f>IF('01_Form_Temperature'!$O49="Validé humainement",'01_Form_Temperature'!O49,"")</x:f>
      </x:c>
      <x:c r="P49" s="76" t="str">
        <x:f>IF('01_Form_Temperature'!$O49="Validé humainement",'01_Form_Temperature'!P49,"")</x:f>
      </x:c>
      <x:c r="Q49" s="78" t="str">
        <x:f>IF('01_Form_Temperature'!$O49="Validé humainement",'01_Form_Temperature'!Q49,"")</x:f>
      </x:c>
      <x:c r="R49" s="76" t="str">
        <x:f>IF('01_Form_Temperature'!$O49="Validé humainement",'01_Form_Temperature'!R49,"")</x:f>
      </x:c>
      <x:c r="S49" s="76" t="str">
        <x:f>IF('01_Form_Temperature'!$O49="Validé humainement",'01_Form_Temperature'!S49,"")</x:f>
      </x:c>
      <x:c r="T49" s="76" t="str">
        <x:f>IF('01_Form_Temperature'!$O49="Validé humainement",'01_Form_Temperature'!T49,"")</x:f>
      </x:c>
    </x:row>
    <x:row r="50">
      <x:c r="A50" s="76" t="str">
        <x:f>IF('01_Form_Temperature'!$O50="Validé humainement",'01_Form_Temperature'!A50,"")</x:f>
      </x:c>
      <x:c r="B50" s="78" t="str">
        <x:f>IF('01_Form_Temperature'!$O50="Validé humainement",'01_Form_Temperature'!B50,"")</x:f>
      </x:c>
      <x:c r="C50" s="76" t="str">
        <x:f>IF('01_Form_Temperature'!$O50="Validé humainement",'01_Form_Temperature'!C50,"")</x:f>
      </x:c>
      <x:c r="D50" s="76" t="str">
        <x:f>IF('01_Form_Temperature'!$O50="Validé humainement",'01_Form_Temperature'!D50,"")</x:f>
      </x:c>
      <x:c r="E50" s="76" t="str">
        <x:f>IF('01_Form_Temperature'!$O50="Validé humainement",'01_Form_Temperature'!E50,"")</x:f>
      </x:c>
      <x:c r="F50" s="76" t="str">
        <x:f>IF('01_Form_Temperature'!$O50="Validé humainement",'01_Form_Temperature'!F50,"")</x:f>
      </x:c>
      <x:c r="G50" s="79" t="str">
        <x:f>IF('01_Form_Temperature'!$O50="Validé humainement",'01_Form_Temperature'!G50,"")</x:f>
      </x:c>
      <x:c r="H50" s="79" t="str">
        <x:f>IF('01_Form_Temperature'!$O50="Validé humainement",'01_Form_Temperature'!H50,"")</x:f>
      </x:c>
      <x:c r="I50" s="79" t="str">
        <x:f>IF('01_Form_Temperature'!$O50="Validé humainement",'01_Form_Temperature'!I50,"")</x:f>
      </x:c>
      <x:c r="J50" s="76" t="str">
        <x:f>IF('01_Form_Temperature'!$O50="Validé humainement",'01_Form_Temperature'!J50,"")</x:f>
      </x:c>
      <x:c r="K50" s="76" t="str">
        <x:f>IF('01_Form_Temperature'!$O50="Validé humainement",'01_Form_Temperature'!K50,"")</x:f>
      </x:c>
      <x:c r="L50" s="76" t="str">
        <x:f>IF('01_Form_Temperature'!$O50="Validé humainement",'01_Form_Temperature'!L50,"")</x:f>
      </x:c>
      <x:c r="M50" s="76" t="str">
        <x:f>IF('01_Form_Temperature'!$O50="Validé humainement",'01_Form_Temperature'!M50,"")</x:f>
      </x:c>
      <x:c r="N50" s="76" t="str">
        <x:f>IF('01_Form_Temperature'!$O50="Validé humainement",'01_Form_Temperature'!N50,"")</x:f>
      </x:c>
      <x:c r="O50" s="76" t="str">
        <x:f>IF('01_Form_Temperature'!$O50="Validé humainement",'01_Form_Temperature'!O50,"")</x:f>
      </x:c>
      <x:c r="P50" s="76" t="str">
        <x:f>IF('01_Form_Temperature'!$O50="Validé humainement",'01_Form_Temperature'!P50,"")</x:f>
      </x:c>
      <x:c r="Q50" s="78" t="str">
        <x:f>IF('01_Form_Temperature'!$O50="Validé humainement",'01_Form_Temperature'!Q50,"")</x:f>
      </x:c>
      <x:c r="R50" s="76" t="str">
        <x:f>IF('01_Form_Temperature'!$O50="Validé humainement",'01_Form_Temperature'!R50,"")</x:f>
      </x:c>
      <x:c r="S50" s="76" t="str">
        <x:f>IF('01_Form_Temperature'!$O50="Validé humainement",'01_Form_Temperature'!S50,"")</x:f>
      </x:c>
      <x:c r="T50" s="76" t="str">
        <x:f>IF('01_Form_Temperature'!$O50="Validé humainement",'01_Form_Temperature'!T50,"")</x:f>
      </x:c>
    </x:row>
    <x:row r="51">
      <x:c r="A51" s="76" t="str">
        <x:f>IF('01_Form_Temperature'!$O51="Validé humainement",'01_Form_Temperature'!A51,"")</x:f>
      </x:c>
      <x:c r="B51" s="78" t="str">
        <x:f>IF('01_Form_Temperature'!$O51="Validé humainement",'01_Form_Temperature'!B51,"")</x:f>
      </x:c>
      <x:c r="C51" s="76" t="str">
        <x:f>IF('01_Form_Temperature'!$O51="Validé humainement",'01_Form_Temperature'!C51,"")</x:f>
      </x:c>
      <x:c r="D51" s="76" t="str">
        <x:f>IF('01_Form_Temperature'!$O51="Validé humainement",'01_Form_Temperature'!D51,"")</x:f>
      </x:c>
      <x:c r="E51" s="76" t="str">
        <x:f>IF('01_Form_Temperature'!$O51="Validé humainement",'01_Form_Temperature'!E51,"")</x:f>
      </x:c>
      <x:c r="F51" s="76" t="str">
        <x:f>IF('01_Form_Temperature'!$O51="Validé humainement",'01_Form_Temperature'!F51,"")</x:f>
      </x:c>
      <x:c r="G51" s="79" t="str">
        <x:f>IF('01_Form_Temperature'!$O51="Validé humainement",'01_Form_Temperature'!G51,"")</x:f>
      </x:c>
      <x:c r="H51" s="79" t="str">
        <x:f>IF('01_Form_Temperature'!$O51="Validé humainement",'01_Form_Temperature'!H51,"")</x:f>
      </x:c>
      <x:c r="I51" s="79" t="str">
        <x:f>IF('01_Form_Temperature'!$O51="Validé humainement",'01_Form_Temperature'!I51,"")</x:f>
      </x:c>
      <x:c r="J51" s="76" t="str">
        <x:f>IF('01_Form_Temperature'!$O51="Validé humainement",'01_Form_Temperature'!J51,"")</x:f>
      </x:c>
      <x:c r="K51" s="76" t="str">
        <x:f>IF('01_Form_Temperature'!$O51="Validé humainement",'01_Form_Temperature'!K51,"")</x:f>
      </x:c>
      <x:c r="L51" s="76" t="str">
        <x:f>IF('01_Form_Temperature'!$O51="Validé humainement",'01_Form_Temperature'!L51,"")</x:f>
      </x:c>
      <x:c r="M51" s="76" t="str">
        <x:f>IF('01_Form_Temperature'!$O51="Validé humainement",'01_Form_Temperature'!M51,"")</x:f>
      </x:c>
      <x:c r="N51" s="76" t="str">
        <x:f>IF('01_Form_Temperature'!$O51="Validé humainement",'01_Form_Temperature'!N51,"")</x:f>
      </x:c>
      <x:c r="O51" s="76" t="str">
        <x:f>IF('01_Form_Temperature'!$O51="Validé humainement",'01_Form_Temperature'!O51,"")</x:f>
      </x:c>
      <x:c r="P51" s="76" t="str">
        <x:f>IF('01_Form_Temperature'!$O51="Validé humainement",'01_Form_Temperature'!P51,"")</x:f>
      </x:c>
      <x:c r="Q51" s="78" t="str">
        <x:f>IF('01_Form_Temperature'!$O51="Validé humainement",'01_Form_Temperature'!Q51,"")</x:f>
      </x:c>
      <x:c r="R51" s="76" t="str">
        <x:f>IF('01_Form_Temperature'!$O51="Validé humainement",'01_Form_Temperature'!R51,"")</x:f>
      </x:c>
      <x:c r="S51" s="76" t="str">
        <x:f>IF('01_Form_Temperature'!$O51="Validé humainement",'01_Form_Temperature'!S51,"")</x:f>
      </x:c>
      <x:c r="T51" s="76" t="str">
        <x:f>IF('01_Form_Temperature'!$O51="Validé humainement",'01_Form_Temperature'!T51,"")</x:f>
      </x:c>
    </x:row>
    <x:row r="52">
      <x:c r="A52" s="76" t="str">
        <x:f>IF('01_Form_Temperature'!$O52="Validé humainement",'01_Form_Temperature'!A52,"")</x:f>
      </x:c>
      <x:c r="B52" s="78" t="str">
        <x:f>IF('01_Form_Temperature'!$O52="Validé humainement",'01_Form_Temperature'!B52,"")</x:f>
      </x:c>
      <x:c r="C52" s="76" t="str">
        <x:f>IF('01_Form_Temperature'!$O52="Validé humainement",'01_Form_Temperature'!C52,"")</x:f>
      </x:c>
      <x:c r="D52" s="76" t="str">
        <x:f>IF('01_Form_Temperature'!$O52="Validé humainement",'01_Form_Temperature'!D52,"")</x:f>
      </x:c>
      <x:c r="E52" s="76" t="str">
        <x:f>IF('01_Form_Temperature'!$O52="Validé humainement",'01_Form_Temperature'!E52,"")</x:f>
      </x:c>
      <x:c r="F52" s="76" t="str">
        <x:f>IF('01_Form_Temperature'!$O52="Validé humainement",'01_Form_Temperature'!F52,"")</x:f>
      </x:c>
      <x:c r="G52" s="79" t="str">
        <x:f>IF('01_Form_Temperature'!$O52="Validé humainement",'01_Form_Temperature'!G52,"")</x:f>
      </x:c>
      <x:c r="H52" s="79" t="str">
        <x:f>IF('01_Form_Temperature'!$O52="Validé humainement",'01_Form_Temperature'!H52,"")</x:f>
      </x:c>
      <x:c r="I52" s="79" t="str">
        <x:f>IF('01_Form_Temperature'!$O52="Validé humainement",'01_Form_Temperature'!I52,"")</x:f>
      </x:c>
      <x:c r="J52" s="76" t="str">
        <x:f>IF('01_Form_Temperature'!$O52="Validé humainement",'01_Form_Temperature'!J52,"")</x:f>
      </x:c>
      <x:c r="K52" s="76" t="str">
        <x:f>IF('01_Form_Temperature'!$O52="Validé humainement",'01_Form_Temperature'!K52,"")</x:f>
      </x:c>
      <x:c r="L52" s="76" t="str">
        <x:f>IF('01_Form_Temperature'!$O52="Validé humainement",'01_Form_Temperature'!L52,"")</x:f>
      </x:c>
      <x:c r="M52" s="76" t="str">
        <x:f>IF('01_Form_Temperature'!$O52="Validé humainement",'01_Form_Temperature'!M52,"")</x:f>
      </x:c>
      <x:c r="N52" s="76" t="str">
        <x:f>IF('01_Form_Temperature'!$O52="Validé humainement",'01_Form_Temperature'!N52,"")</x:f>
      </x:c>
      <x:c r="O52" s="76" t="str">
        <x:f>IF('01_Form_Temperature'!$O52="Validé humainement",'01_Form_Temperature'!O52,"")</x:f>
      </x:c>
      <x:c r="P52" s="76" t="str">
        <x:f>IF('01_Form_Temperature'!$O52="Validé humainement",'01_Form_Temperature'!P52,"")</x:f>
      </x:c>
      <x:c r="Q52" s="78" t="str">
        <x:f>IF('01_Form_Temperature'!$O52="Validé humainement",'01_Form_Temperature'!Q52,"")</x:f>
      </x:c>
      <x:c r="R52" s="76" t="str">
        <x:f>IF('01_Form_Temperature'!$O52="Validé humainement",'01_Form_Temperature'!R52,"")</x:f>
      </x:c>
      <x:c r="S52" s="76" t="str">
        <x:f>IF('01_Form_Temperature'!$O52="Validé humainement",'01_Form_Temperature'!S52,"")</x:f>
      </x:c>
      <x:c r="T52" s="76" t="str">
        <x:f>IF('01_Form_Temperature'!$O52="Validé humainement",'01_Form_Temperature'!T52,"")</x:f>
      </x:c>
    </x:row>
    <x:row r="53">
      <x:c r="A53" s="76" t="str">
        <x:f>IF('01_Form_Temperature'!$O53="Validé humainement",'01_Form_Temperature'!A53,"")</x:f>
      </x:c>
      <x:c r="B53" s="78" t="str">
        <x:f>IF('01_Form_Temperature'!$O53="Validé humainement",'01_Form_Temperature'!B53,"")</x:f>
      </x:c>
      <x:c r="C53" s="76" t="str">
        <x:f>IF('01_Form_Temperature'!$O53="Validé humainement",'01_Form_Temperature'!C53,"")</x:f>
      </x:c>
      <x:c r="D53" s="76" t="str">
        <x:f>IF('01_Form_Temperature'!$O53="Validé humainement",'01_Form_Temperature'!D53,"")</x:f>
      </x:c>
      <x:c r="E53" s="76" t="str">
        <x:f>IF('01_Form_Temperature'!$O53="Validé humainement",'01_Form_Temperature'!E53,"")</x:f>
      </x:c>
      <x:c r="F53" s="76" t="str">
        <x:f>IF('01_Form_Temperature'!$O53="Validé humainement",'01_Form_Temperature'!F53,"")</x:f>
      </x:c>
      <x:c r="G53" s="79" t="str">
        <x:f>IF('01_Form_Temperature'!$O53="Validé humainement",'01_Form_Temperature'!G53,"")</x:f>
      </x:c>
      <x:c r="H53" s="79" t="str">
        <x:f>IF('01_Form_Temperature'!$O53="Validé humainement",'01_Form_Temperature'!H53,"")</x:f>
      </x:c>
      <x:c r="I53" s="79" t="str">
        <x:f>IF('01_Form_Temperature'!$O53="Validé humainement",'01_Form_Temperature'!I53,"")</x:f>
      </x:c>
      <x:c r="J53" s="76" t="str">
        <x:f>IF('01_Form_Temperature'!$O53="Validé humainement",'01_Form_Temperature'!J53,"")</x:f>
      </x:c>
      <x:c r="K53" s="76" t="str">
        <x:f>IF('01_Form_Temperature'!$O53="Validé humainement",'01_Form_Temperature'!K53,"")</x:f>
      </x:c>
      <x:c r="L53" s="76" t="str">
        <x:f>IF('01_Form_Temperature'!$O53="Validé humainement",'01_Form_Temperature'!L53,"")</x:f>
      </x:c>
      <x:c r="M53" s="76" t="str">
        <x:f>IF('01_Form_Temperature'!$O53="Validé humainement",'01_Form_Temperature'!M53,"")</x:f>
      </x:c>
      <x:c r="N53" s="76" t="str">
        <x:f>IF('01_Form_Temperature'!$O53="Validé humainement",'01_Form_Temperature'!N53,"")</x:f>
      </x:c>
      <x:c r="O53" s="76" t="str">
        <x:f>IF('01_Form_Temperature'!$O53="Validé humainement",'01_Form_Temperature'!O53,"")</x:f>
      </x:c>
      <x:c r="P53" s="76" t="str">
        <x:f>IF('01_Form_Temperature'!$O53="Validé humainement",'01_Form_Temperature'!P53,"")</x:f>
      </x:c>
      <x:c r="Q53" s="78" t="str">
        <x:f>IF('01_Form_Temperature'!$O53="Validé humainement",'01_Form_Temperature'!Q53,"")</x:f>
      </x:c>
      <x:c r="R53" s="76" t="str">
        <x:f>IF('01_Form_Temperature'!$O53="Validé humainement",'01_Form_Temperature'!R53,"")</x:f>
      </x:c>
      <x:c r="S53" s="76" t="str">
        <x:f>IF('01_Form_Temperature'!$O53="Validé humainement",'01_Form_Temperature'!S53,"")</x:f>
      </x:c>
      <x:c r="T53" s="76" t="str">
        <x:f>IF('01_Form_Temperature'!$O53="Validé humainement",'01_Form_Temperature'!T53,"")</x:f>
      </x:c>
    </x:row>
    <x:row r="54">
      <x:c r="A54" s="76" t="str">
        <x:f>IF('01_Form_Temperature'!$O54="Validé humainement",'01_Form_Temperature'!A54,"")</x:f>
      </x:c>
      <x:c r="B54" s="78" t="str">
        <x:f>IF('01_Form_Temperature'!$O54="Validé humainement",'01_Form_Temperature'!B54,"")</x:f>
      </x:c>
      <x:c r="C54" s="76" t="str">
        <x:f>IF('01_Form_Temperature'!$O54="Validé humainement",'01_Form_Temperature'!C54,"")</x:f>
      </x:c>
      <x:c r="D54" s="76" t="str">
        <x:f>IF('01_Form_Temperature'!$O54="Validé humainement",'01_Form_Temperature'!D54,"")</x:f>
      </x:c>
      <x:c r="E54" s="76" t="str">
        <x:f>IF('01_Form_Temperature'!$O54="Validé humainement",'01_Form_Temperature'!E54,"")</x:f>
      </x:c>
      <x:c r="F54" s="76" t="str">
        <x:f>IF('01_Form_Temperature'!$O54="Validé humainement",'01_Form_Temperature'!F54,"")</x:f>
      </x:c>
      <x:c r="G54" s="79" t="str">
        <x:f>IF('01_Form_Temperature'!$O54="Validé humainement",'01_Form_Temperature'!G54,"")</x:f>
      </x:c>
      <x:c r="H54" s="79" t="str">
        <x:f>IF('01_Form_Temperature'!$O54="Validé humainement",'01_Form_Temperature'!H54,"")</x:f>
      </x:c>
      <x:c r="I54" s="79" t="str">
        <x:f>IF('01_Form_Temperature'!$O54="Validé humainement",'01_Form_Temperature'!I54,"")</x:f>
      </x:c>
      <x:c r="J54" s="76" t="str">
        <x:f>IF('01_Form_Temperature'!$O54="Validé humainement",'01_Form_Temperature'!J54,"")</x:f>
      </x:c>
      <x:c r="K54" s="76" t="str">
        <x:f>IF('01_Form_Temperature'!$O54="Validé humainement",'01_Form_Temperature'!K54,"")</x:f>
      </x:c>
      <x:c r="L54" s="76" t="str">
        <x:f>IF('01_Form_Temperature'!$O54="Validé humainement",'01_Form_Temperature'!L54,"")</x:f>
      </x:c>
      <x:c r="M54" s="76" t="str">
        <x:f>IF('01_Form_Temperature'!$O54="Validé humainement",'01_Form_Temperature'!M54,"")</x:f>
      </x:c>
      <x:c r="N54" s="76" t="str">
        <x:f>IF('01_Form_Temperature'!$O54="Validé humainement",'01_Form_Temperature'!N54,"")</x:f>
      </x:c>
      <x:c r="O54" s="76" t="str">
        <x:f>IF('01_Form_Temperature'!$O54="Validé humainement",'01_Form_Temperature'!O54,"")</x:f>
      </x:c>
      <x:c r="P54" s="76" t="str">
        <x:f>IF('01_Form_Temperature'!$O54="Validé humainement",'01_Form_Temperature'!P54,"")</x:f>
      </x:c>
      <x:c r="Q54" s="78" t="str">
        <x:f>IF('01_Form_Temperature'!$O54="Validé humainement",'01_Form_Temperature'!Q54,"")</x:f>
      </x:c>
      <x:c r="R54" s="76" t="str">
        <x:f>IF('01_Form_Temperature'!$O54="Validé humainement",'01_Form_Temperature'!R54,"")</x:f>
      </x:c>
      <x:c r="S54" s="76" t="str">
        <x:f>IF('01_Form_Temperature'!$O54="Validé humainement",'01_Form_Temperature'!S54,"")</x:f>
      </x:c>
      <x:c r="T54" s="76" t="str">
        <x:f>IF('01_Form_Temperature'!$O54="Validé humainement",'01_Form_Temperature'!T54,"")</x:f>
      </x:c>
    </x:row>
    <x:row r="55">
      <x:c r="A55" s="76" t="str">
        <x:f>IF('01_Form_Temperature'!$O55="Validé humainement",'01_Form_Temperature'!A55,"")</x:f>
      </x:c>
      <x:c r="B55" s="78" t="str">
        <x:f>IF('01_Form_Temperature'!$O55="Validé humainement",'01_Form_Temperature'!B55,"")</x:f>
      </x:c>
      <x:c r="C55" s="76" t="str">
        <x:f>IF('01_Form_Temperature'!$O55="Validé humainement",'01_Form_Temperature'!C55,"")</x:f>
      </x:c>
      <x:c r="D55" s="76" t="str">
        <x:f>IF('01_Form_Temperature'!$O55="Validé humainement",'01_Form_Temperature'!D55,"")</x:f>
      </x:c>
      <x:c r="E55" s="76" t="str">
        <x:f>IF('01_Form_Temperature'!$O55="Validé humainement",'01_Form_Temperature'!E55,"")</x:f>
      </x:c>
      <x:c r="F55" s="76" t="str">
        <x:f>IF('01_Form_Temperature'!$O55="Validé humainement",'01_Form_Temperature'!F55,"")</x:f>
      </x:c>
      <x:c r="G55" s="79" t="str">
        <x:f>IF('01_Form_Temperature'!$O55="Validé humainement",'01_Form_Temperature'!G55,"")</x:f>
      </x:c>
      <x:c r="H55" s="79" t="str">
        <x:f>IF('01_Form_Temperature'!$O55="Validé humainement",'01_Form_Temperature'!H55,"")</x:f>
      </x:c>
      <x:c r="I55" s="79" t="str">
        <x:f>IF('01_Form_Temperature'!$O55="Validé humainement",'01_Form_Temperature'!I55,"")</x:f>
      </x:c>
      <x:c r="J55" s="76" t="str">
        <x:f>IF('01_Form_Temperature'!$O55="Validé humainement",'01_Form_Temperature'!J55,"")</x:f>
      </x:c>
      <x:c r="K55" s="76" t="str">
        <x:f>IF('01_Form_Temperature'!$O55="Validé humainement",'01_Form_Temperature'!K55,"")</x:f>
      </x:c>
      <x:c r="L55" s="76" t="str">
        <x:f>IF('01_Form_Temperature'!$O55="Validé humainement",'01_Form_Temperature'!L55,"")</x:f>
      </x:c>
      <x:c r="M55" s="76" t="str">
        <x:f>IF('01_Form_Temperature'!$O55="Validé humainement",'01_Form_Temperature'!M55,"")</x:f>
      </x:c>
      <x:c r="N55" s="76" t="str">
        <x:f>IF('01_Form_Temperature'!$O55="Validé humainement",'01_Form_Temperature'!N55,"")</x:f>
      </x:c>
      <x:c r="O55" s="76" t="str">
        <x:f>IF('01_Form_Temperature'!$O55="Validé humainement",'01_Form_Temperature'!O55,"")</x:f>
      </x:c>
      <x:c r="P55" s="76" t="str">
        <x:f>IF('01_Form_Temperature'!$O55="Validé humainement",'01_Form_Temperature'!P55,"")</x:f>
      </x:c>
      <x:c r="Q55" s="78" t="str">
        <x:f>IF('01_Form_Temperature'!$O55="Validé humainement",'01_Form_Temperature'!Q55,"")</x:f>
      </x:c>
      <x:c r="R55" s="76" t="str">
        <x:f>IF('01_Form_Temperature'!$O55="Validé humainement",'01_Form_Temperature'!R55,"")</x:f>
      </x:c>
      <x:c r="S55" s="76" t="str">
        <x:f>IF('01_Form_Temperature'!$O55="Validé humainement",'01_Form_Temperature'!S55,"")</x:f>
      </x:c>
      <x:c r="T55" s="76" t="str">
        <x:f>IF('01_Form_Temperature'!$O55="Validé humainement",'01_Form_Temperature'!T55,"")</x:f>
      </x:c>
    </x:row>
    <x:row r="56">
      <x:c r="A56" s="76" t="str">
        <x:f>IF('01_Form_Temperature'!$O56="Validé humainement",'01_Form_Temperature'!A56,"")</x:f>
      </x:c>
      <x:c r="B56" s="78" t="str">
        <x:f>IF('01_Form_Temperature'!$O56="Validé humainement",'01_Form_Temperature'!B56,"")</x:f>
      </x:c>
      <x:c r="C56" s="76" t="str">
        <x:f>IF('01_Form_Temperature'!$O56="Validé humainement",'01_Form_Temperature'!C56,"")</x:f>
      </x:c>
      <x:c r="D56" s="76" t="str">
        <x:f>IF('01_Form_Temperature'!$O56="Validé humainement",'01_Form_Temperature'!D56,"")</x:f>
      </x:c>
      <x:c r="E56" s="76" t="str">
        <x:f>IF('01_Form_Temperature'!$O56="Validé humainement",'01_Form_Temperature'!E56,"")</x:f>
      </x:c>
      <x:c r="F56" s="76" t="str">
        <x:f>IF('01_Form_Temperature'!$O56="Validé humainement",'01_Form_Temperature'!F56,"")</x:f>
      </x:c>
      <x:c r="G56" s="79" t="str">
        <x:f>IF('01_Form_Temperature'!$O56="Validé humainement",'01_Form_Temperature'!G56,"")</x:f>
      </x:c>
      <x:c r="H56" s="79" t="str">
        <x:f>IF('01_Form_Temperature'!$O56="Validé humainement",'01_Form_Temperature'!H56,"")</x:f>
      </x:c>
      <x:c r="I56" s="79" t="str">
        <x:f>IF('01_Form_Temperature'!$O56="Validé humainement",'01_Form_Temperature'!I56,"")</x:f>
      </x:c>
      <x:c r="J56" s="76" t="str">
        <x:f>IF('01_Form_Temperature'!$O56="Validé humainement",'01_Form_Temperature'!J56,"")</x:f>
      </x:c>
      <x:c r="K56" s="76" t="str">
        <x:f>IF('01_Form_Temperature'!$O56="Validé humainement",'01_Form_Temperature'!K56,"")</x:f>
      </x:c>
      <x:c r="L56" s="76" t="str">
        <x:f>IF('01_Form_Temperature'!$O56="Validé humainement",'01_Form_Temperature'!L56,"")</x:f>
      </x:c>
      <x:c r="M56" s="76" t="str">
        <x:f>IF('01_Form_Temperature'!$O56="Validé humainement",'01_Form_Temperature'!M56,"")</x:f>
      </x:c>
      <x:c r="N56" s="76" t="str">
        <x:f>IF('01_Form_Temperature'!$O56="Validé humainement",'01_Form_Temperature'!N56,"")</x:f>
      </x:c>
      <x:c r="O56" s="76" t="str">
        <x:f>IF('01_Form_Temperature'!$O56="Validé humainement",'01_Form_Temperature'!O56,"")</x:f>
      </x:c>
      <x:c r="P56" s="76" t="str">
        <x:f>IF('01_Form_Temperature'!$O56="Validé humainement",'01_Form_Temperature'!P56,"")</x:f>
      </x:c>
      <x:c r="Q56" s="78" t="str">
        <x:f>IF('01_Form_Temperature'!$O56="Validé humainement",'01_Form_Temperature'!Q56,"")</x:f>
      </x:c>
      <x:c r="R56" s="76" t="str">
        <x:f>IF('01_Form_Temperature'!$O56="Validé humainement",'01_Form_Temperature'!R56,"")</x:f>
      </x:c>
      <x:c r="S56" s="76" t="str">
        <x:f>IF('01_Form_Temperature'!$O56="Validé humainement",'01_Form_Temperature'!S56,"")</x:f>
      </x:c>
      <x:c r="T56" s="76" t="str">
        <x:f>IF('01_Form_Temperature'!$O56="Validé humainement",'01_Form_Temperature'!T56,"")</x:f>
      </x:c>
    </x:row>
    <x:row r="57">
      <x:c r="A57" s="76" t="str">
        <x:f>IF('01_Form_Temperature'!$O57="Validé humainement",'01_Form_Temperature'!A57,"")</x:f>
      </x:c>
      <x:c r="B57" s="78" t="str">
        <x:f>IF('01_Form_Temperature'!$O57="Validé humainement",'01_Form_Temperature'!B57,"")</x:f>
      </x:c>
      <x:c r="C57" s="76" t="str">
        <x:f>IF('01_Form_Temperature'!$O57="Validé humainement",'01_Form_Temperature'!C57,"")</x:f>
      </x:c>
      <x:c r="D57" s="76" t="str">
        <x:f>IF('01_Form_Temperature'!$O57="Validé humainement",'01_Form_Temperature'!D57,"")</x:f>
      </x:c>
      <x:c r="E57" s="76" t="str">
        <x:f>IF('01_Form_Temperature'!$O57="Validé humainement",'01_Form_Temperature'!E57,"")</x:f>
      </x:c>
      <x:c r="F57" s="76" t="str">
        <x:f>IF('01_Form_Temperature'!$O57="Validé humainement",'01_Form_Temperature'!F57,"")</x:f>
      </x:c>
      <x:c r="G57" s="79" t="str">
        <x:f>IF('01_Form_Temperature'!$O57="Validé humainement",'01_Form_Temperature'!G57,"")</x:f>
      </x:c>
      <x:c r="H57" s="79" t="str">
        <x:f>IF('01_Form_Temperature'!$O57="Validé humainement",'01_Form_Temperature'!H57,"")</x:f>
      </x:c>
      <x:c r="I57" s="79" t="str">
        <x:f>IF('01_Form_Temperature'!$O57="Validé humainement",'01_Form_Temperature'!I57,"")</x:f>
      </x:c>
      <x:c r="J57" s="76" t="str">
        <x:f>IF('01_Form_Temperature'!$O57="Validé humainement",'01_Form_Temperature'!J57,"")</x:f>
      </x:c>
      <x:c r="K57" s="76" t="str">
        <x:f>IF('01_Form_Temperature'!$O57="Validé humainement",'01_Form_Temperature'!K57,"")</x:f>
      </x:c>
      <x:c r="L57" s="76" t="str">
        <x:f>IF('01_Form_Temperature'!$O57="Validé humainement",'01_Form_Temperature'!L57,"")</x:f>
      </x:c>
      <x:c r="M57" s="76" t="str">
        <x:f>IF('01_Form_Temperature'!$O57="Validé humainement",'01_Form_Temperature'!M57,"")</x:f>
      </x:c>
      <x:c r="N57" s="76" t="str">
        <x:f>IF('01_Form_Temperature'!$O57="Validé humainement",'01_Form_Temperature'!N57,"")</x:f>
      </x:c>
      <x:c r="O57" s="76" t="str">
        <x:f>IF('01_Form_Temperature'!$O57="Validé humainement",'01_Form_Temperature'!O57,"")</x:f>
      </x:c>
      <x:c r="P57" s="76" t="str">
        <x:f>IF('01_Form_Temperature'!$O57="Validé humainement",'01_Form_Temperature'!P57,"")</x:f>
      </x:c>
      <x:c r="Q57" s="78" t="str">
        <x:f>IF('01_Form_Temperature'!$O57="Validé humainement",'01_Form_Temperature'!Q57,"")</x:f>
      </x:c>
      <x:c r="R57" s="76" t="str">
        <x:f>IF('01_Form_Temperature'!$O57="Validé humainement",'01_Form_Temperature'!R57,"")</x:f>
      </x:c>
      <x:c r="S57" s="76" t="str">
        <x:f>IF('01_Form_Temperature'!$O57="Validé humainement",'01_Form_Temperature'!S57,"")</x:f>
      </x:c>
      <x:c r="T57" s="76" t="str">
        <x:f>IF('01_Form_Temperature'!$O57="Validé humainement",'01_Form_Temperature'!T57,"")</x:f>
      </x:c>
    </x:row>
    <x:row r="58">
      <x:c r="A58" s="76" t="str">
        <x:f>IF('01_Form_Temperature'!$O58="Validé humainement",'01_Form_Temperature'!A58,"")</x:f>
      </x:c>
      <x:c r="B58" s="78" t="str">
        <x:f>IF('01_Form_Temperature'!$O58="Validé humainement",'01_Form_Temperature'!B58,"")</x:f>
      </x:c>
      <x:c r="C58" s="76" t="str">
        <x:f>IF('01_Form_Temperature'!$O58="Validé humainement",'01_Form_Temperature'!C58,"")</x:f>
      </x:c>
      <x:c r="D58" s="76" t="str">
        <x:f>IF('01_Form_Temperature'!$O58="Validé humainement",'01_Form_Temperature'!D58,"")</x:f>
      </x:c>
      <x:c r="E58" s="76" t="str">
        <x:f>IF('01_Form_Temperature'!$O58="Validé humainement",'01_Form_Temperature'!E58,"")</x:f>
      </x:c>
      <x:c r="F58" s="76" t="str">
        <x:f>IF('01_Form_Temperature'!$O58="Validé humainement",'01_Form_Temperature'!F58,"")</x:f>
      </x:c>
      <x:c r="G58" s="79" t="str">
        <x:f>IF('01_Form_Temperature'!$O58="Validé humainement",'01_Form_Temperature'!G58,"")</x:f>
      </x:c>
      <x:c r="H58" s="79" t="str">
        <x:f>IF('01_Form_Temperature'!$O58="Validé humainement",'01_Form_Temperature'!H58,"")</x:f>
      </x:c>
      <x:c r="I58" s="79" t="str">
        <x:f>IF('01_Form_Temperature'!$O58="Validé humainement",'01_Form_Temperature'!I58,"")</x:f>
      </x:c>
      <x:c r="J58" s="76" t="str">
        <x:f>IF('01_Form_Temperature'!$O58="Validé humainement",'01_Form_Temperature'!J58,"")</x:f>
      </x:c>
      <x:c r="K58" s="76" t="str">
        <x:f>IF('01_Form_Temperature'!$O58="Validé humainement",'01_Form_Temperature'!K58,"")</x:f>
      </x:c>
      <x:c r="L58" s="76" t="str">
        <x:f>IF('01_Form_Temperature'!$O58="Validé humainement",'01_Form_Temperature'!L58,"")</x:f>
      </x:c>
      <x:c r="M58" s="76" t="str">
        <x:f>IF('01_Form_Temperature'!$O58="Validé humainement",'01_Form_Temperature'!M58,"")</x:f>
      </x:c>
      <x:c r="N58" s="76" t="str">
        <x:f>IF('01_Form_Temperature'!$O58="Validé humainement",'01_Form_Temperature'!N58,"")</x:f>
      </x:c>
      <x:c r="O58" s="76" t="str">
        <x:f>IF('01_Form_Temperature'!$O58="Validé humainement",'01_Form_Temperature'!O58,"")</x:f>
      </x:c>
      <x:c r="P58" s="76" t="str">
        <x:f>IF('01_Form_Temperature'!$O58="Validé humainement",'01_Form_Temperature'!P58,"")</x:f>
      </x:c>
      <x:c r="Q58" s="78" t="str">
        <x:f>IF('01_Form_Temperature'!$O58="Validé humainement",'01_Form_Temperature'!Q58,"")</x:f>
      </x:c>
      <x:c r="R58" s="76" t="str">
        <x:f>IF('01_Form_Temperature'!$O58="Validé humainement",'01_Form_Temperature'!R58,"")</x:f>
      </x:c>
      <x:c r="S58" s="76" t="str">
        <x:f>IF('01_Form_Temperature'!$O58="Validé humainement",'01_Form_Temperature'!S58,"")</x:f>
      </x:c>
      <x:c r="T58" s="76" t="str">
        <x:f>IF('01_Form_Temperature'!$O58="Validé humainement",'01_Form_Temperature'!T58,"")</x:f>
      </x:c>
    </x:row>
    <x:row r="59">
      <x:c r="A59" s="76" t="str">
        <x:f>IF('01_Form_Temperature'!$O59="Validé humainement",'01_Form_Temperature'!A59,"")</x:f>
      </x:c>
      <x:c r="B59" s="78" t="str">
        <x:f>IF('01_Form_Temperature'!$O59="Validé humainement",'01_Form_Temperature'!B59,"")</x:f>
      </x:c>
      <x:c r="C59" s="76" t="str">
        <x:f>IF('01_Form_Temperature'!$O59="Validé humainement",'01_Form_Temperature'!C59,"")</x:f>
      </x:c>
      <x:c r="D59" s="76" t="str">
        <x:f>IF('01_Form_Temperature'!$O59="Validé humainement",'01_Form_Temperature'!D59,"")</x:f>
      </x:c>
      <x:c r="E59" s="76" t="str">
        <x:f>IF('01_Form_Temperature'!$O59="Validé humainement",'01_Form_Temperature'!E59,"")</x:f>
      </x:c>
      <x:c r="F59" s="76" t="str">
        <x:f>IF('01_Form_Temperature'!$O59="Validé humainement",'01_Form_Temperature'!F59,"")</x:f>
      </x:c>
      <x:c r="G59" s="79" t="str">
        <x:f>IF('01_Form_Temperature'!$O59="Validé humainement",'01_Form_Temperature'!G59,"")</x:f>
      </x:c>
      <x:c r="H59" s="79" t="str">
        <x:f>IF('01_Form_Temperature'!$O59="Validé humainement",'01_Form_Temperature'!H59,"")</x:f>
      </x:c>
      <x:c r="I59" s="79" t="str">
        <x:f>IF('01_Form_Temperature'!$O59="Validé humainement",'01_Form_Temperature'!I59,"")</x:f>
      </x:c>
      <x:c r="J59" s="76" t="str">
        <x:f>IF('01_Form_Temperature'!$O59="Validé humainement",'01_Form_Temperature'!J59,"")</x:f>
      </x:c>
      <x:c r="K59" s="76" t="str">
        <x:f>IF('01_Form_Temperature'!$O59="Validé humainement",'01_Form_Temperature'!K59,"")</x:f>
      </x:c>
      <x:c r="L59" s="76" t="str">
        <x:f>IF('01_Form_Temperature'!$O59="Validé humainement",'01_Form_Temperature'!L59,"")</x:f>
      </x:c>
      <x:c r="M59" s="76" t="str">
        <x:f>IF('01_Form_Temperature'!$O59="Validé humainement",'01_Form_Temperature'!M59,"")</x:f>
      </x:c>
      <x:c r="N59" s="76" t="str">
        <x:f>IF('01_Form_Temperature'!$O59="Validé humainement",'01_Form_Temperature'!N59,"")</x:f>
      </x:c>
      <x:c r="O59" s="76" t="str">
        <x:f>IF('01_Form_Temperature'!$O59="Validé humainement",'01_Form_Temperature'!O59,"")</x:f>
      </x:c>
      <x:c r="P59" s="76" t="str">
        <x:f>IF('01_Form_Temperature'!$O59="Validé humainement",'01_Form_Temperature'!P59,"")</x:f>
      </x:c>
      <x:c r="Q59" s="78" t="str">
        <x:f>IF('01_Form_Temperature'!$O59="Validé humainement",'01_Form_Temperature'!Q59,"")</x:f>
      </x:c>
      <x:c r="R59" s="76" t="str">
        <x:f>IF('01_Form_Temperature'!$O59="Validé humainement",'01_Form_Temperature'!R59,"")</x:f>
      </x:c>
      <x:c r="S59" s="76" t="str">
        <x:f>IF('01_Form_Temperature'!$O59="Validé humainement",'01_Form_Temperature'!S59,"")</x:f>
      </x:c>
      <x:c r="T59" s="76" t="str">
        <x:f>IF('01_Form_Temperature'!$O59="Validé humainement",'01_Form_Temperature'!T59,"")</x:f>
      </x:c>
    </x:row>
    <x:row r="60">
      <x:c r="A60" s="76" t="str">
        <x:f>IF('01_Form_Temperature'!$O60="Validé humainement",'01_Form_Temperature'!A60,"")</x:f>
      </x:c>
      <x:c r="B60" s="78" t="str">
        <x:f>IF('01_Form_Temperature'!$O60="Validé humainement",'01_Form_Temperature'!B60,"")</x:f>
      </x:c>
      <x:c r="C60" s="76" t="str">
        <x:f>IF('01_Form_Temperature'!$O60="Validé humainement",'01_Form_Temperature'!C60,"")</x:f>
      </x:c>
      <x:c r="D60" s="76" t="str">
        <x:f>IF('01_Form_Temperature'!$O60="Validé humainement",'01_Form_Temperature'!D60,"")</x:f>
      </x:c>
      <x:c r="E60" s="76" t="str">
        <x:f>IF('01_Form_Temperature'!$O60="Validé humainement",'01_Form_Temperature'!E60,"")</x:f>
      </x:c>
      <x:c r="F60" s="76" t="str">
        <x:f>IF('01_Form_Temperature'!$O60="Validé humainement",'01_Form_Temperature'!F60,"")</x:f>
      </x:c>
      <x:c r="G60" s="79" t="str">
        <x:f>IF('01_Form_Temperature'!$O60="Validé humainement",'01_Form_Temperature'!G60,"")</x:f>
      </x:c>
      <x:c r="H60" s="79" t="str">
        <x:f>IF('01_Form_Temperature'!$O60="Validé humainement",'01_Form_Temperature'!H60,"")</x:f>
      </x:c>
      <x:c r="I60" s="79" t="str">
        <x:f>IF('01_Form_Temperature'!$O60="Validé humainement",'01_Form_Temperature'!I60,"")</x:f>
      </x:c>
      <x:c r="J60" s="76" t="str">
        <x:f>IF('01_Form_Temperature'!$O60="Validé humainement",'01_Form_Temperature'!J60,"")</x:f>
      </x:c>
      <x:c r="K60" s="76" t="str">
        <x:f>IF('01_Form_Temperature'!$O60="Validé humainement",'01_Form_Temperature'!K60,"")</x:f>
      </x:c>
      <x:c r="L60" s="76" t="str">
        <x:f>IF('01_Form_Temperature'!$O60="Validé humainement",'01_Form_Temperature'!L60,"")</x:f>
      </x:c>
      <x:c r="M60" s="76" t="str">
        <x:f>IF('01_Form_Temperature'!$O60="Validé humainement",'01_Form_Temperature'!M60,"")</x:f>
      </x:c>
      <x:c r="N60" s="76" t="str">
        <x:f>IF('01_Form_Temperature'!$O60="Validé humainement",'01_Form_Temperature'!N60,"")</x:f>
      </x:c>
      <x:c r="O60" s="76" t="str">
        <x:f>IF('01_Form_Temperature'!$O60="Validé humainement",'01_Form_Temperature'!O60,"")</x:f>
      </x:c>
      <x:c r="P60" s="76" t="str">
        <x:f>IF('01_Form_Temperature'!$O60="Validé humainement",'01_Form_Temperature'!P60,"")</x:f>
      </x:c>
      <x:c r="Q60" s="78" t="str">
        <x:f>IF('01_Form_Temperature'!$O60="Validé humainement",'01_Form_Temperature'!Q60,"")</x:f>
      </x:c>
      <x:c r="R60" s="76" t="str">
        <x:f>IF('01_Form_Temperature'!$O60="Validé humainement",'01_Form_Temperature'!R60,"")</x:f>
      </x:c>
      <x:c r="S60" s="76" t="str">
        <x:f>IF('01_Form_Temperature'!$O60="Validé humainement",'01_Form_Temperature'!S60,"")</x:f>
      </x:c>
      <x:c r="T60" s="76" t="str">
        <x:f>IF('01_Form_Temperature'!$O60="Validé humainement",'01_Form_Temperature'!T60,"")</x:f>
      </x:c>
    </x:row>
    <x:row r="61">
      <x:c r="A61" s="76" t="str">
        <x:f>IF('01_Form_Temperature'!$O61="Validé humainement",'01_Form_Temperature'!A61,"")</x:f>
      </x:c>
      <x:c r="B61" s="78" t="str">
        <x:f>IF('01_Form_Temperature'!$O61="Validé humainement",'01_Form_Temperature'!B61,"")</x:f>
      </x:c>
      <x:c r="C61" s="76" t="str">
        <x:f>IF('01_Form_Temperature'!$O61="Validé humainement",'01_Form_Temperature'!C61,"")</x:f>
      </x:c>
      <x:c r="D61" s="76" t="str">
        <x:f>IF('01_Form_Temperature'!$O61="Validé humainement",'01_Form_Temperature'!D61,"")</x:f>
      </x:c>
      <x:c r="E61" s="76" t="str">
        <x:f>IF('01_Form_Temperature'!$O61="Validé humainement",'01_Form_Temperature'!E61,"")</x:f>
      </x:c>
      <x:c r="F61" s="76" t="str">
        <x:f>IF('01_Form_Temperature'!$O61="Validé humainement",'01_Form_Temperature'!F61,"")</x:f>
      </x:c>
      <x:c r="G61" s="79" t="str">
        <x:f>IF('01_Form_Temperature'!$O61="Validé humainement",'01_Form_Temperature'!G61,"")</x:f>
      </x:c>
      <x:c r="H61" s="79" t="str">
        <x:f>IF('01_Form_Temperature'!$O61="Validé humainement",'01_Form_Temperature'!H61,"")</x:f>
      </x:c>
      <x:c r="I61" s="79" t="str">
        <x:f>IF('01_Form_Temperature'!$O61="Validé humainement",'01_Form_Temperature'!I61,"")</x:f>
      </x:c>
      <x:c r="J61" s="76" t="str">
        <x:f>IF('01_Form_Temperature'!$O61="Validé humainement",'01_Form_Temperature'!J61,"")</x:f>
      </x:c>
      <x:c r="K61" s="76" t="str">
        <x:f>IF('01_Form_Temperature'!$O61="Validé humainement",'01_Form_Temperature'!K61,"")</x:f>
      </x:c>
      <x:c r="L61" s="76" t="str">
        <x:f>IF('01_Form_Temperature'!$O61="Validé humainement",'01_Form_Temperature'!L61,"")</x:f>
      </x:c>
      <x:c r="M61" s="76" t="str">
        <x:f>IF('01_Form_Temperature'!$O61="Validé humainement",'01_Form_Temperature'!M61,"")</x:f>
      </x:c>
      <x:c r="N61" s="76" t="str">
        <x:f>IF('01_Form_Temperature'!$O61="Validé humainement",'01_Form_Temperature'!N61,"")</x:f>
      </x:c>
      <x:c r="O61" s="76" t="str">
        <x:f>IF('01_Form_Temperature'!$O61="Validé humainement",'01_Form_Temperature'!O61,"")</x:f>
      </x:c>
      <x:c r="P61" s="76" t="str">
        <x:f>IF('01_Form_Temperature'!$O61="Validé humainement",'01_Form_Temperature'!P61,"")</x:f>
      </x:c>
      <x:c r="Q61" s="78" t="str">
        <x:f>IF('01_Form_Temperature'!$O61="Validé humainement",'01_Form_Temperature'!Q61,"")</x:f>
      </x:c>
      <x:c r="R61" s="76" t="str">
        <x:f>IF('01_Form_Temperature'!$O61="Validé humainement",'01_Form_Temperature'!R61,"")</x:f>
      </x:c>
      <x:c r="S61" s="76" t="str">
        <x:f>IF('01_Form_Temperature'!$O61="Validé humainement",'01_Form_Temperature'!S61,"")</x:f>
      </x:c>
      <x:c r="T61" s="76" t="str">
        <x:f>IF('01_Form_Temperature'!$O61="Validé humainement",'01_Form_Temperature'!T61,"")</x:f>
      </x:c>
    </x:row>
    <x:row r="62">
      <x:c r="A62" s="76" t="str">
        <x:f>IF('01_Form_Temperature'!$O62="Validé humainement",'01_Form_Temperature'!A62,"")</x:f>
      </x:c>
      <x:c r="B62" s="78" t="str">
        <x:f>IF('01_Form_Temperature'!$O62="Validé humainement",'01_Form_Temperature'!B62,"")</x:f>
      </x:c>
      <x:c r="C62" s="76" t="str">
        <x:f>IF('01_Form_Temperature'!$O62="Validé humainement",'01_Form_Temperature'!C62,"")</x:f>
      </x:c>
      <x:c r="D62" s="76" t="str">
        <x:f>IF('01_Form_Temperature'!$O62="Validé humainement",'01_Form_Temperature'!D62,"")</x:f>
      </x:c>
      <x:c r="E62" s="76" t="str">
        <x:f>IF('01_Form_Temperature'!$O62="Validé humainement",'01_Form_Temperature'!E62,"")</x:f>
      </x:c>
      <x:c r="F62" s="76" t="str">
        <x:f>IF('01_Form_Temperature'!$O62="Validé humainement",'01_Form_Temperature'!F62,"")</x:f>
      </x:c>
      <x:c r="G62" s="79" t="str">
        <x:f>IF('01_Form_Temperature'!$O62="Validé humainement",'01_Form_Temperature'!G62,"")</x:f>
      </x:c>
      <x:c r="H62" s="79" t="str">
        <x:f>IF('01_Form_Temperature'!$O62="Validé humainement",'01_Form_Temperature'!H62,"")</x:f>
      </x:c>
      <x:c r="I62" s="79" t="str">
        <x:f>IF('01_Form_Temperature'!$O62="Validé humainement",'01_Form_Temperature'!I62,"")</x:f>
      </x:c>
      <x:c r="J62" s="76" t="str">
        <x:f>IF('01_Form_Temperature'!$O62="Validé humainement",'01_Form_Temperature'!J62,"")</x:f>
      </x:c>
      <x:c r="K62" s="76" t="str">
        <x:f>IF('01_Form_Temperature'!$O62="Validé humainement",'01_Form_Temperature'!K62,"")</x:f>
      </x:c>
      <x:c r="L62" s="76" t="str">
        <x:f>IF('01_Form_Temperature'!$O62="Validé humainement",'01_Form_Temperature'!L62,"")</x:f>
      </x:c>
      <x:c r="M62" s="76" t="str">
        <x:f>IF('01_Form_Temperature'!$O62="Validé humainement",'01_Form_Temperature'!M62,"")</x:f>
      </x:c>
      <x:c r="N62" s="76" t="str">
        <x:f>IF('01_Form_Temperature'!$O62="Validé humainement",'01_Form_Temperature'!N62,"")</x:f>
      </x:c>
      <x:c r="O62" s="76" t="str">
        <x:f>IF('01_Form_Temperature'!$O62="Validé humainement",'01_Form_Temperature'!O62,"")</x:f>
      </x:c>
      <x:c r="P62" s="76" t="str">
        <x:f>IF('01_Form_Temperature'!$O62="Validé humainement",'01_Form_Temperature'!P62,"")</x:f>
      </x:c>
      <x:c r="Q62" s="78" t="str">
        <x:f>IF('01_Form_Temperature'!$O62="Validé humainement",'01_Form_Temperature'!Q62,"")</x:f>
      </x:c>
      <x:c r="R62" s="76" t="str">
        <x:f>IF('01_Form_Temperature'!$O62="Validé humainement",'01_Form_Temperature'!R62,"")</x:f>
      </x:c>
      <x:c r="S62" s="76" t="str">
        <x:f>IF('01_Form_Temperature'!$O62="Validé humainement",'01_Form_Temperature'!S62,"")</x:f>
      </x:c>
      <x:c r="T62" s="76" t="str">
        <x:f>IF('01_Form_Temperature'!$O62="Validé humainement",'01_Form_Temperature'!T62,"")</x:f>
      </x:c>
    </x:row>
    <x:row r="63">
      <x:c r="A63" s="76" t="str">
        <x:f>IF('01_Form_Temperature'!$O63="Validé humainement",'01_Form_Temperature'!A63,"")</x:f>
      </x:c>
      <x:c r="B63" s="78" t="str">
        <x:f>IF('01_Form_Temperature'!$O63="Validé humainement",'01_Form_Temperature'!B63,"")</x:f>
      </x:c>
      <x:c r="C63" s="76" t="str">
        <x:f>IF('01_Form_Temperature'!$O63="Validé humainement",'01_Form_Temperature'!C63,"")</x:f>
      </x:c>
      <x:c r="D63" s="76" t="str">
        <x:f>IF('01_Form_Temperature'!$O63="Validé humainement",'01_Form_Temperature'!D63,"")</x:f>
      </x:c>
      <x:c r="E63" s="76" t="str">
        <x:f>IF('01_Form_Temperature'!$O63="Validé humainement",'01_Form_Temperature'!E63,"")</x:f>
      </x:c>
      <x:c r="F63" s="76" t="str">
        <x:f>IF('01_Form_Temperature'!$O63="Validé humainement",'01_Form_Temperature'!F63,"")</x:f>
      </x:c>
      <x:c r="G63" s="79" t="str">
        <x:f>IF('01_Form_Temperature'!$O63="Validé humainement",'01_Form_Temperature'!G63,"")</x:f>
      </x:c>
      <x:c r="H63" s="79" t="str">
        <x:f>IF('01_Form_Temperature'!$O63="Validé humainement",'01_Form_Temperature'!H63,"")</x:f>
      </x:c>
      <x:c r="I63" s="79" t="str">
        <x:f>IF('01_Form_Temperature'!$O63="Validé humainement",'01_Form_Temperature'!I63,"")</x:f>
      </x:c>
      <x:c r="J63" s="76" t="str">
        <x:f>IF('01_Form_Temperature'!$O63="Validé humainement",'01_Form_Temperature'!J63,"")</x:f>
      </x:c>
      <x:c r="K63" s="76" t="str">
        <x:f>IF('01_Form_Temperature'!$O63="Validé humainement",'01_Form_Temperature'!K63,"")</x:f>
      </x:c>
      <x:c r="L63" s="76" t="str">
        <x:f>IF('01_Form_Temperature'!$O63="Validé humainement",'01_Form_Temperature'!L63,"")</x:f>
      </x:c>
      <x:c r="M63" s="76" t="str">
        <x:f>IF('01_Form_Temperature'!$O63="Validé humainement",'01_Form_Temperature'!M63,"")</x:f>
      </x:c>
      <x:c r="N63" s="76" t="str">
        <x:f>IF('01_Form_Temperature'!$O63="Validé humainement",'01_Form_Temperature'!N63,"")</x:f>
      </x:c>
      <x:c r="O63" s="76" t="str">
        <x:f>IF('01_Form_Temperature'!$O63="Validé humainement",'01_Form_Temperature'!O63,"")</x:f>
      </x:c>
      <x:c r="P63" s="76" t="str">
        <x:f>IF('01_Form_Temperature'!$O63="Validé humainement",'01_Form_Temperature'!P63,"")</x:f>
      </x:c>
      <x:c r="Q63" s="78" t="str">
        <x:f>IF('01_Form_Temperature'!$O63="Validé humainement",'01_Form_Temperature'!Q63,"")</x:f>
      </x:c>
      <x:c r="R63" s="76" t="str">
        <x:f>IF('01_Form_Temperature'!$O63="Validé humainement",'01_Form_Temperature'!R63,"")</x:f>
      </x:c>
      <x:c r="S63" s="76" t="str">
        <x:f>IF('01_Form_Temperature'!$O63="Validé humainement",'01_Form_Temperature'!S63,"")</x:f>
      </x:c>
      <x:c r="T63" s="76" t="str">
        <x:f>IF('01_Form_Temperature'!$O63="Validé humainement",'01_Form_Temperature'!T63,"")</x:f>
      </x:c>
    </x:row>
    <x:row r="64">
      <x:c r="A64" s="76" t="str">
        <x:f>IF('01_Form_Temperature'!$O64="Validé humainement",'01_Form_Temperature'!A64,"")</x:f>
      </x:c>
      <x:c r="B64" s="78" t="str">
        <x:f>IF('01_Form_Temperature'!$O64="Validé humainement",'01_Form_Temperature'!B64,"")</x:f>
      </x:c>
      <x:c r="C64" s="76" t="str">
        <x:f>IF('01_Form_Temperature'!$O64="Validé humainement",'01_Form_Temperature'!C64,"")</x:f>
      </x:c>
      <x:c r="D64" s="76" t="str">
        <x:f>IF('01_Form_Temperature'!$O64="Validé humainement",'01_Form_Temperature'!D64,"")</x:f>
      </x:c>
      <x:c r="E64" s="76" t="str">
        <x:f>IF('01_Form_Temperature'!$O64="Validé humainement",'01_Form_Temperature'!E64,"")</x:f>
      </x:c>
      <x:c r="F64" s="76" t="str">
        <x:f>IF('01_Form_Temperature'!$O64="Validé humainement",'01_Form_Temperature'!F64,"")</x:f>
      </x:c>
      <x:c r="G64" s="79" t="str">
        <x:f>IF('01_Form_Temperature'!$O64="Validé humainement",'01_Form_Temperature'!G64,"")</x:f>
      </x:c>
      <x:c r="H64" s="79" t="str">
        <x:f>IF('01_Form_Temperature'!$O64="Validé humainement",'01_Form_Temperature'!H64,"")</x:f>
      </x:c>
      <x:c r="I64" s="79" t="str">
        <x:f>IF('01_Form_Temperature'!$O64="Validé humainement",'01_Form_Temperature'!I64,"")</x:f>
      </x:c>
      <x:c r="J64" s="76" t="str">
        <x:f>IF('01_Form_Temperature'!$O64="Validé humainement",'01_Form_Temperature'!J64,"")</x:f>
      </x:c>
      <x:c r="K64" s="76" t="str">
        <x:f>IF('01_Form_Temperature'!$O64="Validé humainement",'01_Form_Temperature'!K64,"")</x:f>
      </x:c>
      <x:c r="L64" s="76" t="str">
        <x:f>IF('01_Form_Temperature'!$O64="Validé humainement",'01_Form_Temperature'!L64,"")</x:f>
      </x:c>
      <x:c r="M64" s="76" t="str">
        <x:f>IF('01_Form_Temperature'!$O64="Validé humainement",'01_Form_Temperature'!M64,"")</x:f>
      </x:c>
      <x:c r="N64" s="76" t="str">
        <x:f>IF('01_Form_Temperature'!$O64="Validé humainement",'01_Form_Temperature'!N64,"")</x:f>
      </x:c>
      <x:c r="O64" s="76" t="str">
        <x:f>IF('01_Form_Temperature'!$O64="Validé humainement",'01_Form_Temperature'!O64,"")</x:f>
      </x:c>
      <x:c r="P64" s="76" t="str">
        <x:f>IF('01_Form_Temperature'!$O64="Validé humainement",'01_Form_Temperature'!P64,"")</x:f>
      </x:c>
      <x:c r="Q64" s="78" t="str">
        <x:f>IF('01_Form_Temperature'!$O64="Validé humainement",'01_Form_Temperature'!Q64,"")</x:f>
      </x:c>
      <x:c r="R64" s="76" t="str">
        <x:f>IF('01_Form_Temperature'!$O64="Validé humainement",'01_Form_Temperature'!R64,"")</x:f>
      </x:c>
      <x:c r="S64" s="76" t="str">
        <x:f>IF('01_Form_Temperature'!$O64="Validé humainement",'01_Form_Temperature'!S64,"")</x:f>
      </x:c>
      <x:c r="T64" s="76" t="str">
        <x:f>IF('01_Form_Temperature'!$O64="Validé humainement",'01_Form_Temperature'!T64,"")</x:f>
      </x:c>
    </x:row>
    <x:row r="65">
      <x:c r="A65" s="76" t="str">
        <x:f>IF('01_Form_Temperature'!$O65="Validé humainement",'01_Form_Temperature'!A65,"")</x:f>
      </x:c>
      <x:c r="B65" s="78" t="str">
        <x:f>IF('01_Form_Temperature'!$O65="Validé humainement",'01_Form_Temperature'!B65,"")</x:f>
      </x:c>
      <x:c r="C65" s="76" t="str">
        <x:f>IF('01_Form_Temperature'!$O65="Validé humainement",'01_Form_Temperature'!C65,"")</x:f>
      </x:c>
      <x:c r="D65" s="76" t="str">
        <x:f>IF('01_Form_Temperature'!$O65="Validé humainement",'01_Form_Temperature'!D65,"")</x:f>
      </x:c>
      <x:c r="E65" s="76" t="str">
        <x:f>IF('01_Form_Temperature'!$O65="Validé humainement",'01_Form_Temperature'!E65,"")</x:f>
      </x:c>
      <x:c r="F65" s="76" t="str">
        <x:f>IF('01_Form_Temperature'!$O65="Validé humainement",'01_Form_Temperature'!F65,"")</x:f>
      </x:c>
      <x:c r="G65" s="79" t="str">
        <x:f>IF('01_Form_Temperature'!$O65="Validé humainement",'01_Form_Temperature'!G65,"")</x:f>
      </x:c>
      <x:c r="H65" s="79" t="str">
        <x:f>IF('01_Form_Temperature'!$O65="Validé humainement",'01_Form_Temperature'!H65,"")</x:f>
      </x:c>
      <x:c r="I65" s="79" t="str">
        <x:f>IF('01_Form_Temperature'!$O65="Validé humainement",'01_Form_Temperature'!I65,"")</x:f>
      </x:c>
      <x:c r="J65" s="76" t="str">
        <x:f>IF('01_Form_Temperature'!$O65="Validé humainement",'01_Form_Temperature'!J65,"")</x:f>
      </x:c>
      <x:c r="K65" s="76" t="str">
        <x:f>IF('01_Form_Temperature'!$O65="Validé humainement",'01_Form_Temperature'!K65,"")</x:f>
      </x:c>
      <x:c r="L65" s="76" t="str">
        <x:f>IF('01_Form_Temperature'!$O65="Validé humainement",'01_Form_Temperature'!L65,"")</x:f>
      </x:c>
      <x:c r="M65" s="76" t="str">
        <x:f>IF('01_Form_Temperature'!$O65="Validé humainement",'01_Form_Temperature'!M65,"")</x:f>
      </x:c>
      <x:c r="N65" s="76" t="str">
        <x:f>IF('01_Form_Temperature'!$O65="Validé humainement",'01_Form_Temperature'!N65,"")</x:f>
      </x:c>
      <x:c r="O65" s="76" t="str">
        <x:f>IF('01_Form_Temperature'!$O65="Validé humainement",'01_Form_Temperature'!O65,"")</x:f>
      </x:c>
      <x:c r="P65" s="76" t="str">
        <x:f>IF('01_Form_Temperature'!$O65="Validé humainement",'01_Form_Temperature'!P65,"")</x:f>
      </x:c>
      <x:c r="Q65" s="78" t="str">
        <x:f>IF('01_Form_Temperature'!$O65="Validé humainement",'01_Form_Temperature'!Q65,"")</x:f>
      </x:c>
      <x:c r="R65" s="76" t="str">
        <x:f>IF('01_Form_Temperature'!$O65="Validé humainement",'01_Form_Temperature'!R65,"")</x:f>
      </x:c>
      <x:c r="S65" s="76" t="str">
        <x:f>IF('01_Form_Temperature'!$O65="Validé humainement",'01_Form_Temperature'!S65,"")</x:f>
      </x:c>
      <x:c r="T65" s="76" t="str">
        <x:f>IF('01_Form_Temperature'!$O65="Validé humainement",'01_Form_Temperature'!T65,"")</x:f>
      </x:c>
    </x:row>
    <x:row r="66">
      <x:c r="A66" s="76" t="str">
        <x:f>IF('01_Form_Temperature'!$O66="Validé humainement",'01_Form_Temperature'!A66,"")</x:f>
      </x:c>
      <x:c r="B66" s="78" t="str">
        <x:f>IF('01_Form_Temperature'!$O66="Validé humainement",'01_Form_Temperature'!B66,"")</x:f>
      </x:c>
      <x:c r="C66" s="76" t="str">
        <x:f>IF('01_Form_Temperature'!$O66="Validé humainement",'01_Form_Temperature'!C66,"")</x:f>
      </x:c>
      <x:c r="D66" s="76" t="str">
        <x:f>IF('01_Form_Temperature'!$O66="Validé humainement",'01_Form_Temperature'!D66,"")</x:f>
      </x:c>
      <x:c r="E66" s="76" t="str">
        <x:f>IF('01_Form_Temperature'!$O66="Validé humainement",'01_Form_Temperature'!E66,"")</x:f>
      </x:c>
      <x:c r="F66" s="76" t="str">
        <x:f>IF('01_Form_Temperature'!$O66="Validé humainement",'01_Form_Temperature'!F66,"")</x:f>
      </x:c>
      <x:c r="G66" s="79" t="str">
        <x:f>IF('01_Form_Temperature'!$O66="Validé humainement",'01_Form_Temperature'!G66,"")</x:f>
      </x:c>
      <x:c r="H66" s="79" t="str">
        <x:f>IF('01_Form_Temperature'!$O66="Validé humainement",'01_Form_Temperature'!H66,"")</x:f>
      </x:c>
      <x:c r="I66" s="79" t="str">
        <x:f>IF('01_Form_Temperature'!$O66="Validé humainement",'01_Form_Temperature'!I66,"")</x:f>
      </x:c>
      <x:c r="J66" s="76" t="str">
        <x:f>IF('01_Form_Temperature'!$O66="Validé humainement",'01_Form_Temperature'!J66,"")</x:f>
      </x:c>
      <x:c r="K66" s="76" t="str">
        <x:f>IF('01_Form_Temperature'!$O66="Validé humainement",'01_Form_Temperature'!K66,"")</x:f>
      </x:c>
      <x:c r="L66" s="76" t="str">
        <x:f>IF('01_Form_Temperature'!$O66="Validé humainement",'01_Form_Temperature'!L66,"")</x:f>
      </x:c>
      <x:c r="M66" s="76" t="str">
        <x:f>IF('01_Form_Temperature'!$O66="Validé humainement",'01_Form_Temperature'!M66,"")</x:f>
      </x:c>
      <x:c r="N66" s="76" t="str">
        <x:f>IF('01_Form_Temperature'!$O66="Validé humainement",'01_Form_Temperature'!N66,"")</x:f>
      </x:c>
      <x:c r="O66" s="76" t="str">
        <x:f>IF('01_Form_Temperature'!$O66="Validé humainement",'01_Form_Temperature'!O66,"")</x:f>
      </x:c>
      <x:c r="P66" s="76" t="str">
        <x:f>IF('01_Form_Temperature'!$O66="Validé humainement",'01_Form_Temperature'!P66,"")</x:f>
      </x:c>
      <x:c r="Q66" s="78" t="str">
        <x:f>IF('01_Form_Temperature'!$O66="Validé humainement",'01_Form_Temperature'!Q66,"")</x:f>
      </x:c>
      <x:c r="R66" s="76" t="str">
        <x:f>IF('01_Form_Temperature'!$O66="Validé humainement",'01_Form_Temperature'!R66,"")</x:f>
      </x:c>
      <x:c r="S66" s="76" t="str">
        <x:f>IF('01_Form_Temperature'!$O66="Validé humainement",'01_Form_Temperature'!S66,"")</x:f>
      </x:c>
      <x:c r="T66" s="76" t="str">
        <x:f>IF('01_Form_Temperature'!$O66="Validé humainement",'01_Form_Temperature'!T66,"")</x:f>
      </x:c>
    </x:row>
    <x:row r="67">
      <x:c r="A67" s="76" t="str">
        <x:f>IF('01_Form_Temperature'!$O67="Validé humainement",'01_Form_Temperature'!A67,"")</x:f>
      </x:c>
      <x:c r="B67" s="78" t="str">
        <x:f>IF('01_Form_Temperature'!$O67="Validé humainement",'01_Form_Temperature'!B67,"")</x:f>
      </x:c>
      <x:c r="C67" s="76" t="str">
        <x:f>IF('01_Form_Temperature'!$O67="Validé humainement",'01_Form_Temperature'!C67,"")</x:f>
      </x:c>
      <x:c r="D67" s="76" t="str">
        <x:f>IF('01_Form_Temperature'!$O67="Validé humainement",'01_Form_Temperature'!D67,"")</x:f>
      </x:c>
      <x:c r="E67" s="76" t="str">
        <x:f>IF('01_Form_Temperature'!$O67="Validé humainement",'01_Form_Temperature'!E67,"")</x:f>
      </x:c>
      <x:c r="F67" s="76" t="str">
        <x:f>IF('01_Form_Temperature'!$O67="Validé humainement",'01_Form_Temperature'!F67,"")</x:f>
      </x:c>
      <x:c r="G67" s="79" t="str">
        <x:f>IF('01_Form_Temperature'!$O67="Validé humainement",'01_Form_Temperature'!G67,"")</x:f>
      </x:c>
      <x:c r="H67" s="79" t="str">
        <x:f>IF('01_Form_Temperature'!$O67="Validé humainement",'01_Form_Temperature'!H67,"")</x:f>
      </x:c>
      <x:c r="I67" s="79" t="str">
        <x:f>IF('01_Form_Temperature'!$O67="Validé humainement",'01_Form_Temperature'!I67,"")</x:f>
      </x:c>
      <x:c r="J67" s="76" t="str">
        <x:f>IF('01_Form_Temperature'!$O67="Validé humainement",'01_Form_Temperature'!J67,"")</x:f>
      </x:c>
      <x:c r="K67" s="76" t="str">
        <x:f>IF('01_Form_Temperature'!$O67="Validé humainement",'01_Form_Temperature'!K67,"")</x:f>
      </x:c>
      <x:c r="L67" s="76" t="str">
        <x:f>IF('01_Form_Temperature'!$O67="Validé humainement",'01_Form_Temperature'!L67,"")</x:f>
      </x:c>
      <x:c r="M67" s="76" t="str">
        <x:f>IF('01_Form_Temperature'!$O67="Validé humainement",'01_Form_Temperature'!M67,"")</x:f>
      </x:c>
      <x:c r="N67" s="76" t="str">
        <x:f>IF('01_Form_Temperature'!$O67="Validé humainement",'01_Form_Temperature'!N67,"")</x:f>
      </x:c>
      <x:c r="O67" s="76" t="str">
        <x:f>IF('01_Form_Temperature'!$O67="Validé humainement",'01_Form_Temperature'!O67,"")</x:f>
      </x:c>
      <x:c r="P67" s="76" t="str">
        <x:f>IF('01_Form_Temperature'!$O67="Validé humainement",'01_Form_Temperature'!P67,"")</x:f>
      </x:c>
      <x:c r="Q67" s="78" t="str">
        <x:f>IF('01_Form_Temperature'!$O67="Validé humainement",'01_Form_Temperature'!Q67,"")</x:f>
      </x:c>
      <x:c r="R67" s="76" t="str">
        <x:f>IF('01_Form_Temperature'!$O67="Validé humainement",'01_Form_Temperature'!R67,"")</x:f>
      </x:c>
      <x:c r="S67" s="76" t="str">
        <x:f>IF('01_Form_Temperature'!$O67="Validé humainement",'01_Form_Temperature'!S67,"")</x:f>
      </x:c>
      <x:c r="T67" s="76" t="str">
        <x:f>IF('01_Form_Temperature'!$O67="Validé humainement",'01_Form_Temperature'!T67,"")</x:f>
      </x:c>
    </x:row>
    <x:row r="68">
      <x:c r="A68" s="76" t="str">
        <x:f>IF('01_Form_Temperature'!$O68="Validé humainement",'01_Form_Temperature'!A68,"")</x:f>
      </x:c>
      <x:c r="B68" s="78" t="str">
        <x:f>IF('01_Form_Temperature'!$O68="Validé humainement",'01_Form_Temperature'!B68,"")</x:f>
      </x:c>
      <x:c r="C68" s="76" t="str">
        <x:f>IF('01_Form_Temperature'!$O68="Validé humainement",'01_Form_Temperature'!C68,"")</x:f>
      </x:c>
      <x:c r="D68" s="76" t="str">
        <x:f>IF('01_Form_Temperature'!$O68="Validé humainement",'01_Form_Temperature'!D68,"")</x:f>
      </x:c>
      <x:c r="E68" s="76" t="str">
        <x:f>IF('01_Form_Temperature'!$O68="Validé humainement",'01_Form_Temperature'!E68,"")</x:f>
      </x:c>
      <x:c r="F68" s="76" t="str">
        <x:f>IF('01_Form_Temperature'!$O68="Validé humainement",'01_Form_Temperature'!F68,"")</x:f>
      </x:c>
      <x:c r="G68" s="79" t="str">
        <x:f>IF('01_Form_Temperature'!$O68="Validé humainement",'01_Form_Temperature'!G68,"")</x:f>
      </x:c>
      <x:c r="H68" s="79" t="str">
        <x:f>IF('01_Form_Temperature'!$O68="Validé humainement",'01_Form_Temperature'!H68,"")</x:f>
      </x:c>
      <x:c r="I68" s="79" t="str">
        <x:f>IF('01_Form_Temperature'!$O68="Validé humainement",'01_Form_Temperature'!I68,"")</x:f>
      </x:c>
      <x:c r="J68" s="76" t="str">
        <x:f>IF('01_Form_Temperature'!$O68="Validé humainement",'01_Form_Temperature'!J68,"")</x:f>
      </x:c>
      <x:c r="K68" s="76" t="str">
        <x:f>IF('01_Form_Temperature'!$O68="Validé humainement",'01_Form_Temperature'!K68,"")</x:f>
      </x:c>
      <x:c r="L68" s="76" t="str">
        <x:f>IF('01_Form_Temperature'!$O68="Validé humainement",'01_Form_Temperature'!L68,"")</x:f>
      </x:c>
      <x:c r="M68" s="76" t="str">
        <x:f>IF('01_Form_Temperature'!$O68="Validé humainement",'01_Form_Temperature'!M68,"")</x:f>
      </x:c>
      <x:c r="N68" s="76" t="str">
        <x:f>IF('01_Form_Temperature'!$O68="Validé humainement",'01_Form_Temperature'!N68,"")</x:f>
      </x:c>
      <x:c r="O68" s="76" t="str">
        <x:f>IF('01_Form_Temperature'!$O68="Validé humainement",'01_Form_Temperature'!O68,"")</x:f>
      </x:c>
      <x:c r="P68" s="76" t="str">
        <x:f>IF('01_Form_Temperature'!$O68="Validé humainement",'01_Form_Temperature'!P68,"")</x:f>
      </x:c>
      <x:c r="Q68" s="78" t="str">
        <x:f>IF('01_Form_Temperature'!$O68="Validé humainement",'01_Form_Temperature'!Q68,"")</x:f>
      </x:c>
      <x:c r="R68" s="76" t="str">
        <x:f>IF('01_Form_Temperature'!$O68="Validé humainement",'01_Form_Temperature'!R68,"")</x:f>
      </x:c>
      <x:c r="S68" s="76" t="str">
        <x:f>IF('01_Form_Temperature'!$O68="Validé humainement",'01_Form_Temperature'!S68,"")</x:f>
      </x:c>
      <x:c r="T68" s="76" t="str">
        <x:f>IF('01_Form_Temperature'!$O68="Validé humainement",'01_Form_Temperature'!T68,"")</x:f>
      </x:c>
    </x:row>
    <x:row r="69">
      <x:c r="A69" s="76" t="str">
        <x:f>IF('01_Form_Temperature'!$O69="Validé humainement",'01_Form_Temperature'!A69,"")</x:f>
      </x:c>
      <x:c r="B69" s="78" t="str">
        <x:f>IF('01_Form_Temperature'!$O69="Validé humainement",'01_Form_Temperature'!B69,"")</x:f>
      </x:c>
      <x:c r="C69" s="76" t="str">
        <x:f>IF('01_Form_Temperature'!$O69="Validé humainement",'01_Form_Temperature'!C69,"")</x:f>
      </x:c>
      <x:c r="D69" s="76" t="str">
        <x:f>IF('01_Form_Temperature'!$O69="Validé humainement",'01_Form_Temperature'!D69,"")</x:f>
      </x:c>
      <x:c r="E69" s="76" t="str">
        <x:f>IF('01_Form_Temperature'!$O69="Validé humainement",'01_Form_Temperature'!E69,"")</x:f>
      </x:c>
      <x:c r="F69" s="76" t="str">
        <x:f>IF('01_Form_Temperature'!$O69="Validé humainement",'01_Form_Temperature'!F69,"")</x:f>
      </x:c>
      <x:c r="G69" s="79" t="str">
        <x:f>IF('01_Form_Temperature'!$O69="Validé humainement",'01_Form_Temperature'!G69,"")</x:f>
      </x:c>
      <x:c r="H69" s="79" t="str">
        <x:f>IF('01_Form_Temperature'!$O69="Validé humainement",'01_Form_Temperature'!H69,"")</x:f>
      </x:c>
      <x:c r="I69" s="79" t="str">
        <x:f>IF('01_Form_Temperature'!$O69="Validé humainement",'01_Form_Temperature'!I69,"")</x:f>
      </x:c>
      <x:c r="J69" s="76" t="str">
        <x:f>IF('01_Form_Temperature'!$O69="Validé humainement",'01_Form_Temperature'!J69,"")</x:f>
      </x:c>
      <x:c r="K69" s="76" t="str">
        <x:f>IF('01_Form_Temperature'!$O69="Validé humainement",'01_Form_Temperature'!K69,"")</x:f>
      </x:c>
      <x:c r="L69" s="76" t="str">
        <x:f>IF('01_Form_Temperature'!$O69="Validé humainement",'01_Form_Temperature'!L69,"")</x:f>
      </x:c>
      <x:c r="M69" s="76" t="str">
        <x:f>IF('01_Form_Temperature'!$O69="Validé humainement",'01_Form_Temperature'!M69,"")</x:f>
      </x:c>
      <x:c r="N69" s="76" t="str">
        <x:f>IF('01_Form_Temperature'!$O69="Validé humainement",'01_Form_Temperature'!N69,"")</x:f>
      </x:c>
      <x:c r="O69" s="76" t="str">
        <x:f>IF('01_Form_Temperature'!$O69="Validé humainement",'01_Form_Temperature'!O69,"")</x:f>
      </x:c>
      <x:c r="P69" s="76" t="str">
        <x:f>IF('01_Form_Temperature'!$O69="Validé humainement",'01_Form_Temperature'!P69,"")</x:f>
      </x:c>
      <x:c r="Q69" s="78" t="str">
        <x:f>IF('01_Form_Temperature'!$O69="Validé humainement",'01_Form_Temperature'!Q69,"")</x:f>
      </x:c>
      <x:c r="R69" s="76" t="str">
        <x:f>IF('01_Form_Temperature'!$O69="Validé humainement",'01_Form_Temperature'!R69,"")</x:f>
      </x:c>
      <x:c r="S69" s="76" t="str">
        <x:f>IF('01_Form_Temperature'!$O69="Validé humainement",'01_Form_Temperature'!S69,"")</x:f>
      </x:c>
      <x:c r="T69" s="76" t="str">
        <x:f>IF('01_Form_Temperature'!$O69="Validé humainement",'01_Form_Temperature'!T69,"")</x:f>
      </x:c>
    </x:row>
    <x:row r="70">
      <x:c r="A70" s="76" t="str">
        <x:f>IF('01_Form_Temperature'!$O70="Validé humainement",'01_Form_Temperature'!A70,"")</x:f>
      </x:c>
      <x:c r="B70" s="78" t="str">
        <x:f>IF('01_Form_Temperature'!$O70="Validé humainement",'01_Form_Temperature'!B70,"")</x:f>
      </x:c>
      <x:c r="C70" s="76" t="str">
        <x:f>IF('01_Form_Temperature'!$O70="Validé humainement",'01_Form_Temperature'!C70,"")</x:f>
      </x:c>
      <x:c r="D70" s="76" t="str">
        <x:f>IF('01_Form_Temperature'!$O70="Validé humainement",'01_Form_Temperature'!D70,"")</x:f>
      </x:c>
      <x:c r="E70" s="76" t="str">
        <x:f>IF('01_Form_Temperature'!$O70="Validé humainement",'01_Form_Temperature'!E70,"")</x:f>
      </x:c>
      <x:c r="F70" s="76" t="str">
        <x:f>IF('01_Form_Temperature'!$O70="Validé humainement",'01_Form_Temperature'!F70,"")</x:f>
      </x:c>
      <x:c r="G70" s="79" t="str">
        <x:f>IF('01_Form_Temperature'!$O70="Validé humainement",'01_Form_Temperature'!G70,"")</x:f>
      </x:c>
      <x:c r="H70" s="79" t="str">
        <x:f>IF('01_Form_Temperature'!$O70="Validé humainement",'01_Form_Temperature'!H70,"")</x:f>
      </x:c>
      <x:c r="I70" s="79" t="str">
        <x:f>IF('01_Form_Temperature'!$O70="Validé humainement",'01_Form_Temperature'!I70,"")</x:f>
      </x:c>
      <x:c r="J70" s="76" t="str">
        <x:f>IF('01_Form_Temperature'!$O70="Validé humainement",'01_Form_Temperature'!J70,"")</x:f>
      </x:c>
      <x:c r="K70" s="76" t="str">
        <x:f>IF('01_Form_Temperature'!$O70="Validé humainement",'01_Form_Temperature'!K70,"")</x:f>
      </x:c>
      <x:c r="L70" s="76" t="str">
        <x:f>IF('01_Form_Temperature'!$O70="Validé humainement",'01_Form_Temperature'!L70,"")</x:f>
      </x:c>
      <x:c r="M70" s="76" t="str">
        <x:f>IF('01_Form_Temperature'!$O70="Validé humainement",'01_Form_Temperature'!M70,"")</x:f>
      </x:c>
      <x:c r="N70" s="76" t="str">
        <x:f>IF('01_Form_Temperature'!$O70="Validé humainement",'01_Form_Temperature'!N70,"")</x:f>
      </x:c>
      <x:c r="O70" s="76" t="str">
        <x:f>IF('01_Form_Temperature'!$O70="Validé humainement",'01_Form_Temperature'!O70,"")</x:f>
      </x:c>
      <x:c r="P70" s="76" t="str">
        <x:f>IF('01_Form_Temperature'!$O70="Validé humainement",'01_Form_Temperature'!P70,"")</x:f>
      </x:c>
      <x:c r="Q70" s="78" t="str">
        <x:f>IF('01_Form_Temperature'!$O70="Validé humainement",'01_Form_Temperature'!Q70,"")</x:f>
      </x:c>
      <x:c r="R70" s="76" t="str">
        <x:f>IF('01_Form_Temperature'!$O70="Validé humainement",'01_Form_Temperature'!R70,"")</x:f>
      </x:c>
      <x:c r="S70" s="76" t="str">
        <x:f>IF('01_Form_Temperature'!$O70="Validé humainement",'01_Form_Temperature'!S70,"")</x:f>
      </x:c>
      <x:c r="T70" s="76" t="str">
        <x:f>IF('01_Form_Temperature'!$O70="Validé humainement",'01_Form_Temperature'!T70,"")</x:f>
      </x:c>
    </x:row>
    <x:row r="71">
      <x:c r="A71" s="76" t="str">
        <x:f>IF('01_Form_Temperature'!$O71="Validé humainement",'01_Form_Temperature'!A71,"")</x:f>
      </x:c>
      <x:c r="B71" s="78" t="str">
        <x:f>IF('01_Form_Temperature'!$O71="Validé humainement",'01_Form_Temperature'!B71,"")</x:f>
      </x:c>
      <x:c r="C71" s="76" t="str">
        <x:f>IF('01_Form_Temperature'!$O71="Validé humainement",'01_Form_Temperature'!C71,"")</x:f>
      </x:c>
      <x:c r="D71" s="76" t="str">
        <x:f>IF('01_Form_Temperature'!$O71="Validé humainement",'01_Form_Temperature'!D71,"")</x:f>
      </x:c>
      <x:c r="E71" s="76" t="str">
        <x:f>IF('01_Form_Temperature'!$O71="Validé humainement",'01_Form_Temperature'!E71,"")</x:f>
      </x:c>
      <x:c r="F71" s="76" t="str">
        <x:f>IF('01_Form_Temperature'!$O71="Validé humainement",'01_Form_Temperature'!F71,"")</x:f>
      </x:c>
      <x:c r="G71" s="79" t="str">
        <x:f>IF('01_Form_Temperature'!$O71="Validé humainement",'01_Form_Temperature'!G71,"")</x:f>
      </x:c>
      <x:c r="H71" s="79" t="str">
        <x:f>IF('01_Form_Temperature'!$O71="Validé humainement",'01_Form_Temperature'!H71,"")</x:f>
      </x:c>
      <x:c r="I71" s="79" t="str">
        <x:f>IF('01_Form_Temperature'!$O71="Validé humainement",'01_Form_Temperature'!I71,"")</x:f>
      </x:c>
      <x:c r="J71" s="76" t="str">
        <x:f>IF('01_Form_Temperature'!$O71="Validé humainement",'01_Form_Temperature'!J71,"")</x:f>
      </x:c>
      <x:c r="K71" s="76" t="str">
        <x:f>IF('01_Form_Temperature'!$O71="Validé humainement",'01_Form_Temperature'!K71,"")</x:f>
      </x:c>
      <x:c r="L71" s="76" t="str">
        <x:f>IF('01_Form_Temperature'!$O71="Validé humainement",'01_Form_Temperature'!L71,"")</x:f>
      </x:c>
      <x:c r="M71" s="76" t="str">
        <x:f>IF('01_Form_Temperature'!$O71="Validé humainement",'01_Form_Temperature'!M71,"")</x:f>
      </x:c>
      <x:c r="N71" s="76" t="str">
        <x:f>IF('01_Form_Temperature'!$O71="Validé humainement",'01_Form_Temperature'!N71,"")</x:f>
      </x:c>
      <x:c r="O71" s="76" t="str">
        <x:f>IF('01_Form_Temperature'!$O71="Validé humainement",'01_Form_Temperature'!O71,"")</x:f>
      </x:c>
      <x:c r="P71" s="76" t="str">
        <x:f>IF('01_Form_Temperature'!$O71="Validé humainement",'01_Form_Temperature'!P71,"")</x:f>
      </x:c>
      <x:c r="Q71" s="78" t="str">
        <x:f>IF('01_Form_Temperature'!$O71="Validé humainement",'01_Form_Temperature'!Q71,"")</x:f>
      </x:c>
      <x:c r="R71" s="76" t="str">
        <x:f>IF('01_Form_Temperature'!$O71="Validé humainement",'01_Form_Temperature'!R71,"")</x:f>
      </x:c>
      <x:c r="S71" s="76" t="str">
        <x:f>IF('01_Form_Temperature'!$O71="Validé humainement",'01_Form_Temperature'!S71,"")</x:f>
      </x:c>
      <x:c r="T71" s="76" t="str">
        <x:f>IF('01_Form_Temperature'!$O71="Validé humainement",'01_Form_Temperature'!T71,"")</x:f>
      </x:c>
    </x:row>
    <x:row r="72">
      <x:c r="A72" s="76" t="str">
        <x:f>IF('01_Form_Temperature'!$O72="Validé humainement",'01_Form_Temperature'!A72,"")</x:f>
      </x:c>
      <x:c r="B72" s="78" t="str">
        <x:f>IF('01_Form_Temperature'!$O72="Validé humainement",'01_Form_Temperature'!B72,"")</x:f>
      </x:c>
      <x:c r="C72" s="76" t="str">
        <x:f>IF('01_Form_Temperature'!$O72="Validé humainement",'01_Form_Temperature'!C72,"")</x:f>
      </x:c>
      <x:c r="D72" s="76" t="str">
        <x:f>IF('01_Form_Temperature'!$O72="Validé humainement",'01_Form_Temperature'!D72,"")</x:f>
      </x:c>
      <x:c r="E72" s="76" t="str">
        <x:f>IF('01_Form_Temperature'!$O72="Validé humainement",'01_Form_Temperature'!E72,"")</x:f>
      </x:c>
      <x:c r="F72" s="76" t="str">
        <x:f>IF('01_Form_Temperature'!$O72="Validé humainement",'01_Form_Temperature'!F72,"")</x:f>
      </x:c>
      <x:c r="G72" s="79" t="str">
        <x:f>IF('01_Form_Temperature'!$O72="Validé humainement",'01_Form_Temperature'!G72,"")</x:f>
      </x:c>
      <x:c r="H72" s="79" t="str">
        <x:f>IF('01_Form_Temperature'!$O72="Validé humainement",'01_Form_Temperature'!H72,"")</x:f>
      </x:c>
      <x:c r="I72" s="79" t="str">
        <x:f>IF('01_Form_Temperature'!$O72="Validé humainement",'01_Form_Temperature'!I72,"")</x:f>
      </x:c>
      <x:c r="J72" s="76" t="str">
        <x:f>IF('01_Form_Temperature'!$O72="Validé humainement",'01_Form_Temperature'!J72,"")</x:f>
      </x:c>
      <x:c r="K72" s="76" t="str">
        <x:f>IF('01_Form_Temperature'!$O72="Validé humainement",'01_Form_Temperature'!K72,"")</x:f>
      </x:c>
      <x:c r="L72" s="76" t="str">
        <x:f>IF('01_Form_Temperature'!$O72="Validé humainement",'01_Form_Temperature'!L72,"")</x:f>
      </x:c>
      <x:c r="M72" s="76" t="str">
        <x:f>IF('01_Form_Temperature'!$O72="Validé humainement",'01_Form_Temperature'!M72,"")</x:f>
      </x:c>
      <x:c r="N72" s="76" t="str">
        <x:f>IF('01_Form_Temperature'!$O72="Validé humainement",'01_Form_Temperature'!N72,"")</x:f>
      </x:c>
      <x:c r="O72" s="76" t="str">
        <x:f>IF('01_Form_Temperature'!$O72="Validé humainement",'01_Form_Temperature'!O72,"")</x:f>
      </x:c>
      <x:c r="P72" s="76" t="str">
        <x:f>IF('01_Form_Temperature'!$O72="Validé humainement",'01_Form_Temperature'!P72,"")</x:f>
      </x:c>
      <x:c r="Q72" s="78" t="str">
        <x:f>IF('01_Form_Temperature'!$O72="Validé humainement",'01_Form_Temperature'!Q72,"")</x:f>
      </x:c>
      <x:c r="R72" s="76" t="str">
        <x:f>IF('01_Form_Temperature'!$O72="Validé humainement",'01_Form_Temperature'!R72,"")</x:f>
      </x:c>
      <x:c r="S72" s="76" t="str">
        <x:f>IF('01_Form_Temperature'!$O72="Validé humainement",'01_Form_Temperature'!S72,"")</x:f>
      </x:c>
      <x:c r="T72" s="76" t="str">
        <x:f>IF('01_Form_Temperature'!$O72="Validé humainement",'01_Form_Temperature'!T72,"")</x:f>
      </x:c>
    </x:row>
    <x:row r="73">
      <x:c r="A73" s="76" t="str">
        <x:f>IF('01_Form_Temperature'!$O73="Validé humainement",'01_Form_Temperature'!A73,"")</x:f>
      </x:c>
      <x:c r="B73" s="78" t="str">
        <x:f>IF('01_Form_Temperature'!$O73="Validé humainement",'01_Form_Temperature'!B73,"")</x:f>
      </x:c>
      <x:c r="C73" s="76" t="str">
        <x:f>IF('01_Form_Temperature'!$O73="Validé humainement",'01_Form_Temperature'!C73,"")</x:f>
      </x:c>
      <x:c r="D73" s="76" t="str">
        <x:f>IF('01_Form_Temperature'!$O73="Validé humainement",'01_Form_Temperature'!D73,"")</x:f>
      </x:c>
      <x:c r="E73" s="76" t="str">
        <x:f>IF('01_Form_Temperature'!$O73="Validé humainement",'01_Form_Temperature'!E73,"")</x:f>
      </x:c>
      <x:c r="F73" s="76" t="str">
        <x:f>IF('01_Form_Temperature'!$O73="Validé humainement",'01_Form_Temperature'!F73,"")</x:f>
      </x:c>
      <x:c r="G73" s="79" t="str">
        <x:f>IF('01_Form_Temperature'!$O73="Validé humainement",'01_Form_Temperature'!G73,"")</x:f>
      </x:c>
      <x:c r="H73" s="79" t="str">
        <x:f>IF('01_Form_Temperature'!$O73="Validé humainement",'01_Form_Temperature'!H73,"")</x:f>
      </x:c>
      <x:c r="I73" s="79" t="str">
        <x:f>IF('01_Form_Temperature'!$O73="Validé humainement",'01_Form_Temperature'!I73,"")</x:f>
      </x:c>
      <x:c r="J73" s="76" t="str">
        <x:f>IF('01_Form_Temperature'!$O73="Validé humainement",'01_Form_Temperature'!J73,"")</x:f>
      </x:c>
      <x:c r="K73" s="76" t="str">
        <x:f>IF('01_Form_Temperature'!$O73="Validé humainement",'01_Form_Temperature'!K73,"")</x:f>
      </x:c>
      <x:c r="L73" s="76" t="str">
        <x:f>IF('01_Form_Temperature'!$O73="Validé humainement",'01_Form_Temperature'!L73,"")</x:f>
      </x:c>
      <x:c r="M73" s="76" t="str">
        <x:f>IF('01_Form_Temperature'!$O73="Validé humainement",'01_Form_Temperature'!M73,"")</x:f>
      </x:c>
      <x:c r="N73" s="76" t="str">
        <x:f>IF('01_Form_Temperature'!$O73="Validé humainement",'01_Form_Temperature'!N73,"")</x:f>
      </x:c>
      <x:c r="O73" s="76" t="str">
        <x:f>IF('01_Form_Temperature'!$O73="Validé humainement",'01_Form_Temperature'!O73,"")</x:f>
      </x:c>
      <x:c r="P73" s="76" t="str">
        <x:f>IF('01_Form_Temperature'!$O73="Validé humainement",'01_Form_Temperature'!P73,"")</x:f>
      </x:c>
      <x:c r="Q73" s="78" t="str">
        <x:f>IF('01_Form_Temperature'!$O73="Validé humainement",'01_Form_Temperature'!Q73,"")</x:f>
      </x:c>
      <x:c r="R73" s="76" t="str">
        <x:f>IF('01_Form_Temperature'!$O73="Validé humainement",'01_Form_Temperature'!R73,"")</x:f>
      </x:c>
      <x:c r="S73" s="76" t="str">
        <x:f>IF('01_Form_Temperature'!$O73="Validé humainement",'01_Form_Temperature'!S73,"")</x:f>
      </x:c>
      <x:c r="T73" s="76" t="str">
        <x:f>IF('01_Form_Temperature'!$O73="Validé humainement",'01_Form_Temperature'!T73,"")</x:f>
      </x:c>
    </x:row>
    <x:row r="74">
      <x:c r="A74" s="76" t="str">
        <x:f>IF('01_Form_Temperature'!$O74="Validé humainement",'01_Form_Temperature'!A74,"")</x:f>
      </x:c>
      <x:c r="B74" s="78" t="str">
        <x:f>IF('01_Form_Temperature'!$O74="Validé humainement",'01_Form_Temperature'!B74,"")</x:f>
      </x:c>
      <x:c r="C74" s="76" t="str">
        <x:f>IF('01_Form_Temperature'!$O74="Validé humainement",'01_Form_Temperature'!C74,"")</x:f>
      </x:c>
      <x:c r="D74" s="76" t="str">
        <x:f>IF('01_Form_Temperature'!$O74="Validé humainement",'01_Form_Temperature'!D74,"")</x:f>
      </x:c>
      <x:c r="E74" s="76" t="str">
        <x:f>IF('01_Form_Temperature'!$O74="Validé humainement",'01_Form_Temperature'!E74,"")</x:f>
      </x:c>
      <x:c r="F74" s="76" t="str">
        <x:f>IF('01_Form_Temperature'!$O74="Validé humainement",'01_Form_Temperature'!F74,"")</x:f>
      </x:c>
      <x:c r="G74" s="79" t="str">
        <x:f>IF('01_Form_Temperature'!$O74="Validé humainement",'01_Form_Temperature'!G74,"")</x:f>
      </x:c>
      <x:c r="H74" s="79" t="str">
        <x:f>IF('01_Form_Temperature'!$O74="Validé humainement",'01_Form_Temperature'!H74,"")</x:f>
      </x:c>
      <x:c r="I74" s="79" t="str">
        <x:f>IF('01_Form_Temperature'!$O74="Validé humainement",'01_Form_Temperature'!I74,"")</x:f>
      </x:c>
      <x:c r="J74" s="76" t="str">
        <x:f>IF('01_Form_Temperature'!$O74="Validé humainement",'01_Form_Temperature'!J74,"")</x:f>
      </x:c>
      <x:c r="K74" s="76" t="str">
        <x:f>IF('01_Form_Temperature'!$O74="Validé humainement",'01_Form_Temperature'!K74,"")</x:f>
      </x:c>
      <x:c r="L74" s="76" t="str">
        <x:f>IF('01_Form_Temperature'!$O74="Validé humainement",'01_Form_Temperature'!L74,"")</x:f>
      </x:c>
      <x:c r="M74" s="76" t="str">
        <x:f>IF('01_Form_Temperature'!$O74="Validé humainement",'01_Form_Temperature'!M74,"")</x:f>
      </x:c>
      <x:c r="N74" s="76" t="str">
        <x:f>IF('01_Form_Temperature'!$O74="Validé humainement",'01_Form_Temperature'!N74,"")</x:f>
      </x:c>
      <x:c r="O74" s="76" t="str">
        <x:f>IF('01_Form_Temperature'!$O74="Validé humainement",'01_Form_Temperature'!O74,"")</x:f>
      </x:c>
      <x:c r="P74" s="76" t="str">
        <x:f>IF('01_Form_Temperature'!$O74="Validé humainement",'01_Form_Temperature'!P74,"")</x:f>
      </x:c>
      <x:c r="Q74" s="78" t="str">
        <x:f>IF('01_Form_Temperature'!$O74="Validé humainement",'01_Form_Temperature'!Q74,"")</x:f>
      </x:c>
      <x:c r="R74" s="76" t="str">
        <x:f>IF('01_Form_Temperature'!$O74="Validé humainement",'01_Form_Temperature'!R74,"")</x:f>
      </x:c>
      <x:c r="S74" s="76" t="str">
        <x:f>IF('01_Form_Temperature'!$O74="Validé humainement",'01_Form_Temperature'!S74,"")</x:f>
      </x:c>
      <x:c r="T74" s="76" t="str">
        <x:f>IF('01_Form_Temperature'!$O74="Validé humainement",'01_Form_Temperature'!T74,"")</x:f>
      </x:c>
    </x:row>
    <x:row r="75">
      <x:c r="A75" s="76" t="str">
        <x:f>IF('01_Form_Temperature'!$O75="Validé humainement",'01_Form_Temperature'!A75,"")</x:f>
      </x:c>
      <x:c r="B75" s="78" t="str">
        <x:f>IF('01_Form_Temperature'!$O75="Validé humainement",'01_Form_Temperature'!B75,"")</x:f>
      </x:c>
      <x:c r="C75" s="76" t="str">
        <x:f>IF('01_Form_Temperature'!$O75="Validé humainement",'01_Form_Temperature'!C75,"")</x:f>
      </x:c>
      <x:c r="D75" s="76" t="str">
        <x:f>IF('01_Form_Temperature'!$O75="Validé humainement",'01_Form_Temperature'!D75,"")</x:f>
      </x:c>
      <x:c r="E75" s="76" t="str">
        <x:f>IF('01_Form_Temperature'!$O75="Validé humainement",'01_Form_Temperature'!E75,"")</x:f>
      </x:c>
      <x:c r="F75" s="76" t="str">
        <x:f>IF('01_Form_Temperature'!$O75="Validé humainement",'01_Form_Temperature'!F75,"")</x:f>
      </x:c>
      <x:c r="G75" s="79" t="str">
        <x:f>IF('01_Form_Temperature'!$O75="Validé humainement",'01_Form_Temperature'!G75,"")</x:f>
      </x:c>
      <x:c r="H75" s="79" t="str">
        <x:f>IF('01_Form_Temperature'!$O75="Validé humainement",'01_Form_Temperature'!H75,"")</x:f>
      </x:c>
      <x:c r="I75" s="79" t="str">
        <x:f>IF('01_Form_Temperature'!$O75="Validé humainement",'01_Form_Temperature'!I75,"")</x:f>
      </x:c>
      <x:c r="J75" s="76" t="str">
        <x:f>IF('01_Form_Temperature'!$O75="Validé humainement",'01_Form_Temperature'!J75,"")</x:f>
      </x:c>
      <x:c r="K75" s="76" t="str">
        <x:f>IF('01_Form_Temperature'!$O75="Validé humainement",'01_Form_Temperature'!K75,"")</x:f>
      </x:c>
      <x:c r="L75" s="76" t="str">
        <x:f>IF('01_Form_Temperature'!$O75="Validé humainement",'01_Form_Temperature'!L75,"")</x:f>
      </x:c>
      <x:c r="M75" s="76" t="str">
        <x:f>IF('01_Form_Temperature'!$O75="Validé humainement",'01_Form_Temperature'!M75,"")</x:f>
      </x:c>
      <x:c r="N75" s="76" t="str">
        <x:f>IF('01_Form_Temperature'!$O75="Validé humainement",'01_Form_Temperature'!N75,"")</x:f>
      </x:c>
      <x:c r="O75" s="76" t="str">
        <x:f>IF('01_Form_Temperature'!$O75="Validé humainement",'01_Form_Temperature'!O75,"")</x:f>
      </x:c>
      <x:c r="P75" s="76" t="str">
        <x:f>IF('01_Form_Temperature'!$O75="Validé humainement",'01_Form_Temperature'!P75,"")</x:f>
      </x:c>
      <x:c r="Q75" s="78" t="str">
        <x:f>IF('01_Form_Temperature'!$O75="Validé humainement",'01_Form_Temperature'!Q75,"")</x:f>
      </x:c>
      <x:c r="R75" s="76" t="str">
        <x:f>IF('01_Form_Temperature'!$O75="Validé humainement",'01_Form_Temperature'!R75,"")</x:f>
      </x:c>
      <x:c r="S75" s="76" t="str">
        <x:f>IF('01_Form_Temperature'!$O75="Validé humainement",'01_Form_Temperature'!S75,"")</x:f>
      </x:c>
      <x:c r="T75" s="76" t="str">
        <x:f>IF('01_Form_Temperature'!$O75="Validé humainement",'01_Form_Temperature'!T75,"")</x:f>
      </x:c>
    </x:row>
    <x:row r="76">
      <x:c r="A76" s="76" t="str">
        <x:f>IF('01_Form_Temperature'!$O76="Validé humainement",'01_Form_Temperature'!A76,"")</x:f>
      </x:c>
      <x:c r="B76" s="78" t="str">
        <x:f>IF('01_Form_Temperature'!$O76="Validé humainement",'01_Form_Temperature'!B76,"")</x:f>
      </x:c>
      <x:c r="C76" s="76" t="str">
        <x:f>IF('01_Form_Temperature'!$O76="Validé humainement",'01_Form_Temperature'!C76,"")</x:f>
      </x:c>
      <x:c r="D76" s="76" t="str">
        <x:f>IF('01_Form_Temperature'!$O76="Validé humainement",'01_Form_Temperature'!D76,"")</x:f>
      </x:c>
      <x:c r="E76" s="76" t="str">
        <x:f>IF('01_Form_Temperature'!$O76="Validé humainement",'01_Form_Temperature'!E76,"")</x:f>
      </x:c>
      <x:c r="F76" s="76" t="str">
        <x:f>IF('01_Form_Temperature'!$O76="Validé humainement",'01_Form_Temperature'!F76,"")</x:f>
      </x:c>
      <x:c r="G76" s="79" t="str">
        <x:f>IF('01_Form_Temperature'!$O76="Validé humainement",'01_Form_Temperature'!G76,"")</x:f>
      </x:c>
      <x:c r="H76" s="79" t="str">
        <x:f>IF('01_Form_Temperature'!$O76="Validé humainement",'01_Form_Temperature'!H76,"")</x:f>
      </x:c>
      <x:c r="I76" s="79" t="str">
        <x:f>IF('01_Form_Temperature'!$O76="Validé humainement",'01_Form_Temperature'!I76,"")</x:f>
      </x:c>
      <x:c r="J76" s="76" t="str">
        <x:f>IF('01_Form_Temperature'!$O76="Validé humainement",'01_Form_Temperature'!J76,"")</x:f>
      </x:c>
      <x:c r="K76" s="76" t="str">
        <x:f>IF('01_Form_Temperature'!$O76="Validé humainement",'01_Form_Temperature'!K76,"")</x:f>
      </x:c>
      <x:c r="L76" s="76" t="str">
        <x:f>IF('01_Form_Temperature'!$O76="Validé humainement",'01_Form_Temperature'!L76,"")</x:f>
      </x:c>
      <x:c r="M76" s="76" t="str">
        <x:f>IF('01_Form_Temperature'!$O76="Validé humainement",'01_Form_Temperature'!M76,"")</x:f>
      </x:c>
      <x:c r="N76" s="76" t="str">
        <x:f>IF('01_Form_Temperature'!$O76="Validé humainement",'01_Form_Temperature'!N76,"")</x:f>
      </x:c>
      <x:c r="O76" s="76" t="str">
        <x:f>IF('01_Form_Temperature'!$O76="Validé humainement",'01_Form_Temperature'!O76,"")</x:f>
      </x:c>
      <x:c r="P76" s="76" t="str">
        <x:f>IF('01_Form_Temperature'!$O76="Validé humainement",'01_Form_Temperature'!P76,"")</x:f>
      </x:c>
      <x:c r="Q76" s="78" t="str">
        <x:f>IF('01_Form_Temperature'!$O76="Validé humainement",'01_Form_Temperature'!Q76,"")</x:f>
      </x:c>
      <x:c r="R76" s="76" t="str">
        <x:f>IF('01_Form_Temperature'!$O76="Validé humainement",'01_Form_Temperature'!R76,"")</x:f>
      </x:c>
      <x:c r="S76" s="76" t="str">
        <x:f>IF('01_Form_Temperature'!$O76="Validé humainement",'01_Form_Temperature'!S76,"")</x:f>
      </x:c>
      <x:c r="T76" s="76" t="str">
        <x:f>IF('01_Form_Temperature'!$O76="Validé humainement",'01_Form_Temperature'!T76,"")</x:f>
      </x:c>
    </x:row>
    <x:row r="77">
      <x:c r="A77" s="76" t="str">
        <x:f>IF('01_Form_Temperature'!$O77="Validé humainement",'01_Form_Temperature'!A77,"")</x:f>
      </x:c>
      <x:c r="B77" s="78" t="str">
        <x:f>IF('01_Form_Temperature'!$O77="Validé humainement",'01_Form_Temperature'!B77,"")</x:f>
      </x:c>
      <x:c r="C77" s="76" t="str">
        <x:f>IF('01_Form_Temperature'!$O77="Validé humainement",'01_Form_Temperature'!C77,"")</x:f>
      </x:c>
      <x:c r="D77" s="76" t="str">
        <x:f>IF('01_Form_Temperature'!$O77="Validé humainement",'01_Form_Temperature'!D77,"")</x:f>
      </x:c>
      <x:c r="E77" s="76" t="str">
        <x:f>IF('01_Form_Temperature'!$O77="Validé humainement",'01_Form_Temperature'!E77,"")</x:f>
      </x:c>
      <x:c r="F77" s="76" t="str">
        <x:f>IF('01_Form_Temperature'!$O77="Validé humainement",'01_Form_Temperature'!F77,"")</x:f>
      </x:c>
      <x:c r="G77" s="79" t="str">
        <x:f>IF('01_Form_Temperature'!$O77="Validé humainement",'01_Form_Temperature'!G77,"")</x:f>
      </x:c>
      <x:c r="H77" s="79" t="str">
        <x:f>IF('01_Form_Temperature'!$O77="Validé humainement",'01_Form_Temperature'!H77,"")</x:f>
      </x:c>
      <x:c r="I77" s="79" t="str">
        <x:f>IF('01_Form_Temperature'!$O77="Validé humainement",'01_Form_Temperature'!I77,"")</x:f>
      </x:c>
      <x:c r="J77" s="76" t="str">
        <x:f>IF('01_Form_Temperature'!$O77="Validé humainement",'01_Form_Temperature'!J77,"")</x:f>
      </x:c>
      <x:c r="K77" s="76" t="str">
        <x:f>IF('01_Form_Temperature'!$O77="Validé humainement",'01_Form_Temperature'!K77,"")</x:f>
      </x:c>
      <x:c r="L77" s="76" t="str">
        <x:f>IF('01_Form_Temperature'!$O77="Validé humainement",'01_Form_Temperature'!L77,"")</x:f>
      </x:c>
      <x:c r="M77" s="76" t="str">
        <x:f>IF('01_Form_Temperature'!$O77="Validé humainement",'01_Form_Temperature'!M77,"")</x:f>
      </x:c>
      <x:c r="N77" s="76" t="str">
        <x:f>IF('01_Form_Temperature'!$O77="Validé humainement",'01_Form_Temperature'!N77,"")</x:f>
      </x:c>
      <x:c r="O77" s="76" t="str">
        <x:f>IF('01_Form_Temperature'!$O77="Validé humainement",'01_Form_Temperature'!O77,"")</x:f>
      </x:c>
      <x:c r="P77" s="76" t="str">
        <x:f>IF('01_Form_Temperature'!$O77="Validé humainement",'01_Form_Temperature'!P77,"")</x:f>
      </x:c>
      <x:c r="Q77" s="78" t="str">
        <x:f>IF('01_Form_Temperature'!$O77="Validé humainement",'01_Form_Temperature'!Q77,"")</x:f>
      </x:c>
      <x:c r="R77" s="76" t="str">
        <x:f>IF('01_Form_Temperature'!$O77="Validé humainement",'01_Form_Temperature'!R77,"")</x:f>
      </x:c>
      <x:c r="S77" s="76" t="str">
        <x:f>IF('01_Form_Temperature'!$O77="Validé humainement",'01_Form_Temperature'!S77,"")</x:f>
      </x:c>
      <x:c r="T77" s="76" t="str">
        <x:f>IF('01_Form_Temperature'!$O77="Validé humainement",'01_Form_Temperature'!T77,"")</x:f>
      </x:c>
    </x:row>
    <x:row r="78">
      <x:c r="A78" s="76" t="str">
        <x:f>IF('01_Form_Temperature'!$O78="Validé humainement",'01_Form_Temperature'!A78,"")</x:f>
      </x:c>
      <x:c r="B78" s="78" t="str">
        <x:f>IF('01_Form_Temperature'!$O78="Validé humainement",'01_Form_Temperature'!B78,"")</x:f>
      </x:c>
      <x:c r="C78" s="76" t="str">
        <x:f>IF('01_Form_Temperature'!$O78="Validé humainement",'01_Form_Temperature'!C78,"")</x:f>
      </x:c>
      <x:c r="D78" s="76" t="str">
        <x:f>IF('01_Form_Temperature'!$O78="Validé humainement",'01_Form_Temperature'!D78,"")</x:f>
      </x:c>
      <x:c r="E78" s="76" t="str">
        <x:f>IF('01_Form_Temperature'!$O78="Validé humainement",'01_Form_Temperature'!E78,"")</x:f>
      </x:c>
      <x:c r="F78" s="76" t="str">
        <x:f>IF('01_Form_Temperature'!$O78="Validé humainement",'01_Form_Temperature'!F78,"")</x:f>
      </x:c>
      <x:c r="G78" s="79" t="str">
        <x:f>IF('01_Form_Temperature'!$O78="Validé humainement",'01_Form_Temperature'!G78,"")</x:f>
      </x:c>
      <x:c r="H78" s="79" t="str">
        <x:f>IF('01_Form_Temperature'!$O78="Validé humainement",'01_Form_Temperature'!H78,"")</x:f>
      </x:c>
      <x:c r="I78" s="79" t="str">
        <x:f>IF('01_Form_Temperature'!$O78="Validé humainement",'01_Form_Temperature'!I78,"")</x:f>
      </x:c>
      <x:c r="J78" s="76" t="str">
        <x:f>IF('01_Form_Temperature'!$O78="Validé humainement",'01_Form_Temperature'!J78,"")</x:f>
      </x:c>
      <x:c r="K78" s="76" t="str">
        <x:f>IF('01_Form_Temperature'!$O78="Validé humainement",'01_Form_Temperature'!K78,"")</x:f>
      </x:c>
      <x:c r="L78" s="76" t="str">
        <x:f>IF('01_Form_Temperature'!$O78="Validé humainement",'01_Form_Temperature'!L78,"")</x:f>
      </x:c>
      <x:c r="M78" s="76" t="str">
        <x:f>IF('01_Form_Temperature'!$O78="Validé humainement",'01_Form_Temperature'!M78,"")</x:f>
      </x:c>
      <x:c r="N78" s="76" t="str">
        <x:f>IF('01_Form_Temperature'!$O78="Validé humainement",'01_Form_Temperature'!N78,"")</x:f>
      </x:c>
      <x:c r="O78" s="76" t="str">
        <x:f>IF('01_Form_Temperature'!$O78="Validé humainement",'01_Form_Temperature'!O78,"")</x:f>
      </x:c>
      <x:c r="P78" s="76" t="str">
        <x:f>IF('01_Form_Temperature'!$O78="Validé humainement",'01_Form_Temperature'!P78,"")</x:f>
      </x:c>
      <x:c r="Q78" s="78" t="str">
        <x:f>IF('01_Form_Temperature'!$O78="Validé humainement",'01_Form_Temperature'!Q78,"")</x:f>
      </x:c>
      <x:c r="R78" s="76" t="str">
        <x:f>IF('01_Form_Temperature'!$O78="Validé humainement",'01_Form_Temperature'!R78,"")</x:f>
      </x:c>
      <x:c r="S78" s="76" t="str">
        <x:f>IF('01_Form_Temperature'!$O78="Validé humainement",'01_Form_Temperature'!S78,"")</x:f>
      </x:c>
      <x:c r="T78" s="76" t="str">
        <x:f>IF('01_Form_Temperature'!$O78="Validé humainement",'01_Form_Temperature'!T78,"")</x:f>
      </x:c>
    </x:row>
    <x:row r="79">
      <x:c r="A79" s="76" t="str">
        <x:f>IF('01_Form_Temperature'!$O79="Validé humainement",'01_Form_Temperature'!A79,"")</x:f>
      </x:c>
      <x:c r="B79" s="78" t="str">
        <x:f>IF('01_Form_Temperature'!$O79="Validé humainement",'01_Form_Temperature'!B79,"")</x:f>
      </x:c>
      <x:c r="C79" s="76" t="str">
        <x:f>IF('01_Form_Temperature'!$O79="Validé humainement",'01_Form_Temperature'!C79,"")</x:f>
      </x:c>
      <x:c r="D79" s="76" t="str">
        <x:f>IF('01_Form_Temperature'!$O79="Validé humainement",'01_Form_Temperature'!D79,"")</x:f>
      </x:c>
      <x:c r="E79" s="76" t="str">
        <x:f>IF('01_Form_Temperature'!$O79="Validé humainement",'01_Form_Temperature'!E79,"")</x:f>
      </x:c>
      <x:c r="F79" s="76" t="str">
        <x:f>IF('01_Form_Temperature'!$O79="Validé humainement",'01_Form_Temperature'!F79,"")</x:f>
      </x:c>
      <x:c r="G79" s="79" t="str">
        <x:f>IF('01_Form_Temperature'!$O79="Validé humainement",'01_Form_Temperature'!G79,"")</x:f>
      </x:c>
      <x:c r="H79" s="79" t="str">
        <x:f>IF('01_Form_Temperature'!$O79="Validé humainement",'01_Form_Temperature'!H79,"")</x:f>
      </x:c>
      <x:c r="I79" s="79" t="str">
        <x:f>IF('01_Form_Temperature'!$O79="Validé humainement",'01_Form_Temperature'!I79,"")</x:f>
      </x:c>
      <x:c r="J79" s="76" t="str">
        <x:f>IF('01_Form_Temperature'!$O79="Validé humainement",'01_Form_Temperature'!J79,"")</x:f>
      </x:c>
      <x:c r="K79" s="76" t="str">
        <x:f>IF('01_Form_Temperature'!$O79="Validé humainement",'01_Form_Temperature'!K79,"")</x:f>
      </x:c>
      <x:c r="L79" s="76" t="str">
        <x:f>IF('01_Form_Temperature'!$O79="Validé humainement",'01_Form_Temperature'!L79,"")</x:f>
      </x:c>
      <x:c r="M79" s="76" t="str">
        <x:f>IF('01_Form_Temperature'!$O79="Validé humainement",'01_Form_Temperature'!M79,"")</x:f>
      </x:c>
      <x:c r="N79" s="76" t="str">
        <x:f>IF('01_Form_Temperature'!$O79="Validé humainement",'01_Form_Temperature'!N79,"")</x:f>
      </x:c>
      <x:c r="O79" s="76" t="str">
        <x:f>IF('01_Form_Temperature'!$O79="Validé humainement",'01_Form_Temperature'!O79,"")</x:f>
      </x:c>
      <x:c r="P79" s="76" t="str">
        <x:f>IF('01_Form_Temperature'!$O79="Validé humainement",'01_Form_Temperature'!P79,"")</x:f>
      </x:c>
      <x:c r="Q79" s="78" t="str">
        <x:f>IF('01_Form_Temperature'!$O79="Validé humainement",'01_Form_Temperature'!Q79,"")</x:f>
      </x:c>
      <x:c r="R79" s="76" t="str">
        <x:f>IF('01_Form_Temperature'!$O79="Validé humainement",'01_Form_Temperature'!R79,"")</x:f>
      </x:c>
      <x:c r="S79" s="76" t="str">
        <x:f>IF('01_Form_Temperature'!$O79="Validé humainement",'01_Form_Temperature'!S79,"")</x:f>
      </x:c>
      <x:c r="T79" s="76" t="str">
        <x:f>IF('01_Form_Temperature'!$O79="Validé humainement",'01_Form_Temperature'!T79,"")</x:f>
      </x:c>
    </x:row>
    <x:row r="80">
      <x:c r="A80" s="76" t="str">
        <x:f>IF('01_Form_Temperature'!$O80="Validé humainement",'01_Form_Temperature'!A80,"")</x:f>
      </x:c>
      <x:c r="B80" s="78" t="str">
        <x:f>IF('01_Form_Temperature'!$O80="Validé humainement",'01_Form_Temperature'!B80,"")</x:f>
      </x:c>
      <x:c r="C80" s="76" t="str">
        <x:f>IF('01_Form_Temperature'!$O80="Validé humainement",'01_Form_Temperature'!C80,"")</x:f>
      </x:c>
      <x:c r="D80" s="76" t="str">
        <x:f>IF('01_Form_Temperature'!$O80="Validé humainement",'01_Form_Temperature'!D80,"")</x:f>
      </x:c>
      <x:c r="E80" s="76" t="str">
        <x:f>IF('01_Form_Temperature'!$O80="Validé humainement",'01_Form_Temperature'!E80,"")</x:f>
      </x:c>
      <x:c r="F80" s="76" t="str">
        <x:f>IF('01_Form_Temperature'!$O80="Validé humainement",'01_Form_Temperature'!F80,"")</x:f>
      </x:c>
      <x:c r="G80" s="79" t="str">
        <x:f>IF('01_Form_Temperature'!$O80="Validé humainement",'01_Form_Temperature'!G80,"")</x:f>
      </x:c>
      <x:c r="H80" s="79" t="str">
        <x:f>IF('01_Form_Temperature'!$O80="Validé humainement",'01_Form_Temperature'!H80,"")</x:f>
      </x:c>
      <x:c r="I80" s="79" t="str">
        <x:f>IF('01_Form_Temperature'!$O80="Validé humainement",'01_Form_Temperature'!I80,"")</x:f>
      </x:c>
      <x:c r="J80" s="76" t="str">
        <x:f>IF('01_Form_Temperature'!$O80="Validé humainement",'01_Form_Temperature'!J80,"")</x:f>
      </x:c>
      <x:c r="K80" s="76" t="str">
        <x:f>IF('01_Form_Temperature'!$O80="Validé humainement",'01_Form_Temperature'!K80,"")</x:f>
      </x:c>
      <x:c r="L80" s="76" t="str">
        <x:f>IF('01_Form_Temperature'!$O80="Validé humainement",'01_Form_Temperature'!L80,"")</x:f>
      </x:c>
      <x:c r="M80" s="76" t="str">
        <x:f>IF('01_Form_Temperature'!$O80="Validé humainement",'01_Form_Temperature'!M80,"")</x:f>
      </x:c>
      <x:c r="N80" s="76" t="str">
        <x:f>IF('01_Form_Temperature'!$O80="Validé humainement",'01_Form_Temperature'!N80,"")</x:f>
      </x:c>
      <x:c r="O80" s="76" t="str">
        <x:f>IF('01_Form_Temperature'!$O80="Validé humainement",'01_Form_Temperature'!O80,"")</x:f>
      </x:c>
      <x:c r="P80" s="76" t="str">
        <x:f>IF('01_Form_Temperature'!$O80="Validé humainement",'01_Form_Temperature'!P80,"")</x:f>
      </x:c>
      <x:c r="Q80" s="78" t="str">
        <x:f>IF('01_Form_Temperature'!$O80="Validé humainement",'01_Form_Temperature'!Q80,"")</x:f>
      </x:c>
      <x:c r="R80" s="76" t="str">
        <x:f>IF('01_Form_Temperature'!$O80="Validé humainement",'01_Form_Temperature'!R80,"")</x:f>
      </x:c>
      <x:c r="S80" s="76" t="str">
        <x:f>IF('01_Form_Temperature'!$O80="Validé humainement",'01_Form_Temperature'!S80,"")</x:f>
      </x:c>
      <x:c r="T80" s="76" t="str">
        <x:f>IF('01_Form_Temperature'!$O80="Validé humainement",'01_Form_Temperature'!T80,"")</x:f>
      </x:c>
    </x:row>
    <x:row r="81">
      <x:c r="A81" s="76" t="str">
        <x:f>IF('01_Form_Temperature'!$O81="Validé humainement",'01_Form_Temperature'!A81,"")</x:f>
      </x:c>
      <x:c r="B81" s="78" t="str">
        <x:f>IF('01_Form_Temperature'!$O81="Validé humainement",'01_Form_Temperature'!B81,"")</x:f>
      </x:c>
      <x:c r="C81" s="76" t="str">
        <x:f>IF('01_Form_Temperature'!$O81="Validé humainement",'01_Form_Temperature'!C81,"")</x:f>
      </x:c>
      <x:c r="D81" s="76" t="str">
        <x:f>IF('01_Form_Temperature'!$O81="Validé humainement",'01_Form_Temperature'!D81,"")</x:f>
      </x:c>
      <x:c r="E81" s="76" t="str">
        <x:f>IF('01_Form_Temperature'!$O81="Validé humainement",'01_Form_Temperature'!E81,"")</x:f>
      </x:c>
      <x:c r="F81" s="76" t="str">
        <x:f>IF('01_Form_Temperature'!$O81="Validé humainement",'01_Form_Temperature'!F81,"")</x:f>
      </x:c>
      <x:c r="G81" s="79" t="str">
        <x:f>IF('01_Form_Temperature'!$O81="Validé humainement",'01_Form_Temperature'!G81,"")</x:f>
      </x:c>
      <x:c r="H81" s="79" t="str">
        <x:f>IF('01_Form_Temperature'!$O81="Validé humainement",'01_Form_Temperature'!H81,"")</x:f>
      </x:c>
      <x:c r="I81" s="79" t="str">
        <x:f>IF('01_Form_Temperature'!$O81="Validé humainement",'01_Form_Temperature'!I81,"")</x:f>
      </x:c>
      <x:c r="J81" s="76" t="str">
        <x:f>IF('01_Form_Temperature'!$O81="Validé humainement",'01_Form_Temperature'!J81,"")</x:f>
      </x:c>
      <x:c r="K81" s="76" t="str">
        <x:f>IF('01_Form_Temperature'!$O81="Validé humainement",'01_Form_Temperature'!K81,"")</x:f>
      </x:c>
      <x:c r="L81" s="76" t="str">
        <x:f>IF('01_Form_Temperature'!$O81="Validé humainement",'01_Form_Temperature'!L81,"")</x:f>
      </x:c>
      <x:c r="M81" s="76" t="str">
        <x:f>IF('01_Form_Temperature'!$O81="Validé humainement",'01_Form_Temperature'!M81,"")</x:f>
      </x:c>
      <x:c r="N81" s="76" t="str">
        <x:f>IF('01_Form_Temperature'!$O81="Validé humainement",'01_Form_Temperature'!N81,"")</x:f>
      </x:c>
      <x:c r="O81" s="76" t="str">
        <x:f>IF('01_Form_Temperature'!$O81="Validé humainement",'01_Form_Temperature'!O81,"")</x:f>
      </x:c>
      <x:c r="P81" s="76" t="str">
        <x:f>IF('01_Form_Temperature'!$O81="Validé humainement",'01_Form_Temperature'!P81,"")</x:f>
      </x:c>
      <x:c r="Q81" s="78" t="str">
        <x:f>IF('01_Form_Temperature'!$O81="Validé humainement",'01_Form_Temperature'!Q81,"")</x:f>
      </x:c>
      <x:c r="R81" s="76" t="str">
        <x:f>IF('01_Form_Temperature'!$O81="Validé humainement",'01_Form_Temperature'!R81,"")</x:f>
      </x:c>
      <x:c r="S81" s="76" t="str">
        <x:f>IF('01_Form_Temperature'!$O81="Validé humainement",'01_Form_Temperature'!S81,"")</x:f>
      </x:c>
      <x:c r="T81" s="76" t="str">
        <x:f>IF('01_Form_Temperature'!$O81="Validé humainement",'01_Form_Temperature'!T81,"")</x:f>
      </x:c>
    </x:row>
    <x:row r="82">
      <x:c r="A82" s="76" t="str">
        <x:f>IF('01_Form_Temperature'!$O82="Validé humainement",'01_Form_Temperature'!A82,"")</x:f>
      </x:c>
      <x:c r="B82" s="78" t="str">
        <x:f>IF('01_Form_Temperature'!$O82="Validé humainement",'01_Form_Temperature'!B82,"")</x:f>
      </x:c>
      <x:c r="C82" s="76" t="str">
        <x:f>IF('01_Form_Temperature'!$O82="Validé humainement",'01_Form_Temperature'!C82,"")</x:f>
      </x:c>
      <x:c r="D82" s="76" t="str">
        <x:f>IF('01_Form_Temperature'!$O82="Validé humainement",'01_Form_Temperature'!D82,"")</x:f>
      </x:c>
      <x:c r="E82" s="76" t="str">
        <x:f>IF('01_Form_Temperature'!$O82="Validé humainement",'01_Form_Temperature'!E82,"")</x:f>
      </x:c>
      <x:c r="F82" s="76" t="str">
        <x:f>IF('01_Form_Temperature'!$O82="Validé humainement",'01_Form_Temperature'!F82,"")</x:f>
      </x:c>
      <x:c r="G82" s="79" t="str">
        <x:f>IF('01_Form_Temperature'!$O82="Validé humainement",'01_Form_Temperature'!G82,"")</x:f>
      </x:c>
      <x:c r="H82" s="79" t="str">
        <x:f>IF('01_Form_Temperature'!$O82="Validé humainement",'01_Form_Temperature'!H82,"")</x:f>
      </x:c>
      <x:c r="I82" s="79" t="str">
        <x:f>IF('01_Form_Temperature'!$O82="Validé humainement",'01_Form_Temperature'!I82,"")</x:f>
      </x:c>
      <x:c r="J82" s="76" t="str">
        <x:f>IF('01_Form_Temperature'!$O82="Validé humainement",'01_Form_Temperature'!J82,"")</x:f>
      </x:c>
      <x:c r="K82" s="76" t="str">
        <x:f>IF('01_Form_Temperature'!$O82="Validé humainement",'01_Form_Temperature'!K82,"")</x:f>
      </x:c>
      <x:c r="L82" s="76" t="str">
        <x:f>IF('01_Form_Temperature'!$O82="Validé humainement",'01_Form_Temperature'!L82,"")</x:f>
      </x:c>
      <x:c r="M82" s="76" t="str">
        <x:f>IF('01_Form_Temperature'!$O82="Validé humainement",'01_Form_Temperature'!M82,"")</x:f>
      </x:c>
      <x:c r="N82" s="76" t="str">
        <x:f>IF('01_Form_Temperature'!$O82="Validé humainement",'01_Form_Temperature'!N82,"")</x:f>
      </x:c>
      <x:c r="O82" s="76" t="str">
        <x:f>IF('01_Form_Temperature'!$O82="Validé humainement",'01_Form_Temperature'!O82,"")</x:f>
      </x:c>
      <x:c r="P82" s="76" t="str">
        <x:f>IF('01_Form_Temperature'!$O82="Validé humainement",'01_Form_Temperature'!P82,"")</x:f>
      </x:c>
      <x:c r="Q82" s="78" t="str">
        <x:f>IF('01_Form_Temperature'!$O82="Validé humainement",'01_Form_Temperature'!Q82,"")</x:f>
      </x:c>
      <x:c r="R82" s="76" t="str">
        <x:f>IF('01_Form_Temperature'!$O82="Validé humainement",'01_Form_Temperature'!R82,"")</x:f>
      </x:c>
      <x:c r="S82" s="76" t="str">
        <x:f>IF('01_Form_Temperature'!$O82="Validé humainement",'01_Form_Temperature'!S82,"")</x:f>
      </x:c>
      <x:c r="T82" s="76" t="str">
        <x:f>IF('01_Form_Temperature'!$O82="Validé humainement",'01_Form_Temperature'!T82,"")</x:f>
      </x:c>
    </x:row>
    <x:row r="83">
      <x:c r="A83" s="76" t="str">
        <x:f>IF('01_Form_Temperature'!$O83="Validé humainement",'01_Form_Temperature'!A83,"")</x:f>
      </x:c>
      <x:c r="B83" s="78" t="str">
        <x:f>IF('01_Form_Temperature'!$O83="Validé humainement",'01_Form_Temperature'!B83,"")</x:f>
      </x:c>
      <x:c r="C83" s="76" t="str">
        <x:f>IF('01_Form_Temperature'!$O83="Validé humainement",'01_Form_Temperature'!C83,"")</x:f>
      </x:c>
      <x:c r="D83" s="76" t="str">
        <x:f>IF('01_Form_Temperature'!$O83="Validé humainement",'01_Form_Temperature'!D83,"")</x:f>
      </x:c>
      <x:c r="E83" s="76" t="str">
        <x:f>IF('01_Form_Temperature'!$O83="Validé humainement",'01_Form_Temperature'!E83,"")</x:f>
      </x:c>
      <x:c r="F83" s="76" t="str">
        <x:f>IF('01_Form_Temperature'!$O83="Validé humainement",'01_Form_Temperature'!F83,"")</x:f>
      </x:c>
      <x:c r="G83" s="79" t="str">
        <x:f>IF('01_Form_Temperature'!$O83="Validé humainement",'01_Form_Temperature'!G83,"")</x:f>
      </x:c>
      <x:c r="H83" s="79" t="str">
        <x:f>IF('01_Form_Temperature'!$O83="Validé humainement",'01_Form_Temperature'!H83,"")</x:f>
      </x:c>
      <x:c r="I83" s="79" t="str">
        <x:f>IF('01_Form_Temperature'!$O83="Validé humainement",'01_Form_Temperature'!I83,"")</x:f>
      </x:c>
      <x:c r="J83" s="76" t="str">
        <x:f>IF('01_Form_Temperature'!$O83="Validé humainement",'01_Form_Temperature'!J83,"")</x:f>
      </x:c>
      <x:c r="K83" s="76" t="str">
        <x:f>IF('01_Form_Temperature'!$O83="Validé humainement",'01_Form_Temperature'!K83,"")</x:f>
      </x:c>
      <x:c r="L83" s="76" t="str">
        <x:f>IF('01_Form_Temperature'!$O83="Validé humainement",'01_Form_Temperature'!L83,"")</x:f>
      </x:c>
      <x:c r="M83" s="76" t="str">
        <x:f>IF('01_Form_Temperature'!$O83="Validé humainement",'01_Form_Temperature'!M83,"")</x:f>
      </x:c>
      <x:c r="N83" s="76" t="str">
        <x:f>IF('01_Form_Temperature'!$O83="Validé humainement",'01_Form_Temperature'!N83,"")</x:f>
      </x:c>
      <x:c r="O83" s="76" t="str">
        <x:f>IF('01_Form_Temperature'!$O83="Validé humainement",'01_Form_Temperature'!O83,"")</x:f>
      </x:c>
      <x:c r="P83" s="76" t="str">
        <x:f>IF('01_Form_Temperature'!$O83="Validé humainement",'01_Form_Temperature'!P83,"")</x:f>
      </x:c>
      <x:c r="Q83" s="78" t="str">
        <x:f>IF('01_Form_Temperature'!$O83="Validé humainement",'01_Form_Temperature'!Q83,"")</x:f>
      </x:c>
      <x:c r="R83" s="76" t="str">
        <x:f>IF('01_Form_Temperature'!$O83="Validé humainement",'01_Form_Temperature'!R83,"")</x:f>
      </x:c>
      <x:c r="S83" s="76" t="str">
        <x:f>IF('01_Form_Temperature'!$O83="Validé humainement",'01_Form_Temperature'!S83,"")</x:f>
      </x:c>
      <x:c r="T83" s="76" t="str">
        <x:f>IF('01_Form_Temperature'!$O83="Validé humainement",'01_Form_Temperature'!T83,"")</x:f>
      </x:c>
    </x:row>
    <x:row r="84">
      <x:c r="A84" s="76" t="str">
        <x:f>IF('01_Form_Temperature'!$O84="Validé humainement",'01_Form_Temperature'!A84,"")</x:f>
      </x:c>
      <x:c r="B84" s="78" t="str">
        <x:f>IF('01_Form_Temperature'!$O84="Validé humainement",'01_Form_Temperature'!B84,"")</x:f>
      </x:c>
      <x:c r="C84" s="76" t="str">
        <x:f>IF('01_Form_Temperature'!$O84="Validé humainement",'01_Form_Temperature'!C84,"")</x:f>
      </x:c>
      <x:c r="D84" s="76" t="str">
        <x:f>IF('01_Form_Temperature'!$O84="Validé humainement",'01_Form_Temperature'!D84,"")</x:f>
      </x:c>
      <x:c r="E84" s="76" t="str">
        <x:f>IF('01_Form_Temperature'!$O84="Validé humainement",'01_Form_Temperature'!E84,"")</x:f>
      </x:c>
      <x:c r="F84" s="76" t="str">
        <x:f>IF('01_Form_Temperature'!$O84="Validé humainement",'01_Form_Temperature'!F84,"")</x:f>
      </x:c>
      <x:c r="G84" s="79" t="str">
        <x:f>IF('01_Form_Temperature'!$O84="Validé humainement",'01_Form_Temperature'!G84,"")</x:f>
      </x:c>
      <x:c r="H84" s="79" t="str">
        <x:f>IF('01_Form_Temperature'!$O84="Validé humainement",'01_Form_Temperature'!H84,"")</x:f>
      </x:c>
      <x:c r="I84" s="79" t="str">
        <x:f>IF('01_Form_Temperature'!$O84="Validé humainement",'01_Form_Temperature'!I84,"")</x:f>
      </x:c>
      <x:c r="J84" s="76" t="str">
        <x:f>IF('01_Form_Temperature'!$O84="Validé humainement",'01_Form_Temperature'!J84,"")</x:f>
      </x:c>
      <x:c r="K84" s="76" t="str">
        <x:f>IF('01_Form_Temperature'!$O84="Validé humainement",'01_Form_Temperature'!K84,"")</x:f>
      </x:c>
      <x:c r="L84" s="76" t="str">
        <x:f>IF('01_Form_Temperature'!$O84="Validé humainement",'01_Form_Temperature'!L84,"")</x:f>
      </x:c>
      <x:c r="M84" s="76" t="str">
        <x:f>IF('01_Form_Temperature'!$O84="Validé humainement",'01_Form_Temperature'!M84,"")</x:f>
      </x:c>
      <x:c r="N84" s="76" t="str">
        <x:f>IF('01_Form_Temperature'!$O84="Validé humainement",'01_Form_Temperature'!N84,"")</x:f>
      </x:c>
      <x:c r="O84" s="76" t="str">
        <x:f>IF('01_Form_Temperature'!$O84="Validé humainement",'01_Form_Temperature'!O84,"")</x:f>
      </x:c>
      <x:c r="P84" s="76" t="str">
        <x:f>IF('01_Form_Temperature'!$O84="Validé humainement",'01_Form_Temperature'!P84,"")</x:f>
      </x:c>
      <x:c r="Q84" s="78" t="str">
        <x:f>IF('01_Form_Temperature'!$O84="Validé humainement",'01_Form_Temperature'!Q84,"")</x:f>
      </x:c>
      <x:c r="R84" s="76" t="str">
        <x:f>IF('01_Form_Temperature'!$O84="Validé humainement",'01_Form_Temperature'!R84,"")</x:f>
      </x:c>
      <x:c r="S84" s="76" t="str">
        <x:f>IF('01_Form_Temperature'!$O84="Validé humainement",'01_Form_Temperature'!S84,"")</x:f>
      </x:c>
      <x:c r="T84" s="76" t="str">
        <x:f>IF('01_Form_Temperature'!$O84="Validé humainement",'01_Form_Temperature'!T84,"")</x:f>
      </x:c>
    </x:row>
    <x:row r="85">
      <x:c r="A85" s="76" t="str">
        <x:f>IF('01_Form_Temperature'!$O85="Validé humainement",'01_Form_Temperature'!A85,"")</x:f>
      </x:c>
      <x:c r="B85" s="78" t="str">
        <x:f>IF('01_Form_Temperature'!$O85="Validé humainement",'01_Form_Temperature'!B85,"")</x:f>
      </x:c>
      <x:c r="C85" s="76" t="str">
        <x:f>IF('01_Form_Temperature'!$O85="Validé humainement",'01_Form_Temperature'!C85,"")</x:f>
      </x:c>
      <x:c r="D85" s="76" t="str">
        <x:f>IF('01_Form_Temperature'!$O85="Validé humainement",'01_Form_Temperature'!D85,"")</x:f>
      </x:c>
      <x:c r="E85" s="76" t="str">
        <x:f>IF('01_Form_Temperature'!$O85="Validé humainement",'01_Form_Temperature'!E85,"")</x:f>
      </x:c>
      <x:c r="F85" s="76" t="str">
        <x:f>IF('01_Form_Temperature'!$O85="Validé humainement",'01_Form_Temperature'!F85,"")</x:f>
      </x:c>
      <x:c r="G85" s="79" t="str">
        <x:f>IF('01_Form_Temperature'!$O85="Validé humainement",'01_Form_Temperature'!G85,"")</x:f>
      </x:c>
      <x:c r="H85" s="79" t="str">
        <x:f>IF('01_Form_Temperature'!$O85="Validé humainement",'01_Form_Temperature'!H85,"")</x:f>
      </x:c>
      <x:c r="I85" s="79" t="str">
        <x:f>IF('01_Form_Temperature'!$O85="Validé humainement",'01_Form_Temperature'!I85,"")</x:f>
      </x:c>
      <x:c r="J85" s="76" t="str">
        <x:f>IF('01_Form_Temperature'!$O85="Validé humainement",'01_Form_Temperature'!J85,"")</x:f>
      </x:c>
      <x:c r="K85" s="76" t="str">
        <x:f>IF('01_Form_Temperature'!$O85="Validé humainement",'01_Form_Temperature'!K85,"")</x:f>
      </x:c>
      <x:c r="L85" s="76" t="str">
        <x:f>IF('01_Form_Temperature'!$O85="Validé humainement",'01_Form_Temperature'!L85,"")</x:f>
      </x:c>
      <x:c r="M85" s="76" t="str">
        <x:f>IF('01_Form_Temperature'!$O85="Validé humainement",'01_Form_Temperature'!M85,"")</x:f>
      </x:c>
      <x:c r="N85" s="76" t="str">
        <x:f>IF('01_Form_Temperature'!$O85="Validé humainement",'01_Form_Temperature'!N85,"")</x:f>
      </x:c>
      <x:c r="O85" s="76" t="str">
        <x:f>IF('01_Form_Temperature'!$O85="Validé humainement",'01_Form_Temperature'!O85,"")</x:f>
      </x:c>
      <x:c r="P85" s="76" t="str">
        <x:f>IF('01_Form_Temperature'!$O85="Validé humainement",'01_Form_Temperature'!P85,"")</x:f>
      </x:c>
      <x:c r="Q85" s="78" t="str">
        <x:f>IF('01_Form_Temperature'!$O85="Validé humainement",'01_Form_Temperature'!Q85,"")</x:f>
      </x:c>
      <x:c r="R85" s="76" t="str">
        <x:f>IF('01_Form_Temperature'!$O85="Validé humainement",'01_Form_Temperature'!R85,"")</x:f>
      </x:c>
      <x:c r="S85" s="76" t="str">
        <x:f>IF('01_Form_Temperature'!$O85="Validé humainement",'01_Form_Temperature'!S85,"")</x:f>
      </x:c>
      <x:c r="T85" s="76" t="str">
        <x:f>IF('01_Form_Temperature'!$O85="Validé humainement",'01_Form_Temperature'!T85,"")</x:f>
      </x:c>
    </x:row>
    <x:row r="86">
      <x:c r="A86" s="76" t="str">
        <x:f>IF('01_Form_Temperature'!$O86="Validé humainement",'01_Form_Temperature'!A86,"")</x:f>
      </x:c>
      <x:c r="B86" s="78" t="str">
        <x:f>IF('01_Form_Temperature'!$O86="Validé humainement",'01_Form_Temperature'!B86,"")</x:f>
      </x:c>
      <x:c r="C86" s="76" t="str">
        <x:f>IF('01_Form_Temperature'!$O86="Validé humainement",'01_Form_Temperature'!C86,"")</x:f>
      </x:c>
      <x:c r="D86" s="76" t="str">
        <x:f>IF('01_Form_Temperature'!$O86="Validé humainement",'01_Form_Temperature'!D86,"")</x:f>
      </x:c>
      <x:c r="E86" s="76" t="str">
        <x:f>IF('01_Form_Temperature'!$O86="Validé humainement",'01_Form_Temperature'!E86,"")</x:f>
      </x:c>
      <x:c r="F86" s="76" t="str">
        <x:f>IF('01_Form_Temperature'!$O86="Validé humainement",'01_Form_Temperature'!F86,"")</x:f>
      </x:c>
      <x:c r="G86" s="79" t="str">
        <x:f>IF('01_Form_Temperature'!$O86="Validé humainement",'01_Form_Temperature'!G86,"")</x:f>
      </x:c>
      <x:c r="H86" s="79" t="str">
        <x:f>IF('01_Form_Temperature'!$O86="Validé humainement",'01_Form_Temperature'!H86,"")</x:f>
      </x:c>
      <x:c r="I86" s="79" t="str">
        <x:f>IF('01_Form_Temperature'!$O86="Validé humainement",'01_Form_Temperature'!I86,"")</x:f>
      </x:c>
      <x:c r="J86" s="76" t="str">
        <x:f>IF('01_Form_Temperature'!$O86="Validé humainement",'01_Form_Temperature'!J86,"")</x:f>
      </x:c>
      <x:c r="K86" s="76" t="str">
        <x:f>IF('01_Form_Temperature'!$O86="Validé humainement",'01_Form_Temperature'!K86,"")</x:f>
      </x:c>
      <x:c r="L86" s="76" t="str">
        <x:f>IF('01_Form_Temperature'!$O86="Validé humainement",'01_Form_Temperature'!L86,"")</x:f>
      </x:c>
      <x:c r="M86" s="76" t="str">
        <x:f>IF('01_Form_Temperature'!$O86="Validé humainement",'01_Form_Temperature'!M86,"")</x:f>
      </x:c>
      <x:c r="N86" s="76" t="str">
        <x:f>IF('01_Form_Temperature'!$O86="Validé humainement",'01_Form_Temperature'!N86,"")</x:f>
      </x:c>
      <x:c r="O86" s="76" t="str">
        <x:f>IF('01_Form_Temperature'!$O86="Validé humainement",'01_Form_Temperature'!O86,"")</x:f>
      </x:c>
      <x:c r="P86" s="76" t="str">
        <x:f>IF('01_Form_Temperature'!$O86="Validé humainement",'01_Form_Temperature'!P86,"")</x:f>
      </x:c>
      <x:c r="Q86" s="78" t="str">
        <x:f>IF('01_Form_Temperature'!$O86="Validé humainement",'01_Form_Temperature'!Q86,"")</x:f>
      </x:c>
      <x:c r="R86" s="76" t="str">
        <x:f>IF('01_Form_Temperature'!$O86="Validé humainement",'01_Form_Temperature'!R86,"")</x:f>
      </x:c>
      <x:c r="S86" s="76" t="str">
        <x:f>IF('01_Form_Temperature'!$O86="Validé humainement",'01_Form_Temperature'!S86,"")</x:f>
      </x:c>
      <x:c r="T86" s="76" t="str">
        <x:f>IF('01_Form_Temperature'!$O86="Validé humainement",'01_Form_Temperature'!T86,"")</x:f>
      </x:c>
    </x:row>
    <x:row r="87">
      <x:c r="A87" s="76" t="str">
        <x:f>IF('01_Form_Temperature'!$O87="Validé humainement",'01_Form_Temperature'!A87,"")</x:f>
      </x:c>
      <x:c r="B87" s="78" t="str">
        <x:f>IF('01_Form_Temperature'!$O87="Validé humainement",'01_Form_Temperature'!B87,"")</x:f>
      </x:c>
      <x:c r="C87" s="76" t="str">
        <x:f>IF('01_Form_Temperature'!$O87="Validé humainement",'01_Form_Temperature'!C87,"")</x:f>
      </x:c>
      <x:c r="D87" s="76" t="str">
        <x:f>IF('01_Form_Temperature'!$O87="Validé humainement",'01_Form_Temperature'!D87,"")</x:f>
      </x:c>
      <x:c r="E87" s="76" t="str">
        <x:f>IF('01_Form_Temperature'!$O87="Validé humainement",'01_Form_Temperature'!E87,"")</x:f>
      </x:c>
      <x:c r="F87" s="76" t="str">
        <x:f>IF('01_Form_Temperature'!$O87="Validé humainement",'01_Form_Temperature'!F87,"")</x:f>
      </x:c>
      <x:c r="G87" s="79" t="str">
        <x:f>IF('01_Form_Temperature'!$O87="Validé humainement",'01_Form_Temperature'!G87,"")</x:f>
      </x:c>
      <x:c r="H87" s="79" t="str">
        <x:f>IF('01_Form_Temperature'!$O87="Validé humainement",'01_Form_Temperature'!H87,"")</x:f>
      </x:c>
      <x:c r="I87" s="79" t="str">
        <x:f>IF('01_Form_Temperature'!$O87="Validé humainement",'01_Form_Temperature'!I87,"")</x:f>
      </x:c>
      <x:c r="J87" s="76" t="str">
        <x:f>IF('01_Form_Temperature'!$O87="Validé humainement",'01_Form_Temperature'!J87,"")</x:f>
      </x:c>
      <x:c r="K87" s="76" t="str">
        <x:f>IF('01_Form_Temperature'!$O87="Validé humainement",'01_Form_Temperature'!K87,"")</x:f>
      </x:c>
      <x:c r="L87" s="76" t="str">
        <x:f>IF('01_Form_Temperature'!$O87="Validé humainement",'01_Form_Temperature'!L87,"")</x:f>
      </x:c>
      <x:c r="M87" s="76" t="str">
        <x:f>IF('01_Form_Temperature'!$O87="Validé humainement",'01_Form_Temperature'!M87,"")</x:f>
      </x:c>
      <x:c r="N87" s="76" t="str">
        <x:f>IF('01_Form_Temperature'!$O87="Validé humainement",'01_Form_Temperature'!N87,"")</x:f>
      </x:c>
      <x:c r="O87" s="76" t="str">
        <x:f>IF('01_Form_Temperature'!$O87="Validé humainement",'01_Form_Temperature'!O87,"")</x:f>
      </x:c>
      <x:c r="P87" s="76" t="str">
        <x:f>IF('01_Form_Temperature'!$O87="Validé humainement",'01_Form_Temperature'!P87,"")</x:f>
      </x:c>
      <x:c r="Q87" s="78" t="str">
        <x:f>IF('01_Form_Temperature'!$O87="Validé humainement",'01_Form_Temperature'!Q87,"")</x:f>
      </x:c>
      <x:c r="R87" s="76" t="str">
        <x:f>IF('01_Form_Temperature'!$O87="Validé humainement",'01_Form_Temperature'!R87,"")</x:f>
      </x:c>
      <x:c r="S87" s="76" t="str">
        <x:f>IF('01_Form_Temperature'!$O87="Validé humainement",'01_Form_Temperature'!S87,"")</x:f>
      </x:c>
      <x:c r="T87" s="76" t="str">
        <x:f>IF('01_Form_Temperature'!$O87="Validé humainement",'01_Form_Temperature'!T87,"")</x:f>
      </x:c>
    </x:row>
    <x:row r="88">
      <x:c r="A88" s="76" t="str">
        <x:f>IF('01_Form_Temperature'!$O88="Validé humainement",'01_Form_Temperature'!A88,"")</x:f>
      </x:c>
      <x:c r="B88" s="78" t="str">
        <x:f>IF('01_Form_Temperature'!$O88="Validé humainement",'01_Form_Temperature'!B88,"")</x:f>
      </x:c>
      <x:c r="C88" s="76" t="str">
        <x:f>IF('01_Form_Temperature'!$O88="Validé humainement",'01_Form_Temperature'!C88,"")</x:f>
      </x:c>
      <x:c r="D88" s="76" t="str">
        <x:f>IF('01_Form_Temperature'!$O88="Validé humainement",'01_Form_Temperature'!D88,"")</x:f>
      </x:c>
      <x:c r="E88" s="76" t="str">
        <x:f>IF('01_Form_Temperature'!$O88="Validé humainement",'01_Form_Temperature'!E88,"")</x:f>
      </x:c>
      <x:c r="F88" s="76" t="str">
        <x:f>IF('01_Form_Temperature'!$O88="Validé humainement",'01_Form_Temperature'!F88,"")</x:f>
      </x:c>
      <x:c r="G88" s="79" t="str">
        <x:f>IF('01_Form_Temperature'!$O88="Validé humainement",'01_Form_Temperature'!G88,"")</x:f>
      </x:c>
      <x:c r="H88" s="79" t="str">
        <x:f>IF('01_Form_Temperature'!$O88="Validé humainement",'01_Form_Temperature'!H88,"")</x:f>
      </x:c>
      <x:c r="I88" s="79" t="str">
        <x:f>IF('01_Form_Temperature'!$O88="Validé humainement",'01_Form_Temperature'!I88,"")</x:f>
      </x:c>
      <x:c r="J88" s="76" t="str">
        <x:f>IF('01_Form_Temperature'!$O88="Validé humainement",'01_Form_Temperature'!J88,"")</x:f>
      </x:c>
      <x:c r="K88" s="76" t="str">
        <x:f>IF('01_Form_Temperature'!$O88="Validé humainement",'01_Form_Temperature'!K88,"")</x:f>
      </x:c>
      <x:c r="L88" s="76" t="str">
        <x:f>IF('01_Form_Temperature'!$O88="Validé humainement",'01_Form_Temperature'!L88,"")</x:f>
      </x:c>
      <x:c r="M88" s="76" t="str">
        <x:f>IF('01_Form_Temperature'!$O88="Validé humainement",'01_Form_Temperature'!M88,"")</x:f>
      </x:c>
      <x:c r="N88" s="76" t="str">
        <x:f>IF('01_Form_Temperature'!$O88="Validé humainement",'01_Form_Temperature'!N88,"")</x:f>
      </x:c>
      <x:c r="O88" s="76" t="str">
        <x:f>IF('01_Form_Temperature'!$O88="Validé humainement",'01_Form_Temperature'!O88,"")</x:f>
      </x:c>
      <x:c r="P88" s="76" t="str">
        <x:f>IF('01_Form_Temperature'!$O88="Validé humainement",'01_Form_Temperature'!P88,"")</x:f>
      </x:c>
      <x:c r="Q88" s="78" t="str">
        <x:f>IF('01_Form_Temperature'!$O88="Validé humainement",'01_Form_Temperature'!Q88,"")</x:f>
      </x:c>
      <x:c r="R88" s="76" t="str">
        <x:f>IF('01_Form_Temperature'!$O88="Validé humainement",'01_Form_Temperature'!R88,"")</x:f>
      </x:c>
      <x:c r="S88" s="76" t="str">
        <x:f>IF('01_Form_Temperature'!$O88="Validé humainement",'01_Form_Temperature'!S88,"")</x:f>
      </x:c>
      <x:c r="T88" s="76" t="str">
        <x:f>IF('01_Form_Temperature'!$O88="Validé humainement",'01_Form_Temperature'!T88,"")</x:f>
      </x:c>
    </x:row>
    <x:row r="89">
      <x:c r="A89" s="76" t="str">
        <x:f>IF('01_Form_Temperature'!$O89="Validé humainement",'01_Form_Temperature'!A89,"")</x:f>
      </x:c>
      <x:c r="B89" s="78" t="str">
        <x:f>IF('01_Form_Temperature'!$O89="Validé humainement",'01_Form_Temperature'!B89,"")</x:f>
      </x:c>
      <x:c r="C89" s="76" t="str">
        <x:f>IF('01_Form_Temperature'!$O89="Validé humainement",'01_Form_Temperature'!C89,"")</x:f>
      </x:c>
      <x:c r="D89" s="76" t="str">
        <x:f>IF('01_Form_Temperature'!$O89="Validé humainement",'01_Form_Temperature'!D89,"")</x:f>
      </x:c>
      <x:c r="E89" s="76" t="str">
        <x:f>IF('01_Form_Temperature'!$O89="Validé humainement",'01_Form_Temperature'!E89,"")</x:f>
      </x:c>
      <x:c r="F89" s="76" t="str">
        <x:f>IF('01_Form_Temperature'!$O89="Validé humainement",'01_Form_Temperature'!F89,"")</x:f>
      </x:c>
      <x:c r="G89" s="79" t="str">
        <x:f>IF('01_Form_Temperature'!$O89="Validé humainement",'01_Form_Temperature'!G89,"")</x:f>
      </x:c>
      <x:c r="H89" s="79" t="str">
        <x:f>IF('01_Form_Temperature'!$O89="Validé humainement",'01_Form_Temperature'!H89,"")</x:f>
      </x:c>
      <x:c r="I89" s="79" t="str">
        <x:f>IF('01_Form_Temperature'!$O89="Validé humainement",'01_Form_Temperature'!I89,"")</x:f>
      </x:c>
      <x:c r="J89" s="76" t="str">
        <x:f>IF('01_Form_Temperature'!$O89="Validé humainement",'01_Form_Temperature'!J89,"")</x:f>
      </x:c>
      <x:c r="K89" s="76" t="str">
        <x:f>IF('01_Form_Temperature'!$O89="Validé humainement",'01_Form_Temperature'!K89,"")</x:f>
      </x:c>
      <x:c r="L89" s="76" t="str">
        <x:f>IF('01_Form_Temperature'!$O89="Validé humainement",'01_Form_Temperature'!L89,"")</x:f>
      </x:c>
      <x:c r="M89" s="76" t="str">
        <x:f>IF('01_Form_Temperature'!$O89="Validé humainement",'01_Form_Temperature'!M89,"")</x:f>
      </x:c>
      <x:c r="N89" s="76" t="str">
        <x:f>IF('01_Form_Temperature'!$O89="Validé humainement",'01_Form_Temperature'!N89,"")</x:f>
      </x:c>
      <x:c r="O89" s="76" t="str">
        <x:f>IF('01_Form_Temperature'!$O89="Validé humainement",'01_Form_Temperature'!O89,"")</x:f>
      </x:c>
      <x:c r="P89" s="76" t="str">
        <x:f>IF('01_Form_Temperature'!$O89="Validé humainement",'01_Form_Temperature'!P89,"")</x:f>
      </x:c>
      <x:c r="Q89" s="78" t="str">
        <x:f>IF('01_Form_Temperature'!$O89="Validé humainement",'01_Form_Temperature'!Q89,"")</x:f>
      </x:c>
      <x:c r="R89" s="76" t="str">
        <x:f>IF('01_Form_Temperature'!$O89="Validé humainement",'01_Form_Temperature'!R89,"")</x:f>
      </x:c>
      <x:c r="S89" s="76" t="str">
        <x:f>IF('01_Form_Temperature'!$O89="Validé humainement",'01_Form_Temperature'!S89,"")</x:f>
      </x:c>
      <x:c r="T89" s="76" t="str">
        <x:f>IF('01_Form_Temperature'!$O89="Validé humainement",'01_Form_Temperature'!T89,"")</x:f>
      </x:c>
    </x:row>
    <x:row r="90">
      <x:c r="A90" s="76" t="str">
        <x:f>IF('01_Form_Temperature'!$O90="Validé humainement",'01_Form_Temperature'!A90,"")</x:f>
      </x:c>
      <x:c r="B90" s="78" t="str">
        <x:f>IF('01_Form_Temperature'!$O90="Validé humainement",'01_Form_Temperature'!B90,"")</x:f>
      </x:c>
      <x:c r="C90" s="76" t="str">
        <x:f>IF('01_Form_Temperature'!$O90="Validé humainement",'01_Form_Temperature'!C90,"")</x:f>
      </x:c>
      <x:c r="D90" s="76" t="str">
        <x:f>IF('01_Form_Temperature'!$O90="Validé humainement",'01_Form_Temperature'!D90,"")</x:f>
      </x:c>
      <x:c r="E90" s="76" t="str">
        <x:f>IF('01_Form_Temperature'!$O90="Validé humainement",'01_Form_Temperature'!E90,"")</x:f>
      </x:c>
      <x:c r="F90" s="76" t="str">
        <x:f>IF('01_Form_Temperature'!$O90="Validé humainement",'01_Form_Temperature'!F90,"")</x:f>
      </x:c>
      <x:c r="G90" s="79" t="str">
        <x:f>IF('01_Form_Temperature'!$O90="Validé humainement",'01_Form_Temperature'!G90,"")</x:f>
      </x:c>
      <x:c r="H90" s="79" t="str">
        <x:f>IF('01_Form_Temperature'!$O90="Validé humainement",'01_Form_Temperature'!H90,"")</x:f>
      </x:c>
      <x:c r="I90" s="79" t="str">
        <x:f>IF('01_Form_Temperature'!$O90="Validé humainement",'01_Form_Temperature'!I90,"")</x:f>
      </x:c>
      <x:c r="J90" s="76" t="str">
        <x:f>IF('01_Form_Temperature'!$O90="Validé humainement",'01_Form_Temperature'!J90,"")</x:f>
      </x:c>
      <x:c r="K90" s="76" t="str">
        <x:f>IF('01_Form_Temperature'!$O90="Validé humainement",'01_Form_Temperature'!K90,"")</x:f>
      </x:c>
      <x:c r="L90" s="76" t="str">
        <x:f>IF('01_Form_Temperature'!$O90="Validé humainement",'01_Form_Temperature'!L90,"")</x:f>
      </x:c>
      <x:c r="M90" s="76" t="str">
        <x:f>IF('01_Form_Temperature'!$O90="Validé humainement",'01_Form_Temperature'!M90,"")</x:f>
      </x:c>
      <x:c r="N90" s="76" t="str">
        <x:f>IF('01_Form_Temperature'!$O90="Validé humainement",'01_Form_Temperature'!N90,"")</x:f>
      </x:c>
      <x:c r="O90" s="76" t="str">
        <x:f>IF('01_Form_Temperature'!$O90="Validé humainement",'01_Form_Temperature'!O90,"")</x:f>
      </x:c>
      <x:c r="P90" s="76" t="str">
        <x:f>IF('01_Form_Temperature'!$O90="Validé humainement",'01_Form_Temperature'!P90,"")</x:f>
      </x:c>
      <x:c r="Q90" s="78" t="str">
        <x:f>IF('01_Form_Temperature'!$O90="Validé humainement",'01_Form_Temperature'!Q90,"")</x:f>
      </x:c>
      <x:c r="R90" s="76" t="str">
        <x:f>IF('01_Form_Temperature'!$O90="Validé humainement",'01_Form_Temperature'!R90,"")</x:f>
      </x:c>
      <x:c r="S90" s="76" t="str">
        <x:f>IF('01_Form_Temperature'!$O90="Validé humainement",'01_Form_Temperature'!S90,"")</x:f>
      </x:c>
      <x:c r="T90" s="76" t="str">
        <x:f>IF('01_Form_Temperature'!$O90="Validé humainement",'01_Form_Temperature'!T90,"")</x:f>
      </x:c>
    </x:row>
    <x:row r="91">
      <x:c r="A91" s="76" t="str">
        <x:f>IF('01_Form_Temperature'!$O91="Validé humainement",'01_Form_Temperature'!A91,"")</x:f>
      </x:c>
      <x:c r="B91" s="78" t="str">
        <x:f>IF('01_Form_Temperature'!$O91="Validé humainement",'01_Form_Temperature'!B91,"")</x:f>
      </x:c>
      <x:c r="C91" s="76" t="str">
        <x:f>IF('01_Form_Temperature'!$O91="Validé humainement",'01_Form_Temperature'!C91,"")</x:f>
      </x:c>
      <x:c r="D91" s="76" t="str">
        <x:f>IF('01_Form_Temperature'!$O91="Validé humainement",'01_Form_Temperature'!D91,"")</x:f>
      </x:c>
      <x:c r="E91" s="76" t="str">
        <x:f>IF('01_Form_Temperature'!$O91="Validé humainement",'01_Form_Temperature'!E91,"")</x:f>
      </x:c>
      <x:c r="F91" s="76" t="str">
        <x:f>IF('01_Form_Temperature'!$O91="Validé humainement",'01_Form_Temperature'!F91,"")</x:f>
      </x:c>
      <x:c r="G91" s="79" t="str">
        <x:f>IF('01_Form_Temperature'!$O91="Validé humainement",'01_Form_Temperature'!G91,"")</x:f>
      </x:c>
      <x:c r="H91" s="79" t="str">
        <x:f>IF('01_Form_Temperature'!$O91="Validé humainement",'01_Form_Temperature'!H91,"")</x:f>
      </x:c>
      <x:c r="I91" s="79" t="str">
        <x:f>IF('01_Form_Temperature'!$O91="Validé humainement",'01_Form_Temperature'!I91,"")</x:f>
      </x:c>
      <x:c r="J91" s="76" t="str">
        <x:f>IF('01_Form_Temperature'!$O91="Validé humainement",'01_Form_Temperature'!J91,"")</x:f>
      </x:c>
      <x:c r="K91" s="76" t="str">
        <x:f>IF('01_Form_Temperature'!$O91="Validé humainement",'01_Form_Temperature'!K91,"")</x:f>
      </x:c>
      <x:c r="L91" s="76" t="str">
        <x:f>IF('01_Form_Temperature'!$O91="Validé humainement",'01_Form_Temperature'!L91,"")</x:f>
      </x:c>
      <x:c r="M91" s="76" t="str">
        <x:f>IF('01_Form_Temperature'!$O91="Validé humainement",'01_Form_Temperature'!M91,"")</x:f>
      </x:c>
      <x:c r="N91" s="76" t="str">
        <x:f>IF('01_Form_Temperature'!$O91="Validé humainement",'01_Form_Temperature'!N91,"")</x:f>
      </x:c>
      <x:c r="O91" s="76" t="str">
        <x:f>IF('01_Form_Temperature'!$O91="Validé humainement",'01_Form_Temperature'!O91,"")</x:f>
      </x:c>
      <x:c r="P91" s="76" t="str">
        <x:f>IF('01_Form_Temperature'!$O91="Validé humainement",'01_Form_Temperature'!P91,"")</x:f>
      </x:c>
      <x:c r="Q91" s="78" t="str">
        <x:f>IF('01_Form_Temperature'!$O91="Validé humainement",'01_Form_Temperature'!Q91,"")</x:f>
      </x:c>
      <x:c r="R91" s="76" t="str">
        <x:f>IF('01_Form_Temperature'!$O91="Validé humainement",'01_Form_Temperature'!R91,"")</x:f>
      </x:c>
      <x:c r="S91" s="76" t="str">
        <x:f>IF('01_Form_Temperature'!$O91="Validé humainement",'01_Form_Temperature'!S91,"")</x:f>
      </x:c>
      <x:c r="T91" s="76" t="str">
        <x:f>IF('01_Form_Temperature'!$O91="Validé humainement",'01_Form_Temperature'!T91,"")</x:f>
      </x:c>
    </x:row>
    <x:row r="92">
      <x:c r="A92" s="76" t="str">
        <x:f>IF('01_Form_Temperature'!$O92="Validé humainement",'01_Form_Temperature'!A92,"")</x:f>
      </x:c>
      <x:c r="B92" s="78" t="str">
        <x:f>IF('01_Form_Temperature'!$O92="Validé humainement",'01_Form_Temperature'!B92,"")</x:f>
      </x:c>
      <x:c r="C92" s="76" t="str">
        <x:f>IF('01_Form_Temperature'!$O92="Validé humainement",'01_Form_Temperature'!C92,"")</x:f>
      </x:c>
      <x:c r="D92" s="76" t="str">
        <x:f>IF('01_Form_Temperature'!$O92="Validé humainement",'01_Form_Temperature'!D92,"")</x:f>
      </x:c>
      <x:c r="E92" s="76" t="str">
        <x:f>IF('01_Form_Temperature'!$O92="Validé humainement",'01_Form_Temperature'!E92,"")</x:f>
      </x:c>
      <x:c r="F92" s="76" t="str">
        <x:f>IF('01_Form_Temperature'!$O92="Validé humainement",'01_Form_Temperature'!F92,"")</x:f>
      </x:c>
      <x:c r="G92" s="79" t="str">
        <x:f>IF('01_Form_Temperature'!$O92="Validé humainement",'01_Form_Temperature'!G92,"")</x:f>
      </x:c>
      <x:c r="H92" s="79" t="str">
        <x:f>IF('01_Form_Temperature'!$O92="Validé humainement",'01_Form_Temperature'!H92,"")</x:f>
      </x:c>
      <x:c r="I92" s="79" t="str">
        <x:f>IF('01_Form_Temperature'!$O92="Validé humainement",'01_Form_Temperature'!I92,"")</x:f>
      </x:c>
      <x:c r="J92" s="76" t="str">
        <x:f>IF('01_Form_Temperature'!$O92="Validé humainement",'01_Form_Temperature'!J92,"")</x:f>
      </x:c>
      <x:c r="K92" s="76" t="str">
        <x:f>IF('01_Form_Temperature'!$O92="Validé humainement",'01_Form_Temperature'!K92,"")</x:f>
      </x:c>
      <x:c r="L92" s="76" t="str">
        <x:f>IF('01_Form_Temperature'!$O92="Validé humainement",'01_Form_Temperature'!L92,"")</x:f>
      </x:c>
      <x:c r="M92" s="76" t="str">
        <x:f>IF('01_Form_Temperature'!$O92="Validé humainement",'01_Form_Temperature'!M92,"")</x:f>
      </x:c>
      <x:c r="N92" s="76" t="str">
        <x:f>IF('01_Form_Temperature'!$O92="Validé humainement",'01_Form_Temperature'!N92,"")</x:f>
      </x:c>
      <x:c r="O92" s="76" t="str">
        <x:f>IF('01_Form_Temperature'!$O92="Validé humainement",'01_Form_Temperature'!O92,"")</x:f>
      </x:c>
      <x:c r="P92" s="76" t="str">
        <x:f>IF('01_Form_Temperature'!$O92="Validé humainement",'01_Form_Temperature'!P92,"")</x:f>
      </x:c>
      <x:c r="Q92" s="78" t="str">
        <x:f>IF('01_Form_Temperature'!$O92="Validé humainement",'01_Form_Temperature'!Q92,"")</x:f>
      </x:c>
      <x:c r="R92" s="76" t="str">
        <x:f>IF('01_Form_Temperature'!$O92="Validé humainement",'01_Form_Temperature'!R92,"")</x:f>
      </x:c>
      <x:c r="S92" s="76" t="str">
        <x:f>IF('01_Form_Temperature'!$O92="Validé humainement",'01_Form_Temperature'!S92,"")</x:f>
      </x:c>
      <x:c r="T92" s="76" t="str">
        <x:f>IF('01_Form_Temperature'!$O92="Validé humainement",'01_Form_Temperature'!T92,"")</x:f>
      </x:c>
    </x:row>
    <x:row r="93">
      <x:c r="A93" s="76" t="str">
        <x:f>IF('01_Form_Temperature'!$O93="Validé humainement",'01_Form_Temperature'!A93,"")</x:f>
      </x:c>
      <x:c r="B93" s="78" t="str">
        <x:f>IF('01_Form_Temperature'!$O93="Validé humainement",'01_Form_Temperature'!B93,"")</x:f>
      </x:c>
      <x:c r="C93" s="76" t="str">
        <x:f>IF('01_Form_Temperature'!$O93="Validé humainement",'01_Form_Temperature'!C93,"")</x:f>
      </x:c>
      <x:c r="D93" s="76" t="str">
        <x:f>IF('01_Form_Temperature'!$O93="Validé humainement",'01_Form_Temperature'!D93,"")</x:f>
      </x:c>
      <x:c r="E93" s="76" t="str">
        <x:f>IF('01_Form_Temperature'!$O93="Validé humainement",'01_Form_Temperature'!E93,"")</x:f>
      </x:c>
      <x:c r="F93" s="76" t="str">
        <x:f>IF('01_Form_Temperature'!$O93="Validé humainement",'01_Form_Temperature'!F93,"")</x:f>
      </x:c>
      <x:c r="G93" s="79" t="str">
        <x:f>IF('01_Form_Temperature'!$O93="Validé humainement",'01_Form_Temperature'!G93,"")</x:f>
      </x:c>
      <x:c r="H93" s="79" t="str">
        <x:f>IF('01_Form_Temperature'!$O93="Validé humainement",'01_Form_Temperature'!H93,"")</x:f>
      </x:c>
      <x:c r="I93" s="79" t="str">
        <x:f>IF('01_Form_Temperature'!$O93="Validé humainement",'01_Form_Temperature'!I93,"")</x:f>
      </x:c>
      <x:c r="J93" s="76" t="str">
        <x:f>IF('01_Form_Temperature'!$O93="Validé humainement",'01_Form_Temperature'!J93,"")</x:f>
      </x:c>
      <x:c r="K93" s="76" t="str">
        <x:f>IF('01_Form_Temperature'!$O93="Validé humainement",'01_Form_Temperature'!K93,"")</x:f>
      </x:c>
      <x:c r="L93" s="76" t="str">
        <x:f>IF('01_Form_Temperature'!$O93="Validé humainement",'01_Form_Temperature'!L93,"")</x:f>
      </x:c>
      <x:c r="M93" s="76" t="str">
        <x:f>IF('01_Form_Temperature'!$O93="Validé humainement",'01_Form_Temperature'!M93,"")</x:f>
      </x:c>
      <x:c r="N93" s="76" t="str">
        <x:f>IF('01_Form_Temperature'!$O93="Validé humainement",'01_Form_Temperature'!N93,"")</x:f>
      </x:c>
      <x:c r="O93" s="76" t="str">
        <x:f>IF('01_Form_Temperature'!$O93="Validé humainement",'01_Form_Temperature'!O93,"")</x:f>
      </x:c>
      <x:c r="P93" s="76" t="str">
        <x:f>IF('01_Form_Temperature'!$O93="Validé humainement",'01_Form_Temperature'!P93,"")</x:f>
      </x:c>
      <x:c r="Q93" s="78" t="str">
        <x:f>IF('01_Form_Temperature'!$O93="Validé humainement",'01_Form_Temperature'!Q93,"")</x:f>
      </x:c>
      <x:c r="R93" s="76" t="str">
        <x:f>IF('01_Form_Temperature'!$O93="Validé humainement",'01_Form_Temperature'!R93,"")</x:f>
      </x:c>
      <x:c r="S93" s="76" t="str">
        <x:f>IF('01_Form_Temperature'!$O93="Validé humainement",'01_Form_Temperature'!S93,"")</x:f>
      </x:c>
      <x:c r="T93" s="76" t="str">
        <x:f>IF('01_Form_Temperature'!$O93="Validé humainement",'01_Form_Temperature'!T93,"")</x:f>
      </x:c>
    </x:row>
    <x:row r="94">
      <x:c r="A94" s="76" t="str">
        <x:f>IF('01_Form_Temperature'!$O94="Validé humainement",'01_Form_Temperature'!A94,"")</x:f>
      </x:c>
      <x:c r="B94" s="78" t="str">
        <x:f>IF('01_Form_Temperature'!$O94="Validé humainement",'01_Form_Temperature'!B94,"")</x:f>
      </x:c>
      <x:c r="C94" s="76" t="str">
        <x:f>IF('01_Form_Temperature'!$O94="Validé humainement",'01_Form_Temperature'!C94,"")</x:f>
      </x:c>
      <x:c r="D94" s="76" t="str">
        <x:f>IF('01_Form_Temperature'!$O94="Validé humainement",'01_Form_Temperature'!D94,"")</x:f>
      </x:c>
      <x:c r="E94" s="76" t="str">
        <x:f>IF('01_Form_Temperature'!$O94="Validé humainement",'01_Form_Temperature'!E94,"")</x:f>
      </x:c>
      <x:c r="F94" s="76" t="str">
        <x:f>IF('01_Form_Temperature'!$O94="Validé humainement",'01_Form_Temperature'!F94,"")</x:f>
      </x:c>
      <x:c r="G94" s="79" t="str">
        <x:f>IF('01_Form_Temperature'!$O94="Validé humainement",'01_Form_Temperature'!G94,"")</x:f>
      </x:c>
      <x:c r="H94" s="79" t="str">
        <x:f>IF('01_Form_Temperature'!$O94="Validé humainement",'01_Form_Temperature'!H94,"")</x:f>
      </x:c>
      <x:c r="I94" s="79" t="str">
        <x:f>IF('01_Form_Temperature'!$O94="Validé humainement",'01_Form_Temperature'!I94,"")</x:f>
      </x:c>
      <x:c r="J94" s="76" t="str">
        <x:f>IF('01_Form_Temperature'!$O94="Validé humainement",'01_Form_Temperature'!J94,"")</x:f>
      </x:c>
      <x:c r="K94" s="76" t="str">
        <x:f>IF('01_Form_Temperature'!$O94="Validé humainement",'01_Form_Temperature'!K94,"")</x:f>
      </x:c>
      <x:c r="L94" s="76" t="str">
        <x:f>IF('01_Form_Temperature'!$O94="Validé humainement",'01_Form_Temperature'!L94,"")</x:f>
      </x:c>
      <x:c r="M94" s="76" t="str">
        <x:f>IF('01_Form_Temperature'!$O94="Validé humainement",'01_Form_Temperature'!M94,"")</x:f>
      </x:c>
      <x:c r="N94" s="76" t="str">
        <x:f>IF('01_Form_Temperature'!$O94="Validé humainement",'01_Form_Temperature'!N94,"")</x:f>
      </x:c>
      <x:c r="O94" s="76" t="str">
        <x:f>IF('01_Form_Temperature'!$O94="Validé humainement",'01_Form_Temperature'!O94,"")</x:f>
      </x:c>
      <x:c r="P94" s="76" t="str">
        <x:f>IF('01_Form_Temperature'!$O94="Validé humainement",'01_Form_Temperature'!P94,"")</x:f>
      </x:c>
      <x:c r="Q94" s="78" t="str">
        <x:f>IF('01_Form_Temperature'!$O94="Validé humainement",'01_Form_Temperature'!Q94,"")</x:f>
      </x:c>
      <x:c r="R94" s="76" t="str">
        <x:f>IF('01_Form_Temperature'!$O94="Validé humainement",'01_Form_Temperature'!R94,"")</x:f>
      </x:c>
      <x:c r="S94" s="76" t="str">
        <x:f>IF('01_Form_Temperature'!$O94="Validé humainement",'01_Form_Temperature'!S94,"")</x:f>
      </x:c>
      <x:c r="T94" s="76" t="str">
        <x:f>IF('01_Form_Temperature'!$O94="Validé humainement",'01_Form_Temperature'!T94,"")</x:f>
      </x:c>
    </x:row>
    <x:row r="95">
      <x:c r="A95" s="76" t="str">
        <x:f>IF('01_Form_Temperature'!$O95="Validé humainement",'01_Form_Temperature'!A95,"")</x:f>
      </x:c>
      <x:c r="B95" s="78" t="str">
        <x:f>IF('01_Form_Temperature'!$O95="Validé humainement",'01_Form_Temperature'!B95,"")</x:f>
      </x:c>
      <x:c r="C95" s="76" t="str">
        <x:f>IF('01_Form_Temperature'!$O95="Validé humainement",'01_Form_Temperature'!C95,"")</x:f>
      </x:c>
      <x:c r="D95" s="76" t="str">
        <x:f>IF('01_Form_Temperature'!$O95="Validé humainement",'01_Form_Temperature'!D95,"")</x:f>
      </x:c>
      <x:c r="E95" s="76" t="str">
        <x:f>IF('01_Form_Temperature'!$O95="Validé humainement",'01_Form_Temperature'!E95,"")</x:f>
      </x:c>
      <x:c r="F95" s="76" t="str">
        <x:f>IF('01_Form_Temperature'!$O95="Validé humainement",'01_Form_Temperature'!F95,"")</x:f>
      </x:c>
      <x:c r="G95" s="79" t="str">
        <x:f>IF('01_Form_Temperature'!$O95="Validé humainement",'01_Form_Temperature'!G95,"")</x:f>
      </x:c>
      <x:c r="H95" s="79" t="str">
        <x:f>IF('01_Form_Temperature'!$O95="Validé humainement",'01_Form_Temperature'!H95,"")</x:f>
      </x:c>
      <x:c r="I95" s="79" t="str">
        <x:f>IF('01_Form_Temperature'!$O95="Validé humainement",'01_Form_Temperature'!I95,"")</x:f>
      </x:c>
      <x:c r="J95" s="76" t="str">
        <x:f>IF('01_Form_Temperature'!$O95="Validé humainement",'01_Form_Temperature'!J95,"")</x:f>
      </x:c>
      <x:c r="K95" s="76" t="str">
        <x:f>IF('01_Form_Temperature'!$O95="Validé humainement",'01_Form_Temperature'!K95,"")</x:f>
      </x:c>
      <x:c r="L95" s="76" t="str">
        <x:f>IF('01_Form_Temperature'!$O95="Validé humainement",'01_Form_Temperature'!L95,"")</x:f>
      </x:c>
      <x:c r="M95" s="76" t="str">
        <x:f>IF('01_Form_Temperature'!$O95="Validé humainement",'01_Form_Temperature'!M95,"")</x:f>
      </x:c>
      <x:c r="N95" s="76" t="str">
        <x:f>IF('01_Form_Temperature'!$O95="Validé humainement",'01_Form_Temperature'!N95,"")</x:f>
      </x:c>
      <x:c r="O95" s="76" t="str">
        <x:f>IF('01_Form_Temperature'!$O95="Validé humainement",'01_Form_Temperature'!O95,"")</x:f>
      </x:c>
      <x:c r="P95" s="76" t="str">
        <x:f>IF('01_Form_Temperature'!$O95="Validé humainement",'01_Form_Temperature'!P95,"")</x:f>
      </x:c>
      <x:c r="Q95" s="78" t="str">
        <x:f>IF('01_Form_Temperature'!$O95="Validé humainement",'01_Form_Temperature'!Q95,"")</x:f>
      </x:c>
      <x:c r="R95" s="76" t="str">
        <x:f>IF('01_Form_Temperature'!$O95="Validé humainement",'01_Form_Temperature'!R95,"")</x:f>
      </x:c>
      <x:c r="S95" s="76" t="str">
        <x:f>IF('01_Form_Temperature'!$O95="Validé humainement",'01_Form_Temperature'!S95,"")</x:f>
      </x:c>
      <x:c r="T95" s="76" t="str">
        <x:f>IF('01_Form_Temperature'!$O95="Validé humainement",'01_Form_Temperature'!T95,"")</x:f>
      </x:c>
    </x:row>
    <x:row r="96">
      <x:c r="A96" s="76" t="str">
        <x:f>IF('01_Form_Temperature'!$O96="Validé humainement",'01_Form_Temperature'!A96,"")</x:f>
      </x:c>
      <x:c r="B96" s="78" t="str">
        <x:f>IF('01_Form_Temperature'!$O96="Validé humainement",'01_Form_Temperature'!B96,"")</x:f>
      </x:c>
      <x:c r="C96" s="76" t="str">
        <x:f>IF('01_Form_Temperature'!$O96="Validé humainement",'01_Form_Temperature'!C96,"")</x:f>
      </x:c>
      <x:c r="D96" s="76" t="str">
        <x:f>IF('01_Form_Temperature'!$O96="Validé humainement",'01_Form_Temperature'!D96,"")</x:f>
      </x:c>
      <x:c r="E96" s="76" t="str">
        <x:f>IF('01_Form_Temperature'!$O96="Validé humainement",'01_Form_Temperature'!E96,"")</x:f>
      </x:c>
      <x:c r="F96" s="76" t="str">
        <x:f>IF('01_Form_Temperature'!$O96="Validé humainement",'01_Form_Temperature'!F96,"")</x:f>
      </x:c>
      <x:c r="G96" s="79" t="str">
        <x:f>IF('01_Form_Temperature'!$O96="Validé humainement",'01_Form_Temperature'!G96,"")</x:f>
      </x:c>
      <x:c r="H96" s="79" t="str">
        <x:f>IF('01_Form_Temperature'!$O96="Validé humainement",'01_Form_Temperature'!H96,"")</x:f>
      </x:c>
      <x:c r="I96" s="79" t="str">
        <x:f>IF('01_Form_Temperature'!$O96="Validé humainement",'01_Form_Temperature'!I96,"")</x:f>
      </x:c>
      <x:c r="J96" s="76" t="str">
        <x:f>IF('01_Form_Temperature'!$O96="Validé humainement",'01_Form_Temperature'!J96,"")</x:f>
      </x:c>
      <x:c r="K96" s="76" t="str">
        <x:f>IF('01_Form_Temperature'!$O96="Validé humainement",'01_Form_Temperature'!K96,"")</x:f>
      </x:c>
      <x:c r="L96" s="76" t="str">
        <x:f>IF('01_Form_Temperature'!$O96="Validé humainement",'01_Form_Temperature'!L96,"")</x:f>
      </x:c>
      <x:c r="M96" s="76" t="str">
        <x:f>IF('01_Form_Temperature'!$O96="Validé humainement",'01_Form_Temperature'!M96,"")</x:f>
      </x:c>
      <x:c r="N96" s="76" t="str">
        <x:f>IF('01_Form_Temperature'!$O96="Validé humainement",'01_Form_Temperature'!N96,"")</x:f>
      </x:c>
      <x:c r="O96" s="76" t="str">
        <x:f>IF('01_Form_Temperature'!$O96="Validé humainement",'01_Form_Temperature'!O96,"")</x:f>
      </x:c>
      <x:c r="P96" s="76" t="str">
        <x:f>IF('01_Form_Temperature'!$O96="Validé humainement",'01_Form_Temperature'!P96,"")</x:f>
      </x:c>
      <x:c r="Q96" s="78" t="str">
        <x:f>IF('01_Form_Temperature'!$O96="Validé humainement",'01_Form_Temperature'!Q96,"")</x:f>
      </x:c>
      <x:c r="R96" s="76" t="str">
        <x:f>IF('01_Form_Temperature'!$O96="Validé humainement",'01_Form_Temperature'!R96,"")</x:f>
      </x:c>
      <x:c r="S96" s="76" t="str">
        <x:f>IF('01_Form_Temperature'!$O96="Validé humainement",'01_Form_Temperature'!S96,"")</x:f>
      </x:c>
      <x:c r="T96" s="76" t="str">
        <x:f>IF('01_Form_Temperature'!$O96="Validé humainement",'01_Form_Temperature'!T96,"")</x:f>
      </x:c>
    </x:row>
    <x:row r="97">
      <x:c r="A97" s="76" t="str">
        <x:f>IF('01_Form_Temperature'!$O97="Validé humainement",'01_Form_Temperature'!A97,"")</x:f>
      </x:c>
      <x:c r="B97" s="78" t="str">
        <x:f>IF('01_Form_Temperature'!$O97="Validé humainement",'01_Form_Temperature'!B97,"")</x:f>
      </x:c>
      <x:c r="C97" s="76" t="str">
        <x:f>IF('01_Form_Temperature'!$O97="Validé humainement",'01_Form_Temperature'!C97,"")</x:f>
      </x:c>
      <x:c r="D97" s="76" t="str">
        <x:f>IF('01_Form_Temperature'!$O97="Validé humainement",'01_Form_Temperature'!D97,"")</x:f>
      </x:c>
      <x:c r="E97" s="76" t="str">
        <x:f>IF('01_Form_Temperature'!$O97="Validé humainement",'01_Form_Temperature'!E97,"")</x:f>
      </x:c>
      <x:c r="F97" s="76" t="str">
        <x:f>IF('01_Form_Temperature'!$O97="Validé humainement",'01_Form_Temperature'!F97,"")</x:f>
      </x:c>
      <x:c r="G97" s="79" t="str">
        <x:f>IF('01_Form_Temperature'!$O97="Validé humainement",'01_Form_Temperature'!G97,"")</x:f>
      </x:c>
      <x:c r="H97" s="79" t="str">
        <x:f>IF('01_Form_Temperature'!$O97="Validé humainement",'01_Form_Temperature'!H97,"")</x:f>
      </x:c>
      <x:c r="I97" s="79" t="str">
        <x:f>IF('01_Form_Temperature'!$O97="Validé humainement",'01_Form_Temperature'!I97,"")</x:f>
      </x:c>
      <x:c r="J97" s="76" t="str">
        <x:f>IF('01_Form_Temperature'!$O97="Validé humainement",'01_Form_Temperature'!J97,"")</x:f>
      </x:c>
      <x:c r="K97" s="76" t="str">
        <x:f>IF('01_Form_Temperature'!$O97="Validé humainement",'01_Form_Temperature'!K97,"")</x:f>
      </x:c>
      <x:c r="L97" s="76" t="str">
        <x:f>IF('01_Form_Temperature'!$O97="Validé humainement",'01_Form_Temperature'!L97,"")</x:f>
      </x:c>
      <x:c r="M97" s="76" t="str">
        <x:f>IF('01_Form_Temperature'!$O97="Validé humainement",'01_Form_Temperature'!M97,"")</x:f>
      </x:c>
      <x:c r="N97" s="76" t="str">
        <x:f>IF('01_Form_Temperature'!$O97="Validé humainement",'01_Form_Temperature'!N97,"")</x:f>
      </x:c>
      <x:c r="O97" s="76" t="str">
        <x:f>IF('01_Form_Temperature'!$O97="Validé humainement",'01_Form_Temperature'!O97,"")</x:f>
      </x:c>
      <x:c r="P97" s="76" t="str">
        <x:f>IF('01_Form_Temperature'!$O97="Validé humainement",'01_Form_Temperature'!P97,"")</x:f>
      </x:c>
      <x:c r="Q97" s="78" t="str">
        <x:f>IF('01_Form_Temperature'!$O97="Validé humainement",'01_Form_Temperature'!Q97,"")</x:f>
      </x:c>
      <x:c r="R97" s="76" t="str">
        <x:f>IF('01_Form_Temperature'!$O97="Validé humainement",'01_Form_Temperature'!R97,"")</x:f>
      </x:c>
      <x:c r="S97" s="76" t="str">
        <x:f>IF('01_Form_Temperature'!$O97="Validé humainement",'01_Form_Temperature'!S97,"")</x:f>
      </x:c>
      <x:c r="T97" s="76" t="str">
        <x:f>IF('01_Form_Temperature'!$O97="Validé humainement",'01_Form_Temperature'!T97,"")</x:f>
      </x:c>
    </x:row>
    <x:row r="98">
      <x:c r="A98" s="76" t="str">
        <x:f>IF('01_Form_Temperature'!$O98="Validé humainement",'01_Form_Temperature'!A98,"")</x:f>
      </x:c>
      <x:c r="B98" s="78" t="str">
        <x:f>IF('01_Form_Temperature'!$O98="Validé humainement",'01_Form_Temperature'!B98,"")</x:f>
      </x:c>
      <x:c r="C98" s="76" t="str">
        <x:f>IF('01_Form_Temperature'!$O98="Validé humainement",'01_Form_Temperature'!C98,"")</x:f>
      </x:c>
      <x:c r="D98" s="76" t="str">
        <x:f>IF('01_Form_Temperature'!$O98="Validé humainement",'01_Form_Temperature'!D98,"")</x:f>
      </x:c>
      <x:c r="E98" s="76" t="str">
        <x:f>IF('01_Form_Temperature'!$O98="Validé humainement",'01_Form_Temperature'!E98,"")</x:f>
      </x:c>
      <x:c r="F98" s="76" t="str">
        <x:f>IF('01_Form_Temperature'!$O98="Validé humainement",'01_Form_Temperature'!F98,"")</x:f>
      </x:c>
      <x:c r="G98" s="79" t="str">
        <x:f>IF('01_Form_Temperature'!$O98="Validé humainement",'01_Form_Temperature'!G98,"")</x:f>
      </x:c>
      <x:c r="H98" s="79" t="str">
        <x:f>IF('01_Form_Temperature'!$O98="Validé humainement",'01_Form_Temperature'!H98,"")</x:f>
      </x:c>
      <x:c r="I98" s="79" t="str">
        <x:f>IF('01_Form_Temperature'!$O98="Validé humainement",'01_Form_Temperature'!I98,"")</x:f>
      </x:c>
      <x:c r="J98" s="76" t="str">
        <x:f>IF('01_Form_Temperature'!$O98="Validé humainement",'01_Form_Temperature'!J98,"")</x:f>
      </x:c>
      <x:c r="K98" s="76" t="str">
        <x:f>IF('01_Form_Temperature'!$O98="Validé humainement",'01_Form_Temperature'!K98,"")</x:f>
      </x:c>
      <x:c r="L98" s="76" t="str">
        <x:f>IF('01_Form_Temperature'!$O98="Validé humainement",'01_Form_Temperature'!L98,"")</x:f>
      </x:c>
      <x:c r="M98" s="76" t="str">
        <x:f>IF('01_Form_Temperature'!$O98="Validé humainement",'01_Form_Temperature'!M98,"")</x:f>
      </x:c>
      <x:c r="N98" s="76" t="str">
        <x:f>IF('01_Form_Temperature'!$O98="Validé humainement",'01_Form_Temperature'!N98,"")</x:f>
      </x:c>
      <x:c r="O98" s="76" t="str">
        <x:f>IF('01_Form_Temperature'!$O98="Validé humainement",'01_Form_Temperature'!O98,"")</x:f>
      </x:c>
      <x:c r="P98" s="76" t="str">
        <x:f>IF('01_Form_Temperature'!$O98="Validé humainement",'01_Form_Temperature'!P98,"")</x:f>
      </x:c>
      <x:c r="Q98" s="78" t="str">
        <x:f>IF('01_Form_Temperature'!$O98="Validé humainement",'01_Form_Temperature'!Q98,"")</x:f>
      </x:c>
      <x:c r="R98" s="76" t="str">
        <x:f>IF('01_Form_Temperature'!$O98="Validé humainement",'01_Form_Temperature'!R98,"")</x:f>
      </x:c>
      <x:c r="S98" s="76" t="str">
        <x:f>IF('01_Form_Temperature'!$O98="Validé humainement",'01_Form_Temperature'!S98,"")</x:f>
      </x:c>
      <x:c r="T98" s="76" t="str">
        <x:f>IF('01_Form_Temperature'!$O98="Validé humainement",'01_Form_Temperature'!T98,"")</x:f>
      </x:c>
    </x:row>
    <x:row r="99">
      <x:c r="A99" s="76" t="str">
        <x:f>IF('01_Form_Temperature'!$O99="Validé humainement",'01_Form_Temperature'!A99,"")</x:f>
      </x:c>
      <x:c r="B99" s="78" t="str">
        <x:f>IF('01_Form_Temperature'!$O99="Validé humainement",'01_Form_Temperature'!B99,"")</x:f>
      </x:c>
      <x:c r="C99" s="76" t="str">
        <x:f>IF('01_Form_Temperature'!$O99="Validé humainement",'01_Form_Temperature'!C99,"")</x:f>
      </x:c>
      <x:c r="D99" s="76" t="str">
        <x:f>IF('01_Form_Temperature'!$O99="Validé humainement",'01_Form_Temperature'!D99,"")</x:f>
      </x:c>
      <x:c r="E99" s="76" t="str">
        <x:f>IF('01_Form_Temperature'!$O99="Validé humainement",'01_Form_Temperature'!E99,"")</x:f>
      </x:c>
      <x:c r="F99" s="76" t="str">
        <x:f>IF('01_Form_Temperature'!$O99="Validé humainement",'01_Form_Temperature'!F99,"")</x:f>
      </x:c>
      <x:c r="G99" s="79" t="str">
        <x:f>IF('01_Form_Temperature'!$O99="Validé humainement",'01_Form_Temperature'!G99,"")</x:f>
      </x:c>
      <x:c r="H99" s="79" t="str">
        <x:f>IF('01_Form_Temperature'!$O99="Validé humainement",'01_Form_Temperature'!H99,"")</x:f>
      </x:c>
      <x:c r="I99" s="79" t="str">
        <x:f>IF('01_Form_Temperature'!$O99="Validé humainement",'01_Form_Temperature'!I99,"")</x:f>
      </x:c>
      <x:c r="J99" s="76" t="str">
        <x:f>IF('01_Form_Temperature'!$O99="Validé humainement",'01_Form_Temperature'!J99,"")</x:f>
      </x:c>
      <x:c r="K99" s="76" t="str">
        <x:f>IF('01_Form_Temperature'!$O99="Validé humainement",'01_Form_Temperature'!K99,"")</x:f>
      </x:c>
      <x:c r="L99" s="76" t="str">
        <x:f>IF('01_Form_Temperature'!$O99="Validé humainement",'01_Form_Temperature'!L99,"")</x:f>
      </x:c>
      <x:c r="M99" s="76" t="str">
        <x:f>IF('01_Form_Temperature'!$O99="Validé humainement",'01_Form_Temperature'!M99,"")</x:f>
      </x:c>
      <x:c r="N99" s="76" t="str">
        <x:f>IF('01_Form_Temperature'!$O99="Validé humainement",'01_Form_Temperature'!N99,"")</x:f>
      </x:c>
      <x:c r="O99" s="76" t="str">
        <x:f>IF('01_Form_Temperature'!$O99="Validé humainement",'01_Form_Temperature'!O99,"")</x:f>
      </x:c>
      <x:c r="P99" s="76" t="str">
        <x:f>IF('01_Form_Temperature'!$O99="Validé humainement",'01_Form_Temperature'!P99,"")</x:f>
      </x:c>
      <x:c r="Q99" s="78" t="str">
        <x:f>IF('01_Form_Temperature'!$O99="Validé humainement",'01_Form_Temperature'!Q99,"")</x:f>
      </x:c>
      <x:c r="R99" s="76" t="str">
        <x:f>IF('01_Form_Temperature'!$O99="Validé humainement",'01_Form_Temperature'!R99,"")</x:f>
      </x:c>
      <x:c r="S99" s="76" t="str">
        <x:f>IF('01_Form_Temperature'!$O99="Validé humainement",'01_Form_Temperature'!S99,"")</x:f>
      </x:c>
      <x:c r="T99" s="76" t="str">
        <x:f>IF('01_Form_Temperature'!$O99="Validé humainement",'01_Form_Temperature'!T99,"")</x:f>
      </x:c>
    </x:row>
    <x:row r="100">
      <x:c r="A100" s="76" t="str">
        <x:f>IF('01_Form_Temperature'!$O100="Validé humainement",'01_Form_Temperature'!A100,"")</x:f>
      </x:c>
      <x:c r="B100" s="78" t="str">
        <x:f>IF('01_Form_Temperature'!$O100="Validé humainement",'01_Form_Temperature'!B100,"")</x:f>
      </x:c>
      <x:c r="C100" s="76" t="str">
        <x:f>IF('01_Form_Temperature'!$O100="Validé humainement",'01_Form_Temperature'!C100,"")</x:f>
      </x:c>
      <x:c r="D100" s="76" t="str">
        <x:f>IF('01_Form_Temperature'!$O100="Validé humainement",'01_Form_Temperature'!D100,"")</x:f>
      </x:c>
      <x:c r="E100" s="76" t="str">
        <x:f>IF('01_Form_Temperature'!$O100="Validé humainement",'01_Form_Temperature'!E100,"")</x:f>
      </x:c>
      <x:c r="F100" s="76" t="str">
        <x:f>IF('01_Form_Temperature'!$O100="Validé humainement",'01_Form_Temperature'!F100,"")</x:f>
      </x:c>
      <x:c r="G100" s="79" t="str">
        <x:f>IF('01_Form_Temperature'!$O100="Validé humainement",'01_Form_Temperature'!G100,"")</x:f>
      </x:c>
      <x:c r="H100" s="79" t="str">
        <x:f>IF('01_Form_Temperature'!$O100="Validé humainement",'01_Form_Temperature'!H100,"")</x:f>
      </x:c>
      <x:c r="I100" s="79" t="str">
        <x:f>IF('01_Form_Temperature'!$O100="Validé humainement",'01_Form_Temperature'!I100,"")</x:f>
      </x:c>
      <x:c r="J100" s="76" t="str">
        <x:f>IF('01_Form_Temperature'!$O100="Validé humainement",'01_Form_Temperature'!J100,"")</x:f>
      </x:c>
      <x:c r="K100" s="76" t="str">
        <x:f>IF('01_Form_Temperature'!$O100="Validé humainement",'01_Form_Temperature'!K100,"")</x:f>
      </x:c>
      <x:c r="L100" s="76" t="str">
        <x:f>IF('01_Form_Temperature'!$O100="Validé humainement",'01_Form_Temperature'!L100,"")</x:f>
      </x:c>
      <x:c r="M100" s="76" t="str">
        <x:f>IF('01_Form_Temperature'!$O100="Validé humainement",'01_Form_Temperature'!M100,"")</x:f>
      </x:c>
      <x:c r="N100" s="76" t="str">
        <x:f>IF('01_Form_Temperature'!$O100="Validé humainement",'01_Form_Temperature'!N100,"")</x:f>
      </x:c>
      <x:c r="O100" s="76" t="str">
        <x:f>IF('01_Form_Temperature'!$O100="Validé humainement",'01_Form_Temperature'!O100,"")</x:f>
      </x:c>
      <x:c r="P100" s="76" t="str">
        <x:f>IF('01_Form_Temperature'!$O100="Validé humainement",'01_Form_Temperature'!P100,"")</x:f>
      </x:c>
      <x:c r="Q100" s="78" t="str">
        <x:f>IF('01_Form_Temperature'!$O100="Validé humainement",'01_Form_Temperature'!Q100,"")</x:f>
      </x:c>
      <x:c r="R100" s="76" t="str">
        <x:f>IF('01_Form_Temperature'!$O100="Validé humainement",'01_Form_Temperature'!R100,"")</x:f>
      </x:c>
      <x:c r="S100" s="76" t="str">
        <x:f>IF('01_Form_Temperature'!$O100="Validé humainement",'01_Form_Temperature'!S100,"")</x:f>
      </x:c>
      <x:c r="T100" s="76" t="str">
        <x:f>IF('01_Form_Temperature'!$O100="Validé humainement",'01_Form_Temperature'!T100,"")</x:f>
      </x:c>
    </x:row>
    <x:row r="101">
      <x:c r="A101" s="76" t="str">
        <x:f>IF('01_Form_Temperature'!$O101="Validé humainement",'01_Form_Temperature'!A101,"")</x:f>
      </x:c>
      <x:c r="B101" s="78" t="str">
        <x:f>IF('01_Form_Temperature'!$O101="Validé humainement",'01_Form_Temperature'!B101,"")</x:f>
      </x:c>
      <x:c r="C101" s="76" t="str">
        <x:f>IF('01_Form_Temperature'!$O101="Validé humainement",'01_Form_Temperature'!C101,"")</x:f>
      </x:c>
      <x:c r="D101" s="76" t="str">
        <x:f>IF('01_Form_Temperature'!$O101="Validé humainement",'01_Form_Temperature'!D101,"")</x:f>
      </x:c>
      <x:c r="E101" s="76" t="str">
        <x:f>IF('01_Form_Temperature'!$O101="Validé humainement",'01_Form_Temperature'!E101,"")</x:f>
      </x:c>
      <x:c r="F101" s="76" t="str">
        <x:f>IF('01_Form_Temperature'!$O101="Validé humainement",'01_Form_Temperature'!F101,"")</x:f>
      </x:c>
      <x:c r="G101" s="79" t="str">
        <x:f>IF('01_Form_Temperature'!$O101="Validé humainement",'01_Form_Temperature'!G101,"")</x:f>
      </x:c>
      <x:c r="H101" s="79" t="str">
        <x:f>IF('01_Form_Temperature'!$O101="Validé humainement",'01_Form_Temperature'!H101,"")</x:f>
      </x:c>
      <x:c r="I101" s="79" t="str">
        <x:f>IF('01_Form_Temperature'!$O101="Validé humainement",'01_Form_Temperature'!I101,"")</x:f>
      </x:c>
      <x:c r="J101" s="76" t="str">
        <x:f>IF('01_Form_Temperature'!$O101="Validé humainement",'01_Form_Temperature'!J101,"")</x:f>
      </x:c>
      <x:c r="K101" s="76" t="str">
        <x:f>IF('01_Form_Temperature'!$O101="Validé humainement",'01_Form_Temperature'!K101,"")</x:f>
      </x:c>
      <x:c r="L101" s="76" t="str">
        <x:f>IF('01_Form_Temperature'!$O101="Validé humainement",'01_Form_Temperature'!L101,"")</x:f>
      </x:c>
      <x:c r="M101" s="76" t="str">
        <x:f>IF('01_Form_Temperature'!$O101="Validé humainement",'01_Form_Temperature'!M101,"")</x:f>
      </x:c>
      <x:c r="N101" s="76" t="str">
        <x:f>IF('01_Form_Temperature'!$O101="Validé humainement",'01_Form_Temperature'!N101,"")</x:f>
      </x:c>
      <x:c r="O101" s="76" t="str">
        <x:f>IF('01_Form_Temperature'!$O101="Validé humainement",'01_Form_Temperature'!O101,"")</x:f>
      </x:c>
      <x:c r="P101" s="76" t="str">
        <x:f>IF('01_Form_Temperature'!$O101="Validé humainement",'01_Form_Temperature'!P101,"")</x:f>
      </x:c>
      <x:c r="Q101" s="78" t="str">
        <x:f>IF('01_Form_Temperature'!$O101="Validé humainement",'01_Form_Temperature'!Q101,"")</x:f>
      </x:c>
      <x:c r="R101" s="76" t="str">
        <x:f>IF('01_Form_Temperature'!$O101="Validé humainement",'01_Form_Temperature'!R101,"")</x:f>
      </x:c>
      <x:c r="S101" s="76" t="str">
        <x:f>IF('01_Form_Temperature'!$O101="Validé humainement",'01_Form_Temperature'!S101,"")</x:f>
      </x:c>
      <x:c r="T101" s="76" t="str">
        <x:f>IF('01_Form_Temperature'!$O101="Validé humainement",'01_Form_Temperature'!T101,"")</x:f>
      </x:c>
    </x:row>
    <x:row r="102">
      <x:c r="A102" s="76" t="str">
        <x:f>IF('01_Form_Temperature'!$O102="Validé humainement",'01_Form_Temperature'!A102,"")</x:f>
      </x:c>
      <x:c r="B102" s="78" t="str">
        <x:f>IF('01_Form_Temperature'!$O102="Validé humainement",'01_Form_Temperature'!B102,"")</x:f>
      </x:c>
      <x:c r="C102" s="76" t="str">
        <x:f>IF('01_Form_Temperature'!$O102="Validé humainement",'01_Form_Temperature'!C102,"")</x:f>
      </x:c>
      <x:c r="D102" s="76" t="str">
        <x:f>IF('01_Form_Temperature'!$O102="Validé humainement",'01_Form_Temperature'!D102,"")</x:f>
      </x:c>
      <x:c r="E102" s="76" t="str">
        <x:f>IF('01_Form_Temperature'!$O102="Validé humainement",'01_Form_Temperature'!E102,"")</x:f>
      </x:c>
      <x:c r="F102" s="76" t="str">
        <x:f>IF('01_Form_Temperature'!$O102="Validé humainement",'01_Form_Temperature'!F102,"")</x:f>
      </x:c>
      <x:c r="G102" s="79" t="str">
        <x:f>IF('01_Form_Temperature'!$O102="Validé humainement",'01_Form_Temperature'!G102,"")</x:f>
      </x:c>
      <x:c r="H102" s="79" t="str">
        <x:f>IF('01_Form_Temperature'!$O102="Validé humainement",'01_Form_Temperature'!H102,"")</x:f>
      </x:c>
      <x:c r="I102" s="79" t="str">
        <x:f>IF('01_Form_Temperature'!$O102="Validé humainement",'01_Form_Temperature'!I102,"")</x:f>
      </x:c>
      <x:c r="J102" s="76" t="str">
        <x:f>IF('01_Form_Temperature'!$O102="Validé humainement",'01_Form_Temperature'!J102,"")</x:f>
      </x:c>
      <x:c r="K102" s="76" t="str">
        <x:f>IF('01_Form_Temperature'!$O102="Validé humainement",'01_Form_Temperature'!K102,"")</x:f>
      </x:c>
      <x:c r="L102" s="76" t="str">
        <x:f>IF('01_Form_Temperature'!$O102="Validé humainement",'01_Form_Temperature'!L102,"")</x:f>
      </x:c>
      <x:c r="M102" s="76" t="str">
        <x:f>IF('01_Form_Temperature'!$O102="Validé humainement",'01_Form_Temperature'!M102,"")</x:f>
      </x:c>
      <x:c r="N102" s="76" t="str">
        <x:f>IF('01_Form_Temperature'!$O102="Validé humainement",'01_Form_Temperature'!N102,"")</x:f>
      </x:c>
      <x:c r="O102" s="76" t="str">
        <x:f>IF('01_Form_Temperature'!$O102="Validé humainement",'01_Form_Temperature'!O102,"")</x:f>
      </x:c>
      <x:c r="P102" s="76" t="str">
        <x:f>IF('01_Form_Temperature'!$O102="Validé humainement",'01_Form_Temperature'!P102,"")</x:f>
      </x:c>
      <x:c r="Q102" s="78" t="str">
        <x:f>IF('01_Form_Temperature'!$O102="Validé humainement",'01_Form_Temperature'!Q102,"")</x:f>
      </x:c>
      <x:c r="R102" s="76" t="str">
        <x:f>IF('01_Form_Temperature'!$O102="Validé humainement",'01_Form_Temperature'!R102,"")</x:f>
      </x:c>
      <x:c r="S102" s="76" t="str">
        <x:f>IF('01_Form_Temperature'!$O102="Validé humainement",'01_Form_Temperature'!S102,"")</x:f>
      </x:c>
      <x:c r="T102" s="76" t="str">
        <x:f>IF('01_Form_Temperature'!$O102="Validé humainement",'01_Form_Temperature'!T102,"")</x:f>
      </x:c>
    </x:row>
    <x:row r="103">
      <x:c r="A103" s="76" t="str">
        <x:f>IF('01_Form_Temperature'!$O103="Validé humainement",'01_Form_Temperature'!A103,"")</x:f>
      </x:c>
      <x:c r="B103" s="78" t="str">
        <x:f>IF('01_Form_Temperature'!$O103="Validé humainement",'01_Form_Temperature'!B103,"")</x:f>
      </x:c>
      <x:c r="C103" s="76" t="str">
        <x:f>IF('01_Form_Temperature'!$O103="Validé humainement",'01_Form_Temperature'!C103,"")</x:f>
      </x:c>
      <x:c r="D103" s="76" t="str">
        <x:f>IF('01_Form_Temperature'!$O103="Validé humainement",'01_Form_Temperature'!D103,"")</x:f>
      </x:c>
      <x:c r="E103" s="76" t="str">
        <x:f>IF('01_Form_Temperature'!$O103="Validé humainement",'01_Form_Temperature'!E103,"")</x:f>
      </x:c>
      <x:c r="F103" s="76" t="str">
        <x:f>IF('01_Form_Temperature'!$O103="Validé humainement",'01_Form_Temperature'!F103,"")</x:f>
      </x:c>
      <x:c r="G103" s="79" t="str">
        <x:f>IF('01_Form_Temperature'!$O103="Validé humainement",'01_Form_Temperature'!G103,"")</x:f>
      </x:c>
      <x:c r="H103" s="79" t="str">
        <x:f>IF('01_Form_Temperature'!$O103="Validé humainement",'01_Form_Temperature'!H103,"")</x:f>
      </x:c>
      <x:c r="I103" s="79" t="str">
        <x:f>IF('01_Form_Temperature'!$O103="Validé humainement",'01_Form_Temperature'!I103,"")</x:f>
      </x:c>
      <x:c r="J103" s="76" t="str">
        <x:f>IF('01_Form_Temperature'!$O103="Validé humainement",'01_Form_Temperature'!J103,"")</x:f>
      </x:c>
      <x:c r="K103" s="76" t="str">
        <x:f>IF('01_Form_Temperature'!$O103="Validé humainement",'01_Form_Temperature'!K103,"")</x:f>
      </x:c>
      <x:c r="L103" s="76" t="str">
        <x:f>IF('01_Form_Temperature'!$O103="Validé humainement",'01_Form_Temperature'!L103,"")</x:f>
      </x:c>
      <x:c r="M103" s="76" t="str">
        <x:f>IF('01_Form_Temperature'!$O103="Validé humainement",'01_Form_Temperature'!M103,"")</x:f>
      </x:c>
      <x:c r="N103" s="76" t="str">
        <x:f>IF('01_Form_Temperature'!$O103="Validé humainement",'01_Form_Temperature'!N103,"")</x:f>
      </x:c>
      <x:c r="O103" s="76" t="str">
        <x:f>IF('01_Form_Temperature'!$O103="Validé humainement",'01_Form_Temperature'!O103,"")</x:f>
      </x:c>
      <x:c r="P103" s="76" t="str">
        <x:f>IF('01_Form_Temperature'!$O103="Validé humainement",'01_Form_Temperature'!P103,"")</x:f>
      </x:c>
      <x:c r="Q103" s="78" t="str">
        <x:f>IF('01_Form_Temperature'!$O103="Validé humainement",'01_Form_Temperature'!Q103,"")</x:f>
      </x:c>
      <x:c r="R103" s="76" t="str">
        <x:f>IF('01_Form_Temperature'!$O103="Validé humainement",'01_Form_Temperature'!R103,"")</x:f>
      </x:c>
      <x:c r="S103" s="76" t="str">
        <x:f>IF('01_Form_Temperature'!$O103="Validé humainement",'01_Form_Temperature'!S103,"")</x:f>
      </x:c>
      <x:c r="T103" s="76" t="str">
        <x:f>IF('01_Form_Temperature'!$O103="Validé humainement",'01_Form_Temperature'!T103,"")</x:f>
      </x:c>
    </x:row>
    <x:row r="104">
      <x:c r="A104" s="76" t="str">
        <x:f>IF('01_Form_Temperature'!$O104="Validé humainement",'01_Form_Temperature'!A104,"")</x:f>
      </x:c>
      <x:c r="B104" s="78" t="str">
        <x:f>IF('01_Form_Temperature'!$O104="Validé humainement",'01_Form_Temperature'!B104,"")</x:f>
      </x:c>
      <x:c r="C104" s="76" t="str">
        <x:f>IF('01_Form_Temperature'!$O104="Validé humainement",'01_Form_Temperature'!C104,"")</x:f>
      </x:c>
      <x:c r="D104" s="76" t="str">
        <x:f>IF('01_Form_Temperature'!$O104="Validé humainement",'01_Form_Temperature'!D104,"")</x:f>
      </x:c>
      <x:c r="E104" s="76" t="str">
        <x:f>IF('01_Form_Temperature'!$O104="Validé humainement",'01_Form_Temperature'!E104,"")</x:f>
      </x:c>
      <x:c r="F104" s="76" t="str">
        <x:f>IF('01_Form_Temperature'!$O104="Validé humainement",'01_Form_Temperature'!F104,"")</x:f>
      </x:c>
      <x:c r="G104" s="79" t="str">
        <x:f>IF('01_Form_Temperature'!$O104="Validé humainement",'01_Form_Temperature'!G104,"")</x:f>
      </x:c>
      <x:c r="H104" s="79" t="str">
        <x:f>IF('01_Form_Temperature'!$O104="Validé humainement",'01_Form_Temperature'!H104,"")</x:f>
      </x:c>
      <x:c r="I104" s="79" t="str">
        <x:f>IF('01_Form_Temperature'!$O104="Validé humainement",'01_Form_Temperature'!I104,"")</x:f>
      </x:c>
      <x:c r="J104" s="76" t="str">
        <x:f>IF('01_Form_Temperature'!$O104="Validé humainement",'01_Form_Temperature'!J104,"")</x:f>
      </x:c>
      <x:c r="K104" s="76" t="str">
        <x:f>IF('01_Form_Temperature'!$O104="Validé humainement",'01_Form_Temperature'!K104,"")</x:f>
      </x:c>
      <x:c r="L104" s="76" t="str">
        <x:f>IF('01_Form_Temperature'!$O104="Validé humainement",'01_Form_Temperature'!L104,"")</x:f>
      </x:c>
      <x:c r="M104" s="76" t="str">
        <x:f>IF('01_Form_Temperature'!$O104="Validé humainement",'01_Form_Temperature'!M104,"")</x:f>
      </x:c>
      <x:c r="N104" s="76" t="str">
        <x:f>IF('01_Form_Temperature'!$O104="Validé humainement",'01_Form_Temperature'!N104,"")</x:f>
      </x:c>
      <x:c r="O104" s="76" t="str">
        <x:f>IF('01_Form_Temperature'!$O104="Validé humainement",'01_Form_Temperature'!O104,"")</x:f>
      </x:c>
      <x:c r="P104" s="76" t="str">
        <x:f>IF('01_Form_Temperature'!$O104="Validé humainement",'01_Form_Temperature'!P104,"")</x:f>
      </x:c>
      <x:c r="Q104" s="78" t="str">
        <x:f>IF('01_Form_Temperature'!$O104="Validé humainement",'01_Form_Temperature'!Q104,"")</x:f>
      </x:c>
      <x:c r="R104" s="76" t="str">
        <x:f>IF('01_Form_Temperature'!$O104="Validé humainement",'01_Form_Temperature'!R104,"")</x:f>
      </x:c>
      <x:c r="S104" s="76" t="str">
        <x:f>IF('01_Form_Temperature'!$O104="Validé humainement",'01_Form_Temperature'!S104,"")</x:f>
      </x:c>
      <x:c r="T104" s="76" t="str">
        <x:f>IF('01_Form_Temperature'!$O104="Validé humainement",'01_Form_Temperature'!T104,"")</x:f>
      </x:c>
    </x:row>
  </x:sheetData>
  <x:mergeCells>
    <x:mergeCell ref="A1:T1"/>
    <x:mergeCell ref="A2:T2"/>
  </x:mergeCells>
  <x:pageMargins left="0.7" right="0.7" top="0.75" bottom="0.75" header="0.3" footer="0.3"/>
  <x:tableParts count="1">
    <x:tablePart xmlns:r="http://schemas.openxmlformats.org/officeDocument/2006/relationships" r:id="R240ad45e02b24c5b"/>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1.25" hidden="0" customWidth="1"/>
    <x:col min="4" max="4" width="14.380000114440918" hidden="0" customWidth="1"/>
    <x:col min="5" max="5" width="18.75" hidden="0" customWidth="1"/>
    <x:col min="6" max="6" width="22.5" hidden="0" customWidth="1"/>
    <x:col min="7" max="7" width="19.3799991607666" hidden="0" customWidth="1"/>
    <x:col min="8" max="8" width="19.3799991607666" hidden="0" customWidth="1"/>
    <x:col min="9" max="9" width="16.25"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pluviométrie</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02_Form_Pluviometrie.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Date</x:v>
      </x:c>
      <x:c r="C4" s="87" t="str">
        <x:v>Année</x:v>
      </x:c>
      <x:c r="D4" s="87" t="str">
        <x:v>Mois</x:v>
      </x:c>
      <x:c r="E4" s="87" t="str">
        <x:v>Station météo</x:v>
      </x:c>
      <x:c r="F4" s="87" t="str">
        <x:v>Commune / zone</x:v>
      </x:c>
      <x:c r="G4" s="87" t="str">
        <x:v>Pluviométrie mensuelle</x:v>
      </x:c>
      <x:c r="H4" s="87" t="str">
        <x:v>Nombre de jours de pluie</x:v>
      </x:c>
      <x:c r="I4" s="87" t="str">
        <x:v>Épisode extrême</x:v>
      </x:c>
      <x:c r="J4" s="87" t="str">
        <x:v>Source</x:v>
      </x:c>
      <x:c r="K4" s="87" t="str">
        <x:v>Document source</x:v>
      </x:c>
      <x:c r="L4" s="87" t="str">
        <x:v>Statut validation</x:v>
      </x:c>
      <x:c r="M4" s="87" t="str">
        <x:v>Observations</x:v>
      </x:c>
      <x:c r="N4" s="87" t="str">
        <x:v>Date de saisie</x:v>
      </x:c>
      <x:c r="O4" s="87" t="str">
        <x:v>Responsable</x:v>
      </x:c>
      <x:c r="P4" s="87" t="str">
        <x:v>Alerte_QC</x:v>
      </x:c>
      <x:c r="Q4" s="87" t="str">
        <x:v>Alimente_Rapports</x:v>
      </x:c>
    </x:row>
    <x:row r="5">
      <x:c r="A5" s="76" t="str">
        <x:f>IF('02_Form_Pluviometrie'!$L5="Validé humainement",'02_Form_Pluviometrie'!A5,"")</x:f>
      </x:c>
      <x:c r="B5" s="78" t="str">
        <x:f>IF('02_Form_Pluviometrie'!$L5="Validé humainement",'02_Form_Pluviometrie'!B5,"")</x:f>
      </x:c>
      <x:c r="C5" s="76" t="str">
        <x:f>IF('02_Form_Pluviometrie'!$L5="Validé humainement",'02_Form_Pluviometrie'!C5,"")</x:f>
      </x:c>
      <x:c r="D5" s="76" t="str">
        <x:f>IF('02_Form_Pluviometrie'!$L5="Validé humainement",'02_Form_Pluviometrie'!D5,"")</x:f>
      </x:c>
      <x:c r="E5" s="76" t="str">
        <x:f>IF('02_Form_Pluviometrie'!$L5="Validé humainement",'02_Form_Pluviometrie'!E5,"")</x:f>
      </x:c>
      <x:c r="F5" s="76" t="str">
        <x:f>IF('02_Form_Pluviometrie'!$L5="Validé humainement",'02_Form_Pluviometrie'!F5,"")</x:f>
      </x:c>
      <x:c r="G5" s="80" t="str">
        <x:f>IF('02_Form_Pluviometrie'!$L5="Validé humainement",'02_Form_Pluviometrie'!G5,"")</x:f>
      </x:c>
      <x:c r="H5" s="76" t="str">
        <x:f>IF('02_Form_Pluviometrie'!$L5="Validé humainement",'02_Form_Pluviometrie'!H5,"")</x:f>
      </x:c>
      <x:c r="I5" s="76" t="str">
        <x:f>IF('02_Form_Pluviometrie'!$L5="Validé humainement",'02_Form_Pluviometrie'!I5,"")</x:f>
      </x:c>
      <x:c r="J5" s="76" t="str">
        <x:f>IF('02_Form_Pluviometrie'!$L5="Validé humainement",'02_Form_Pluviometrie'!J5,"")</x:f>
      </x:c>
      <x:c r="K5" s="76" t="str">
        <x:f>IF('02_Form_Pluviometrie'!$L5="Validé humainement",'02_Form_Pluviometrie'!K5,"")</x:f>
      </x:c>
      <x:c r="L5" s="76" t="str">
        <x:f>IF('02_Form_Pluviometrie'!$L5="Validé humainement",'02_Form_Pluviometrie'!L5,"")</x:f>
      </x:c>
      <x:c r="M5" s="76" t="str">
        <x:f>IF('02_Form_Pluviometrie'!$L5="Validé humainement",'02_Form_Pluviometrie'!M5,"")</x:f>
      </x:c>
      <x:c r="N5" s="78" t="str">
        <x:f>IF('02_Form_Pluviometrie'!$L5="Validé humainement",'02_Form_Pluviometrie'!N5,"")</x:f>
      </x:c>
      <x:c r="O5" s="76" t="str">
        <x:f>IF('02_Form_Pluviometrie'!$L5="Validé humainement",'02_Form_Pluviometrie'!O5,"")</x:f>
      </x:c>
      <x:c r="P5" s="76" t="str">
        <x:f>IF('02_Form_Pluviometrie'!$L5="Validé humainement",'02_Form_Pluviometrie'!P5,"")</x:f>
      </x:c>
      <x:c r="Q5" s="76" t="str">
        <x:f>IF('02_Form_Pluviometrie'!$L5="Validé humainement",'02_Form_Pluviometrie'!Q5,"")</x:f>
      </x:c>
    </x:row>
    <x:row r="6">
      <x:c r="A6" s="76" t="str">
        <x:f>IF('02_Form_Pluviometrie'!$L6="Validé humainement",'02_Form_Pluviometrie'!A6,"")</x:f>
      </x:c>
      <x:c r="B6" s="78" t="str">
        <x:f>IF('02_Form_Pluviometrie'!$L6="Validé humainement",'02_Form_Pluviometrie'!B6,"")</x:f>
      </x:c>
      <x:c r="C6" s="76" t="str">
        <x:f>IF('02_Form_Pluviometrie'!$L6="Validé humainement",'02_Form_Pluviometrie'!C6,"")</x:f>
      </x:c>
      <x:c r="D6" s="76" t="str">
        <x:f>IF('02_Form_Pluviometrie'!$L6="Validé humainement",'02_Form_Pluviometrie'!D6,"")</x:f>
      </x:c>
      <x:c r="E6" s="76" t="str">
        <x:f>IF('02_Form_Pluviometrie'!$L6="Validé humainement",'02_Form_Pluviometrie'!E6,"")</x:f>
      </x:c>
      <x:c r="F6" s="76" t="str">
        <x:f>IF('02_Form_Pluviometrie'!$L6="Validé humainement",'02_Form_Pluviometrie'!F6,"")</x:f>
      </x:c>
      <x:c r="G6" s="80" t="str">
        <x:f>IF('02_Form_Pluviometrie'!$L6="Validé humainement",'02_Form_Pluviometrie'!G6,"")</x:f>
      </x:c>
      <x:c r="H6" s="76" t="str">
        <x:f>IF('02_Form_Pluviometrie'!$L6="Validé humainement",'02_Form_Pluviometrie'!H6,"")</x:f>
      </x:c>
      <x:c r="I6" s="76" t="str">
        <x:f>IF('02_Form_Pluviometrie'!$L6="Validé humainement",'02_Form_Pluviometrie'!I6,"")</x:f>
      </x:c>
      <x:c r="J6" s="76" t="str">
        <x:f>IF('02_Form_Pluviometrie'!$L6="Validé humainement",'02_Form_Pluviometrie'!J6,"")</x:f>
      </x:c>
      <x:c r="K6" s="76" t="str">
        <x:f>IF('02_Form_Pluviometrie'!$L6="Validé humainement",'02_Form_Pluviometrie'!K6,"")</x:f>
      </x:c>
      <x:c r="L6" s="76" t="str">
        <x:f>IF('02_Form_Pluviometrie'!$L6="Validé humainement",'02_Form_Pluviometrie'!L6,"")</x:f>
      </x:c>
      <x:c r="M6" s="76" t="str">
        <x:f>IF('02_Form_Pluviometrie'!$L6="Validé humainement",'02_Form_Pluviometrie'!M6,"")</x:f>
      </x:c>
      <x:c r="N6" s="78" t="str">
        <x:f>IF('02_Form_Pluviometrie'!$L6="Validé humainement",'02_Form_Pluviometrie'!N6,"")</x:f>
      </x:c>
      <x:c r="O6" s="76" t="str">
        <x:f>IF('02_Form_Pluviometrie'!$L6="Validé humainement",'02_Form_Pluviometrie'!O6,"")</x:f>
      </x:c>
      <x:c r="P6" s="76" t="str">
        <x:f>IF('02_Form_Pluviometrie'!$L6="Validé humainement",'02_Form_Pluviometrie'!P6,"")</x:f>
      </x:c>
      <x:c r="Q6" s="76" t="str">
        <x:f>IF('02_Form_Pluviometrie'!$L6="Validé humainement",'02_Form_Pluviometrie'!Q6,"")</x:f>
      </x:c>
    </x:row>
    <x:row r="7">
      <x:c r="A7" s="76" t="str">
        <x:f>IF('02_Form_Pluviometrie'!$L7="Validé humainement",'02_Form_Pluviometrie'!A7,"")</x:f>
      </x:c>
      <x:c r="B7" s="78" t="str">
        <x:f>IF('02_Form_Pluviometrie'!$L7="Validé humainement",'02_Form_Pluviometrie'!B7,"")</x:f>
      </x:c>
      <x:c r="C7" s="76" t="str">
        <x:f>IF('02_Form_Pluviometrie'!$L7="Validé humainement",'02_Form_Pluviometrie'!C7,"")</x:f>
      </x:c>
      <x:c r="D7" s="76" t="str">
        <x:f>IF('02_Form_Pluviometrie'!$L7="Validé humainement",'02_Form_Pluviometrie'!D7,"")</x:f>
      </x:c>
      <x:c r="E7" s="76" t="str">
        <x:f>IF('02_Form_Pluviometrie'!$L7="Validé humainement",'02_Form_Pluviometrie'!E7,"")</x:f>
      </x:c>
      <x:c r="F7" s="76" t="str">
        <x:f>IF('02_Form_Pluviometrie'!$L7="Validé humainement",'02_Form_Pluviometrie'!F7,"")</x:f>
      </x:c>
      <x:c r="G7" s="80" t="str">
        <x:f>IF('02_Form_Pluviometrie'!$L7="Validé humainement",'02_Form_Pluviometrie'!G7,"")</x:f>
      </x:c>
      <x:c r="H7" s="76" t="str">
        <x:f>IF('02_Form_Pluviometrie'!$L7="Validé humainement",'02_Form_Pluviometrie'!H7,"")</x:f>
      </x:c>
      <x:c r="I7" s="76" t="str">
        <x:f>IF('02_Form_Pluviometrie'!$L7="Validé humainement",'02_Form_Pluviometrie'!I7,"")</x:f>
      </x:c>
      <x:c r="J7" s="76" t="str">
        <x:f>IF('02_Form_Pluviometrie'!$L7="Validé humainement",'02_Form_Pluviometrie'!J7,"")</x:f>
      </x:c>
      <x:c r="K7" s="76" t="str">
        <x:f>IF('02_Form_Pluviometrie'!$L7="Validé humainement",'02_Form_Pluviometrie'!K7,"")</x:f>
      </x:c>
      <x:c r="L7" s="76" t="str">
        <x:f>IF('02_Form_Pluviometrie'!$L7="Validé humainement",'02_Form_Pluviometrie'!L7,"")</x:f>
      </x:c>
      <x:c r="M7" s="76" t="str">
        <x:f>IF('02_Form_Pluviometrie'!$L7="Validé humainement",'02_Form_Pluviometrie'!M7,"")</x:f>
      </x:c>
      <x:c r="N7" s="78" t="str">
        <x:f>IF('02_Form_Pluviometrie'!$L7="Validé humainement",'02_Form_Pluviometrie'!N7,"")</x:f>
      </x:c>
      <x:c r="O7" s="76" t="str">
        <x:f>IF('02_Form_Pluviometrie'!$L7="Validé humainement",'02_Form_Pluviometrie'!O7,"")</x:f>
      </x:c>
      <x:c r="P7" s="76" t="str">
        <x:f>IF('02_Form_Pluviometrie'!$L7="Validé humainement",'02_Form_Pluviometrie'!P7,"")</x:f>
      </x:c>
      <x:c r="Q7" s="76" t="str">
        <x:f>IF('02_Form_Pluviometrie'!$L7="Validé humainement",'02_Form_Pluviometrie'!Q7,"")</x:f>
      </x:c>
    </x:row>
    <x:row r="8">
      <x:c r="A8" s="76" t="str">
        <x:f>IF('02_Form_Pluviometrie'!$L8="Validé humainement",'02_Form_Pluviometrie'!A8,"")</x:f>
      </x:c>
      <x:c r="B8" s="78" t="str">
        <x:f>IF('02_Form_Pluviometrie'!$L8="Validé humainement",'02_Form_Pluviometrie'!B8,"")</x:f>
      </x:c>
      <x:c r="C8" s="76" t="str">
        <x:f>IF('02_Form_Pluviometrie'!$L8="Validé humainement",'02_Form_Pluviometrie'!C8,"")</x:f>
      </x:c>
      <x:c r="D8" s="76" t="str">
        <x:f>IF('02_Form_Pluviometrie'!$L8="Validé humainement",'02_Form_Pluviometrie'!D8,"")</x:f>
      </x:c>
      <x:c r="E8" s="76" t="str">
        <x:f>IF('02_Form_Pluviometrie'!$L8="Validé humainement",'02_Form_Pluviometrie'!E8,"")</x:f>
      </x:c>
      <x:c r="F8" s="76" t="str">
        <x:f>IF('02_Form_Pluviometrie'!$L8="Validé humainement",'02_Form_Pluviometrie'!F8,"")</x:f>
      </x:c>
      <x:c r="G8" s="80" t="str">
        <x:f>IF('02_Form_Pluviometrie'!$L8="Validé humainement",'02_Form_Pluviometrie'!G8,"")</x:f>
      </x:c>
      <x:c r="H8" s="76" t="str">
        <x:f>IF('02_Form_Pluviometrie'!$L8="Validé humainement",'02_Form_Pluviometrie'!H8,"")</x:f>
      </x:c>
      <x:c r="I8" s="76" t="str">
        <x:f>IF('02_Form_Pluviometrie'!$L8="Validé humainement",'02_Form_Pluviometrie'!I8,"")</x:f>
      </x:c>
      <x:c r="J8" s="76" t="str">
        <x:f>IF('02_Form_Pluviometrie'!$L8="Validé humainement",'02_Form_Pluviometrie'!J8,"")</x:f>
      </x:c>
      <x:c r="K8" s="76" t="str">
        <x:f>IF('02_Form_Pluviometrie'!$L8="Validé humainement",'02_Form_Pluviometrie'!K8,"")</x:f>
      </x:c>
      <x:c r="L8" s="76" t="str">
        <x:f>IF('02_Form_Pluviometrie'!$L8="Validé humainement",'02_Form_Pluviometrie'!L8,"")</x:f>
      </x:c>
      <x:c r="M8" s="76" t="str">
        <x:f>IF('02_Form_Pluviometrie'!$L8="Validé humainement",'02_Form_Pluviometrie'!M8,"")</x:f>
      </x:c>
      <x:c r="N8" s="78" t="str">
        <x:f>IF('02_Form_Pluviometrie'!$L8="Validé humainement",'02_Form_Pluviometrie'!N8,"")</x:f>
      </x:c>
      <x:c r="O8" s="76" t="str">
        <x:f>IF('02_Form_Pluviometrie'!$L8="Validé humainement",'02_Form_Pluviometrie'!O8,"")</x:f>
      </x:c>
      <x:c r="P8" s="76" t="str">
        <x:f>IF('02_Form_Pluviometrie'!$L8="Validé humainement",'02_Form_Pluviometrie'!P8,"")</x:f>
      </x:c>
      <x:c r="Q8" s="76" t="str">
        <x:f>IF('02_Form_Pluviometrie'!$L8="Validé humainement",'02_Form_Pluviometrie'!Q8,"")</x:f>
      </x:c>
    </x:row>
    <x:row r="9">
      <x:c r="A9" s="76" t="str">
        <x:f>IF('02_Form_Pluviometrie'!$L9="Validé humainement",'02_Form_Pluviometrie'!A9,"")</x:f>
      </x:c>
      <x:c r="B9" s="78" t="str">
        <x:f>IF('02_Form_Pluviometrie'!$L9="Validé humainement",'02_Form_Pluviometrie'!B9,"")</x:f>
      </x:c>
      <x:c r="C9" s="76" t="str">
        <x:f>IF('02_Form_Pluviometrie'!$L9="Validé humainement",'02_Form_Pluviometrie'!C9,"")</x:f>
      </x:c>
      <x:c r="D9" s="76" t="str">
        <x:f>IF('02_Form_Pluviometrie'!$L9="Validé humainement",'02_Form_Pluviometrie'!D9,"")</x:f>
      </x:c>
      <x:c r="E9" s="76" t="str">
        <x:f>IF('02_Form_Pluviometrie'!$L9="Validé humainement",'02_Form_Pluviometrie'!E9,"")</x:f>
      </x:c>
      <x:c r="F9" s="76" t="str">
        <x:f>IF('02_Form_Pluviometrie'!$L9="Validé humainement",'02_Form_Pluviometrie'!F9,"")</x:f>
      </x:c>
      <x:c r="G9" s="80" t="str">
        <x:f>IF('02_Form_Pluviometrie'!$L9="Validé humainement",'02_Form_Pluviometrie'!G9,"")</x:f>
      </x:c>
      <x:c r="H9" s="76" t="str">
        <x:f>IF('02_Form_Pluviometrie'!$L9="Validé humainement",'02_Form_Pluviometrie'!H9,"")</x:f>
      </x:c>
      <x:c r="I9" s="76" t="str">
        <x:f>IF('02_Form_Pluviometrie'!$L9="Validé humainement",'02_Form_Pluviometrie'!I9,"")</x:f>
      </x:c>
      <x:c r="J9" s="76" t="str">
        <x:f>IF('02_Form_Pluviometrie'!$L9="Validé humainement",'02_Form_Pluviometrie'!J9,"")</x:f>
      </x:c>
      <x:c r="K9" s="76" t="str">
        <x:f>IF('02_Form_Pluviometrie'!$L9="Validé humainement",'02_Form_Pluviometrie'!K9,"")</x:f>
      </x:c>
      <x:c r="L9" s="76" t="str">
        <x:f>IF('02_Form_Pluviometrie'!$L9="Validé humainement",'02_Form_Pluviometrie'!L9,"")</x:f>
      </x:c>
      <x:c r="M9" s="76" t="str">
        <x:f>IF('02_Form_Pluviometrie'!$L9="Validé humainement",'02_Form_Pluviometrie'!M9,"")</x:f>
      </x:c>
      <x:c r="N9" s="78" t="str">
        <x:f>IF('02_Form_Pluviometrie'!$L9="Validé humainement",'02_Form_Pluviometrie'!N9,"")</x:f>
      </x:c>
      <x:c r="O9" s="76" t="str">
        <x:f>IF('02_Form_Pluviometrie'!$L9="Validé humainement",'02_Form_Pluviometrie'!O9,"")</x:f>
      </x:c>
      <x:c r="P9" s="76" t="str">
        <x:f>IF('02_Form_Pluviometrie'!$L9="Validé humainement",'02_Form_Pluviometrie'!P9,"")</x:f>
      </x:c>
      <x:c r="Q9" s="76" t="str">
        <x:f>IF('02_Form_Pluviometrie'!$L9="Validé humainement",'02_Form_Pluviometrie'!Q9,"")</x:f>
      </x:c>
    </x:row>
    <x:row r="10">
      <x:c r="A10" s="76" t="str">
        <x:f>IF('02_Form_Pluviometrie'!$L10="Validé humainement",'02_Form_Pluviometrie'!A10,"")</x:f>
      </x:c>
      <x:c r="B10" s="78" t="str">
        <x:f>IF('02_Form_Pluviometrie'!$L10="Validé humainement",'02_Form_Pluviometrie'!B10,"")</x:f>
      </x:c>
      <x:c r="C10" s="76" t="str">
        <x:f>IF('02_Form_Pluviometrie'!$L10="Validé humainement",'02_Form_Pluviometrie'!C10,"")</x:f>
      </x:c>
      <x:c r="D10" s="76" t="str">
        <x:f>IF('02_Form_Pluviometrie'!$L10="Validé humainement",'02_Form_Pluviometrie'!D10,"")</x:f>
      </x:c>
      <x:c r="E10" s="76" t="str">
        <x:f>IF('02_Form_Pluviometrie'!$L10="Validé humainement",'02_Form_Pluviometrie'!E10,"")</x:f>
      </x:c>
      <x:c r="F10" s="76" t="str">
        <x:f>IF('02_Form_Pluviometrie'!$L10="Validé humainement",'02_Form_Pluviometrie'!F10,"")</x:f>
      </x:c>
      <x:c r="G10" s="80" t="str">
        <x:f>IF('02_Form_Pluviometrie'!$L10="Validé humainement",'02_Form_Pluviometrie'!G10,"")</x:f>
      </x:c>
      <x:c r="H10" s="76" t="str">
        <x:f>IF('02_Form_Pluviometrie'!$L10="Validé humainement",'02_Form_Pluviometrie'!H10,"")</x:f>
      </x:c>
      <x:c r="I10" s="76" t="str">
        <x:f>IF('02_Form_Pluviometrie'!$L10="Validé humainement",'02_Form_Pluviometrie'!I10,"")</x:f>
      </x:c>
      <x:c r="J10" s="76" t="str">
        <x:f>IF('02_Form_Pluviometrie'!$L10="Validé humainement",'02_Form_Pluviometrie'!J10,"")</x:f>
      </x:c>
      <x:c r="K10" s="76" t="str">
        <x:f>IF('02_Form_Pluviometrie'!$L10="Validé humainement",'02_Form_Pluviometrie'!K10,"")</x:f>
      </x:c>
      <x:c r="L10" s="76" t="str">
        <x:f>IF('02_Form_Pluviometrie'!$L10="Validé humainement",'02_Form_Pluviometrie'!L10,"")</x:f>
      </x:c>
      <x:c r="M10" s="76" t="str">
        <x:f>IF('02_Form_Pluviometrie'!$L10="Validé humainement",'02_Form_Pluviometrie'!M10,"")</x:f>
      </x:c>
      <x:c r="N10" s="78" t="str">
        <x:f>IF('02_Form_Pluviometrie'!$L10="Validé humainement",'02_Form_Pluviometrie'!N10,"")</x:f>
      </x:c>
      <x:c r="O10" s="76" t="str">
        <x:f>IF('02_Form_Pluviometrie'!$L10="Validé humainement",'02_Form_Pluviometrie'!O10,"")</x:f>
      </x:c>
      <x:c r="P10" s="76" t="str">
        <x:f>IF('02_Form_Pluviometrie'!$L10="Validé humainement",'02_Form_Pluviometrie'!P10,"")</x:f>
      </x:c>
      <x:c r="Q10" s="76" t="str">
        <x:f>IF('02_Form_Pluviometrie'!$L10="Validé humainement",'02_Form_Pluviometrie'!Q10,"")</x:f>
      </x:c>
    </x:row>
    <x:row r="11">
      <x:c r="A11" s="76" t="str">
        <x:f>IF('02_Form_Pluviometrie'!$L11="Validé humainement",'02_Form_Pluviometrie'!A11,"")</x:f>
      </x:c>
      <x:c r="B11" s="78" t="str">
        <x:f>IF('02_Form_Pluviometrie'!$L11="Validé humainement",'02_Form_Pluviometrie'!B11,"")</x:f>
      </x:c>
      <x:c r="C11" s="76" t="str">
        <x:f>IF('02_Form_Pluviometrie'!$L11="Validé humainement",'02_Form_Pluviometrie'!C11,"")</x:f>
      </x:c>
      <x:c r="D11" s="76" t="str">
        <x:f>IF('02_Form_Pluviometrie'!$L11="Validé humainement",'02_Form_Pluviometrie'!D11,"")</x:f>
      </x:c>
      <x:c r="E11" s="76" t="str">
        <x:f>IF('02_Form_Pluviometrie'!$L11="Validé humainement",'02_Form_Pluviometrie'!E11,"")</x:f>
      </x:c>
      <x:c r="F11" s="76" t="str">
        <x:f>IF('02_Form_Pluviometrie'!$L11="Validé humainement",'02_Form_Pluviometrie'!F11,"")</x:f>
      </x:c>
      <x:c r="G11" s="80" t="str">
        <x:f>IF('02_Form_Pluviometrie'!$L11="Validé humainement",'02_Form_Pluviometrie'!G11,"")</x:f>
      </x:c>
      <x:c r="H11" s="76" t="str">
        <x:f>IF('02_Form_Pluviometrie'!$L11="Validé humainement",'02_Form_Pluviometrie'!H11,"")</x:f>
      </x:c>
      <x:c r="I11" s="76" t="str">
        <x:f>IF('02_Form_Pluviometrie'!$L11="Validé humainement",'02_Form_Pluviometrie'!I11,"")</x:f>
      </x:c>
      <x:c r="J11" s="76" t="str">
        <x:f>IF('02_Form_Pluviometrie'!$L11="Validé humainement",'02_Form_Pluviometrie'!J11,"")</x:f>
      </x:c>
      <x:c r="K11" s="76" t="str">
        <x:f>IF('02_Form_Pluviometrie'!$L11="Validé humainement",'02_Form_Pluviometrie'!K11,"")</x:f>
      </x:c>
      <x:c r="L11" s="76" t="str">
        <x:f>IF('02_Form_Pluviometrie'!$L11="Validé humainement",'02_Form_Pluviometrie'!L11,"")</x:f>
      </x:c>
      <x:c r="M11" s="76" t="str">
        <x:f>IF('02_Form_Pluviometrie'!$L11="Validé humainement",'02_Form_Pluviometrie'!M11,"")</x:f>
      </x:c>
      <x:c r="N11" s="78" t="str">
        <x:f>IF('02_Form_Pluviometrie'!$L11="Validé humainement",'02_Form_Pluviometrie'!N11,"")</x:f>
      </x:c>
      <x:c r="O11" s="76" t="str">
        <x:f>IF('02_Form_Pluviometrie'!$L11="Validé humainement",'02_Form_Pluviometrie'!O11,"")</x:f>
      </x:c>
      <x:c r="P11" s="76" t="str">
        <x:f>IF('02_Form_Pluviometrie'!$L11="Validé humainement",'02_Form_Pluviometrie'!P11,"")</x:f>
      </x:c>
      <x:c r="Q11" s="76" t="str">
        <x:f>IF('02_Form_Pluviometrie'!$L11="Validé humainement",'02_Form_Pluviometrie'!Q11,"")</x:f>
      </x:c>
    </x:row>
    <x:row r="12">
      <x:c r="A12" s="76" t="str">
        <x:f>IF('02_Form_Pluviometrie'!$L12="Validé humainement",'02_Form_Pluviometrie'!A12,"")</x:f>
      </x:c>
      <x:c r="B12" s="78" t="str">
        <x:f>IF('02_Form_Pluviometrie'!$L12="Validé humainement",'02_Form_Pluviometrie'!B12,"")</x:f>
      </x:c>
      <x:c r="C12" s="76" t="str">
        <x:f>IF('02_Form_Pluviometrie'!$L12="Validé humainement",'02_Form_Pluviometrie'!C12,"")</x:f>
      </x:c>
      <x:c r="D12" s="76" t="str">
        <x:f>IF('02_Form_Pluviometrie'!$L12="Validé humainement",'02_Form_Pluviometrie'!D12,"")</x:f>
      </x:c>
      <x:c r="E12" s="76" t="str">
        <x:f>IF('02_Form_Pluviometrie'!$L12="Validé humainement",'02_Form_Pluviometrie'!E12,"")</x:f>
      </x:c>
      <x:c r="F12" s="76" t="str">
        <x:f>IF('02_Form_Pluviometrie'!$L12="Validé humainement",'02_Form_Pluviometrie'!F12,"")</x:f>
      </x:c>
      <x:c r="G12" s="80" t="str">
        <x:f>IF('02_Form_Pluviometrie'!$L12="Validé humainement",'02_Form_Pluviometrie'!G12,"")</x:f>
      </x:c>
      <x:c r="H12" s="76" t="str">
        <x:f>IF('02_Form_Pluviometrie'!$L12="Validé humainement",'02_Form_Pluviometrie'!H12,"")</x:f>
      </x:c>
      <x:c r="I12" s="76" t="str">
        <x:f>IF('02_Form_Pluviometrie'!$L12="Validé humainement",'02_Form_Pluviometrie'!I12,"")</x:f>
      </x:c>
      <x:c r="J12" s="76" t="str">
        <x:f>IF('02_Form_Pluviometrie'!$L12="Validé humainement",'02_Form_Pluviometrie'!J12,"")</x:f>
      </x:c>
      <x:c r="K12" s="76" t="str">
        <x:f>IF('02_Form_Pluviometrie'!$L12="Validé humainement",'02_Form_Pluviometrie'!K12,"")</x:f>
      </x:c>
      <x:c r="L12" s="76" t="str">
        <x:f>IF('02_Form_Pluviometrie'!$L12="Validé humainement",'02_Form_Pluviometrie'!L12,"")</x:f>
      </x:c>
      <x:c r="M12" s="76" t="str">
        <x:f>IF('02_Form_Pluviometrie'!$L12="Validé humainement",'02_Form_Pluviometrie'!M12,"")</x:f>
      </x:c>
      <x:c r="N12" s="78" t="str">
        <x:f>IF('02_Form_Pluviometrie'!$L12="Validé humainement",'02_Form_Pluviometrie'!N12,"")</x:f>
      </x:c>
      <x:c r="O12" s="76" t="str">
        <x:f>IF('02_Form_Pluviometrie'!$L12="Validé humainement",'02_Form_Pluviometrie'!O12,"")</x:f>
      </x:c>
      <x:c r="P12" s="76" t="str">
        <x:f>IF('02_Form_Pluviometrie'!$L12="Validé humainement",'02_Form_Pluviometrie'!P12,"")</x:f>
      </x:c>
      <x:c r="Q12" s="76" t="str">
        <x:f>IF('02_Form_Pluviometrie'!$L12="Validé humainement",'02_Form_Pluviometrie'!Q12,"")</x:f>
      </x:c>
    </x:row>
    <x:row r="13">
      <x:c r="A13" s="76" t="str">
        <x:f>IF('02_Form_Pluviometrie'!$L13="Validé humainement",'02_Form_Pluviometrie'!A13,"")</x:f>
      </x:c>
      <x:c r="B13" s="78" t="str">
        <x:f>IF('02_Form_Pluviometrie'!$L13="Validé humainement",'02_Form_Pluviometrie'!B13,"")</x:f>
      </x:c>
      <x:c r="C13" s="76" t="str">
        <x:f>IF('02_Form_Pluviometrie'!$L13="Validé humainement",'02_Form_Pluviometrie'!C13,"")</x:f>
      </x:c>
      <x:c r="D13" s="76" t="str">
        <x:f>IF('02_Form_Pluviometrie'!$L13="Validé humainement",'02_Form_Pluviometrie'!D13,"")</x:f>
      </x:c>
      <x:c r="E13" s="76" t="str">
        <x:f>IF('02_Form_Pluviometrie'!$L13="Validé humainement",'02_Form_Pluviometrie'!E13,"")</x:f>
      </x:c>
      <x:c r="F13" s="76" t="str">
        <x:f>IF('02_Form_Pluviometrie'!$L13="Validé humainement",'02_Form_Pluviometrie'!F13,"")</x:f>
      </x:c>
      <x:c r="G13" s="80" t="str">
        <x:f>IF('02_Form_Pluviometrie'!$L13="Validé humainement",'02_Form_Pluviometrie'!G13,"")</x:f>
      </x:c>
      <x:c r="H13" s="76" t="str">
        <x:f>IF('02_Form_Pluviometrie'!$L13="Validé humainement",'02_Form_Pluviometrie'!H13,"")</x:f>
      </x:c>
      <x:c r="I13" s="76" t="str">
        <x:f>IF('02_Form_Pluviometrie'!$L13="Validé humainement",'02_Form_Pluviometrie'!I13,"")</x:f>
      </x:c>
      <x:c r="J13" s="76" t="str">
        <x:f>IF('02_Form_Pluviometrie'!$L13="Validé humainement",'02_Form_Pluviometrie'!J13,"")</x:f>
      </x:c>
      <x:c r="K13" s="76" t="str">
        <x:f>IF('02_Form_Pluviometrie'!$L13="Validé humainement",'02_Form_Pluviometrie'!K13,"")</x:f>
      </x:c>
      <x:c r="L13" s="76" t="str">
        <x:f>IF('02_Form_Pluviometrie'!$L13="Validé humainement",'02_Form_Pluviometrie'!L13,"")</x:f>
      </x:c>
      <x:c r="M13" s="76" t="str">
        <x:f>IF('02_Form_Pluviometrie'!$L13="Validé humainement",'02_Form_Pluviometrie'!M13,"")</x:f>
      </x:c>
      <x:c r="N13" s="78" t="str">
        <x:f>IF('02_Form_Pluviometrie'!$L13="Validé humainement",'02_Form_Pluviometrie'!N13,"")</x:f>
      </x:c>
      <x:c r="O13" s="76" t="str">
        <x:f>IF('02_Form_Pluviometrie'!$L13="Validé humainement",'02_Form_Pluviometrie'!O13,"")</x:f>
      </x:c>
      <x:c r="P13" s="76" t="str">
        <x:f>IF('02_Form_Pluviometrie'!$L13="Validé humainement",'02_Form_Pluviometrie'!P13,"")</x:f>
      </x:c>
      <x:c r="Q13" s="76" t="str">
        <x:f>IF('02_Form_Pluviometrie'!$L13="Validé humainement",'02_Form_Pluviometrie'!Q13,"")</x:f>
      </x:c>
    </x:row>
    <x:row r="14">
      <x:c r="A14" s="76" t="str">
        <x:f>IF('02_Form_Pluviometrie'!$L14="Validé humainement",'02_Form_Pluviometrie'!A14,"")</x:f>
      </x:c>
      <x:c r="B14" s="78" t="str">
        <x:f>IF('02_Form_Pluviometrie'!$L14="Validé humainement",'02_Form_Pluviometrie'!B14,"")</x:f>
      </x:c>
      <x:c r="C14" s="76" t="str">
        <x:f>IF('02_Form_Pluviometrie'!$L14="Validé humainement",'02_Form_Pluviometrie'!C14,"")</x:f>
      </x:c>
      <x:c r="D14" s="76" t="str">
        <x:f>IF('02_Form_Pluviometrie'!$L14="Validé humainement",'02_Form_Pluviometrie'!D14,"")</x:f>
      </x:c>
      <x:c r="E14" s="76" t="str">
        <x:f>IF('02_Form_Pluviometrie'!$L14="Validé humainement",'02_Form_Pluviometrie'!E14,"")</x:f>
      </x:c>
      <x:c r="F14" s="76" t="str">
        <x:f>IF('02_Form_Pluviometrie'!$L14="Validé humainement",'02_Form_Pluviometrie'!F14,"")</x:f>
      </x:c>
      <x:c r="G14" s="80" t="str">
        <x:f>IF('02_Form_Pluviometrie'!$L14="Validé humainement",'02_Form_Pluviometrie'!G14,"")</x:f>
      </x:c>
      <x:c r="H14" s="76" t="str">
        <x:f>IF('02_Form_Pluviometrie'!$L14="Validé humainement",'02_Form_Pluviometrie'!H14,"")</x:f>
      </x:c>
      <x:c r="I14" s="76" t="str">
        <x:f>IF('02_Form_Pluviometrie'!$L14="Validé humainement",'02_Form_Pluviometrie'!I14,"")</x:f>
      </x:c>
      <x:c r="J14" s="76" t="str">
        <x:f>IF('02_Form_Pluviometrie'!$L14="Validé humainement",'02_Form_Pluviometrie'!J14,"")</x:f>
      </x:c>
      <x:c r="K14" s="76" t="str">
        <x:f>IF('02_Form_Pluviometrie'!$L14="Validé humainement",'02_Form_Pluviometrie'!K14,"")</x:f>
      </x:c>
      <x:c r="L14" s="76" t="str">
        <x:f>IF('02_Form_Pluviometrie'!$L14="Validé humainement",'02_Form_Pluviometrie'!L14,"")</x:f>
      </x:c>
      <x:c r="M14" s="76" t="str">
        <x:f>IF('02_Form_Pluviometrie'!$L14="Validé humainement",'02_Form_Pluviometrie'!M14,"")</x:f>
      </x:c>
      <x:c r="N14" s="78" t="str">
        <x:f>IF('02_Form_Pluviometrie'!$L14="Validé humainement",'02_Form_Pluviometrie'!N14,"")</x:f>
      </x:c>
      <x:c r="O14" s="76" t="str">
        <x:f>IF('02_Form_Pluviometrie'!$L14="Validé humainement",'02_Form_Pluviometrie'!O14,"")</x:f>
      </x:c>
      <x:c r="P14" s="76" t="str">
        <x:f>IF('02_Form_Pluviometrie'!$L14="Validé humainement",'02_Form_Pluviometrie'!P14,"")</x:f>
      </x:c>
      <x:c r="Q14" s="76" t="str">
        <x:f>IF('02_Form_Pluviometrie'!$L14="Validé humainement",'02_Form_Pluviometrie'!Q14,"")</x:f>
      </x:c>
    </x:row>
    <x:row r="15">
      <x:c r="A15" s="76" t="str">
        <x:f>IF('02_Form_Pluviometrie'!$L15="Validé humainement",'02_Form_Pluviometrie'!A15,"")</x:f>
      </x:c>
      <x:c r="B15" s="78" t="str">
        <x:f>IF('02_Form_Pluviometrie'!$L15="Validé humainement",'02_Form_Pluviometrie'!B15,"")</x:f>
      </x:c>
      <x:c r="C15" s="76" t="str">
        <x:f>IF('02_Form_Pluviometrie'!$L15="Validé humainement",'02_Form_Pluviometrie'!C15,"")</x:f>
      </x:c>
      <x:c r="D15" s="76" t="str">
        <x:f>IF('02_Form_Pluviometrie'!$L15="Validé humainement",'02_Form_Pluviometrie'!D15,"")</x:f>
      </x:c>
      <x:c r="E15" s="76" t="str">
        <x:f>IF('02_Form_Pluviometrie'!$L15="Validé humainement",'02_Form_Pluviometrie'!E15,"")</x:f>
      </x:c>
      <x:c r="F15" s="76" t="str">
        <x:f>IF('02_Form_Pluviometrie'!$L15="Validé humainement",'02_Form_Pluviometrie'!F15,"")</x:f>
      </x:c>
      <x:c r="G15" s="80" t="str">
        <x:f>IF('02_Form_Pluviometrie'!$L15="Validé humainement",'02_Form_Pluviometrie'!G15,"")</x:f>
      </x:c>
      <x:c r="H15" s="76" t="str">
        <x:f>IF('02_Form_Pluviometrie'!$L15="Validé humainement",'02_Form_Pluviometrie'!H15,"")</x:f>
      </x:c>
      <x:c r="I15" s="76" t="str">
        <x:f>IF('02_Form_Pluviometrie'!$L15="Validé humainement",'02_Form_Pluviometrie'!I15,"")</x:f>
      </x:c>
      <x:c r="J15" s="76" t="str">
        <x:f>IF('02_Form_Pluviometrie'!$L15="Validé humainement",'02_Form_Pluviometrie'!J15,"")</x:f>
      </x:c>
      <x:c r="K15" s="76" t="str">
        <x:f>IF('02_Form_Pluviometrie'!$L15="Validé humainement",'02_Form_Pluviometrie'!K15,"")</x:f>
      </x:c>
      <x:c r="L15" s="76" t="str">
        <x:f>IF('02_Form_Pluviometrie'!$L15="Validé humainement",'02_Form_Pluviometrie'!L15,"")</x:f>
      </x:c>
      <x:c r="M15" s="76" t="str">
        <x:f>IF('02_Form_Pluviometrie'!$L15="Validé humainement",'02_Form_Pluviometrie'!M15,"")</x:f>
      </x:c>
      <x:c r="N15" s="78" t="str">
        <x:f>IF('02_Form_Pluviometrie'!$L15="Validé humainement",'02_Form_Pluviometrie'!N15,"")</x:f>
      </x:c>
      <x:c r="O15" s="76" t="str">
        <x:f>IF('02_Form_Pluviometrie'!$L15="Validé humainement",'02_Form_Pluviometrie'!O15,"")</x:f>
      </x:c>
      <x:c r="P15" s="76" t="str">
        <x:f>IF('02_Form_Pluviometrie'!$L15="Validé humainement",'02_Form_Pluviometrie'!P15,"")</x:f>
      </x:c>
      <x:c r="Q15" s="76" t="str">
        <x:f>IF('02_Form_Pluviometrie'!$L15="Validé humainement",'02_Form_Pluviometrie'!Q15,"")</x:f>
      </x:c>
    </x:row>
    <x:row r="16">
      <x:c r="A16" s="76" t="str">
        <x:f>IF('02_Form_Pluviometrie'!$L16="Validé humainement",'02_Form_Pluviometrie'!A16,"")</x:f>
      </x:c>
      <x:c r="B16" s="78" t="str">
        <x:f>IF('02_Form_Pluviometrie'!$L16="Validé humainement",'02_Form_Pluviometrie'!B16,"")</x:f>
      </x:c>
      <x:c r="C16" s="76" t="str">
        <x:f>IF('02_Form_Pluviometrie'!$L16="Validé humainement",'02_Form_Pluviometrie'!C16,"")</x:f>
      </x:c>
      <x:c r="D16" s="76" t="str">
        <x:f>IF('02_Form_Pluviometrie'!$L16="Validé humainement",'02_Form_Pluviometrie'!D16,"")</x:f>
      </x:c>
      <x:c r="E16" s="76" t="str">
        <x:f>IF('02_Form_Pluviometrie'!$L16="Validé humainement",'02_Form_Pluviometrie'!E16,"")</x:f>
      </x:c>
      <x:c r="F16" s="76" t="str">
        <x:f>IF('02_Form_Pluviometrie'!$L16="Validé humainement",'02_Form_Pluviometrie'!F16,"")</x:f>
      </x:c>
      <x:c r="G16" s="80" t="str">
        <x:f>IF('02_Form_Pluviometrie'!$L16="Validé humainement",'02_Form_Pluviometrie'!G16,"")</x:f>
      </x:c>
      <x:c r="H16" s="76" t="str">
        <x:f>IF('02_Form_Pluviometrie'!$L16="Validé humainement",'02_Form_Pluviometrie'!H16,"")</x:f>
      </x:c>
      <x:c r="I16" s="76" t="str">
        <x:f>IF('02_Form_Pluviometrie'!$L16="Validé humainement",'02_Form_Pluviometrie'!I16,"")</x:f>
      </x:c>
      <x:c r="J16" s="76" t="str">
        <x:f>IF('02_Form_Pluviometrie'!$L16="Validé humainement",'02_Form_Pluviometrie'!J16,"")</x:f>
      </x:c>
      <x:c r="K16" s="76" t="str">
        <x:f>IF('02_Form_Pluviometrie'!$L16="Validé humainement",'02_Form_Pluviometrie'!K16,"")</x:f>
      </x:c>
      <x:c r="L16" s="76" t="str">
        <x:f>IF('02_Form_Pluviometrie'!$L16="Validé humainement",'02_Form_Pluviometrie'!L16,"")</x:f>
      </x:c>
      <x:c r="M16" s="76" t="str">
        <x:f>IF('02_Form_Pluviometrie'!$L16="Validé humainement",'02_Form_Pluviometrie'!M16,"")</x:f>
      </x:c>
      <x:c r="N16" s="78" t="str">
        <x:f>IF('02_Form_Pluviometrie'!$L16="Validé humainement",'02_Form_Pluviometrie'!N16,"")</x:f>
      </x:c>
      <x:c r="O16" s="76" t="str">
        <x:f>IF('02_Form_Pluviometrie'!$L16="Validé humainement",'02_Form_Pluviometrie'!O16,"")</x:f>
      </x:c>
      <x:c r="P16" s="76" t="str">
        <x:f>IF('02_Form_Pluviometrie'!$L16="Validé humainement",'02_Form_Pluviometrie'!P16,"")</x:f>
      </x:c>
      <x:c r="Q16" s="76" t="str">
        <x:f>IF('02_Form_Pluviometrie'!$L16="Validé humainement",'02_Form_Pluviometrie'!Q16,"")</x:f>
      </x:c>
    </x:row>
    <x:row r="17">
      <x:c r="A17" s="76" t="str">
        <x:f>IF('02_Form_Pluviometrie'!$L17="Validé humainement",'02_Form_Pluviometrie'!A17,"")</x:f>
      </x:c>
      <x:c r="B17" s="78" t="str">
        <x:f>IF('02_Form_Pluviometrie'!$L17="Validé humainement",'02_Form_Pluviometrie'!B17,"")</x:f>
      </x:c>
      <x:c r="C17" s="76" t="str">
        <x:f>IF('02_Form_Pluviometrie'!$L17="Validé humainement",'02_Form_Pluviometrie'!C17,"")</x:f>
      </x:c>
      <x:c r="D17" s="76" t="str">
        <x:f>IF('02_Form_Pluviometrie'!$L17="Validé humainement",'02_Form_Pluviometrie'!D17,"")</x:f>
      </x:c>
      <x:c r="E17" s="76" t="str">
        <x:f>IF('02_Form_Pluviometrie'!$L17="Validé humainement",'02_Form_Pluviometrie'!E17,"")</x:f>
      </x:c>
      <x:c r="F17" s="76" t="str">
        <x:f>IF('02_Form_Pluviometrie'!$L17="Validé humainement",'02_Form_Pluviometrie'!F17,"")</x:f>
      </x:c>
      <x:c r="G17" s="80" t="str">
        <x:f>IF('02_Form_Pluviometrie'!$L17="Validé humainement",'02_Form_Pluviometrie'!G17,"")</x:f>
      </x:c>
      <x:c r="H17" s="76" t="str">
        <x:f>IF('02_Form_Pluviometrie'!$L17="Validé humainement",'02_Form_Pluviometrie'!H17,"")</x:f>
      </x:c>
      <x:c r="I17" s="76" t="str">
        <x:f>IF('02_Form_Pluviometrie'!$L17="Validé humainement",'02_Form_Pluviometrie'!I17,"")</x:f>
      </x:c>
      <x:c r="J17" s="76" t="str">
        <x:f>IF('02_Form_Pluviometrie'!$L17="Validé humainement",'02_Form_Pluviometrie'!J17,"")</x:f>
      </x:c>
      <x:c r="K17" s="76" t="str">
        <x:f>IF('02_Form_Pluviometrie'!$L17="Validé humainement",'02_Form_Pluviometrie'!K17,"")</x:f>
      </x:c>
      <x:c r="L17" s="76" t="str">
        <x:f>IF('02_Form_Pluviometrie'!$L17="Validé humainement",'02_Form_Pluviometrie'!L17,"")</x:f>
      </x:c>
      <x:c r="M17" s="76" t="str">
        <x:f>IF('02_Form_Pluviometrie'!$L17="Validé humainement",'02_Form_Pluviometrie'!M17,"")</x:f>
      </x:c>
      <x:c r="N17" s="78" t="str">
        <x:f>IF('02_Form_Pluviometrie'!$L17="Validé humainement",'02_Form_Pluviometrie'!N17,"")</x:f>
      </x:c>
      <x:c r="O17" s="76" t="str">
        <x:f>IF('02_Form_Pluviometrie'!$L17="Validé humainement",'02_Form_Pluviometrie'!O17,"")</x:f>
      </x:c>
      <x:c r="P17" s="76" t="str">
        <x:f>IF('02_Form_Pluviometrie'!$L17="Validé humainement",'02_Form_Pluviometrie'!P17,"")</x:f>
      </x:c>
      <x:c r="Q17" s="76" t="str">
        <x:f>IF('02_Form_Pluviometrie'!$L17="Validé humainement",'02_Form_Pluviometrie'!Q17,"")</x:f>
      </x:c>
    </x:row>
    <x:row r="18">
      <x:c r="A18" s="76" t="str">
        <x:f>IF('02_Form_Pluviometrie'!$L18="Validé humainement",'02_Form_Pluviometrie'!A18,"")</x:f>
      </x:c>
      <x:c r="B18" s="78" t="str">
        <x:f>IF('02_Form_Pluviometrie'!$L18="Validé humainement",'02_Form_Pluviometrie'!B18,"")</x:f>
      </x:c>
      <x:c r="C18" s="76" t="str">
        <x:f>IF('02_Form_Pluviometrie'!$L18="Validé humainement",'02_Form_Pluviometrie'!C18,"")</x:f>
      </x:c>
      <x:c r="D18" s="76" t="str">
        <x:f>IF('02_Form_Pluviometrie'!$L18="Validé humainement",'02_Form_Pluviometrie'!D18,"")</x:f>
      </x:c>
      <x:c r="E18" s="76" t="str">
        <x:f>IF('02_Form_Pluviometrie'!$L18="Validé humainement",'02_Form_Pluviometrie'!E18,"")</x:f>
      </x:c>
      <x:c r="F18" s="76" t="str">
        <x:f>IF('02_Form_Pluviometrie'!$L18="Validé humainement",'02_Form_Pluviometrie'!F18,"")</x:f>
      </x:c>
      <x:c r="G18" s="80" t="str">
        <x:f>IF('02_Form_Pluviometrie'!$L18="Validé humainement",'02_Form_Pluviometrie'!G18,"")</x:f>
      </x:c>
      <x:c r="H18" s="76" t="str">
        <x:f>IF('02_Form_Pluviometrie'!$L18="Validé humainement",'02_Form_Pluviometrie'!H18,"")</x:f>
      </x:c>
      <x:c r="I18" s="76" t="str">
        <x:f>IF('02_Form_Pluviometrie'!$L18="Validé humainement",'02_Form_Pluviometrie'!I18,"")</x:f>
      </x:c>
      <x:c r="J18" s="76" t="str">
        <x:f>IF('02_Form_Pluviometrie'!$L18="Validé humainement",'02_Form_Pluviometrie'!J18,"")</x:f>
      </x:c>
      <x:c r="K18" s="76" t="str">
        <x:f>IF('02_Form_Pluviometrie'!$L18="Validé humainement",'02_Form_Pluviometrie'!K18,"")</x:f>
      </x:c>
      <x:c r="L18" s="76" t="str">
        <x:f>IF('02_Form_Pluviometrie'!$L18="Validé humainement",'02_Form_Pluviometrie'!L18,"")</x:f>
      </x:c>
      <x:c r="M18" s="76" t="str">
        <x:f>IF('02_Form_Pluviometrie'!$L18="Validé humainement",'02_Form_Pluviometrie'!M18,"")</x:f>
      </x:c>
      <x:c r="N18" s="78" t="str">
        <x:f>IF('02_Form_Pluviometrie'!$L18="Validé humainement",'02_Form_Pluviometrie'!N18,"")</x:f>
      </x:c>
      <x:c r="O18" s="76" t="str">
        <x:f>IF('02_Form_Pluviometrie'!$L18="Validé humainement",'02_Form_Pluviometrie'!O18,"")</x:f>
      </x:c>
      <x:c r="P18" s="76" t="str">
        <x:f>IF('02_Form_Pluviometrie'!$L18="Validé humainement",'02_Form_Pluviometrie'!P18,"")</x:f>
      </x:c>
      <x:c r="Q18" s="76" t="str">
        <x:f>IF('02_Form_Pluviometrie'!$L18="Validé humainement",'02_Form_Pluviometrie'!Q18,"")</x:f>
      </x:c>
    </x:row>
    <x:row r="19">
      <x:c r="A19" s="76" t="str">
        <x:f>IF('02_Form_Pluviometrie'!$L19="Validé humainement",'02_Form_Pluviometrie'!A19,"")</x:f>
      </x:c>
      <x:c r="B19" s="78" t="str">
        <x:f>IF('02_Form_Pluviometrie'!$L19="Validé humainement",'02_Form_Pluviometrie'!B19,"")</x:f>
      </x:c>
      <x:c r="C19" s="76" t="str">
        <x:f>IF('02_Form_Pluviometrie'!$L19="Validé humainement",'02_Form_Pluviometrie'!C19,"")</x:f>
      </x:c>
      <x:c r="D19" s="76" t="str">
        <x:f>IF('02_Form_Pluviometrie'!$L19="Validé humainement",'02_Form_Pluviometrie'!D19,"")</x:f>
      </x:c>
      <x:c r="E19" s="76" t="str">
        <x:f>IF('02_Form_Pluviometrie'!$L19="Validé humainement",'02_Form_Pluviometrie'!E19,"")</x:f>
      </x:c>
      <x:c r="F19" s="76" t="str">
        <x:f>IF('02_Form_Pluviometrie'!$L19="Validé humainement",'02_Form_Pluviometrie'!F19,"")</x:f>
      </x:c>
      <x:c r="G19" s="80" t="str">
        <x:f>IF('02_Form_Pluviometrie'!$L19="Validé humainement",'02_Form_Pluviometrie'!G19,"")</x:f>
      </x:c>
      <x:c r="H19" s="76" t="str">
        <x:f>IF('02_Form_Pluviometrie'!$L19="Validé humainement",'02_Form_Pluviometrie'!H19,"")</x:f>
      </x:c>
      <x:c r="I19" s="76" t="str">
        <x:f>IF('02_Form_Pluviometrie'!$L19="Validé humainement",'02_Form_Pluviometrie'!I19,"")</x:f>
      </x:c>
      <x:c r="J19" s="76" t="str">
        <x:f>IF('02_Form_Pluviometrie'!$L19="Validé humainement",'02_Form_Pluviometrie'!J19,"")</x:f>
      </x:c>
      <x:c r="K19" s="76" t="str">
        <x:f>IF('02_Form_Pluviometrie'!$L19="Validé humainement",'02_Form_Pluviometrie'!K19,"")</x:f>
      </x:c>
      <x:c r="L19" s="76" t="str">
        <x:f>IF('02_Form_Pluviometrie'!$L19="Validé humainement",'02_Form_Pluviometrie'!L19,"")</x:f>
      </x:c>
      <x:c r="M19" s="76" t="str">
        <x:f>IF('02_Form_Pluviometrie'!$L19="Validé humainement",'02_Form_Pluviometrie'!M19,"")</x:f>
      </x:c>
      <x:c r="N19" s="78" t="str">
        <x:f>IF('02_Form_Pluviometrie'!$L19="Validé humainement",'02_Form_Pluviometrie'!N19,"")</x:f>
      </x:c>
      <x:c r="O19" s="76" t="str">
        <x:f>IF('02_Form_Pluviometrie'!$L19="Validé humainement",'02_Form_Pluviometrie'!O19,"")</x:f>
      </x:c>
      <x:c r="P19" s="76" t="str">
        <x:f>IF('02_Form_Pluviometrie'!$L19="Validé humainement",'02_Form_Pluviometrie'!P19,"")</x:f>
      </x:c>
      <x:c r="Q19" s="76" t="str">
        <x:f>IF('02_Form_Pluviometrie'!$L19="Validé humainement",'02_Form_Pluviometrie'!Q19,"")</x:f>
      </x:c>
    </x:row>
    <x:row r="20">
      <x:c r="A20" s="76" t="str">
        <x:f>IF('02_Form_Pluviometrie'!$L20="Validé humainement",'02_Form_Pluviometrie'!A20,"")</x:f>
      </x:c>
      <x:c r="B20" s="78" t="str">
        <x:f>IF('02_Form_Pluviometrie'!$L20="Validé humainement",'02_Form_Pluviometrie'!B20,"")</x:f>
      </x:c>
      <x:c r="C20" s="76" t="str">
        <x:f>IF('02_Form_Pluviometrie'!$L20="Validé humainement",'02_Form_Pluviometrie'!C20,"")</x:f>
      </x:c>
      <x:c r="D20" s="76" t="str">
        <x:f>IF('02_Form_Pluviometrie'!$L20="Validé humainement",'02_Form_Pluviometrie'!D20,"")</x:f>
      </x:c>
      <x:c r="E20" s="76" t="str">
        <x:f>IF('02_Form_Pluviometrie'!$L20="Validé humainement",'02_Form_Pluviometrie'!E20,"")</x:f>
      </x:c>
      <x:c r="F20" s="76" t="str">
        <x:f>IF('02_Form_Pluviometrie'!$L20="Validé humainement",'02_Form_Pluviometrie'!F20,"")</x:f>
      </x:c>
      <x:c r="G20" s="80" t="str">
        <x:f>IF('02_Form_Pluviometrie'!$L20="Validé humainement",'02_Form_Pluviometrie'!G20,"")</x:f>
      </x:c>
      <x:c r="H20" s="76" t="str">
        <x:f>IF('02_Form_Pluviometrie'!$L20="Validé humainement",'02_Form_Pluviometrie'!H20,"")</x:f>
      </x:c>
      <x:c r="I20" s="76" t="str">
        <x:f>IF('02_Form_Pluviometrie'!$L20="Validé humainement",'02_Form_Pluviometrie'!I20,"")</x:f>
      </x:c>
      <x:c r="J20" s="76" t="str">
        <x:f>IF('02_Form_Pluviometrie'!$L20="Validé humainement",'02_Form_Pluviometrie'!J20,"")</x:f>
      </x:c>
      <x:c r="K20" s="76" t="str">
        <x:f>IF('02_Form_Pluviometrie'!$L20="Validé humainement",'02_Form_Pluviometrie'!K20,"")</x:f>
      </x:c>
      <x:c r="L20" s="76" t="str">
        <x:f>IF('02_Form_Pluviometrie'!$L20="Validé humainement",'02_Form_Pluviometrie'!L20,"")</x:f>
      </x:c>
      <x:c r="M20" s="76" t="str">
        <x:f>IF('02_Form_Pluviometrie'!$L20="Validé humainement",'02_Form_Pluviometrie'!M20,"")</x:f>
      </x:c>
      <x:c r="N20" s="78" t="str">
        <x:f>IF('02_Form_Pluviometrie'!$L20="Validé humainement",'02_Form_Pluviometrie'!N20,"")</x:f>
      </x:c>
      <x:c r="O20" s="76" t="str">
        <x:f>IF('02_Form_Pluviometrie'!$L20="Validé humainement",'02_Form_Pluviometrie'!O20,"")</x:f>
      </x:c>
      <x:c r="P20" s="76" t="str">
        <x:f>IF('02_Form_Pluviometrie'!$L20="Validé humainement",'02_Form_Pluviometrie'!P20,"")</x:f>
      </x:c>
      <x:c r="Q20" s="76" t="str">
        <x:f>IF('02_Form_Pluviometrie'!$L20="Validé humainement",'02_Form_Pluviometrie'!Q20,"")</x:f>
      </x:c>
    </x:row>
    <x:row r="21">
      <x:c r="A21" s="76" t="str">
        <x:f>IF('02_Form_Pluviometrie'!$L21="Validé humainement",'02_Form_Pluviometrie'!A21,"")</x:f>
      </x:c>
      <x:c r="B21" s="78" t="str">
        <x:f>IF('02_Form_Pluviometrie'!$L21="Validé humainement",'02_Form_Pluviometrie'!B21,"")</x:f>
      </x:c>
      <x:c r="C21" s="76" t="str">
        <x:f>IF('02_Form_Pluviometrie'!$L21="Validé humainement",'02_Form_Pluviometrie'!C21,"")</x:f>
      </x:c>
      <x:c r="D21" s="76" t="str">
        <x:f>IF('02_Form_Pluviometrie'!$L21="Validé humainement",'02_Form_Pluviometrie'!D21,"")</x:f>
      </x:c>
      <x:c r="E21" s="76" t="str">
        <x:f>IF('02_Form_Pluviometrie'!$L21="Validé humainement",'02_Form_Pluviometrie'!E21,"")</x:f>
      </x:c>
      <x:c r="F21" s="76" t="str">
        <x:f>IF('02_Form_Pluviometrie'!$L21="Validé humainement",'02_Form_Pluviometrie'!F21,"")</x:f>
      </x:c>
      <x:c r="G21" s="80" t="str">
        <x:f>IF('02_Form_Pluviometrie'!$L21="Validé humainement",'02_Form_Pluviometrie'!G21,"")</x:f>
      </x:c>
      <x:c r="H21" s="76" t="str">
        <x:f>IF('02_Form_Pluviometrie'!$L21="Validé humainement",'02_Form_Pluviometrie'!H21,"")</x:f>
      </x:c>
      <x:c r="I21" s="76" t="str">
        <x:f>IF('02_Form_Pluviometrie'!$L21="Validé humainement",'02_Form_Pluviometrie'!I21,"")</x:f>
      </x:c>
      <x:c r="J21" s="76" t="str">
        <x:f>IF('02_Form_Pluviometrie'!$L21="Validé humainement",'02_Form_Pluviometrie'!J21,"")</x:f>
      </x:c>
      <x:c r="K21" s="76" t="str">
        <x:f>IF('02_Form_Pluviometrie'!$L21="Validé humainement",'02_Form_Pluviometrie'!K21,"")</x:f>
      </x:c>
      <x:c r="L21" s="76" t="str">
        <x:f>IF('02_Form_Pluviometrie'!$L21="Validé humainement",'02_Form_Pluviometrie'!L21,"")</x:f>
      </x:c>
      <x:c r="M21" s="76" t="str">
        <x:f>IF('02_Form_Pluviometrie'!$L21="Validé humainement",'02_Form_Pluviometrie'!M21,"")</x:f>
      </x:c>
      <x:c r="N21" s="78" t="str">
        <x:f>IF('02_Form_Pluviometrie'!$L21="Validé humainement",'02_Form_Pluviometrie'!N21,"")</x:f>
      </x:c>
      <x:c r="O21" s="76" t="str">
        <x:f>IF('02_Form_Pluviometrie'!$L21="Validé humainement",'02_Form_Pluviometrie'!O21,"")</x:f>
      </x:c>
      <x:c r="P21" s="76" t="str">
        <x:f>IF('02_Form_Pluviometrie'!$L21="Validé humainement",'02_Form_Pluviometrie'!P21,"")</x:f>
      </x:c>
      <x:c r="Q21" s="76" t="str">
        <x:f>IF('02_Form_Pluviometrie'!$L21="Validé humainement",'02_Form_Pluviometrie'!Q21,"")</x:f>
      </x:c>
    </x:row>
    <x:row r="22">
      <x:c r="A22" s="76" t="str">
        <x:f>IF('02_Form_Pluviometrie'!$L22="Validé humainement",'02_Form_Pluviometrie'!A22,"")</x:f>
      </x:c>
      <x:c r="B22" s="78" t="str">
        <x:f>IF('02_Form_Pluviometrie'!$L22="Validé humainement",'02_Form_Pluviometrie'!B22,"")</x:f>
      </x:c>
      <x:c r="C22" s="76" t="str">
        <x:f>IF('02_Form_Pluviometrie'!$L22="Validé humainement",'02_Form_Pluviometrie'!C22,"")</x:f>
      </x:c>
      <x:c r="D22" s="76" t="str">
        <x:f>IF('02_Form_Pluviometrie'!$L22="Validé humainement",'02_Form_Pluviometrie'!D22,"")</x:f>
      </x:c>
      <x:c r="E22" s="76" t="str">
        <x:f>IF('02_Form_Pluviometrie'!$L22="Validé humainement",'02_Form_Pluviometrie'!E22,"")</x:f>
      </x:c>
      <x:c r="F22" s="76" t="str">
        <x:f>IF('02_Form_Pluviometrie'!$L22="Validé humainement",'02_Form_Pluviometrie'!F22,"")</x:f>
      </x:c>
      <x:c r="G22" s="80" t="str">
        <x:f>IF('02_Form_Pluviometrie'!$L22="Validé humainement",'02_Form_Pluviometrie'!G22,"")</x:f>
      </x:c>
      <x:c r="H22" s="76" t="str">
        <x:f>IF('02_Form_Pluviometrie'!$L22="Validé humainement",'02_Form_Pluviometrie'!H22,"")</x:f>
      </x:c>
      <x:c r="I22" s="76" t="str">
        <x:f>IF('02_Form_Pluviometrie'!$L22="Validé humainement",'02_Form_Pluviometrie'!I22,"")</x:f>
      </x:c>
      <x:c r="J22" s="76" t="str">
        <x:f>IF('02_Form_Pluviometrie'!$L22="Validé humainement",'02_Form_Pluviometrie'!J22,"")</x:f>
      </x:c>
      <x:c r="K22" s="76" t="str">
        <x:f>IF('02_Form_Pluviometrie'!$L22="Validé humainement",'02_Form_Pluviometrie'!K22,"")</x:f>
      </x:c>
      <x:c r="L22" s="76" t="str">
        <x:f>IF('02_Form_Pluviometrie'!$L22="Validé humainement",'02_Form_Pluviometrie'!L22,"")</x:f>
      </x:c>
      <x:c r="M22" s="76" t="str">
        <x:f>IF('02_Form_Pluviometrie'!$L22="Validé humainement",'02_Form_Pluviometrie'!M22,"")</x:f>
      </x:c>
      <x:c r="N22" s="78" t="str">
        <x:f>IF('02_Form_Pluviometrie'!$L22="Validé humainement",'02_Form_Pluviometrie'!N22,"")</x:f>
      </x:c>
      <x:c r="O22" s="76" t="str">
        <x:f>IF('02_Form_Pluviometrie'!$L22="Validé humainement",'02_Form_Pluviometrie'!O22,"")</x:f>
      </x:c>
      <x:c r="P22" s="76" t="str">
        <x:f>IF('02_Form_Pluviometrie'!$L22="Validé humainement",'02_Form_Pluviometrie'!P22,"")</x:f>
      </x:c>
      <x:c r="Q22" s="76" t="str">
        <x:f>IF('02_Form_Pluviometrie'!$L22="Validé humainement",'02_Form_Pluviometrie'!Q22,"")</x:f>
      </x:c>
    </x:row>
    <x:row r="23">
      <x:c r="A23" s="76" t="str">
        <x:f>IF('02_Form_Pluviometrie'!$L23="Validé humainement",'02_Form_Pluviometrie'!A23,"")</x:f>
      </x:c>
      <x:c r="B23" s="78" t="str">
        <x:f>IF('02_Form_Pluviometrie'!$L23="Validé humainement",'02_Form_Pluviometrie'!B23,"")</x:f>
      </x:c>
      <x:c r="C23" s="76" t="str">
        <x:f>IF('02_Form_Pluviometrie'!$L23="Validé humainement",'02_Form_Pluviometrie'!C23,"")</x:f>
      </x:c>
      <x:c r="D23" s="76" t="str">
        <x:f>IF('02_Form_Pluviometrie'!$L23="Validé humainement",'02_Form_Pluviometrie'!D23,"")</x:f>
      </x:c>
      <x:c r="E23" s="76" t="str">
        <x:f>IF('02_Form_Pluviometrie'!$L23="Validé humainement",'02_Form_Pluviometrie'!E23,"")</x:f>
      </x:c>
      <x:c r="F23" s="76" t="str">
        <x:f>IF('02_Form_Pluviometrie'!$L23="Validé humainement",'02_Form_Pluviometrie'!F23,"")</x:f>
      </x:c>
      <x:c r="G23" s="80" t="str">
        <x:f>IF('02_Form_Pluviometrie'!$L23="Validé humainement",'02_Form_Pluviometrie'!G23,"")</x:f>
      </x:c>
      <x:c r="H23" s="76" t="str">
        <x:f>IF('02_Form_Pluviometrie'!$L23="Validé humainement",'02_Form_Pluviometrie'!H23,"")</x:f>
      </x:c>
      <x:c r="I23" s="76" t="str">
        <x:f>IF('02_Form_Pluviometrie'!$L23="Validé humainement",'02_Form_Pluviometrie'!I23,"")</x:f>
      </x:c>
      <x:c r="J23" s="76" t="str">
        <x:f>IF('02_Form_Pluviometrie'!$L23="Validé humainement",'02_Form_Pluviometrie'!J23,"")</x:f>
      </x:c>
      <x:c r="K23" s="76" t="str">
        <x:f>IF('02_Form_Pluviometrie'!$L23="Validé humainement",'02_Form_Pluviometrie'!K23,"")</x:f>
      </x:c>
      <x:c r="L23" s="76" t="str">
        <x:f>IF('02_Form_Pluviometrie'!$L23="Validé humainement",'02_Form_Pluviometrie'!L23,"")</x:f>
      </x:c>
      <x:c r="M23" s="76" t="str">
        <x:f>IF('02_Form_Pluviometrie'!$L23="Validé humainement",'02_Form_Pluviometrie'!M23,"")</x:f>
      </x:c>
      <x:c r="N23" s="78" t="str">
        <x:f>IF('02_Form_Pluviometrie'!$L23="Validé humainement",'02_Form_Pluviometrie'!N23,"")</x:f>
      </x:c>
      <x:c r="O23" s="76" t="str">
        <x:f>IF('02_Form_Pluviometrie'!$L23="Validé humainement",'02_Form_Pluviometrie'!O23,"")</x:f>
      </x:c>
      <x:c r="P23" s="76" t="str">
        <x:f>IF('02_Form_Pluviometrie'!$L23="Validé humainement",'02_Form_Pluviometrie'!P23,"")</x:f>
      </x:c>
      <x:c r="Q23" s="76" t="str">
        <x:f>IF('02_Form_Pluviometrie'!$L23="Validé humainement",'02_Form_Pluviometrie'!Q23,"")</x:f>
      </x:c>
    </x:row>
    <x:row r="24">
      <x:c r="A24" s="76" t="str">
        <x:f>IF('02_Form_Pluviometrie'!$L24="Validé humainement",'02_Form_Pluviometrie'!A24,"")</x:f>
      </x:c>
      <x:c r="B24" s="78" t="str">
        <x:f>IF('02_Form_Pluviometrie'!$L24="Validé humainement",'02_Form_Pluviometrie'!B24,"")</x:f>
      </x:c>
      <x:c r="C24" s="76" t="str">
        <x:f>IF('02_Form_Pluviometrie'!$L24="Validé humainement",'02_Form_Pluviometrie'!C24,"")</x:f>
      </x:c>
      <x:c r="D24" s="76" t="str">
        <x:f>IF('02_Form_Pluviometrie'!$L24="Validé humainement",'02_Form_Pluviometrie'!D24,"")</x:f>
      </x:c>
      <x:c r="E24" s="76" t="str">
        <x:f>IF('02_Form_Pluviometrie'!$L24="Validé humainement",'02_Form_Pluviometrie'!E24,"")</x:f>
      </x:c>
      <x:c r="F24" s="76" t="str">
        <x:f>IF('02_Form_Pluviometrie'!$L24="Validé humainement",'02_Form_Pluviometrie'!F24,"")</x:f>
      </x:c>
      <x:c r="G24" s="80" t="str">
        <x:f>IF('02_Form_Pluviometrie'!$L24="Validé humainement",'02_Form_Pluviometrie'!G24,"")</x:f>
      </x:c>
      <x:c r="H24" s="76" t="str">
        <x:f>IF('02_Form_Pluviometrie'!$L24="Validé humainement",'02_Form_Pluviometrie'!H24,"")</x:f>
      </x:c>
      <x:c r="I24" s="76" t="str">
        <x:f>IF('02_Form_Pluviometrie'!$L24="Validé humainement",'02_Form_Pluviometrie'!I24,"")</x:f>
      </x:c>
      <x:c r="J24" s="76" t="str">
        <x:f>IF('02_Form_Pluviometrie'!$L24="Validé humainement",'02_Form_Pluviometrie'!J24,"")</x:f>
      </x:c>
      <x:c r="K24" s="76" t="str">
        <x:f>IF('02_Form_Pluviometrie'!$L24="Validé humainement",'02_Form_Pluviometrie'!K24,"")</x:f>
      </x:c>
      <x:c r="L24" s="76" t="str">
        <x:f>IF('02_Form_Pluviometrie'!$L24="Validé humainement",'02_Form_Pluviometrie'!L24,"")</x:f>
      </x:c>
      <x:c r="M24" s="76" t="str">
        <x:f>IF('02_Form_Pluviometrie'!$L24="Validé humainement",'02_Form_Pluviometrie'!M24,"")</x:f>
      </x:c>
      <x:c r="N24" s="78" t="str">
        <x:f>IF('02_Form_Pluviometrie'!$L24="Validé humainement",'02_Form_Pluviometrie'!N24,"")</x:f>
      </x:c>
      <x:c r="O24" s="76" t="str">
        <x:f>IF('02_Form_Pluviometrie'!$L24="Validé humainement",'02_Form_Pluviometrie'!O24,"")</x:f>
      </x:c>
      <x:c r="P24" s="76" t="str">
        <x:f>IF('02_Form_Pluviometrie'!$L24="Validé humainement",'02_Form_Pluviometrie'!P24,"")</x:f>
      </x:c>
      <x:c r="Q24" s="76" t="str">
        <x:f>IF('02_Form_Pluviometrie'!$L24="Validé humainement",'02_Form_Pluviometrie'!Q24,"")</x:f>
      </x:c>
    </x:row>
    <x:row r="25">
      <x:c r="A25" s="76" t="str">
        <x:f>IF('02_Form_Pluviometrie'!$L25="Validé humainement",'02_Form_Pluviometrie'!A25,"")</x:f>
      </x:c>
      <x:c r="B25" s="78" t="str">
        <x:f>IF('02_Form_Pluviometrie'!$L25="Validé humainement",'02_Form_Pluviometrie'!B25,"")</x:f>
      </x:c>
      <x:c r="C25" s="76" t="str">
        <x:f>IF('02_Form_Pluviometrie'!$L25="Validé humainement",'02_Form_Pluviometrie'!C25,"")</x:f>
      </x:c>
      <x:c r="D25" s="76" t="str">
        <x:f>IF('02_Form_Pluviometrie'!$L25="Validé humainement",'02_Form_Pluviometrie'!D25,"")</x:f>
      </x:c>
      <x:c r="E25" s="76" t="str">
        <x:f>IF('02_Form_Pluviometrie'!$L25="Validé humainement",'02_Form_Pluviometrie'!E25,"")</x:f>
      </x:c>
      <x:c r="F25" s="76" t="str">
        <x:f>IF('02_Form_Pluviometrie'!$L25="Validé humainement",'02_Form_Pluviometrie'!F25,"")</x:f>
      </x:c>
      <x:c r="G25" s="80" t="str">
        <x:f>IF('02_Form_Pluviometrie'!$L25="Validé humainement",'02_Form_Pluviometrie'!G25,"")</x:f>
      </x:c>
      <x:c r="H25" s="76" t="str">
        <x:f>IF('02_Form_Pluviometrie'!$L25="Validé humainement",'02_Form_Pluviometrie'!H25,"")</x:f>
      </x:c>
      <x:c r="I25" s="76" t="str">
        <x:f>IF('02_Form_Pluviometrie'!$L25="Validé humainement",'02_Form_Pluviometrie'!I25,"")</x:f>
      </x:c>
      <x:c r="J25" s="76" t="str">
        <x:f>IF('02_Form_Pluviometrie'!$L25="Validé humainement",'02_Form_Pluviometrie'!J25,"")</x:f>
      </x:c>
      <x:c r="K25" s="76" t="str">
        <x:f>IF('02_Form_Pluviometrie'!$L25="Validé humainement",'02_Form_Pluviometrie'!K25,"")</x:f>
      </x:c>
      <x:c r="L25" s="76" t="str">
        <x:f>IF('02_Form_Pluviometrie'!$L25="Validé humainement",'02_Form_Pluviometrie'!L25,"")</x:f>
      </x:c>
      <x:c r="M25" s="76" t="str">
        <x:f>IF('02_Form_Pluviometrie'!$L25="Validé humainement",'02_Form_Pluviometrie'!M25,"")</x:f>
      </x:c>
      <x:c r="N25" s="78" t="str">
        <x:f>IF('02_Form_Pluviometrie'!$L25="Validé humainement",'02_Form_Pluviometrie'!N25,"")</x:f>
      </x:c>
      <x:c r="O25" s="76" t="str">
        <x:f>IF('02_Form_Pluviometrie'!$L25="Validé humainement",'02_Form_Pluviometrie'!O25,"")</x:f>
      </x:c>
      <x:c r="P25" s="76" t="str">
        <x:f>IF('02_Form_Pluviometrie'!$L25="Validé humainement",'02_Form_Pluviometrie'!P25,"")</x:f>
      </x:c>
      <x:c r="Q25" s="76" t="str">
        <x:f>IF('02_Form_Pluviometrie'!$L25="Validé humainement",'02_Form_Pluviometrie'!Q25,"")</x:f>
      </x:c>
    </x:row>
    <x:row r="26">
      <x:c r="A26" s="76" t="str">
        <x:f>IF('02_Form_Pluviometrie'!$L26="Validé humainement",'02_Form_Pluviometrie'!A26,"")</x:f>
      </x:c>
      <x:c r="B26" s="78" t="str">
        <x:f>IF('02_Form_Pluviometrie'!$L26="Validé humainement",'02_Form_Pluviometrie'!B26,"")</x:f>
      </x:c>
      <x:c r="C26" s="76" t="str">
        <x:f>IF('02_Form_Pluviometrie'!$L26="Validé humainement",'02_Form_Pluviometrie'!C26,"")</x:f>
      </x:c>
      <x:c r="D26" s="76" t="str">
        <x:f>IF('02_Form_Pluviometrie'!$L26="Validé humainement",'02_Form_Pluviometrie'!D26,"")</x:f>
      </x:c>
      <x:c r="E26" s="76" t="str">
        <x:f>IF('02_Form_Pluviometrie'!$L26="Validé humainement",'02_Form_Pluviometrie'!E26,"")</x:f>
      </x:c>
      <x:c r="F26" s="76" t="str">
        <x:f>IF('02_Form_Pluviometrie'!$L26="Validé humainement",'02_Form_Pluviometrie'!F26,"")</x:f>
      </x:c>
      <x:c r="G26" s="80" t="str">
        <x:f>IF('02_Form_Pluviometrie'!$L26="Validé humainement",'02_Form_Pluviometrie'!G26,"")</x:f>
      </x:c>
      <x:c r="H26" s="76" t="str">
        <x:f>IF('02_Form_Pluviometrie'!$L26="Validé humainement",'02_Form_Pluviometrie'!H26,"")</x:f>
      </x:c>
      <x:c r="I26" s="76" t="str">
        <x:f>IF('02_Form_Pluviometrie'!$L26="Validé humainement",'02_Form_Pluviometrie'!I26,"")</x:f>
      </x:c>
      <x:c r="J26" s="76" t="str">
        <x:f>IF('02_Form_Pluviometrie'!$L26="Validé humainement",'02_Form_Pluviometrie'!J26,"")</x:f>
      </x:c>
      <x:c r="K26" s="76" t="str">
        <x:f>IF('02_Form_Pluviometrie'!$L26="Validé humainement",'02_Form_Pluviometrie'!K26,"")</x:f>
      </x:c>
      <x:c r="L26" s="76" t="str">
        <x:f>IF('02_Form_Pluviometrie'!$L26="Validé humainement",'02_Form_Pluviometrie'!L26,"")</x:f>
      </x:c>
      <x:c r="M26" s="76" t="str">
        <x:f>IF('02_Form_Pluviometrie'!$L26="Validé humainement",'02_Form_Pluviometrie'!M26,"")</x:f>
      </x:c>
      <x:c r="N26" s="78" t="str">
        <x:f>IF('02_Form_Pluviometrie'!$L26="Validé humainement",'02_Form_Pluviometrie'!N26,"")</x:f>
      </x:c>
      <x:c r="O26" s="76" t="str">
        <x:f>IF('02_Form_Pluviometrie'!$L26="Validé humainement",'02_Form_Pluviometrie'!O26,"")</x:f>
      </x:c>
      <x:c r="P26" s="76" t="str">
        <x:f>IF('02_Form_Pluviometrie'!$L26="Validé humainement",'02_Form_Pluviometrie'!P26,"")</x:f>
      </x:c>
      <x:c r="Q26" s="76" t="str">
        <x:f>IF('02_Form_Pluviometrie'!$L26="Validé humainement",'02_Form_Pluviometrie'!Q26,"")</x:f>
      </x:c>
    </x:row>
    <x:row r="27">
      <x:c r="A27" s="76" t="str">
        <x:f>IF('02_Form_Pluviometrie'!$L27="Validé humainement",'02_Form_Pluviometrie'!A27,"")</x:f>
      </x:c>
      <x:c r="B27" s="78" t="str">
        <x:f>IF('02_Form_Pluviometrie'!$L27="Validé humainement",'02_Form_Pluviometrie'!B27,"")</x:f>
      </x:c>
      <x:c r="C27" s="76" t="str">
        <x:f>IF('02_Form_Pluviometrie'!$L27="Validé humainement",'02_Form_Pluviometrie'!C27,"")</x:f>
      </x:c>
      <x:c r="D27" s="76" t="str">
        <x:f>IF('02_Form_Pluviometrie'!$L27="Validé humainement",'02_Form_Pluviometrie'!D27,"")</x:f>
      </x:c>
      <x:c r="E27" s="76" t="str">
        <x:f>IF('02_Form_Pluviometrie'!$L27="Validé humainement",'02_Form_Pluviometrie'!E27,"")</x:f>
      </x:c>
      <x:c r="F27" s="76" t="str">
        <x:f>IF('02_Form_Pluviometrie'!$L27="Validé humainement",'02_Form_Pluviometrie'!F27,"")</x:f>
      </x:c>
      <x:c r="G27" s="80" t="str">
        <x:f>IF('02_Form_Pluviometrie'!$L27="Validé humainement",'02_Form_Pluviometrie'!G27,"")</x:f>
      </x:c>
      <x:c r="H27" s="76" t="str">
        <x:f>IF('02_Form_Pluviometrie'!$L27="Validé humainement",'02_Form_Pluviometrie'!H27,"")</x:f>
      </x:c>
      <x:c r="I27" s="76" t="str">
        <x:f>IF('02_Form_Pluviometrie'!$L27="Validé humainement",'02_Form_Pluviometrie'!I27,"")</x:f>
      </x:c>
      <x:c r="J27" s="76" t="str">
        <x:f>IF('02_Form_Pluviometrie'!$L27="Validé humainement",'02_Form_Pluviometrie'!J27,"")</x:f>
      </x:c>
      <x:c r="K27" s="76" t="str">
        <x:f>IF('02_Form_Pluviometrie'!$L27="Validé humainement",'02_Form_Pluviometrie'!K27,"")</x:f>
      </x:c>
      <x:c r="L27" s="76" t="str">
        <x:f>IF('02_Form_Pluviometrie'!$L27="Validé humainement",'02_Form_Pluviometrie'!L27,"")</x:f>
      </x:c>
      <x:c r="M27" s="76" t="str">
        <x:f>IF('02_Form_Pluviometrie'!$L27="Validé humainement",'02_Form_Pluviometrie'!M27,"")</x:f>
      </x:c>
      <x:c r="N27" s="78" t="str">
        <x:f>IF('02_Form_Pluviometrie'!$L27="Validé humainement",'02_Form_Pluviometrie'!N27,"")</x:f>
      </x:c>
      <x:c r="O27" s="76" t="str">
        <x:f>IF('02_Form_Pluviometrie'!$L27="Validé humainement",'02_Form_Pluviometrie'!O27,"")</x:f>
      </x:c>
      <x:c r="P27" s="76" t="str">
        <x:f>IF('02_Form_Pluviometrie'!$L27="Validé humainement",'02_Form_Pluviometrie'!P27,"")</x:f>
      </x:c>
      <x:c r="Q27" s="76" t="str">
        <x:f>IF('02_Form_Pluviometrie'!$L27="Validé humainement",'02_Form_Pluviometrie'!Q27,"")</x:f>
      </x:c>
    </x:row>
    <x:row r="28">
      <x:c r="A28" s="76" t="str">
        <x:f>IF('02_Form_Pluviometrie'!$L28="Validé humainement",'02_Form_Pluviometrie'!A28,"")</x:f>
      </x:c>
      <x:c r="B28" s="78" t="str">
        <x:f>IF('02_Form_Pluviometrie'!$L28="Validé humainement",'02_Form_Pluviometrie'!B28,"")</x:f>
      </x:c>
      <x:c r="C28" s="76" t="str">
        <x:f>IF('02_Form_Pluviometrie'!$L28="Validé humainement",'02_Form_Pluviometrie'!C28,"")</x:f>
      </x:c>
      <x:c r="D28" s="76" t="str">
        <x:f>IF('02_Form_Pluviometrie'!$L28="Validé humainement",'02_Form_Pluviometrie'!D28,"")</x:f>
      </x:c>
      <x:c r="E28" s="76" t="str">
        <x:f>IF('02_Form_Pluviometrie'!$L28="Validé humainement",'02_Form_Pluviometrie'!E28,"")</x:f>
      </x:c>
      <x:c r="F28" s="76" t="str">
        <x:f>IF('02_Form_Pluviometrie'!$L28="Validé humainement",'02_Form_Pluviometrie'!F28,"")</x:f>
      </x:c>
      <x:c r="G28" s="80" t="str">
        <x:f>IF('02_Form_Pluviometrie'!$L28="Validé humainement",'02_Form_Pluviometrie'!G28,"")</x:f>
      </x:c>
      <x:c r="H28" s="76" t="str">
        <x:f>IF('02_Form_Pluviometrie'!$L28="Validé humainement",'02_Form_Pluviometrie'!H28,"")</x:f>
      </x:c>
      <x:c r="I28" s="76" t="str">
        <x:f>IF('02_Form_Pluviometrie'!$L28="Validé humainement",'02_Form_Pluviometrie'!I28,"")</x:f>
      </x:c>
      <x:c r="J28" s="76" t="str">
        <x:f>IF('02_Form_Pluviometrie'!$L28="Validé humainement",'02_Form_Pluviometrie'!J28,"")</x:f>
      </x:c>
      <x:c r="K28" s="76" t="str">
        <x:f>IF('02_Form_Pluviometrie'!$L28="Validé humainement",'02_Form_Pluviometrie'!K28,"")</x:f>
      </x:c>
      <x:c r="L28" s="76" t="str">
        <x:f>IF('02_Form_Pluviometrie'!$L28="Validé humainement",'02_Form_Pluviometrie'!L28,"")</x:f>
      </x:c>
      <x:c r="M28" s="76" t="str">
        <x:f>IF('02_Form_Pluviometrie'!$L28="Validé humainement",'02_Form_Pluviometrie'!M28,"")</x:f>
      </x:c>
      <x:c r="N28" s="78" t="str">
        <x:f>IF('02_Form_Pluviometrie'!$L28="Validé humainement",'02_Form_Pluviometrie'!N28,"")</x:f>
      </x:c>
      <x:c r="O28" s="76" t="str">
        <x:f>IF('02_Form_Pluviometrie'!$L28="Validé humainement",'02_Form_Pluviometrie'!O28,"")</x:f>
      </x:c>
      <x:c r="P28" s="76" t="str">
        <x:f>IF('02_Form_Pluviometrie'!$L28="Validé humainement",'02_Form_Pluviometrie'!P28,"")</x:f>
      </x:c>
      <x:c r="Q28" s="76" t="str">
        <x:f>IF('02_Form_Pluviometrie'!$L28="Validé humainement",'02_Form_Pluviometrie'!Q28,"")</x:f>
      </x:c>
    </x:row>
    <x:row r="29">
      <x:c r="A29" s="76" t="str">
        <x:f>IF('02_Form_Pluviometrie'!$L29="Validé humainement",'02_Form_Pluviometrie'!A29,"")</x:f>
      </x:c>
      <x:c r="B29" s="78" t="str">
        <x:f>IF('02_Form_Pluviometrie'!$L29="Validé humainement",'02_Form_Pluviometrie'!B29,"")</x:f>
      </x:c>
      <x:c r="C29" s="76" t="str">
        <x:f>IF('02_Form_Pluviometrie'!$L29="Validé humainement",'02_Form_Pluviometrie'!C29,"")</x:f>
      </x:c>
      <x:c r="D29" s="76" t="str">
        <x:f>IF('02_Form_Pluviometrie'!$L29="Validé humainement",'02_Form_Pluviometrie'!D29,"")</x:f>
      </x:c>
      <x:c r="E29" s="76" t="str">
        <x:f>IF('02_Form_Pluviometrie'!$L29="Validé humainement",'02_Form_Pluviometrie'!E29,"")</x:f>
      </x:c>
      <x:c r="F29" s="76" t="str">
        <x:f>IF('02_Form_Pluviometrie'!$L29="Validé humainement",'02_Form_Pluviometrie'!F29,"")</x:f>
      </x:c>
      <x:c r="G29" s="80" t="str">
        <x:f>IF('02_Form_Pluviometrie'!$L29="Validé humainement",'02_Form_Pluviometrie'!G29,"")</x:f>
      </x:c>
      <x:c r="H29" s="76" t="str">
        <x:f>IF('02_Form_Pluviometrie'!$L29="Validé humainement",'02_Form_Pluviometrie'!H29,"")</x:f>
      </x:c>
      <x:c r="I29" s="76" t="str">
        <x:f>IF('02_Form_Pluviometrie'!$L29="Validé humainement",'02_Form_Pluviometrie'!I29,"")</x:f>
      </x:c>
      <x:c r="J29" s="76" t="str">
        <x:f>IF('02_Form_Pluviometrie'!$L29="Validé humainement",'02_Form_Pluviometrie'!J29,"")</x:f>
      </x:c>
      <x:c r="K29" s="76" t="str">
        <x:f>IF('02_Form_Pluviometrie'!$L29="Validé humainement",'02_Form_Pluviometrie'!K29,"")</x:f>
      </x:c>
      <x:c r="L29" s="76" t="str">
        <x:f>IF('02_Form_Pluviometrie'!$L29="Validé humainement",'02_Form_Pluviometrie'!L29,"")</x:f>
      </x:c>
      <x:c r="M29" s="76" t="str">
        <x:f>IF('02_Form_Pluviometrie'!$L29="Validé humainement",'02_Form_Pluviometrie'!M29,"")</x:f>
      </x:c>
      <x:c r="N29" s="78" t="str">
        <x:f>IF('02_Form_Pluviometrie'!$L29="Validé humainement",'02_Form_Pluviometrie'!N29,"")</x:f>
      </x:c>
      <x:c r="O29" s="76" t="str">
        <x:f>IF('02_Form_Pluviometrie'!$L29="Validé humainement",'02_Form_Pluviometrie'!O29,"")</x:f>
      </x:c>
      <x:c r="P29" s="76" t="str">
        <x:f>IF('02_Form_Pluviometrie'!$L29="Validé humainement",'02_Form_Pluviometrie'!P29,"")</x:f>
      </x:c>
      <x:c r="Q29" s="76" t="str">
        <x:f>IF('02_Form_Pluviometrie'!$L29="Validé humainement",'02_Form_Pluviometrie'!Q29,"")</x:f>
      </x:c>
    </x:row>
    <x:row r="30">
      <x:c r="A30" s="76" t="str">
        <x:f>IF('02_Form_Pluviometrie'!$L30="Validé humainement",'02_Form_Pluviometrie'!A30,"")</x:f>
      </x:c>
      <x:c r="B30" s="78" t="str">
        <x:f>IF('02_Form_Pluviometrie'!$L30="Validé humainement",'02_Form_Pluviometrie'!B30,"")</x:f>
      </x:c>
      <x:c r="C30" s="76" t="str">
        <x:f>IF('02_Form_Pluviometrie'!$L30="Validé humainement",'02_Form_Pluviometrie'!C30,"")</x:f>
      </x:c>
      <x:c r="D30" s="76" t="str">
        <x:f>IF('02_Form_Pluviometrie'!$L30="Validé humainement",'02_Form_Pluviometrie'!D30,"")</x:f>
      </x:c>
      <x:c r="E30" s="76" t="str">
        <x:f>IF('02_Form_Pluviometrie'!$L30="Validé humainement",'02_Form_Pluviometrie'!E30,"")</x:f>
      </x:c>
      <x:c r="F30" s="76" t="str">
        <x:f>IF('02_Form_Pluviometrie'!$L30="Validé humainement",'02_Form_Pluviometrie'!F30,"")</x:f>
      </x:c>
      <x:c r="G30" s="80" t="str">
        <x:f>IF('02_Form_Pluviometrie'!$L30="Validé humainement",'02_Form_Pluviometrie'!G30,"")</x:f>
      </x:c>
      <x:c r="H30" s="76" t="str">
        <x:f>IF('02_Form_Pluviometrie'!$L30="Validé humainement",'02_Form_Pluviometrie'!H30,"")</x:f>
      </x:c>
      <x:c r="I30" s="76" t="str">
        <x:f>IF('02_Form_Pluviometrie'!$L30="Validé humainement",'02_Form_Pluviometrie'!I30,"")</x:f>
      </x:c>
      <x:c r="J30" s="76" t="str">
        <x:f>IF('02_Form_Pluviometrie'!$L30="Validé humainement",'02_Form_Pluviometrie'!J30,"")</x:f>
      </x:c>
      <x:c r="K30" s="76" t="str">
        <x:f>IF('02_Form_Pluviometrie'!$L30="Validé humainement",'02_Form_Pluviometrie'!K30,"")</x:f>
      </x:c>
      <x:c r="L30" s="76" t="str">
        <x:f>IF('02_Form_Pluviometrie'!$L30="Validé humainement",'02_Form_Pluviometrie'!L30,"")</x:f>
      </x:c>
      <x:c r="M30" s="76" t="str">
        <x:f>IF('02_Form_Pluviometrie'!$L30="Validé humainement",'02_Form_Pluviometrie'!M30,"")</x:f>
      </x:c>
      <x:c r="N30" s="78" t="str">
        <x:f>IF('02_Form_Pluviometrie'!$L30="Validé humainement",'02_Form_Pluviometrie'!N30,"")</x:f>
      </x:c>
      <x:c r="O30" s="76" t="str">
        <x:f>IF('02_Form_Pluviometrie'!$L30="Validé humainement",'02_Form_Pluviometrie'!O30,"")</x:f>
      </x:c>
      <x:c r="P30" s="76" t="str">
        <x:f>IF('02_Form_Pluviometrie'!$L30="Validé humainement",'02_Form_Pluviometrie'!P30,"")</x:f>
      </x:c>
      <x:c r="Q30" s="76" t="str">
        <x:f>IF('02_Form_Pluviometrie'!$L30="Validé humainement",'02_Form_Pluviometrie'!Q30,"")</x:f>
      </x:c>
    </x:row>
    <x:row r="31">
      <x:c r="A31" s="76" t="str">
        <x:f>IF('02_Form_Pluviometrie'!$L31="Validé humainement",'02_Form_Pluviometrie'!A31,"")</x:f>
      </x:c>
      <x:c r="B31" s="78" t="str">
        <x:f>IF('02_Form_Pluviometrie'!$L31="Validé humainement",'02_Form_Pluviometrie'!B31,"")</x:f>
      </x:c>
      <x:c r="C31" s="76" t="str">
        <x:f>IF('02_Form_Pluviometrie'!$L31="Validé humainement",'02_Form_Pluviometrie'!C31,"")</x:f>
      </x:c>
      <x:c r="D31" s="76" t="str">
        <x:f>IF('02_Form_Pluviometrie'!$L31="Validé humainement",'02_Form_Pluviometrie'!D31,"")</x:f>
      </x:c>
      <x:c r="E31" s="76" t="str">
        <x:f>IF('02_Form_Pluviometrie'!$L31="Validé humainement",'02_Form_Pluviometrie'!E31,"")</x:f>
      </x:c>
      <x:c r="F31" s="76" t="str">
        <x:f>IF('02_Form_Pluviometrie'!$L31="Validé humainement",'02_Form_Pluviometrie'!F31,"")</x:f>
      </x:c>
      <x:c r="G31" s="80" t="str">
        <x:f>IF('02_Form_Pluviometrie'!$L31="Validé humainement",'02_Form_Pluviometrie'!G31,"")</x:f>
      </x:c>
      <x:c r="H31" s="76" t="str">
        <x:f>IF('02_Form_Pluviometrie'!$L31="Validé humainement",'02_Form_Pluviometrie'!H31,"")</x:f>
      </x:c>
      <x:c r="I31" s="76" t="str">
        <x:f>IF('02_Form_Pluviometrie'!$L31="Validé humainement",'02_Form_Pluviometrie'!I31,"")</x:f>
      </x:c>
      <x:c r="J31" s="76" t="str">
        <x:f>IF('02_Form_Pluviometrie'!$L31="Validé humainement",'02_Form_Pluviometrie'!J31,"")</x:f>
      </x:c>
      <x:c r="K31" s="76" t="str">
        <x:f>IF('02_Form_Pluviometrie'!$L31="Validé humainement",'02_Form_Pluviometrie'!K31,"")</x:f>
      </x:c>
      <x:c r="L31" s="76" t="str">
        <x:f>IF('02_Form_Pluviometrie'!$L31="Validé humainement",'02_Form_Pluviometrie'!L31,"")</x:f>
      </x:c>
      <x:c r="M31" s="76" t="str">
        <x:f>IF('02_Form_Pluviometrie'!$L31="Validé humainement",'02_Form_Pluviometrie'!M31,"")</x:f>
      </x:c>
      <x:c r="N31" s="78" t="str">
        <x:f>IF('02_Form_Pluviometrie'!$L31="Validé humainement",'02_Form_Pluviometrie'!N31,"")</x:f>
      </x:c>
      <x:c r="O31" s="76" t="str">
        <x:f>IF('02_Form_Pluviometrie'!$L31="Validé humainement",'02_Form_Pluviometrie'!O31,"")</x:f>
      </x:c>
      <x:c r="P31" s="76" t="str">
        <x:f>IF('02_Form_Pluviometrie'!$L31="Validé humainement",'02_Form_Pluviometrie'!P31,"")</x:f>
      </x:c>
      <x:c r="Q31" s="76" t="str">
        <x:f>IF('02_Form_Pluviometrie'!$L31="Validé humainement",'02_Form_Pluviometrie'!Q31,"")</x:f>
      </x:c>
    </x:row>
    <x:row r="32">
      <x:c r="A32" s="76" t="str">
        <x:f>IF('02_Form_Pluviometrie'!$L32="Validé humainement",'02_Form_Pluviometrie'!A32,"")</x:f>
      </x:c>
      <x:c r="B32" s="78" t="str">
        <x:f>IF('02_Form_Pluviometrie'!$L32="Validé humainement",'02_Form_Pluviometrie'!B32,"")</x:f>
      </x:c>
      <x:c r="C32" s="76" t="str">
        <x:f>IF('02_Form_Pluviometrie'!$L32="Validé humainement",'02_Form_Pluviometrie'!C32,"")</x:f>
      </x:c>
      <x:c r="D32" s="76" t="str">
        <x:f>IF('02_Form_Pluviometrie'!$L32="Validé humainement",'02_Form_Pluviometrie'!D32,"")</x:f>
      </x:c>
      <x:c r="E32" s="76" t="str">
        <x:f>IF('02_Form_Pluviometrie'!$L32="Validé humainement",'02_Form_Pluviometrie'!E32,"")</x:f>
      </x:c>
      <x:c r="F32" s="76" t="str">
        <x:f>IF('02_Form_Pluviometrie'!$L32="Validé humainement",'02_Form_Pluviometrie'!F32,"")</x:f>
      </x:c>
      <x:c r="G32" s="80" t="str">
        <x:f>IF('02_Form_Pluviometrie'!$L32="Validé humainement",'02_Form_Pluviometrie'!G32,"")</x:f>
      </x:c>
      <x:c r="H32" s="76" t="str">
        <x:f>IF('02_Form_Pluviometrie'!$L32="Validé humainement",'02_Form_Pluviometrie'!H32,"")</x:f>
      </x:c>
      <x:c r="I32" s="76" t="str">
        <x:f>IF('02_Form_Pluviometrie'!$L32="Validé humainement",'02_Form_Pluviometrie'!I32,"")</x:f>
      </x:c>
      <x:c r="J32" s="76" t="str">
        <x:f>IF('02_Form_Pluviometrie'!$L32="Validé humainement",'02_Form_Pluviometrie'!J32,"")</x:f>
      </x:c>
      <x:c r="K32" s="76" t="str">
        <x:f>IF('02_Form_Pluviometrie'!$L32="Validé humainement",'02_Form_Pluviometrie'!K32,"")</x:f>
      </x:c>
      <x:c r="L32" s="76" t="str">
        <x:f>IF('02_Form_Pluviometrie'!$L32="Validé humainement",'02_Form_Pluviometrie'!L32,"")</x:f>
      </x:c>
      <x:c r="M32" s="76" t="str">
        <x:f>IF('02_Form_Pluviometrie'!$L32="Validé humainement",'02_Form_Pluviometrie'!M32,"")</x:f>
      </x:c>
      <x:c r="N32" s="78" t="str">
        <x:f>IF('02_Form_Pluviometrie'!$L32="Validé humainement",'02_Form_Pluviometrie'!N32,"")</x:f>
      </x:c>
      <x:c r="O32" s="76" t="str">
        <x:f>IF('02_Form_Pluviometrie'!$L32="Validé humainement",'02_Form_Pluviometrie'!O32,"")</x:f>
      </x:c>
      <x:c r="P32" s="76" t="str">
        <x:f>IF('02_Form_Pluviometrie'!$L32="Validé humainement",'02_Form_Pluviometrie'!P32,"")</x:f>
      </x:c>
      <x:c r="Q32" s="76" t="str">
        <x:f>IF('02_Form_Pluviometrie'!$L32="Validé humainement",'02_Form_Pluviometrie'!Q32,"")</x:f>
      </x:c>
    </x:row>
    <x:row r="33">
      <x:c r="A33" s="76" t="str">
        <x:f>IF('02_Form_Pluviometrie'!$L33="Validé humainement",'02_Form_Pluviometrie'!A33,"")</x:f>
      </x:c>
      <x:c r="B33" s="78" t="str">
        <x:f>IF('02_Form_Pluviometrie'!$L33="Validé humainement",'02_Form_Pluviometrie'!B33,"")</x:f>
      </x:c>
      <x:c r="C33" s="76" t="str">
        <x:f>IF('02_Form_Pluviometrie'!$L33="Validé humainement",'02_Form_Pluviometrie'!C33,"")</x:f>
      </x:c>
      <x:c r="D33" s="76" t="str">
        <x:f>IF('02_Form_Pluviometrie'!$L33="Validé humainement",'02_Form_Pluviometrie'!D33,"")</x:f>
      </x:c>
      <x:c r="E33" s="76" t="str">
        <x:f>IF('02_Form_Pluviometrie'!$L33="Validé humainement",'02_Form_Pluviometrie'!E33,"")</x:f>
      </x:c>
      <x:c r="F33" s="76" t="str">
        <x:f>IF('02_Form_Pluviometrie'!$L33="Validé humainement",'02_Form_Pluviometrie'!F33,"")</x:f>
      </x:c>
      <x:c r="G33" s="80" t="str">
        <x:f>IF('02_Form_Pluviometrie'!$L33="Validé humainement",'02_Form_Pluviometrie'!G33,"")</x:f>
      </x:c>
      <x:c r="H33" s="76" t="str">
        <x:f>IF('02_Form_Pluviometrie'!$L33="Validé humainement",'02_Form_Pluviometrie'!H33,"")</x:f>
      </x:c>
      <x:c r="I33" s="76" t="str">
        <x:f>IF('02_Form_Pluviometrie'!$L33="Validé humainement",'02_Form_Pluviometrie'!I33,"")</x:f>
      </x:c>
      <x:c r="J33" s="76" t="str">
        <x:f>IF('02_Form_Pluviometrie'!$L33="Validé humainement",'02_Form_Pluviometrie'!J33,"")</x:f>
      </x:c>
      <x:c r="K33" s="76" t="str">
        <x:f>IF('02_Form_Pluviometrie'!$L33="Validé humainement",'02_Form_Pluviometrie'!K33,"")</x:f>
      </x:c>
      <x:c r="L33" s="76" t="str">
        <x:f>IF('02_Form_Pluviometrie'!$L33="Validé humainement",'02_Form_Pluviometrie'!L33,"")</x:f>
      </x:c>
      <x:c r="M33" s="76" t="str">
        <x:f>IF('02_Form_Pluviometrie'!$L33="Validé humainement",'02_Form_Pluviometrie'!M33,"")</x:f>
      </x:c>
      <x:c r="N33" s="78" t="str">
        <x:f>IF('02_Form_Pluviometrie'!$L33="Validé humainement",'02_Form_Pluviometrie'!N33,"")</x:f>
      </x:c>
      <x:c r="O33" s="76" t="str">
        <x:f>IF('02_Form_Pluviometrie'!$L33="Validé humainement",'02_Form_Pluviometrie'!O33,"")</x:f>
      </x:c>
      <x:c r="P33" s="76" t="str">
        <x:f>IF('02_Form_Pluviometrie'!$L33="Validé humainement",'02_Form_Pluviometrie'!P33,"")</x:f>
      </x:c>
      <x:c r="Q33" s="76" t="str">
        <x:f>IF('02_Form_Pluviometrie'!$L33="Validé humainement",'02_Form_Pluviometrie'!Q33,"")</x:f>
      </x:c>
    </x:row>
    <x:row r="34">
      <x:c r="A34" s="76" t="str">
        <x:f>IF('02_Form_Pluviometrie'!$L34="Validé humainement",'02_Form_Pluviometrie'!A34,"")</x:f>
      </x:c>
      <x:c r="B34" s="78" t="str">
        <x:f>IF('02_Form_Pluviometrie'!$L34="Validé humainement",'02_Form_Pluviometrie'!B34,"")</x:f>
      </x:c>
      <x:c r="C34" s="76" t="str">
        <x:f>IF('02_Form_Pluviometrie'!$L34="Validé humainement",'02_Form_Pluviometrie'!C34,"")</x:f>
      </x:c>
      <x:c r="D34" s="76" t="str">
        <x:f>IF('02_Form_Pluviometrie'!$L34="Validé humainement",'02_Form_Pluviometrie'!D34,"")</x:f>
      </x:c>
      <x:c r="E34" s="76" t="str">
        <x:f>IF('02_Form_Pluviometrie'!$L34="Validé humainement",'02_Form_Pluviometrie'!E34,"")</x:f>
      </x:c>
      <x:c r="F34" s="76" t="str">
        <x:f>IF('02_Form_Pluviometrie'!$L34="Validé humainement",'02_Form_Pluviometrie'!F34,"")</x:f>
      </x:c>
      <x:c r="G34" s="80" t="str">
        <x:f>IF('02_Form_Pluviometrie'!$L34="Validé humainement",'02_Form_Pluviometrie'!G34,"")</x:f>
      </x:c>
      <x:c r="H34" s="76" t="str">
        <x:f>IF('02_Form_Pluviometrie'!$L34="Validé humainement",'02_Form_Pluviometrie'!H34,"")</x:f>
      </x:c>
      <x:c r="I34" s="76" t="str">
        <x:f>IF('02_Form_Pluviometrie'!$L34="Validé humainement",'02_Form_Pluviometrie'!I34,"")</x:f>
      </x:c>
      <x:c r="J34" s="76" t="str">
        <x:f>IF('02_Form_Pluviometrie'!$L34="Validé humainement",'02_Form_Pluviometrie'!J34,"")</x:f>
      </x:c>
      <x:c r="K34" s="76" t="str">
        <x:f>IF('02_Form_Pluviometrie'!$L34="Validé humainement",'02_Form_Pluviometrie'!K34,"")</x:f>
      </x:c>
      <x:c r="L34" s="76" t="str">
        <x:f>IF('02_Form_Pluviometrie'!$L34="Validé humainement",'02_Form_Pluviometrie'!L34,"")</x:f>
      </x:c>
      <x:c r="M34" s="76" t="str">
        <x:f>IF('02_Form_Pluviometrie'!$L34="Validé humainement",'02_Form_Pluviometrie'!M34,"")</x:f>
      </x:c>
      <x:c r="N34" s="78" t="str">
        <x:f>IF('02_Form_Pluviometrie'!$L34="Validé humainement",'02_Form_Pluviometrie'!N34,"")</x:f>
      </x:c>
      <x:c r="O34" s="76" t="str">
        <x:f>IF('02_Form_Pluviometrie'!$L34="Validé humainement",'02_Form_Pluviometrie'!O34,"")</x:f>
      </x:c>
      <x:c r="P34" s="76" t="str">
        <x:f>IF('02_Form_Pluviometrie'!$L34="Validé humainement",'02_Form_Pluviometrie'!P34,"")</x:f>
      </x:c>
      <x:c r="Q34" s="76" t="str">
        <x:f>IF('02_Form_Pluviometrie'!$L34="Validé humainement",'02_Form_Pluviometrie'!Q34,"")</x:f>
      </x:c>
    </x:row>
    <x:row r="35">
      <x:c r="A35" s="76" t="str">
        <x:f>IF('02_Form_Pluviometrie'!$L35="Validé humainement",'02_Form_Pluviometrie'!A35,"")</x:f>
      </x:c>
      <x:c r="B35" s="78" t="str">
        <x:f>IF('02_Form_Pluviometrie'!$L35="Validé humainement",'02_Form_Pluviometrie'!B35,"")</x:f>
      </x:c>
      <x:c r="C35" s="76" t="str">
        <x:f>IF('02_Form_Pluviometrie'!$L35="Validé humainement",'02_Form_Pluviometrie'!C35,"")</x:f>
      </x:c>
      <x:c r="D35" s="76" t="str">
        <x:f>IF('02_Form_Pluviometrie'!$L35="Validé humainement",'02_Form_Pluviometrie'!D35,"")</x:f>
      </x:c>
      <x:c r="E35" s="76" t="str">
        <x:f>IF('02_Form_Pluviometrie'!$L35="Validé humainement",'02_Form_Pluviometrie'!E35,"")</x:f>
      </x:c>
      <x:c r="F35" s="76" t="str">
        <x:f>IF('02_Form_Pluviometrie'!$L35="Validé humainement",'02_Form_Pluviometrie'!F35,"")</x:f>
      </x:c>
      <x:c r="G35" s="80" t="str">
        <x:f>IF('02_Form_Pluviometrie'!$L35="Validé humainement",'02_Form_Pluviometrie'!G35,"")</x:f>
      </x:c>
      <x:c r="H35" s="76" t="str">
        <x:f>IF('02_Form_Pluviometrie'!$L35="Validé humainement",'02_Form_Pluviometrie'!H35,"")</x:f>
      </x:c>
      <x:c r="I35" s="76" t="str">
        <x:f>IF('02_Form_Pluviometrie'!$L35="Validé humainement",'02_Form_Pluviometrie'!I35,"")</x:f>
      </x:c>
      <x:c r="J35" s="76" t="str">
        <x:f>IF('02_Form_Pluviometrie'!$L35="Validé humainement",'02_Form_Pluviometrie'!J35,"")</x:f>
      </x:c>
      <x:c r="K35" s="76" t="str">
        <x:f>IF('02_Form_Pluviometrie'!$L35="Validé humainement",'02_Form_Pluviometrie'!K35,"")</x:f>
      </x:c>
      <x:c r="L35" s="76" t="str">
        <x:f>IF('02_Form_Pluviometrie'!$L35="Validé humainement",'02_Form_Pluviometrie'!L35,"")</x:f>
      </x:c>
      <x:c r="M35" s="76" t="str">
        <x:f>IF('02_Form_Pluviometrie'!$L35="Validé humainement",'02_Form_Pluviometrie'!M35,"")</x:f>
      </x:c>
      <x:c r="N35" s="78" t="str">
        <x:f>IF('02_Form_Pluviometrie'!$L35="Validé humainement",'02_Form_Pluviometrie'!N35,"")</x:f>
      </x:c>
      <x:c r="O35" s="76" t="str">
        <x:f>IF('02_Form_Pluviometrie'!$L35="Validé humainement",'02_Form_Pluviometrie'!O35,"")</x:f>
      </x:c>
      <x:c r="P35" s="76" t="str">
        <x:f>IF('02_Form_Pluviometrie'!$L35="Validé humainement",'02_Form_Pluviometrie'!P35,"")</x:f>
      </x:c>
      <x:c r="Q35" s="76" t="str">
        <x:f>IF('02_Form_Pluviometrie'!$L35="Validé humainement",'02_Form_Pluviometrie'!Q35,"")</x:f>
      </x:c>
    </x:row>
    <x:row r="36">
      <x:c r="A36" s="76" t="str">
        <x:f>IF('02_Form_Pluviometrie'!$L36="Validé humainement",'02_Form_Pluviometrie'!A36,"")</x:f>
      </x:c>
      <x:c r="B36" s="78" t="str">
        <x:f>IF('02_Form_Pluviometrie'!$L36="Validé humainement",'02_Form_Pluviometrie'!B36,"")</x:f>
      </x:c>
      <x:c r="C36" s="76" t="str">
        <x:f>IF('02_Form_Pluviometrie'!$L36="Validé humainement",'02_Form_Pluviometrie'!C36,"")</x:f>
      </x:c>
      <x:c r="D36" s="76" t="str">
        <x:f>IF('02_Form_Pluviometrie'!$L36="Validé humainement",'02_Form_Pluviometrie'!D36,"")</x:f>
      </x:c>
      <x:c r="E36" s="76" t="str">
        <x:f>IF('02_Form_Pluviometrie'!$L36="Validé humainement",'02_Form_Pluviometrie'!E36,"")</x:f>
      </x:c>
      <x:c r="F36" s="76" t="str">
        <x:f>IF('02_Form_Pluviometrie'!$L36="Validé humainement",'02_Form_Pluviometrie'!F36,"")</x:f>
      </x:c>
      <x:c r="G36" s="80" t="str">
        <x:f>IF('02_Form_Pluviometrie'!$L36="Validé humainement",'02_Form_Pluviometrie'!G36,"")</x:f>
      </x:c>
      <x:c r="H36" s="76" t="str">
        <x:f>IF('02_Form_Pluviometrie'!$L36="Validé humainement",'02_Form_Pluviometrie'!H36,"")</x:f>
      </x:c>
      <x:c r="I36" s="76" t="str">
        <x:f>IF('02_Form_Pluviometrie'!$L36="Validé humainement",'02_Form_Pluviometrie'!I36,"")</x:f>
      </x:c>
      <x:c r="J36" s="76" t="str">
        <x:f>IF('02_Form_Pluviometrie'!$L36="Validé humainement",'02_Form_Pluviometrie'!J36,"")</x:f>
      </x:c>
      <x:c r="K36" s="76" t="str">
        <x:f>IF('02_Form_Pluviometrie'!$L36="Validé humainement",'02_Form_Pluviometrie'!K36,"")</x:f>
      </x:c>
      <x:c r="L36" s="76" t="str">
        <x:f>IF('02_Form_Pluviometrie'!$L36="Validé humainement",'02_Form_Pluviometrie'!L36,"")</x:f>
      </x:c>
      <x:c r="M36" s="76" t="str">
        <x:f>IF('02_Form_Pluviometrie'!$L36="Validé humainement",'02_Form_Pluviometrie'!M36,"")</x:f>
      </x:c>
      <x:c r="N36" s="78" t="str">
        <x:f>IF('02_Form_Pluviometrie'!$L36="Validé humainement",'02_Form_Pluviometrie'!N36,"")</x:f>
      </x:c>
      <x:c r="O36" s="76" t="str">
        <x:f>IF('02_Form_Pluviometrie'!$L36="Validé humainement",'02_Form_Pluviometrie'!O36,"")</x:f>
      </x:c>
      <x:c r="P36" s="76" t="str">
        <x:f>IF('02_Form_Pluviometrie'!$L36="Validé humainement",'02_Form_Pluviometrie'!P36,"")</x:f>
      </x:c>
      <x:c r="Q36" s="76" t="str">
        <x:f>IF('02_Form_Pluviometrie'!$L36="Validé humainement",'02_Form_Pluviometrie'!Q36,"")</x:f>
      </x:c>
    </x:row>
    <x:row r="37">
      <x:c r="A37" s="76" t="str">
        <x:f>IF('02_Form_Pluviometrie'!$L37="Validé humainement",'02_Form_Pluviometrie'!A37,"")</x:f>
      </x:c>
      <x:c r="B37" s="78" t="str">
        <x:f>IF('02_Form_Pluviometrie'!$L37="Validé humainement",'02_Form_Pluviometrie'!B37,"")</x:f>
      </x:c>
      <x:c r="C37" s="76" t="str">
        <x:f>IF('02_Form_Pluviometrie'!$L37="Validé humainement",'02_Form_Pluviometrie'!C37,"")</x:f>
      </x:c>
      <x:c r="D37" s="76" t="str">
        <x:f>IF('02_Form_Pluviometrie'!$L37="Validé humainement",'02_Form_Pluviometrie'!D37,"")</x:f>
      </x:c>
      <x:c r="E37" s="76" t="str">
        <x:f>IF('02_Form_Pluviometrie'!$L37="Validé humainement",'02_Form_Pluviometrie'!E37,"")</x:f>
      </x:c>
      <x:c r="F37" s="76" t="str">
        <x:f>IF('02_Form_Pluviometrie'!$L37="Validé humainement",'02_Form_Pluviometrie'!F37,"")</x:f>
      </x:c>
      <x:c r="G37" s="80" t="str">
        <x:f>IF('02_Form_Pluviometrie'!$L37="Validé humainement",'02_Form_Pluviometrie'!G37,"")</x:f>
      </x:c>
      <x:c r="H37" s="76" t="str">
        <x:f>IF('02_Form_Pluviometrie'!$L37="Validé humainement",'02_Form_Pluviometrie'!H37,"")</x:f>
      </x:c>
      <x:c r="I37" s="76" t="str">
        <x:f>IF('02_Form_Pluviometrie'!$L37="Validé humainement",'02_Form_Pluviometrie'!I37,"")</x:f>
      </x:c>
      <x:c r="J37" s="76" t="str">
        <x:f>IF('02_Form_Pluviometrie'!$L37="Validé humainement",'02_Form_Pluviometrie'!J37,"")</x:f>
      </x:c>
      <x:c r="K37" s="76" t="str">
        <x:f>IF('02_Form_Pluviometrie'!$L37="Validé humainement",'02_Form_Pluviometrie'!K37,"")</x:f>
      </x:c>
      <x:c r="L37" s="76" t="str">
        <x:f>IF('02_Form_Pluviometrie'!$L37="Validé humainement",'02_Form_Pluviometrie'!L37,"")</x:f>
      </x:c>
      <x:c r="M37" s="76" t="str">
        <x:f>IF('02_Form_Pluviometrie'!$L37="Validé humainement",'02_Form_Pluviometrie'!M37,"")</x:f>
      </x:c>
      <x:c r="N37" s="78" t="str">
        <x:f>IF('02_Form_Pluviometrie'!$L37="Validé humainement",'02_Form_Pluviometrie'!N37,"")</x:f>
      </x:c>
      <x:c r="O37" s="76" t="str">
        <x:f>IF('02_Form_Pluviometrie'!$L37="Validé humainement",'02_Form_Pluviometrie'!O37,"")</x:f>
      </x:c>
      <x:c r="P37" s="76" t="str">
        <x:f>IF('02_Form_Pluviometrie'!$L37="Validé humainement",'02_Form_Pluviometrie'!P37,"")</x:f>
      </x:c>
      <x:c r="Q37" s="76" t="str">
        <x:f>IF('02_Form_Pluviometrie'!$L37="Validé humainement",'02_Form_Pluviometrie'!Q37,"")</x:f>
      </x:c>
    </x:row>
    <x:row r="38">
      <x:c r="A38" s="76" t="str">
        <x:f>IF('02_Form_Pluviometrie'!$L38="Validé humainement",'02_Form_Pluviometrie'!A38,"")</x:f>
      </x:c>
      <x:c r="B38" s="78" t="str">
        <x:f>IF('02_Form_Pluviometrie'!$L38="Validé humainement",'02_Form_Pluviometrie'!B38,"")</x:f>
      </x:c>
      <x:c r="C38" s="76" t="str">
        <x:f>IF('02_Form_Pluviometrie'!$L38="Validé humainement",'02_Form_Pluviometrie'!C38,"")</x:f>
      </x:c>
      <x:c r="D38" s="76" t="str">
        <x:f>IF('02_Form_Pluviometrie'!$L38="Validé humainement",'02_Form_Pluviometrie'!D38,"")</x:f>
      </x:c>
      <x:c r="E38" s="76" t="str">
        <x:f>IF('02_Form_Pluviometrie'!$L38="Validé humainement",'02_Form_Pluviometrie'!E38,"")</x:f>
      </x:c>
      <x:c r="F38" s="76" t="str">
        <x:f>IF('02_Form_Pluviometrie'!$L38="Validé humainement",'02_Form_Pluviometrie'!F38,"")</x:f>
      </x:c>
      <x:c r="G38" s="80" t="str">
        <x:f>IF('02_Form_Pluviometrie'!$L38="Validé humainement",'02_Form_Pluviometrie'!G38,"")</x:f>
      </x:c>
      <x:c r="H38" s="76" t="str">
        <x:f>IF('02_Form_Pluviometrie'!$L38="Validé humainement",'02_Form_Pluviometrie'!H38,"")</x:f>
      </x:c>
      <x:c r="I38" s="76" t="str">
        <x:f>IF('02_Form_Pluviometrie'!$L38="Validé humainement",'02_Form_Pluviometrie'!I38,"")</x:f>
      </x:c>
      <x:c r="J38" s="76" t="str">
        <x:f>IF('02_Form_Pluviometrie'!$L38="Validé humainement",'02_Form_Pluviometrie'!J38,"")</x:f>
      </x:c>
      <x:c r="K38" s="76" t="str">
        <x:f>IF('02_Form_Pluviometrie'!$L38="Validé humainement",'02_Form_Pluviometrie'!K38,"")</x:f>
      </x:c>
      <x:c r="L38" s="76" t="str">
        <x:f>IF('02_Form_Pluviometrie'!$L38="Validé humainement",'02_Form_Pluviometrie'!L38,"")</x:f>
      </x:c>
      <x:c r="M38" s="76" t="str">
        <x:f>IF('02_Form_Pluviometrie'!$L38="Validé humainement",'02_Form_Pluviometrie'!M38,"")</x:f>
      </x:c>
      <x:c r="N38" s="78" t="str">
        <x:f>IF('02_Form_Pluviometrie'!$L38="Validé humainement",'02_Form_Pluviometrie'!N38,"")</x:f>
      </x:c>
      <x:c r="O38" s="76" t="str">
        <x:f>IF('02_Form_Pluviometrie'!$L38="Validé humainement",'02_Form_Pluviometrie'!O38,"")</x:f>
      </x:c>
      <x:c r="P38" s="76" t="str">
        <x:f>IF('02_Form_Pluviometrie'!$L38="Validé humainement",'02_Form_Pluviometrie'!P38,"")</x:f>
      </x:c>
      <x:c r="Q38" s="76" t="str">
        <x:f>IF('02_Form_Pluviometrie'!$L38="Validé humainement",'02_Form_Pluviometrie'!Q38,"")</x:f>
      </x:c>
    </x:row>
    <x:row r="39">
      <x:c r="A39" s="76" t="str">
        <x:f>IF('02_Form_Pluviometrie'!$L39="Validé humainement",'02_Form_Pluviometrie'!A39,"")</x:f>
      </x:c>
      <x:c r="B39" s="78" t="str">
        <x:f>IF('02_Form_Pluviometrie'!$L39="Validé humainement",'02_Form_Pluviometrie'!B39,"")</x:f>
      </x:c>
      <x:c r="C39" s="76" t="str">
        <x:f>IF('02_Form_Pluviometrie'!$L39="Validé humainement",'02_Form_Pluviometrie'!C39,"")</x:f>
      </x:c>
      <x:c r="D39" s="76" t="str">
        <x:f>IF('02_Form_Pluviometrie'!$L39="Validé humainement",'02_Form_Pluviometrie'!D39,"")</x:f>
      </x:c>
      <x:c r="E39" s="76" t="str">
        <x:f>IF('02_Form_Pluviometrie'!$L39="Validé humainement",'02_Form_Pluviometrie'!E39,"")</x:f>
      </x:c>
      <x:c r="F39" s="76" t="str">
        <x:f>IF('02_Form_Pluviometrie'!$L39="Validé humainement",'02_Form_Pluviometrie'!F39,"")</x:f>
      </x:c>
      <x:c r="G39" s="80" t="str">
        <x:f>IF('02_Form_Pluviometrie'!$L39="Validé humainement",'02_Form_Pluviometrie'!G39,"")</x:f>
      </x:c>
      <x:c r="H39" s="76" t="str">
        <x:f>IF('02_Form_Pluviometrie'!$L39="Validé humainement",'02_Form_Pluviometrie'!H39,"")</x:f>
      </x:c>
      <x:c r="I39" s="76" t="str">
        <x:f>IF('02_Form_Pluviometrie'!$L39="Validé humainement",'02_Form_Pluviometrie'!I39,"")</x:f>
      </x:c>
      <x:c r="J39" s="76" t="str">
        <x:f>IF('02_Form_Pluviometrie'!$L39="Validé humainement",'02_Form_Pluviometrie'!J39,"")</x:f>
      </x:c>
      <x:c r="K39" s="76" t="str">
        <x:f>IF('02_Form_Pluviometrie'!$L39="Validé humainement",'02_Form_Pluviometrie'!K39,"")</x:f>
      </x:c>
      <x:c r="L39" s="76" t="str">
        <x:f>IF('02_Form_Pluviometrie'!$L39="Validé humainement",'02_Form_Pluviometrie'!L39,"")</x:f>
      </x:c>
      <x:c r="M39" s="76" t="str">
        <x:f>IF('02_Form_Pluviometrie'!$L39="Validé humainement",'02_Form_Pluviometrie'!M39,"")</x:f>
      </x:c>
      <x:c r="N39" s="78" t="str">
        <x:f>IF('02_Form_Pluviometrie'!$L39="Validé humainement",'02_Form_Pluviometrie'!N39,"")</x:f>
      </x:c>
      <x:c r="O39" s="76" t="str">
        <x:f>IF('02_Form_Pluviometrie'!$L39="Validé humainement",'02_Form_Pluviometrie'!O39,"")</x:f>
      </x:c>
      <x:c r="P39" s="76" t="str">
        <x:f>IF('02_Form_Pluviometrie'!$L39="Validé humainement",'02_Form_Pluviometrie'!P39,"")</x:f>
      </x:c>
      <x:c r="Q39" s="76" t="str">
        <x:f>IF('02_Form_Pluviometrie'!$L39="Validé humainement",'02_Form_Pluviometrie'!Q39,"")</x:f>
      </x:c>
    </x:row>
    <x:row r="40">
      <x:c r="A40" s="76" t="str">
        <x:f>IF('02_Form_Pluviometrie'!$L40="Validé humainement",'02_Form_Pluviometrie'!A40,"")</x:f>
      </x:c>
      <x:c r="B40" s="78" t="str">
        <x:f>IF('02_Form_Pluviometrie'!$L40="Validé humainement",'02_Form_Pluviometrie'!B40,"")</x:f>
      </x:c>
      <x:c r="C40" s="76" t="str">
        <x:f>IF('02_Form_Pluviometrie'!$L40="Validé humainement",'02_Form_Pluviometrie'!C40,"")</x:f>
      </x:c>
      <x:c r="D40" s="76" t="str">
        <x:f>IF('02_Form_Pluviometrie'!$L40="Validé humainement",'02_Form_Pluviometrie'!D40,"")</x:f>
      </x:c>
      <x:c r="E40" s="76" t="str">
        <x:f>IF('02_Form_Pluviometrie'!$L40="Validé humainement",'02_Form_Pluviometrie'!E40,"")</x:f>
      </x:c>
      <x:c r="F40" s="76" t="str">
        <x:f>IF('02_Form_Pluviometrie'!$L40="Validé humainement",'02_Form_Pluviometrie'!F40,"")</x:f>
      </x:c>
      <x:c r="G40" s="80" t="str">
        <x:f>IF('02_Form_Pluviometrie'!$L40="Validé humainement",'02_Form_Pluviometrie'!G40,"")</x:f>
      </x:c>
      <x:c r="H40" s="76" t="str">
        <x:f>IF('02_Form_Pluviometrie'!$L40="Validé humainement",'02_Form_Pluviometrie'!H40,"")</x:f>
      </x:c>
      <x:c r="I40" s="76" t="str">
        <x:f>IF('02_Form_Pluviometrie'!$L40="Validé humainement",'02_Form_Pluviometrie'!I40,"")</x:f>
      </x:c>
      <x:c r="J40" s="76" t="str">
        <x:f>IF('02_Form_Pluviometrie'!$L40="Validé humainement",'02_Form_Pluviometrie'!J40,"")</x:f>
      </x:c>
      <x:c r="K40" s="76" t="str">
        <x:f>IF('02_Form_Pluviometrie'!$L40="Validé humainement",'02_Form_Pluviometrie'!K40,"")</x:f>
      </x:c>
      <x:c r="L40" s="76" t="str">
        <x:f>IF('02_Form_Pluviometrie'!$L40="Validé humainement",'02_Form_Pluviometrie'!L40,"")</x:f>
      </x:c>
      <x:c r="M40" s="76" t="str">
        <x:f>IF('02_Form_Pluviometrie'!$L40="Validé humainement",'02_Form_Pluviometrie'!M40,"")</x:f>
      </x:c>
      <x:c r="N40" s="78" t="str">
        <x:f>IF('02_Form_Pluviometrie'!$L40="Validé humainement",'02_Form_Pluviometrie'!N40,"")</x:f>
      </x:c>
      <x:c r="O40" s="76" t="str">
        <x:f>IF('02_Form_Pluviometrie'!$L40="Validé humainement",'02_Form_Pluviometrie'!O40,"")</x:f>
      </x:c>
      <x:c r="P40" s="76" t="str">
        <x:f>IF('02_Form_Pluviometrie'!$L40="Validé humainement",'02_Form_Pluviometrie'!P40,"")</x:f>
      </x:c>
      <x:c r="Q40" s="76" t="str">
        <x:f>IF('02_Form_Pluviometrie'!$L40="Validé humainement",'02_Form_Pluviometrie'!Q40,"")</x:f>
      </x:c>
    </x:row>
    <x:row r="41">
      <x:c r="A41" s="76" t="str">
        <x:f>IF('02_Form_Pluviometrie'!$L41="Validé humainement",'02_Form_Pluviometrie'!A41,"")</x:f>
      </x:c>
      <x:c r="B41" s="78" t="str">
        <x:f>IF('02_Form_Pluviometrie'!$L41="Validé humainement",'02_Form_Pluviometrie'!B41,"")</x:f>
      </x:c>
      <x:c r="C41" s="76" t="str">
        <x:f>IF('02_Form_Pluviometrie'!$L41="Validé humainement",'02_Form_Pluviometrie'!C41,"")</x:f>
      </x:c>
      <x:c r="D41" s="76" t="str">
        <x:f>IF('02_Form_Pluviometrie'!$L41="Validé humainement",'02_Form_Pluviometrie'!D41,"")</x:f>
      </x:c>
      <x:c r="E41" s="76" t="str">
        <x:f>IF('02_Form_Pluviometrie'!$L41="Validé humainement",'02_Form_Pluviometrie'!E41,"")</x:f>
      </x:c>
      <x:c r="F41" s="76" t="str">
        <x:f>IF('02_Form_Pluviometrie'!$L41="Validé humainement",'02_Form_Pluviometrie'!F41,"")</x:f>
      </x:c>
      <x:c r="G41" s="80" t="str">
        <x:f>IF('02_Form_Pluviometrie'!$L41="Validé humainement",'02_Form_Pluviometrie'!G41,"")</x:f>
      </x:c>
      <x:c r="H41" s="76" t="str">
        <x:f>IF('02_Form_Pluviometrie'!$L41="Validé humainement",'02_Form_Pluviometrie'!H41,"")</x:f>
      </x:c>
      <x:c r="I41" s="76" t="str">
        <x:f>IF('02_Form_Pluviometrie'!$L41="Validé humainement",'02_Form_Pluviometrie'!I41,"")</x:f>
      </x:c>
      <x:c r="J41" s="76" t="str">
        <x:f>IF('02_Form_Pluviometrie'!$L41="Validé humainement",'02_Form_Pluviometrie'!J41,"")</x:f>
      </x:c>
      <x:c r="K41" s="76" t="str">
        <x:f>IF('02_Form_Pluviometrie'!$L41="Validé humainement",'02_Form_Pluviometrie'!K41,"")</x:f>
      </x:c>
      <x:c r="L41" s="76" t="str">
        <x:f>IF('02_Form_Pluviometrie'!$L41="Validé humainement",'02_Form_Pluviometrie'!L41,"")</x:f>
      </x:c>
      <x:c r="M41" s="76" t="str">
        <x:f>IF('02_Form_Pluviometrie'!$L41="Validé humainement",'02_Form_Pluviometrie'!M41,"")</x:f>
      </x:c>
      <x:c r="N41" s="78" t="str">
        <x:f>IF('02_Form_Pluviometrie'!$L41="Validé humainement",'02_Form_Pluviometrie'!N41,"")</x:f>
      </x:c>
      <x:c r="O41" s="76" t="str">
        <x:f>IF('02_Form_Pluviometrie'!$L41="Validé humainement",'02_Form_Pluviometrie'!O41,"")</x:f>
      </x:c>
      <x:c r="P41" s="76" t="str">
        <x:f>IF('02_Form_Pluviometrie'!$L41="Validé humainement",'02_Form_Pluviometrie'!P41,"")</x:f>
      </x:c>
      <x:c r="Q41" s="76" t="str">
        <x:f>IF('02_Form_Pluviometrie'!$L41="Validé humainement",'02_Form_Pluviometrie'!Q41,"")</x:f>
      </x:c>
    </x:row>
    <x:row r="42">
      <x:c r="A42" s="76" t="str">
        <x:f>IF('02_Form_Pluviometrie'!$L42="Validé humainement",'02_Form_Pluviometrie'!A42,"")</x:f>
      </x:c>
      <x:c r="B42" s="78" t="str">
        <x:f>IF('02_Form_Pluviometrie'!$L42="Validé humainement",'02_Form_Pluviometrie'!B42,"")</x:f>
      </x:c>
      <x:c r="C42" s="76" t="str">
        <x:f>IF('02_Form_Pluviometrie'!$L42="Validé humainement",'02_Form_Pluviometrie'!C42,"")</x:f>
      </x:c>
      <x:c r="D42" s="76" t="str">
        <x:f>IF('02_Form_Pluviometrie'!$L42="Validé humainement",'02_Form_Pluviometrie'!D42,"")</x:f>
      </x:c>
      <x:c r="E42" s="76" t="str">
        <x:f>IF('02_Form_Pluviometrie'!$L42="Validé humainement",'02_Form_Pluviometrie'!E42,"")</x:f>
      </x:c>
      <x:c r="F42" s="76" t="str">
        <x:f>IF('02_Form_Pluviometrie'!$L42="Validé humainement",'02_Form_Pluviometrie'!F42,"")</x:f>
      </x:c>
      <x:c r="G42" s="80" t="str">
        <x:f>IF('02_Form_Pluviometrie'!$L42="Validé humainement",'02_Form_Pluviometrie'!G42,"")</x:f>
      </x:c>
      <x:c r="H42" s="76" t="str">
        <x:f>IF('02_Form_Pluviometrie'!$L42="Validé humainement",'02_Form_Pluviometrie'!H42,"")</x:f>
      </x:c>
      <x:c r="I42" s="76" t="str">
        <x:f>IF('02_Form_Pluviometrie'!$L42="Validé humainement",'02_Form_Pluviometrie'!I42,"")</x:f>
      </x:c>
      <x:c r="J42" s="76" t="str">
        <x:f>IF('02_Form_Pluviometrie'!$L42="Validé humainement",'02_Form_Pluviometrie'!J42,"")</x:f>
      </x:c>
      <x:c r="K42" s="76" t="str">
        <x:f>IF('02_Form_Pluviometrie'!$L42="Validé humainement",'02_Form_Pluviometrie'!K42,"")</x:f>
      </x:c>
      <x:c r="L42" s="76" t="str">
        <x:f>IF('02_Form_Pluviometrie'!$L42="Validé humainement",'02_Form_Pluviometrie'!L42,"")</x:f>
      </x:c>
      <x:c r="M42" s="76" t="str">
        <x:f>IF('02_Form_Pluviometrie'!$L42="Validé humainement",'02_Form_Pluviometrie'!M42,"")</x:f>
      </x:c>
      <x:c r="N42" s="78" t="str">
        <x:f>IF('02_Form_Pluviometrie'!$L42="Validé humainement",'02_Form_Pluviometrie'!N42,"")</x:f>
      </x:c>
      <x:c r="O42" s="76" t="str">
        <x:f>IF('02_Form_Pluviometrie'!$L42="Validé humainement",'02_Form_Pluviometrie'!O42,"")</x:f>
      </x:c>
      <x:c r="P42" s="76" t="str">
        <x:f>IF('02_Form_Pluviometrie'!$L42="Validé humainement",'02_Form_Pluviometrie'!P42,"")</x:f>
      </x:c>
      <x:c r="Q42" s="76" t="str">
        <x:f>IF('02_Form_Pluviometrie'!$L42="Validé humainement",'02_Form_Pluviometrie'!Q42,"")</x:f>
      </x:c>
    </x:row>
    <x:row r="43">
      <x:c r="A43" s="76" t="str">
        <x:f>IF('02_Form_Pluviometrie'!$L43="Validé humainement",'02_Form_Pluviometrie'!A43,"")</x:f>
      </x:c>
      <x:c r="B43" s="78" t="str">
        <x:f>IF('02_Form_Pluviometrie'!$L43="Validé humainement",'02_Form_Pluviometrie'!B43,"")</x:f>
      </x:c>
      <x:c r="C43" s="76" t="str">
        <x:f>IF('02_Form_Pluviometrie'!$L43="Validé humainement",'02_Form_Pluviometrie'!C43,"")</x:f>
      </x:c>
      <x:c r="D43" s="76" t="str">
        <x:f>IF('02_Form_Pluviometrie'!$L43="Validé humainement",'02_Form_Pluviometrie'!D43,"")</x:f>
      </x:c>
      <x:c r="E43" s="76" t="str">
        <x:f>IF('02_Form_Pluviometrie'!$L43="Validé humainement",'02_Form_Pluviometrie'!E43,"")</x:f>
      </x:c>
      <x:c r="F43" s="76" t="str">
        <x:f>IF('02_Form_Pluviometrie'!$L43="Validé humainement",'02_Form_Pluviometrie'!F43,"")</x:f>
      </x:c>
      <x:c r="G43" s="80" t="str">
        <x:f>IF('02_Form_Pluviometrie'!$L43="Validé humainement",'02_Form_Pluviometrie'!G43,"")</x:f>
      </x:c>
      <x:c r="H43" s="76" t="str">
        <x:f>IF('02_Form_Pluviometrie'!$L43="Validé humainement",'02_Form_Pluviometrie'!H43,"")</x:f>
      </x:c>
      <x:c r="I43" s="76" t="str">
        <x:f>IF('02_Form_Pluviometrie'!$L43="Validé humainement",'02_Form_Pluviometrie'!I43,"")</x:f>
      </x:c>
      <x:c r="J43" s="76" t="str">
        <x:f>IF('02_Form_Pluviometrie'!$L43="Validé humainement",'02_Form_Pluviometrie'!J43,"")</x:f>
      </x:c>
      <x:c r="K43" s="76" t="str">
        <x:f>IF('02_Form_Pluviometrie'!$L43="Validé humainement",'02_Form_Pluviometrie'!K43,"")</x:f>
      </x:c>
      <x:c r="L43" s="76" t="str">
        <x:f>IF('02_Form_Pluviometrie'!$L43="Validé humainement",'02_Form_Pluviometrie'!L43,"")</x:f>
      </x:c>
      <x:c r="M43" s="76" t="str">
        <x:f>IF('02_Form_Pluviometrie'!$L43="Validé humainement",'02_Form_Pluviometrie'!M43,"")</x:f>
      </x:c>
      <x:c r="N43" s="78" t="str">
        <x:f>IF('02_Form_Pluviometrie'!$L43="Validé humainement",'02_Form_Pluviometrie'!N43,"")</x:f>
      </x:c>
      <x:c r="O43" s="76" t="str">
        <x:f>IF('02_Form_Pluviometrie'!$L43="Validé humainement",'02_Form_Pluviometrie'!O43,"")</x:f>
      </x:c>
      <x:c r="P43" s="76" t="str">
        <x:f>IF('02_Form_Pluviometrie'!$L43="Validé humainement",'02_Form_Pluviometrie'!P43,"")</x:f>
      </x:c>
      <x:c r="Q43" s="76" t="str">
        <x:f>IF('02_Form_Pluviometrie'!$L43="Validé humainement",'02_Form_Pluviometrie'!Q43,"")</x:f>
      </x:c>
    </x:row>
    <x:row r="44">
      <x:c r="A44" s="76" t="str">
        <x:f>IF('02_Form_Pluviometrie'!$L44="Validé humainement",'02_Form_Pluviometrie'!A44,"")</x:f>
      </x:c>
      <x:c r="B44" s="78" t="str">
        <x:f>IF('02_Form_Pluviometrie'!$L44="Validé humainement",'02_Form_Pluviometrie'!B44,"")</x:f>
      </x:c>
      <x:c r="C44" s="76" t="str">
        <x:f>IF('02_Form_Pluviometrie'!$L44="Validé humainement",'02_Form_Pluviometrie'!C44,"")</x:f>
      </x:c>
      <x:c r="D44" s="76" t="str">
        <x:f>IF('02_Form_Pluviometrie'!$L44="Validé humainement",'02_Form_Pluviometrie'!D44,"")</x:f>
      </x:c>
      <x:c r="E44" s="76" t="str">
        <x:f>IF('02_Form_Pluviometrie'!$L44="Validé humainement",'02_Form_Pluviometrie'!E44,"")</x:f>
      </x:c>
      <x:c r="F44" s="76" t="str">
        <x:f>IF('02_Form_Pluviometrie'!$L44="Validé humainement",'02_Form_Pluviometrie'!F44,"")</x:f>
      </x:c>
      <x:c r="G44" s="80" t="str">
        <x:f>IF('02_Form_Pluviometrie'!$L44="Validé humainement",'02_Form_Pluviometrie'!G44,"")</x:f>
      </x:c>
      <x:c r="H44" s="76" t="str">
        <x:f>IF('02_Form_Pluviometrie'!$L44="Validé humainement",'02_Form_Pluviometrie'!H44,"")</x:f>
      </x:c>
      <x:c r="I44" s="76" t="str">
        <x:f>IF('02_Form_Pluviometrie'!$L44="Validé humainement",'02_Form_Pluviometrie'!I44,"")</x:f>
      </x:c>
      <x:c r="J44" s="76" t="str">
        <x:f>IF('02_Form_Pluviometrie'!$L44="Validé humainement",'02_Form_Pluviometrie'!J44,"")</x:f>
      </x:c>
      <x:c r="K44" s="76" t="str">
        <x:f>IF('02_Form_Pluviometrie'!$L44="Validé humainement",'02_Form_Pluviometrie'!K44,"")</x:f>
      </x:c>
      <x:c r="L44" s="76" t="str">
        <x:f>IF('02_Form_Pluviometrie'!$L44="Validé humainement",'02_Form_Pluviometrie'!L44,"")</x:f>
      </x:c>
      <x:c r="M44" s="76" t="str">
        <x:f>IF('02_Form_Pluviometrie'!$L44="Validé humainement",'02_Form_Pluviometrie'!M44,"")</x:f>
      </x:c>
      <x:c r="N44" s="78" t="str">
        <x:f>IF('02_Form_Pluviometrie'!$L44="Validé humainement",'02_Form_Pluviometrie'!N44,"")</x:f>
      </x:c>
      <x:c r="O44" s="76" t="str">
        <x:f>IF('02_Form_Pluviometrie'!$L44="Validé humainement",'02_Form_Pluviometrie'!O44,"")</x:f>
      </x:c>
      <x:c r="P44" s="76" t="str">
        <x:f>IF('02_Form_Pluviometrie'!$L44="Validé humainement",'02_Form_Pluviometrie'!P44,"")</x:f>
      </x:c>
      <x:c r="Q44" s="76" t="str">
        <x:f>IF('02_Form_Pluviometrie'!$L44="Validé humainement",'02_Form_Pluviometrie'!Q44,"")</x:f>
      </x:c>
    </x:row>
    <x:row r="45">
      <x:c r="A45" s="76" t="str">
        <x:f>IF('02_Form_Pluviometrie'!$L45="Validé humainement",'02_Form_Pluviometrie'!A45,"")</x:f>
      </x:c>
      <x:c r="B45" s="78" t="str">
        <x:f>IF('02_Form_Pluviometrie'!$L45="Validé humainement",'02_Form_Pluviometrie'!B45,"")</x:f>
      </x:c>
      <x:c r="C45" s="76" t="str">
        <x:f>IF('02_Form_Pluviometrie'!$L45="Validé humainement",'02_Form_Pluviometrie'!C45,"")</x:f>
      </x:c>
      <x:c r="D45" s="76" t="str">
        <x:f>IF('02_Form_Pluviometrie'!$L45="Validé humainement",'02_Form_Pluviometrie'!D45,"")</x:f>
      </x:c>
      <x:c r="E45" s="76" t="str">
        <x:f>IF('02_Form_Pluviometrie'!$L45="Validé humainement",'02_Form_Pluviometrie'!E45,"")</x:f>
      </x:c>
      <x:c r="F45" s="76" t="str">
        <x:f>IF('02_Form_Pluviometrie'!$L45="Validé humainement",'02_Form_Pluviometrie'!F45,"")</x:f>
      </x:c>
      <x:c r="G45" s="80" t="str">
        <x:f>IF('02_Form_Pluviometrie'!$L45="Validé humainement",'02_Form_Pluviometrie'!G45,"")</x:f>
      </x:c>
      <x:c r="H45" s="76" t="str">
        <x:f>IF('02_Form_Pluviometrie'!$L45="Validé humainement",'02_Form_Pluviometrie'!H45,"")</x:f>
      </x:c>
      <x:c r="I45" s="76" t="str">
        <x:f>IF('02_Form_Pluviometrie'!$L45="Validé humainement",'02_Form_Pluviometrie'!I45,"")</x:f>
      </x:c>
      <x:c r="J45" s="76" t="str">
        <x:f>IF('02_Form_Pluviometrie'!$L45="Validé humainement",'02_Form_Pluviometrie'!J45,"")</x:f>
      </x:c>
      <x:c r="K45" s="76" t="str">
        <x:f>IF('02_Form_Pluviometrie'!$L45="Validé humainement",'02_Form_Pluviometrie'!K45,"")</x:f>
      </x:c>
      <x:c r="L45" s="76" t="str">
        <x:f>IF('02_Form_Pluviometrie'!$L45="Validé humainement",'02_Form_Pluviometrie'!L45,"")</x:f>
      </x:c>
      <x:c r="M45" s="76" t="str">
        <x:f>IF('02_Form_Pluviometrie'!$L45="Validé humainement",'02_Form_Pluviometrie'!M45,"")</x:f>
      </x:c>
      <x:c r="N45" s="78" t="str">
        <x:f>IF('02_Form_Pluviometrie'!$L45="Validé humainement",'02_Form_Pluviometrie'!N45,"")</x:f>
      </x:c>
      <x:c r="O45" s="76" t="str">
        <x:f>IF('02_Form_Pluviometrie'!$L45="Validé humainement",'02_Form_Pluviometrie'!O45,"")</x:f>
      </x:c>
      <x:c r="P45" s="76" t="str">
        <x:f>IF('02_Form_Pluviometrie'!$L45="Validé humainement",'02_Form_Pluviometrie'!P45,"")</x:f>
      </x:c>
      <x:c r="Q45" s="76" t="str">
        <x:f>IF('02_Form_Pluviometrie'!$L45="Validé humainement",'02_Form_Pluviometrie'!Q45,"")</x:f>
      </x:c>
    </x:row>
    <x:row r="46">
      <x:c r="A46" s="76" t="str">
        <x:f>IF('02_Form_Pluviometrie'!$L46="Validé humainement",'02_Form_Pluviometrie'!A46,"")</x:f>
      </x:c>
      <x:c r="B46" s="78" t="str">
        <x:f>IF('02_Form_Pluviometrie'!$L46="Validé humainement",'02_Form_Pluviometrie'!B46,"")</x:f>
      </x:c>
      <x:c r="C46" s="76" t="str">
        <x:f>IF('02_Form_Pluviometrie'!$L46="Validé humainement",'02_Form_Pluviometrie'!C46,"")</x:f>
      </x:c>
      <x:c r="D46" s="76" t="str">
        <x:f>IF('02_Form_Pluviometrie'!$L46="Validé humainement",'02_Form_Pluviometrie'!D46,"")</x:f>
      </x:c>
      <x:c r="E46" s="76" t="str">
        <x:f>IF('02_Form_Pluviometrie'!$L46="Validé humainement",'02_Form_Pluviometrie'!E46,"")</x:f>
      </x:c>
      <x:c r="F46" s="76" t="str">
        <x:f>IF('02_Form_Pluviometrie'!$L46="Validé humainement",'02_Form_Pluviometrie'!F46,"")</x:f>
      </x:c>
      <x:c r="G46" s="80" t="str">
        <x:f>IF('02_Form_Pluviometrie'!$L46="Validé humainement",'02_Form_Pluviometrie'!G46,"")</x:f>
      </x:c>
      <x:c r="H46" s="76" t="str">
        <x:f>IF('02_Form_Pluviometrie'!$L46="Validé humainement",'02_Form_Pluviometrie'!H46,"")</x:f>
      </x:c>
      <x:c r="I46" s="76" t="str">
        <x:f>IF('02_Form_Pluviometrie'!$L46="Validé humainement",'02_Form_Pluviometrie'!I46,"")</x:f>
      </x:c>
      <x:c r="J46" s="76" t="str">
        <x:f>IF('02_Form_Pluviometrie'!$L46="Validé humainement",'02_Form_Pluviometrie'!J46,"")</x:f>
      </x:c>
      <x:c r="K46" s="76" t="str">
        <x:f>IF('02_Form_Pluviometrie'!$L46="Validé humainement",'02_Form_Pluviometrie'!K46,"")</x:f>
      </x:c>
      <x:c r="L46" s="76" t="str">
        <x:f>IF('02_Form_Pluviometrie'!$L46="Validé humainement",'02_Form_Pluviometrie'!L46,"")</x:f>
      </x:c>
      <x:c r="M46" s="76" t="str">
        <x:f>IF('02_Form_Pluviometrie'!$L46="Validé humainement",'02_Form_Pluviometrie'!M46,"")</x:f>
      </x:c>
      <x:c r="N46" s="78" t="str">
        <x:f>IF('02_Form_Pluviometrie'!$L46="Validé humainement",'02_Form_Pluviometrie'!N46,"")</x:f>
      </x:c>
      <x:c r="O46" s="76" t="str">
        <x:f>IF('02_Form_Pluviometrie'!$L46="Validé humainement",'02_Form_Pluviometrie'!O46,"")</x:f>
      </x:c>
      <x:c r="P46" s="76" t="str">
        <x:f>IF('02_Form_Pluviometrie'!$L46="Validé humainement",'02_Form_Pluviometrie'!P46,"")</x:f>
      </x:c>
      <x:c r="Q46" s="76" t="str">
        <x:f>IF('02_Form_Pluviometrie'!$L46="Validé humainement",'02_Form_Pluviometrie'!Q46,"")</x:f>
      </x:c>
    </x:row>
    <x:row r="47">
      <x:c r="A47" s="76" t="str">
        <x:f>IF('02_Form_Pluviometrie'!$L47="Validé humainement",'02_Form_Pluviometrie'!A47,"")</x:f>
      </x:c>
      <x:c r="B47" s="78" t="str">
        <x:f>IF('02_Form_Pluviometrie'!$L47="Validé humainement",'02_Form_Pluviometrie'!B47,"")</x:f>
      </x:c>
      <x:c r="C47" s="76" t="str">
        <x:f>IF('02_Form_Pluviometrie'!$L47="Validé humainement",'02_Form_Pluviometrie'!C47,"")</x:f>
      </x:c>
      <x:c r="D47" s="76" t="str">
        <x:f>IF('02_Form_Pluviometrie'!$L47="Validé humainement",'02_Form_Pluviometrie'!D47,"")</x:f>
      </x:c>
      <x:c r="E47" s="76" t="str">
        <x:f>IF('02_Form_Pluviometrie'!$L47="Validé humainement",'02_Form_Pluviometrie'!E47,"")</x:f>
      </x:c>
      <x:c r="F47" s="76" t="str">
        <x:f>IF('02_Form_Pluviometrie'!$L47="Validé humainement",'02_Form_Pluviometrie'!F47,"")</x:f>
      </x:c>
      <x:c r="G47" s="80" t="str">
        <x:f>IF('02_Form_Pluviometrie'!$L47="Validé humainement",'02_Form_Pluviometrie'!G47,"")</x:f>
      </x:c>
      <x:c r="H47" s="76" t="str">
        <x:f>IF('02_Form_Pluviometrie'!$L47="Validé humainement",'02_Form_Pluviometrie'!H47,"")</x:f>
      </x:c>
      <x:c r="I47" s="76" t="str">
        <x:f>IF('02_Form_Pluviometrie'!$L47="Validé humainement",'02_Form_Pluviometrie'!I47,"")</x:f>
      </x:c>
      <x:c r="J47" s="76" t="str">
        <x:f>IF('02_Form_Pluviometrie'!$L47="Validé humainement",'02_Form_Pluviometrie'!J47,"")</x:f>
      </x:c>
      <x:c r="K47" s="76" t="str">
        <x:f>IF('02_Form_Pluviometrie'!$L47="Validé humainement",'02_Form_Pluviometrie'!K47,"")</x:f>
      </x:c>
      <x:c r="L47" s="76" t="str">
        <x:f>IF('02_Form_Pluviometrie'!$L47="Validé humainement",'02_Form_Pluviometrie'!L47,"")</x:f>
      </x:c>
      <x:c r="M47" s="76" t="str">
        <x:f>IF('02_Form_Pluviometrie'!$L47="Validé humainement",'02_Form_Pluviometrie'!M47,"")</x:f>
      </x:c>
      <x:c r="N47" s="78" t="str">
        <x:f>IF('02_Form_Pluviometrie'!$L47="Validé humainement",'02_Form_Pluviometrie'!N47,"")</x:f>
      </x:c>
      <x:c r="O47" s="76" t="str">
        <x:f>IF('02_Form_Pluviometrie'!$L47="Validé humainement",'02_Form_Pluviometrie'!O47,"")</x:f>
      </x:c>
      <x:c r="P47" s="76" t="str">
        <x:f>IF('02_Form_Pluviometrie'!$L47="Validé humainement",'02_Form_Pluviometrie'!P47,"")</x:f>
      </x:c>
      <x:c r="Q47" s="76" t="str">
        <x:f>IF('02_Form_Pluviometrie'!$L47="Validé humainement",'02_Form_Pluviometrie'!Q47,"")</x:f>
      </x:c>
    </x:row>
    <x:row r="48">
      <x:c r="A48" s="76" t="str">
        <x:f>IF('02_Form_Pluviometrie'!$L48="Validé humainement",'02_Form_Pluviometrie'!A48,"")</x:f>
      </x:c>
      <x:c r="B48" s="78" t="str">
        <x:f>IF('02_Form_Pluviometrie'!$L48="Validé humainement",'02_Form_Pluviometrie'!B48,"")</x:f>
      </x:c>
      <x:c r="C48" s="76" t="str">
        <x:f>IF('02_Form_Pluviometrie'!$L48="Validé humainement",'02_Form_Pluviometrie'!C48,"")</x:f>
      </x:c>
      <x:c r="D48" s="76" t="str">
        <x:f>IF('02_Form_Pluviometrie'!$L48="Validé humainement",'02_Form_Pluviometrie'!D48,"")</x:f>
      </x:c>
      <x:c r="E48" s="76" t="str">
        <x:f>IF('02_Form_Pluviometrie'!$L48="Validé humainement",'02_Form_Pluviometrie'!E48,"")</x:f>
      </x:c>
      <x:c r="F48" s="76" t="str">
        <x:f>IF('02_Form_Pluviometrie'!$L48="Validé humainement",'02_Form_Pluviometrie'!F48,"")</x:f>
      </x:c>
      <x:c r="G48" s="80" t="str">
        <x:f>IF('02_Form_Pluviometrie'!$L48="Validé humainement",'02_Form_Pluviometrie'!G48,"")</x:f>
      </x:c>
      <x:c r="H48" s="76" t="str">
        <x:f>IF('02_Form_Pluviometrie'!$L48="Validé humainement",'02_Form_Pluviometrie'!H48,"")</x:f>
      </x:c>
      <x:c r="I48" s="76" t="str">
        <x:f>IF('02_Form_Pluviometrie'!$L48="Validé humainement",'02_Form_Pluviometrie'!I48,"")</x:f>
      </x:c>
      <x:c r="J48" s="76" t="str">
        <x:f>IF('02_Form_Pluviometrie'!$L48="Validé humainement",'02_Form_Pluviometrie'!J48,"")</x:f>
      </x:c>
      <x:c r="K48" s="76" t="str">
        <x:f>IF('02_Form_Pluviometrie'!$L48="Validé humainement",'02_Form_Pluviometrie'!K48,"")</x:f>
      </x:c>
      <x:c r="L48" s="76" t="str">
        <x:f>IF('02_Form_Pluviometrie'!$L48="Validé humainement",'02_Form_Pluviometrie'!L48,"")</x:f>
      </x:c>
      <x:c r="M48" s="76" t="str">
        <x:f>IF('02_Form_Pluviometrie'!$L48="Validé humainement",'02_Form_Pluviometrie'!M48,"")</x:f>
      </x:c>
      <x:c r="N48" s="78" t="str">
        <x:f>IF('02_Form_Pluviometrie'!$L48="Validé humainement",'02_Form_Pluviometrie'!N48,"")</x:f>
      </x:c>
      <x:c r="O48" s="76" t="str">
        <x:f>IF('02_Form_Pluviometrie'!$L48="Validé humainement",'02_Form_Pluviometrie'!O48,"")</x:f>
      </x:c>
      <x:c r="P48" s="76" t="str">
        <x:f>IF('02_Form_Pluviometrie'!$L48="Validé humainement",'02_Form_Pluviometrie'!P48,"")</x:f>
      </x:c>
      <x:c r="Q48" s="76" t="str">
        <x:f>IF('02_Form_Pluviometrie'!$L48="Validé humainement",'02_Form_Pluviometrie'!Q48,"")</x:f>
      </x:c>
    </x:row>
    <x:row r="49">
      <x:c r="A49" s="76" t="str">
        <x:f>IF('02_Form_Pluviometrie'!$L49="Validé humainement",'02_Form_Pluviometrie'!A49,"")</x:f>
      </x:c>
      <x:c r="B49" s="78" t="str">
        <x:f>IF('02_Form_Pluviometrie'!$L49="Validé humainement",'02_Form_Pluviometrie'!B49,"")</x:f>
      </x:c>
      <x:c r="C49" s="76" t="str">
        <x:f>IF('02_Form_Pluviometrie'!$L49="Validé humainement",'02_Form_Pluviometrie'!C49,"")</x:f>
      </x:c>
      <x:c r="D49" s="76" t="str">
        <x:f>IF('02_Form_Pluviometrie'!$L49="Validé humainement",'02_Form_Pluviometrie'!D49,"")</x:f>
      </x:c>
      <x:c r="E49" s="76" t="str">
        <x:f>IF('02_Form_Pluviometrie'!$L49="Validé humainement",'02_Form_Pluviometrie'!E49,"")</x:f>
      </x:c>
      <x:c r="F49" s="76" t="str">
        <x:f>IF('02_Form_Pluviometrie'!$L49="Validé humainement",'02_Form_Pluviometrie'!F49,"")</x:f>
      </x:c>
      <x:c r="G49" s="80" t="str">
        <x:f>IF('02_Form_Pluviometrie'!$L49="Validé humainement",'02_Form_Pluviometrie'!G49,"")</x:f>
      </x:c>
      <x:c r="H49" s="76" t="str">
        <x:f>IF('02_Form_Pluviometrie'!$L49="Validé humainement",'02_Form_Pluviometrie'!H49,"")</x:f>
      </x:c>
      <x:c r="I49" s="76" t="str">
        <x:f>IF('02_Form_Pluviometrie'!$L49="Validé humainement",'02_Form_Pluviometrie'!I49,"")</x:f>
      </x:c>
      <x:c r="J49" s="76" t="str">
        <x:f>IF('02_Form_Pluviometrie'!$L49="Validé humainement",'02_Form_Pluviometrie'!J49,"")</x:f>
      </x:c>
      <x:c r="K49" s="76" t="str">
        <x:f>IF('02_Form_Pluviometrie'!$L49="Validé humainement",'02_Form_Pluviometrie'!K49,"")</x:f>
      </x:c>
      <x:c r="L49" s="76" t="str">
        <x:f>IF('02_Form_Pluviometrie'!$L49="Validé humainement",'02_Form_Pluviometrie'!L49,"")</x:f>
      </x:c>
      <x:c r="M49" s="76" t="str">
        <x:f>IF('02_Form_Pluviometrie'!$L49="Validé humainement",'02_Form_Pluviometrie'!M49,"")</x:f>
      </x:c>
      <x:c r="N49" s="78" t="str">
        <x:f>IF('02_Form_Pluviometrie'!$L49="Validé humainement",'02_Form_Pluviometrie'!N49,"")</x:f>
      </x:c>
      <x:c r="O49" s="76" t="str">
        <x:f>IF('02_Form_Pluviometrie'!$L49="Validé humainement",'02_Form_Pluviometrie'!O49,"")</x:f>
      </x:c>
      <x:c r="P49" s="76" t="str">
        <x:f>IF('02_Form_Pluviometrie'!$L49="Validé humainement",'02_Form_Pluviometrie'!P49,"")</x:f>
      </x:c>
      <x:c r="Q49" s="76" t="str">
        <x:f>IF('02_Form_Pluviometrie'!$L49="Validé humainement",'02_Form_Pluviometrie'!Q49,"")</x:f>
      </x:c>
    </x:row>
    <x:row r="50">
      <x:c r="A50" s="76" t="str">
        <x:f>IF('02_Form_Pluviometrie'!$L50="Validé humainement",'02_Form_Pluviometrie'!A50,"")</x:f>
      </x:c>
      <x:c r="B50" s="78" t="str">
        <x:f>IF('02_Form_Pluviometrie'!$L50="Validé humainement",'02_Form_Pluviometrie'!B50,"")</x:f>
      </x:c>
      <x:c r="C50" s="76" t="str">
        <x:f>IF('02_Form_Pluviometrie'!$L50="Validé humainement",'02_Form_Pluviometrie'!C50,"")</x:f>
      </x:c>
      <x:c r="D50" s="76" t="str">
        <x:f>IF('02_Form_Pluviometrie'!$L50="Validé humainement",'02_Form_Pluviometrie'!D50,"")</x:f>
      </x:c>
      <x:c r="E50" s="76" t="str">
        <x:f>IF('02_Form_Pluviometrie'!$L50="Validé humainement",'02_Form_Pluviometrie'!E50,"")</x:f>
      </x:c>
      <x:c r="F50" s="76" t="str">
        <x:f>IF('02_Form_Pluviometrie'!$L50="Validé humainement",'02_Form_Pluviometrie'!F50,"")</x:f>
      </x:c>
      <x:c r="G50" s="80" t="str">
        <x:f>IF('02_Form_Pluviometrie'!$L50="Validé humainement",'02_Form_Pluviometrie'!G50,"")</x:f>
      </x:c>
      <x:c r="H50" s="76" t="str">
        <x:f>IF('02_Form_Pluviometrie'!$L50="Validé humainement",'02_Form_Pluviometrie'!H50,"")</x:f>
      </x:c>
      <x:c r="I50" s="76" t="str">
        <x:f>IF('02_Form_Pluviometrie'!$L50="Validé humainement",'02_Form_Pluviometrie'!I50,"")</x:f>
      </x:c>
      <x:c r="J50" s="76" t="str">
        <x:f>IF('02_Form_Pluviometrie'!$L50="Validé humainement",'02_Form_Pluviometrie'!J50,"")</x:f>
      </x:c>
      <x:c r="K50" s="76" t="str">
        <x:f>IF('02_Form_Pluviometrie'!$L50="Validé humainement",'02_Form_Pluviometrie'!K50,"")</x:f>
      </x:c>
      <x:c r="L50" s="76" t="str">
        <x:f>IF('02_Form_Pluviometrie'!$L50="Validé humainement",'02_Form_Pluviometrie'!L50,"")</x:f>
      </x:c>
      <x:c r="M50" s="76" t="str">
        <x:f>IF('02_Form_Pluviometrie'!$L50="Validé humainement",'02_Form_Pluviometrie'!M50,"")</x:f>
      </x:c>
      <x:c r="N50" s="78" t="str">
        <x:f>IF('02_Form_Pluviometrie'!$L50="Validé humainement",'02_Form_Pluviometrie'!N50,"")</x:f>
      </x:c>
      <x:c r="O50" s="76" t="str">
        <x:f>IF('02_Form_Pluviometrie'!$L50="Validé humainement",'02_Form_Pluviometrie'!O50,"")</x:f>
      </x:c>
      <x:c r="P50" s="76" t="str">
        <x:f>IF('02_Form_Pluviometrie'!$L50="Validé humainement",'02_Form_Pluviometrie'!P50,"")</x:f>
      </x:c>
      <x:c r="Q50" s="76" t="str">
        <x:f>IF('02_Form_Pluviometrie'!$L50="Validé humainement",'02_Form_Pluviometrie'!Q50,"")</x:f>
      </x:c>
    </x:row>
    <x:row r="51">
      <x:c r="A51" s="76" t="str">
        <x:f>IF('02_Form_Pluviometrie'!$L51="Validé humainement",'02_Form_Pluviometrie'!A51,"")</x:f>
      </x:c>
      <x:c r="B51" s="78" t="str">
        <x:f>IF('02_Form_Pluviometrie'!$L51="Validé humainement",'02_Form_Pluviometrie'!B51,"")</x:f>
      </x:c>
      <x:c r="C51" s="76" t="str">
        <x:f>IF('02_Form_Pluviometrie'!$L51="Validé humainement",'02_Form_Pluviometrie'!C51,"")</x:f>
      </x:c>
      <x:c r="D51" s="76" t="str">
        <x:f>IF('02_Form_Pluviometrie'!$L51="Validé humainement",'02_Form_Pluviometrie'!D51,"")</x:f>
      </x:c>
      <x:c r="E51" s="76" t="str">
        <x:f>IF('02_Form_Pluviometrie'!$L51="Validé humainement",'02_Form_Pluviometrie'!E51,"")</x:f>
      </x:c>
      <x:c r="F51" s="76" t="str">
        <x:f>IF('02_Form_Pluviometrie'!$L51="Validé humainement",'02_Form_Pluviometrie'!F51,"")</x:f>
      </x:c>
      <x:c r="G51" s="80" t="str">
        <x:f>IF('02_Form_Pluviometrie'!$L51="Validé humainement",'02_Form_Pluviometrie'!G51,"")</x:f>
      </x:c>
      <x:c r="H51" s="76" t="str">
        <x:f>IF('02_Form_Pluviometrie'!$L51="Validé humainement",'02_Form_Pluviometrie'!H51,"")</x:f>
      </x:c>
      <x:c r="I51" s="76" t="str">
        <x:f>IF('02_Form_Pluviometrie'!$L51="Validé humainement",'02_Form_Pluviometrie'!I51,"")</x:f>
      </x:c>
      <x:c r="J51" s="76" t="str">
        <x:f>IF('02_Form_Pluviometrie'!$L51="Validé humainement",'02_Form_Pluviometrie'!J51,"")</x:f>
      </x:c>
      <x:c r="K51" s="76" t="str">
        <x:f>IF('02_Form_Pluviometrie'!$L51="Validé humainement",'02_Form_Pluviometrie'!K51,"")</x:f>
      </x:c>
      <x:c r="L51" s="76" t="str">
        <x:f>IF('02_Form_Pluviometrie'!$L51="Validé humainement",'02_Form_Pluviometrie'!L51,"")</x:f>
      </x:c>
      <x:c r="M51" s="76" t="str">
        <x:f>IF('02_Form_Pluviometrie'!$L51="Validé humainement",'02_Form_Pluviometrie'!M51,"")</x:f>
      </x:c>
      <x:c r="N51" s="78" t="str">
        <x:f>IF('02_Form_Pluviometrie'!$L51="Validé humainement",'02_Form_Pluviometrie'!N51,"")</x:f>
      </x:c>
      <x:c r="O51" s="76" t="str">
        <x:f>IF('02_Form_Pluviometrie'!$L51="Validé humainement",'02_Form_Pluviometrie'!O51,"")</x:f>
      </x:c>
      <x:c r="P51" s="76" t="str">
        <x:f>IF('02_Form_Pluviometrie'!$L51="Validé humainement",'02_Form_Pluviometrie'!P51,"")</x:f>
      </x:c>
      <x:c r="Q51" s="76" t="str">
        <x:f>IF('02_Form_Pluviometrie'!$L51="Validé humainement",'02_Form_Pluviometrie'!Q51,"")</x:f>
      </x:c>
    </x:row>
    <x:row r="52">
      <x:c r="A52" s="76" t="str">
        <x:f>IF('02_Form_Pluviometrie'!$L52="Validé humainement",'02_Form_Pluviometrie'!A52,"")</x:f>
      </x:c>
      <x:c r="B52" s="78" t="str">
        <x:f>IF('02_Form_Pluviometrie'!$L52="Validé humainement",'02_Form_Pluviometrie'!B52,"")</x:f>
      </x:c>
      <x:c r="C52" s="76" t="str">
        <x:f>IF('02_Form_Pluviometrie'!$L52="Validé humainement",'02_Form_Pluviometrie'!C52,"")</x:f>
      </x:c>
      <x:c r="D52" s="76" t="str">
        <x:f>IF('02_Form_Pluviometrie'!$L52="Validé humainement",'02_Form_Pluviometrie'!D52,"")</x:f>
      </x:c>
      <x:c r="E52" s="76" t="str">
        <x:f>IF('02_Form_Pluviometrie'!$L52="Validé humainement",'02_Form_Pluviometrie'!E52,"")</x:f>
      </x:c>
      <x:c r="F52" s="76" t="str">
        <x:f>IF('02_Form_Pluviometrie'!$L52="Validé humainement",'02_Form_Pluviometrie'!F52,"")</x:f>
      </x:c>
      <x:c r="G52" s="80" t="str">
        <x:f>IF('02_Form_Pluviometrie'!$L52="Validé humainement",'02_Form_Pluviometrie'!G52,"")</x:f>
      </x:c>
      <x:c r="H52" s="76" t="str">
        <x:f>IF('02_Form_Pluviometrie'!$L52="Validé humainement",'02_Form_Pluviometrie'!H52,"")</x:f>
      </x:c>
      <x:c r="I52" s="76" t="str">
        <x:f>IF('02_Form_Pluviometrie'!$L52="Validé humainement",'02_Form_Pluviometrie'!I52,"")</x:f>
      </x:c>
      <x:c r="J52" s="76" t="str">
        <x:f>IF('02_Form_Pluviometrie'!$L52="Validé humainement",'02_Form_Pluviometrie'!J52,"")</x:f>
      </x:c>
      <x:c r="K52" s="76" t="str">
        <x:f>IF('02_Form_Pluviometrie'!$L52="Validé humainement",'02_Form_Pluviometrie'!K52,"")</x:f>
      </x:c>
      <x:c r="L52" s="76" t="str">
        <x:f>IF('02_Form_Pluviometrie'!$L52="Validé humainement",'02_Form_Pluviometrie'!L52,"")</x:f>
      </x:c>
      <x:c r="M52" s="76" t="str">
        <x:f>IF('02_Form_Pluviometrie'!$L52="Validé humainement",'02_Form_Pluviometrie'!M52,"")</x:f>
      </x:c>
      <x:c r="N52" s="78" t="str">
        <x:f>IF('02_Form_Pluviometrie'!$L52="Validé humainement",'02_Form_Pluviometrie'!N52,"")</x:f>
      </x:c>
      <x:c r="O52" s="76" t="str">
        <x:f>IF('02_Form_Pluviometrie'!$L52="Validé humainement",'02_Form_Pluviometrie'!O52,"")</x:f>
      </x:c>
      <x:c r="P52" s="76" t="str">
        <x:f>IF('02_Form_Pluviometrie'!$L52="Validé humainement",'02_Form_Pluviometrie'!P52,"")</x:f>
      </x:c>
      <x:c r="Q52" s="76" t="str">
        <x:f>IF('02_Form_Pluviometrie'!$L52="Validé humainement",'02_Form_Pluviometrie'!Q52,"")</x:f>
      </x:c>
    </x:row>
    <x:row r="53">
      <x:c r="A53" s="76" t="str">
        <x:f>IF('02_Form_Pluviometrie'!$L53="Validé humainement",'02_Form_Pluviometrie'!A53,"")</x:f>
      </x:c>
      <x:c r="B53" s="78" t="str">
        <x:f>IF('02_Form_Pluviometrie'!$L53="Validé humainement",'02_Form_Pluviometrie'!B53,"")</x:f>
      </x:c>
      <x:c r="C53" s="76" t="str">
        <x:f>IF('02_Form_Pluviometrie'!$L53="Validé humainement",'02_Form_Pluviometrie'!C53,"")</x:f>
      </x:c>
      <x:c r="D53" s="76" t="str">
        <x:f>IF('02_Form_Pluviometrie'!$L53="Validé humainement",'02_Form_Pluviometrie'!D53,"")</x:f>
      </x:c>
      <x:c r="E53" s="76" t="str">
        <x:f>IF('02_Form_Pluviometrie'!$L53="Validé humainement",'02_Form_Pluviometrie'!E53,"")</x:f>
      </x:c>
      <x:c r="F53" s="76" t="str">
        <x:f>IF('02_Form_Pluviometrie'!$L53="Validé humainement",'02_Form_Pluviometrie'!F53,"")</x:f>
      </x:c>
      <x:c r="G53" s="80" t="str">
        <x:f>IF('02_Form_Pluviometrie'!$L53="Validé humainement",'02_Form_Pluviometrie'!G53,"")</x:f>
      </x:c>
      <x:c r="H53" s="76" t="str">
        <x:f>IF('02_Form_Pluviometrie'!$L53="Validé humainement",'02_Form_Pluviometrie'!H53,"")</x:f>
      </x:c>
      <x:c r="I53" s="76" t="str">
        <x:f>IF('02_Form_Pluviometrie'!$L53="Validé humainement",'02_Form_Pluviometrie'!I53,"")</x:f>
      </x:c>
      <x:c r="J53" s="76" t="str">
        <x:f>IF('02_Form_Pluviometrie'!$L53="Validé humainement",'02_Form_Pluviometrie'!J53,"")</x:f>
      </x:c>
      <x:c r="K53" s="76" t="str">
        <x:f>IF('02_Form_Pluviometrie'!$L53="Validé humainement",'02_Form_Pluviometrie'!K53,"")</x:f>
      </x:c>
      <x:c r="L53" s="76" t="str">
        <x:f>IF('02_Form_Pluviometrie'!$L53="Validé humainement",'02_Form_Pluviometrie'!L53,"")</x:f>
      </x:c>
      <x:c r="M53" s="76" t="str">
        <x:f>IF('02_Form_Pluviometrie'!$L53="Validé humainement",'02_Form_Pluviometrie'!M53,"")</x:f>
      </x:c>
      <x:c r="N53" s="78" t="str">
        <x:f>IF('02_Form_Pluviometrie'!$L53="Validé humainement",'02_Form_Pluviometrie'!N53,"")</x:f>
      </x:c>
      <x:c r="O53" s="76" t="str">
        <x:f>IF('02_Form_Pluviometrie'!$L53="Validé humainement",'02_Form_Pluviometrie'!O53,"")</x:f>
      </x:c>
      <x:c r="P53" s="76" t="str">
        <x:f>IF('02_Form_Pluviometrie'!$L53="Validé humainement",'02_Form_Pluviometrie'!P53,"")</x:f>
      </x:c>
      <x:c r="Q53" s="76" t="str">
        <x:f>IF('02_Form_Pluviometrie'!$L53="Validé humainement",'02_Form_Pluviometrie'!Q53,"")</x:f>
      </x:c>
    </x:row>
    <x:row r="54">
      <x:c r="A54" s="76" t="str">
        <x:f>IF('02_Form_Pluviometrie'!$L54="Validé humainement",'02_Form_Pluviometrie'!A54,"")</x:f>
      </x:c>
      <x:c r="B54" s="78" t="str">
        <x:f>IF('02_Form_Pluviometrie'!$L54="Validé humainement",'02_Form_Pluviometrie'!B54,"")</x:f>
      </x:c>
      <x:c r="C54" s="76" t="str">
        <x:f>IF('02_Form_Pluviometrie'!$L54="Validé humainement",'02_Form_Pluviometrie'!C54,"")</x:f>
      </x:c>
      <x:c r="D54" s="76" t="str">
        <x:f>IF('02_Form_Pluviometrie'!$L54="Validé humainement",'02_Form_Pluviometrie'!D54,"")</x:f>
      </x:c>
      <x:c r="E54" s="76" t="str">
        <x:f>IF('02_Form_Pluviometrie'!$L54="Validé humainement",'02_Form_Pluviometrie'!E54,"")</x:f>
      </x:c>
      <x:c r="F54" s="76" t="str">
        <x:f>IF('02_Form_Pluviometrie'!$L54="Validé humainement",'02_Form_Pluviometrie'!F54,"")</x:f>
      </x:c>
      <x:c r="G54" s="80" t="str">
        <x:f>IF('02_Form_Pluviometrie'!$L54="Validé humainement",'02_Form_Pluviometrie'!G54,"")</x:f>
      </x:c>
      <x:c r="H54" s="76" t="str">
        <x:f>IF('02_Form_Pluviometrie'!$L54="Validé humainement",'02_Form_Pluviometrie'!H54,"")</x:f>
      </x:c>
      <x:c r="I54" s="76" t="str">
        <x:f>IF('02_Form_Pluviometrie'!$L54="Validé humainement",'02_Form_Pluviometrie'!I54,"")</x:f>
      </x:c>
      <x:c r="J54" s="76" t="str">
        <x:f>IF('02_Form_Pluviometrie'!$L54="Validé humainement",'02_Form_Pluviometrie'!J54,"")</x:f>
      </x:c>
      <x:c r="K54" s="76" t="str">
        <x:f>IF('02_Form_Pluviometrie'!$L54="Validé humainement",'02_Form_Pluviometrie'!K54,"")</x:f>
      </x:c>
      <x:c r="L54" s="76" t="str">
        <x:f>IF('02_Form_Pluviometrie'!$L54="Validé humainement",'02_Form_Pluviometrie'!L54,"")</x:f>
      </x:c>
      <x:c r="M54" s="76" t="str">
        <x:f>IF('02_Form_Pluviometrie'!$L54="Validé humainement",'02_Form_Pluviometrie'!M54,"")</x:f>
      </x:c>
      <x:c r="N54" s="78" t="str">
        <x:f>IF('02_Form_Pluviometrie'!$L54="Validé humainement",'02_Form_Pluviometrie'!N54,"")</x:f>
      </x:c>
      <x:c r="O54" s="76" t="str">
        <x:f>IF('02_Form_Pluviometrie'!$L54="Validé humainement",'02_Form_Pluviometrie'!O54,"")</x:f>
      </x:c>
      <x:c r="P54" s="76" t="str">
        <x:f>IF('02_Form_Pluviometrie'!$L54="Validé humainement",'02_Form_Pluviometrie'!P54,"")</x:f>
      </x:c>
      <x:c r="Q54" s="76" t="str">
        <x:f>IF('02_Form_Pluviometrie'!$L54="Validé humainement",'02_Form_Pluviometrie'!Q54,"")</x:f>
      </x:c>
    </x:row>
    <x:row r="55">
      <x:c r="A55" s="76" t="str">
        <x:f>IF('02_Form_Pluviometrie'!$L55="Validé humainement",'02_Form_Pluviometrie'!A55,"")</x:f>
      </x:c>
      <x:c r="B55" s="78" t="str">
        <x:f>IF('02_Form_Pluviometrie'!$L55="Validé humainement",'02_Form_Pluviometrie'!B55,"")</x:f>
      </x:c>
      <x:c r="C55" s="76" t="str">
        <x:f>IF('02_Form_Pluviometrie'!$L55="Validé humainement",'02_Form_Pluviometrie'!C55,"")</x:f>
      </x:c>
      <x:c r="D55" s="76" t="str">
        <x:f>IF('02_Form_Pluviometrie'!$L55="Validé humainement",'02_Form_Pluviometrie'!D55,"")</x:f>
      </x:c>
      <x:c r="E55" s="76" t="str">
        <x:f>IF('02_Form_Pluviometrie'!$L55="Validé humainement",'02_Form_Pluviometrie'!E55,"")</x:f>
      </x:c>
      <x:c r="F55" s="76" t="str">
        <x:f>IF('02_Form_Pluviometrie'!$L55="Validé humainement",'02_Form_Pluviometrie'!F55,"")</x:f>
      </x:c>
      <x:c r="G55" s="80" t="str">
        <x:f>IF('02_Form_Pluviometrie'!$L55="Validé humainement",'02_Form_Pluviometrie'!G55,"")</x:f>
      </x:c>
      <x:c r="H55" s="76" t="str">
        <x:f>IF('02_Form_Pluviometrie'!$L55="Validé humainement",'02_Form_Pluviometrie'!H55,"")</x:f>
      </x:c>
      <x:c r="I55" s="76" t="str">
        <x:f>IF('02_Form_Pluviometrie'!$L55="Validé humainement",'02_Form_Pluviometrie'!I55,"")</x:f>
      </x:c>
      <x:c r="J55" s="76" t="str">
        <x:f>IF('02_Form_Pluviometrie'!$L55="Validé humainement",'02_Form_Pluviometrie'!J55,"")</x:f>
      </x:c>
      <x:c r="K55" s="76" t="str">
        <x:f>IF('02_Form_Pluviometrie'!$L55="Validé humainement",'02_Form_Pluviometrie'!K55,"")</x:f>
      </x:c>
      <x:c r="L55" s="76" t="str">
        <x:f>IF('02_Form_Pluviometrie'!$L55="Validé humainement",'02_Form_Pluviometrie'!L55,"")</x:f>
      </x:c>
      <x:c r="M55" s="76" t="str">
        <x:f>IF('02_Form_Pluviometrie'!$L55="Validé humainement",'02_Form_Pluviometrie'!M55,"")</x:f>
      </x:c>
      <x:c r="N55" s="78" t="str">
        <x:f>IF('02_Form_Pluviometrie'!$L55="Validé humainement",'02_Form_Pluviometrie'!N55,"")</x:f>
      </x:c>
      <x:c r="O55" s="76" t="str">
        <x:f>IF('02_Form_Pluviometrie'!$L55="Validé humainement",'02_Form_Pluviometrie'!O55,"")</x:f>
      </x:c>
      <x:c r="P55" s="76" t="str">
        <x:f>IF('02_Form_Pluviometrie'!$L55="Validé humainement",'02_Form_Pluviometrie'!P55,"")</x:f>
      </x:c>
      <x:c r="Q55" s="76" t="str">
        <x:f>IF('02_Form_Pluviometrie'!$L55="Validé humainement",'02_Form_Pluviometrie'!Q55,"")</x:f>
      </x:c>
    </x:row>
    <x:row r="56">
      <x:c r="A56" s="76" t="str">
        <x:f>IF('02_Form_Pluviometrie'!$L56="Validé humainement",'02_Form_Pluviometrie'!A56,"")</x:f>
      </x:c>
      <x:c r="B56" s="78" t="str">
        <x:f>IF('02_Form_Pluviometrie'!$L56="Validé humainement",'02_Form_Pluviometrie'!B56,"")</x:f>
      </x:c>
      <x:c r="C56" s="76" t="str">
        <x:f>IF('02_Form_Pluviometrie'!$L56="Validé humainement",'02_Form_Pluviometrie'!C56,"")</x:f>
      </x:c>
      <x:c r="D56" s="76" t="str">
        <x:f>IF('02_Form_Pluviometrie'!$L56="Validé humainement",'02_Form_Pluviometrie'!D56,"")</x:f>
      </x:c>
      <x:c r="E56" s="76" t="str">
        <x:f>IF('02_Form_Pluviometrie'!$L56="Validé humainement",'02_Form_Pluviometrie'!E56,"")</x:f>
      </x:c>
      <x:c r="F56" s="76" t="str">
        <x:f>IF('02_Form_Pluviometrie'!$L56="Validé humainement",'02_Form_Pluviometrie'!F56,"")</x:f>
      </x:c>
      <x:c r="G56" s="80" t="str">
        <x:f>IF('02_Form_Pluviometrie'!$L56="Validé humainement",'02_Form_Pluviometrie'!G56,"")</x:f>
      </x:c>
      <x:c r="H56" s="76" t="str">
        <x:f>IF('02_Form_Pluviometrie'!$L56="Validé humainement",'02_Form_Pluviometrie'!H56,"")</x:f>
      </x:c>
      <x:c r="I56" s="76" t="str">
        <x:f>IF('02_Form_Pluviometrie'!$L56="Validé humainement",'02_Form_Pluviometrie'!I56,"")</x:f>
      </x:c>
      <x:c r="J56" s="76" t="str">
        <x:f>IF('02_Form_Pluviometrie'!$L56="Validé humainement",'02_Form_Pluviometrie'!J56,"")</x:f>
      </x:c>
      <x:c r="K56" s="76" t="str">
        <x:f>IF('02_Form_Pluviometrie'!$L56="Validé humainement",'02_Form_Pluviometrie'!K56,"")</x:f>
      </x:c>
      <x:c r="L56" s="76" t="str">
        <x:f>IF('02_Form_Pluviometrie'!$L56="Validé humainement",'02_Form_Pluviometrie'!L56,"")</x:f>
      </x:c>
      <x:c r="M56" s="76" t="str">
        <x:f>IF('02_Form_Pluviometrie'!$L56="Validé humainement",'02_Form_Pluviometrie'!M56,"")</x:f>
      </x:c>
      <x:c r="N56" s="78" t="str">
        <x:f>IF('02_Form_Pluviometrie'!$L56="Validé humainement",'02_Form_Pluviometrie'!N56,"")</x:f>
      </x:c>
      <x:c r="O56" s="76" t="str">
        <x:f>IF('02_Form_Pluviometrie'!$L56="Validé humainement",'02_Form_Pluviometrie'!O56,"")</x:f>
      </x:c>
      <x:c r="P56" s="76" t="str">
        <x:f>IF('02_Form_Pluviometrie'!$L56="Validé humainement",'02_Form_Pluviometrie'!P56,"")</x:f>
      </x:c>
      <x:c r="Q56" s="76" t="str">
        <x:f>IF('02_Form_Pluviometrie'!$L56="Validé humainement",'02_Form_Pluviometrie'!Q56,"")</x:f>
      </x:c>
    </x:row>
    <x:row r="57">
      <x:c r="A57" s="76" t="str">
        <x:f>IF('02_Form_Pluviometrie'!$L57="Validé humainement",'02_Form_Pluviometrie'!A57,"")</x:f>
      </x:c>
      <x:c r="B57" s="78" t="str">
        <x:f>IF('02_Form_Pluviometrie'!$L57="Validé humainement",'02_Form_Pluviometrie'!B57,"")</x:f>
      </x:c>
      <x:c r="C57" s="76" t="str">
        <x:f>IF('02_Form_Pluviometrie'!$L57="Validé humainement",'02_Form_Pluviometrie'!C57,"")</x:f>
      </x:c>
      <x:c r="D57" s="76" t="str">
        <x:f>IF('02_Form_Pluviometrie'!$L57="Validé humainement",'02_Form_Pluviometrie'!D57,"")</x:f>
      </x:c>
      <x:c r="E57" s="76" t="str">
        <x:f>IF('02_Form_Pluviometrie'!$L57="Validé humainement",'02_Form_Pluviometrie'!E57,"")</x:f>
      </x:c>
      <x:c r="F57" s="76" t="str">
        <x:f>IF('02_Form_Pluviometrie'!$L57="Validé humainement",'02_Form_Pluviometrie'!F57,"")</x:f>
      </x:c>
      <x:c r="G57" s="80" t="str">
        <x:f>IF('02_Form_Pluviometrie'!$L57="Validé humainement",'02_Form_Pluviometrie'!G57,"")</x:f>
      </x:c>
      <x:c r="H57" s="76" t="str">
        <x:f>IF('02_Form_Pluviometrie'!$L57="Validé humainement",'02_Form_Pluviometrie'!H57,"")</x:f>
      </x:c>
      <x:c r="I57" s="76" t="str">
        <x:f>IF('02_Form_Pluviometrie'!$L57="Validé humainement",'02_Form_Pluviometrie'!I57,"")</x:f>
      </x:c>
      <x:c r="J57" s="76" t="str">
        <x:f>IF('02_Form_Pluviometrie'!$L57="Validé humainement",'02_Form_Pluviometrie'!J57,"")</x:f>
      </x:c>
      <x:c r="K57" s="76" t="str">
        <x:f>IF('02_Form_Pluviometrie'!$L57="Validé humainement",'02_Form_Pluviometrie'!K57,"")</x:f>
      </x:c>
      <x:c r="L57" s="76" t="str">
        <x:f>IF('02_Form_Pluviometrie'!$L57="Validé humainement",'02_Form_Pluviometrie'!L57,"")</x:f>
      </x:c>
      <x:c r="M57" s="76" t="str">
        <x:f>IF('02_Form_Pluviometrie'!$L57="Validé humainement",'02_Form_Pluviometrie'!M57,"")</x:f>
      </x:c>
      <x:c r="N57" s="78" t="str">
        <x:f>IF('02_Form_Pluviometrie'!$L57="Validé humainement",'02_Form_Pluviometrie'!N57,"")</x:f>
      </x:c>
      <x:c r="O57" s="76" t="str">
        <x:f>IF('02_Form_Pluviometrie'!$L57="Validé humainement",'02_Form_Pluviometrie'!O57,"")</x:f>
      </x:c>
      <x:c r="P57" s="76" t="str">
        <x:f>IF('02_Form_Pluviometrie'!$L57="Validé humainement",'02_Form_Pluviometrie'!P57,"")</x:f>
      </x:c>
      <x:c r="Q57" s="76" t="str">
        <x:f>IF('02_Form_Pluviometrie'!$L57="Validé humainement",'02_Form_Pluviometrie'!Q57,"")</x:f>
      </x:c>
    </x:row>
    <x:row r="58">
      <x:c r="A58" s="76" t="str">
        <x:f>IF('02_Form_Pluviometrie'!$L58="Validé humainement",'02_Form_Pluviometrie'!A58,"")</x:f>
      </x:c>
      <x:c r="B58" s="78" t="str">
        <x:f>IF('02_Form_Pluviometrie'!$L58="Validé humainement",'02_Form_Pluviometrie'!B58,"")</x:f>
      </x:c>
      <x:c r="C58" s="76" t="str">
        <x:f>IF('02_Form_Pluviometrie'!$L58="Validé humainement",'02_Form_Pluviometrie'!C58,"")</x:f>
      </x:c>
      <x:c r="D58" s="76" t="str">
        <x:f>IF('02_Form_Pluviometrie'!$L58="Validé humainement",'02_Form_Pluviometrie'!D58,"")</x:f>
      </x:c>
      <x:c r="E58" s="76" t="str">
        <x:f>IF('02_Form_Pluviometrie'!$L58="Validé humainement",'02_Form_Pluviometrie'!E58,"")</x:f>
      </x:c>
      <x:c r="F58" s="76" t="str">
        <x:f>IF('02_Form_Pluviometrie'!$L58="Validé humainement",'02_Form_Pluviometrie'!F58,"")</x:f>
      </x:c>
      <x:c r="G58" s="80" t="str">
        <x:f>IF('02_Form_Pluviometrie'!$L58="Validé humainement",'02_Form_Pluviometrie'!G58,"")</x:f>
      </x:c>
      <x:c r="H58" s="76" t="str">
        <x:f>IF('02_Form_Pluviometrie'!$L58="Validé humainement",'02_Form_Pluviometrie'!H58,"")</x:f>
      </x:c>
      <x:c r="I58" s="76" t="str">
        <x:f>IF('02_Form_Pluviometrie'!$L58="Validé humainement",'02_Form_Pluviometrie'!I58,"")</x:f>
      </x:c>
      <x:c r="J58" s="76" t="str">
        <x:f>IF('02_Form_Pluviometrie'!$L58="Validé humainement",'02_Form_Pluviometrie'!J58,"")</x:f>
      </x:c>
      <x:c r="K58" s="76" t="str">
        <x:f>IF('02_Form_Pluviometrie'!$L58="Validé humainement",'02_Form_Pluviometrie'!K58,"")</x:f>
      </x:c>
      <x:c r="L58" s="76" t="str">
        <x:f>IF('02_Form_Pluviometrie'!$L58="Validé humainement",'02_Form_Pluviometrie'!L58,"")</x:f>
      </x:c>
      <x:c r="M58" s="76" t="str">
        <x:f>IF('02_Form_Pluviometrie'!$L58="Validé humainement",'02_Form_Pluviometrie'!M58,"")</x:f>
      </x:c>
      <x:c r="N58" s="78" t="str">
        <x:f>IF('02_Form_Pluviometrie'!$L58="Validé humainement",'02_Form_Pluviometrie'!N58,"")</x:f>
      </x:c>
      <x:c r="O58" s="76" t="str">
        <x:f>IF('02_Form_Pluviometrie'!$L58="Validé humainement",'02_Form_Pluviometrie'!O58,"")</x:f>
      </x:c>
      <x:c r="P58" s="76" t="str">
        <x:f>IF('02_Form_Pluviometrie'!$L58="Validé humainement",'02_Form_Pluviometrie'!P58,"")</x:f>
      </x:c>
      <x:c r="Q58" s="76" t="str">
        <x:f>IF('02_Form_Pluviometrie'!$L58="Validé humainement",'02_Form_Pluviometrie'!Q58,"")</x:f>
      </x:c>
    </x:row>
    <x:row r="59">
      <x:c r="A59" s="76" t="str">
        <x:f>IF('02_Form_Pluviometrie'!$L59="Validé humainement",'02_Form_Pluviometrie'!A59,"")</x:f>
      </x:c>
      <x:c r="B59" s="78" t="str">
        <x:f>IF('02_Form_Pluviometrie'!$L59="Validé humainement",'02_Form_Pluviometrie'!B59,"")</x:f>
      </x:c>
      <x:c r="C59" s="76" t="str">
        <x:f>IF('02_Form_Pluviometrie'!$L59="Validé humainement",'02_Form_Pluviometrie'!C59,"")</x:f>
      </x:c>
      <x:c r="D59" s="76" t="str">
        <x:f>IF('02_Form_Pluviometrie'!$L59="Validé humainement",'02_Form_Pluviometrie'!D59,"")</x:f>
      </x:c>
      <x:c r="E59" s="76" t="str">
        <x:f>IF('02_Form_Pluviometrie'!$L59="Validé humainement",'02_Form_Pluviometrie'!E59,"")</x:f>
      </x:c>
      <x:c r="F59" s="76" t="str">
        <x:f>IF('02_Form_Pluviometrie'!$L59="Validé humainement",'02_Form_Pluviometrie'!F59,"")</x:f>
      </x:c>
      <x:c r="G59" s="80" t="str">
        <x:f>IF('02_Form_Pluviometrie'!$L59="Validé humainement",'02_Form_Pluviometrie'!G59,"")</x:f>
      </x:c>
      <x:c r="H59" s="76" t="str">
        <x:f>IF('02_Form_Pluviometrie'!$L59="Validé humainement",'02_Form_Pluviometrie'!H59,"")</x:f>
      </x:c>
      <x:c r="I59" s="76" t="str">
        <x:f>IF('02_Form_Pluviometrie'!$L59="Validé humainement",'02_Form_Pluviometrie'!I59,"")</x:f>
      </x:c>
      <x:c r="J59" s="76" t="str">
        <x:f>IF('02_Form_Pluviometrie'!$L59="Validé humainement",'02_Form_Pluviometrie'!J59,"")</x:f>
      </x:c>
      <x:c r="K59" s="76" t="str">
        <x:f>IF('02_Form_Pluviometrie'!$L59="Validé humainement",'02_Form_Pluviometrie'!K59,"")</x:f>
      </x:c>
      <x:c r="L59" s="76" t="str">
        <x:f>IF('02_Form_Pluviometrie'!$L59="Validé humainement",'02_Form_Pluviometrie'!L59,"")</x:f>
      </x:c>
      <x:c r="M59" s="76" t="str">
        <x:f>IF('02_Form_Pluviometrie'!$L59="Validé humainement",'02_Form_Pluviometrie'!M59,"")</x:f>
      </x:c>
      <x:c r="N59" s="78" t="str">
        <x:f>IF('02_Form_Pluviometrie'!$L59="Validé humainement",'02_Form_Pluviometrie'!N59,"")</x:f>
      </x:c>
      <x:c r="O59" s="76" t="str">
        <x:f>IF('02_Form_Pluviometrie'!$L59="Validé humainement",'02_Form_Pluviometrie'!O59,"")</x:f>
      </x:c>
      <x:c r="P59" s="76" t="str">
        <x:f>IF('02_Form_Pluviometrie'!$L59="Validé humainement",'02_Form_Pluviometrie'!P59,"")</x:f>
      </x:c>
      <x:c r="Q59" s="76" t="str">
        <x:f>IF('02_Form_Pluviometrie'!$L59="Validé humainement",'02_Form_Pluviometrie'!Q59,"")</x:f>
      </x:c>
    </x:row>
    <x:row r="60">
      <x:c r="A60" s="76" t="str">
        <x:f>IF('02_Form_Pluviometrie'!$L60="Validé humainement",'02_Form_Pluviometrie'!A60,"")</x:f>
      </x:c>
      <x:c r="B60" s="78" t="str">
        <x:f>IF('02_Form_Pluviometrie'!$L60="Validé humainement",'02_Form_Pluviometrie'!B60,"")</x:f>
      </x:c>
      <x:c r="C60" s="76" t="str">
        <x:f>IF('02_Form_Pluviometrie'!$L60="Validé humainement",'02_Form_Pluviometrie'!C60,"")</x:f>
      </x:c>
      <x:c r="D60" s="76" t="str">
        <x:f>IF('02_Form_Pluviometrie'!$L60="Validé humainement",'02_Form_Pluviometrie'!D60,"")</x:f>
      </x:c>
      <x:c r="E60" s="76" t="str">
        <x:f>IF('02_Form_Pluviometrie'!$L60="Validé humainement",'02_Form_Pluviometrie'!E60,"")</x:f>
      </x:c>
      <x:c r="F60" s="76" t="str">
        <x:f>IF('02_Form_Pluviometrie'!$L60="Validé humainement",'02_Form_Pluviometrie'!F60,"")</x:f>
      </x:c>
      <x:c r="G60" s="80" t="str">
        <x:f>IF('02_Form_Pluviometrie'!$L60="Validé humainement",'02_Form_Pluviometrie'!G60,"")</x:f>
      </x:c>
      <x:c r="H60" s="76" t="str">
        <x:f>IF('02_Form_Pluviometrie'!$L60="Validé humainement",'02_Form_Pluviometrie'!H60,"")</x:f>
      </x:c>
      <x:c r="I60" s="76" t="str">
        <x:f>IF('02_Form_Pluviometrie'!$L60="Validé humainement",'02_Form_Pluviometrie'!I60,"")</x:f>
      </x:c>
      <x:c r="J60" s="76" t="str">
        <x:f>IF('02_Form_Pluviometrie'!$L60="Validé humainement",'02_Form_Pluviometrie'!J60,"")</x:f>
      </x:c>
      <x:c r="K60" s="76" t="str">
        <x:f>IF('02_Form_Pluviometrie'!$L60="Validé humainement",'02_Form_Pluviometrie'!K60,"")</x:f>
      </x:c>
      <x:c r="L60" s="76" t="str">
        <x:f>IF('02_Form_Pluviometrie'!$L60="Validé humainement",'02_Form_Pluviometrie'!L60,"")</x:f>
      </x:c>
      <x:c r="M60" s="76" t="str">
        <x:f>IF('02_Form_Pluviometrie'!$L60="Validé humainement",'02_Form_Pluviometrie'!M60,"")</x:f>
      </x:c>
      <x:c r="N60" s="78" t="str">
        <x:f>IF('02_Form_Pluviometrie'!$L60="Validé humainement",'02_Form_Pluviometrie'!N60,"")</x:f>
      </x:c>
      <x:c r="O60" s="76" t="str">
        <x:f>IF('02_Form_Pluviometrie'!$L60="Validé humainement",'02_Form_Pluviometrie'!O60,"")</x:f>
      </x:c>
      <x:c r="P60" s="76" t="str">
        <x:f>IF('02_Form_Pluviometrie'!$L60="Validé humainement",'02_Form_Pluviometrie'!P60,"")</x:f>
      </x:c>
      <x:c r="Q60" s="76" t="str">
        <x:f>IF('02_Form_Pluviometrie'!$L60="Validé humainement",'02_Form_Pluviometrie'!Q60,"")</x:f>
      </x:c>
    </x:row>
    <x:row r="61">
      <x:c r="A61" s="76" t="str">
        <x:f>IF('02_Form_Pluviometrie'!$L61="Validé humainement",'02_Form_Pluviometrie'!A61,"")</x:f>
      </x:c>
      <x:c r="B61" s="78" t="str">
        <x:f>IF('02_Form_Pluviometrie'!$L61="Validé humainement",'02_Form_Pluviometrie'!B61,"")</x:f>
      </x:c>
      <x:c r="C61" s="76" t="str">
        <x:f>IF('02_Form_Pluviometrie'!$L61="Validé humainement",'02_Form_Pluviometrie'!C61,"")</x:f>
      </x:c>
      <x:c r="D61" s="76" t="str">
        <x:f>IF('02_Form_Pluviometrie'!$L61="Validé humainement",'02_Form_Pluviometrie'!D61,"")</x:f>
      </x:c>
      <x:c r="E61" s="76" t="str">
        <x:f>IF('02_Form_Pluviometrie'!$L61="Validé humainement",'02_Form_Pluviometrie'!E61,"")</x:f>
      </x:c>
      <x:c r="F61" s="76" t="str">
        <x:f>IF('02_Form_Pluviometrie'!$L61="Validé humainement",'02_Form_Pluviometrie'!F61,"")</x:f>
      </x:c>
      <x:c r="G61" s="80" t="str">
        <x:f>IF('02_Form_Pluviometrie'!$L61="Validé humainement",'02_Form_Pluviometrie'!G61,"")</x:f>
      </x:c>
      <x:c r="H61" s="76" t="str">
        <x:f>IF('02_Form_Pluviometrie'!$L61="Validé humainement",'02_Form_Pluviometrie'!H61,"")</x:f>
      </x:c>
      <x:c r="I61" s="76" t="str">
        <x:f>IF('02_Form_Pluviometrie'!$L61="Validé humainement",'02_Form_Pluviometrie'!I61,"")</x:f>
      </x:c>
      <x:c r="J61" s="76" t="str">
        <x:f>IF('02_Form_Pluviometrie'!$L61="Validé humainement",'02_Form_Pluviometrie'!J61,"")</x:f>
      </x:c>
      <x:c r="K61" s="76" t="str">
        <x:f>IF('02_Form_Pluviometrie'!$L61="Validé humainement",'02_Form_Pluviometrie'!K61,"")</x:f>
      </x:c>
      <x:c r="L61" s="76" t="str">
        <x:f>IF('02_Form_Pluviometrie'!$L61="Validé humainement",'02_Form_Pluviometrie'!L61,"")</x:f>
      </x:c>
      <x:c r="M61" s="76" t="str">
        <x:f>IF('02_Form_Pluviometrie'!$L61="Validé humainement",'02_Form_Pluviometrie'!M61,"")</x:f>
      </x:c>
      <x:c r="N61" s="78" t="str">
        <x:f>IF('02_Form_Pluviometrie'!$L61="Validé humainement",'02_Form_Pluviometrie'!N61,"")</x:f>
      </x:c>
      <x:c r="O61" s="76" t="str">
        <x:f>IF('02_Form_Pluviometrie'!$L61="Validé humainement",'02_Form_Pluviometrie'!O61,"")</x:f>
      </x:c>
      <x:c r="P61" s="76" t="str">
        <x:f>IF('02_Form_Pluviometrie'!$L61="Validé humainement",'02_Form_Pluviometrie'!P61,"")</x:f>
      </x:c>
      <x:c r="Q61" s="76" t="str">
        <x:f>IF('02_Form_Pluviometrie'!$L61="Validé humainement",'02_Form_Pluviometrie'!Q61,"")</x:f>
      </x:c>
    </x:row>
    <x:row r="62">
      <x:c r="A62" s="76" t="str">
        <x:f>IF('02_Form_Pluviometrie'!$L62="Validé humainement",'02_Form_Pluviometrie'!A62,"")</x:f>
      </x:c>
      <x:c r="B62" s="78" t="str">
        <x:f>IF('02_Form_Pluviometrie'!$L62="Validé humainement",'02_Form_Pluviometrie'!B62,"")</x:f>
      </x:c>
      <x:c r="C62" s="76" t="str">
        <x:f>IF('02_Form_Pluviometrie'!$L62="Validé humainement",'02_Form_Pluviometrie'!C62,"")</x:f>
      </x:c>
      <x:c r="D62" s="76" t="str">
        <x:f>IF('02_Form_Pluviometrie'!$L62="Validé humainement",'02_Form_Pluviometrie'!D62,"")</x:f>
      </x:c>
      <x:c r="E62" s="76" t="str">
        <x:f>IF('02_Form_Pluviometrie'!$L62="Validé humainement",'02_Form_Pluviometrie'!E62,"")</x:f>
      </x:c>
      <x:c r="F62" s="76" t="str">
        <x:f>IF('02_Form_Pluviometrie'!$L62="Validé humainement",'02_Form_Pluviometrie'!F62,"")</x:f>
      </x:c>
      <x:c r="G62" s="80" t="str">
        <x:f>IF('02_Form_Pluviometrie'!$L62="Validé humainement",'02_Form_Pluviometrie'!G62,"")</x:f>
      </x:c>
      <x:c r="H62" s="76" t="str">
        <x:f>IF('02_Form_Pluviometrie'!$L62="Validé humainement",'02_Form_Pluviometrie'!H62,"")</x:f>
      </x:c>
      <x:c r="I62" s="76" t="str">
        <x:f>IF('02_Form_Pluviometrie'!$L62="Validé humainement",'02_Form_Pluviometrie'!I62,"")</x:f>
      </x:c>
      <x:c r="J62" s="76" t="str">
        <x:f>IF('02_Form_Pluviometrie'!$L62="Validé humainement",'02_Form_Pluviometrie'!J62,"")</x:f>
      </x:c>
      <x:c r="K62" s="76" t="str">
        <x:f>IF('02_Form_Pluviometrie'!$L62="Validé humainement",'02_Form_Pluviometrie'!K62,"")</x:f>
      </x:c>
      <x:c r="L62" s="76" t="str">
        <x:f>IF('02_Form_Pluviometrie'!$L62="Validé humainement",'02_Form_Pluviometrie'!L62,"")</x:f>
      </x:c>
      <x:c r="M62" s="76" t="str">
        <x:f>IF('02_Form_Pluviometrie'!$L62="Validé humainement",'02_Form_Pluviometrie'!M62,"")</x:f>
      </x:c>
      <x:c r="N62" s="78" t="str">
        <x:f>IF('02_Form_Pluviometrie'!$L62="Validé humainement",'02_Form_Pluviometrie'!N62,"")</x:f>
      </x:c>
      <x:c r="O62" s="76" t="str">
        <x:f>IF('02_Form_Pluviometrie'!$L62="Validé humainement",'02_Form_Pluviometrie'!O62,"")</x:f>
      </x:c>
      <x:c r="P62" s="76" t="str">
        <x:f>IF('02_Form_Pluviometrie'!$L62="Validé humainement",'02_Form_Pluviometrie'!P62,"")</x:f>
      </x:c>
      <x:c r="Q62" s="76" t="str">
        <x:f>IF('02_Form_Pluviometrie'!$L62="Validé humainement",'02_Form_Pluviometrie'!Q62,"")</x:f>
      </x:c>
    </x:row>
    <x:row r="63">
      <x:c r="A63" s="76" t="str">
        <x:f>IF('02_Form_Pluviometrie'!$L63="Validé humainement",'02_Form_Pluviometrie'!A63,"")</x:f>
      </x:c>
      <x:c r="B63" s="78" t="str">
        <x:f>IF('02_Form_Pluviometrie'!$L63="Validé humainement",'02_Form_Pluviometrie'!B63,"")</x:f>
      </x:c>
      <x:c r="C63" s="76" t="str">
        <x:f>IF('02_Form_Pluviometrie'!$L63="Validé humainement",'02_Form_Pluviometrie'!C63,"")</x:f>
      </x:c>
      <x:c r="D63" s="76" t="str">
        <x:f>IF('02_Form_Pluviometrie'!$L63="Validé humainement",'02_Form_Pluviometrie'!D63,"")</x:f>
      </x:c>
      <x:c r="E63" s="76" t="str">
        <x:f>IF('02_Form_Pluviometrie'!$L63="Validé humainement",'02_Form_Pluviometrie'!E63,"")</x:f>
      </x:c>
      <x:c r="F63" s="76" t="str">
        <x:f>IF('02_Form_Pluviometrie'!$L63="Validé humainement",'02_Form_Pluviometrie'!F63,"")</x:f>
      </x:c>
      <x:c r="G63" s="80" t="str">
        <x:f>IF('02_Form_Pluviometrie'!$L63="Validé humainement",'02_Form_Pluviometrie'!G63,"")</x:f>
      </x:c>
      <x:c r="H63" s="76" t="str">
        <x:f>IF('02_Form_Pluviometrie'!$L63="Validé humainement",'02_Form_Pluviometrie'!H63,"")</x:f>
      </x:c>
      <x:c r="I63" s="76" t="str">
        <x:f>IF('02_Form_Pluviometrie'!$L63="Validé humainement",'02_Form_Pluviometrie'!I63,"")</x:f>
      </x:c>
      <x:c r="J63" s="76" t="str">
        <x:f>IF('02_Form_Pluviometrie'!$L63="Validé humainement",'02_Form_Pluviometrie'!J63,"")</x:f>
      </x:c>
      <x:c r="K63" s="76" t="str">
        <x:f>IF('02_Form_Pluviometrie'!$L63="Validé humainement",'02_Form_Pluviometrie'!K63,"")</x:f>
      </x:c>
      <x:c r="L63" s="76" t="str">
        <x:f>IF('02_Form_Pluviometrie'!$L63="Validé humainement",'02_Form_Pluviometrie'!L63,"")</x:f>
      </x:c>
      <x:c r="M63" s="76" t="str">
        <x:f>IF('02_Form_Pluviometrie'!$L63="Validé humainement",'02_Form_Pluviometrie'!M63,"")</x:f>
      </x:c>
      <x:c r="N63" s="78" t="str">
        <x:f>IF('02_Form_Pluviometrie'!$L63="Validé humainement",'02_Form_Pluviometrie'!N63,"")</x:f>
      </x:c>
      <x:c r="O63" s="76" t="str">
        <x:f>IF('02_Form_Pluviometrie'!$L63="Validé humainement",'02_Form_Pluviometrie'!O63,"")</x:f>
      </x:c>
      <x:c r="P63" s="76" t="str">
        <x:f>IF('02_Form_Pluviometrie'!$L63="Validé humainement",'02_Form_Pluviometrie'!P63,"")</x:f>
      </x:c>
      <x:c r="Q63" s="76" t="str">
        <x:f>IF('02_Form_Pluviometrie'!$L63="Validé humainement",'02_Form_Pluviometrie'!Q63,"")</x:f>
      </x:c>
    </x:row>
    <x:row r="64">
      <x:c r="A64" s="76" t="str">
        <x:f>IF('02_Form_Pluviometrie'!$L64="Validé humainement",'02_Form_Pluviometrie'!A64,"")</x:f>
      </x:c>
      <x:c r="B64" s="78" t="str">
        <x:f>IF('02_Form_Pluviometrie'!$L64="Validé humainement",'02_Form_Pluviometrie'!B64,"")</x:f>
      </x:c>
      <x:c r="C64" s="76" t="str">
        <x:f>IF('02_Form_Pluviometrie'!$L64="Validé humainement",'02_Form_Pluviometrie'!C64,"")</x:f>
      </x:c>
      <x:c r="D64" s="76" t="str">
        <x:f>IF('02_Form_Pluviometrie'!$L64="Validé humainement",'02_Form_Pluviometrie'!D64,"")</x:f>
      </x:c>
      <x:c r="E64" s="76" t="str">
        <x:f>IF('02_Form_Pluviometrie'!$L64="Validé humainement",'02_Form_Pluviometrie'!E64,"")</x:f>
      </x:c>
      <x:c r="F64" s="76" t="str">
        <x:f>IF('02_Form_Pluviometrie'!$L64="Validé humainement",'02_Form_Pluviometrie'!F64,"")</x:f>
      </x:c>
      <x:c r="G64" s="80" t="str">
        <x:f>IF('02_Form_Pluviometrie'!$L64="Validé humainement",'02_Form_Pluviometrie'!G64,"")</x:f>
      </x:c>
      <x:c r="H64" s="76" t="str">
        <x:f>IF('02_Form_Pluviometrie'!$L64="Validé humainement",'02_Form_Pluviometrie'!H64,"")</x:f>
      </x:c>
      <x:c r="I64" s="76" t="str">
        <x:f>IF('02_Form_Pluviometrie'!$L64="Validé humainement",'02_Form_Pluviometrie'!I64,"")</x:f>
      </x:c>
      <x:c r="J64" s="76" t="str">
        <x:f>IF('02_Form_Pluviometrie'!$L64="Validé humainement",'02_Form_Pluviometrie'!J64,"")</x:f>
      </x:c>
      <x:c r="K64" s="76" t="str">
        <x:f>IF('02_Form_Pluviometrie'!$L64="Validé humainement",'02_Form_Pluviometrie'!K64,"")</x:f>
      </x:c>
      <x:c r="L64" s="76" t="str">
        <x:f>IF('02_Form_Pluviometrie'!$L64="Validé humainement",'02_Form_Pluviometrie'!L64,"")</x:f>
      </x:c>
      <x:c r="M64" s="76" t="str">
        <x:f>IF('02_Form_Pluviometrie'!$L64="Validé humainement",'02_Form_Pluviometrie'!M64,"")</x:f>
      </x:c>
      <x:c r="N64" s="78" t="str">
        <x:f>IF('02_Form_Pluviometrie'!$L64="Validé humainement",'02_Form_Pluviometrie'!N64,"")</x:f>
      </x:c>
      <x:c r="O64" s="76" t="str">
        <x:f>IF('02_Form_Pluviometrie'!$L64="Validé humainement",'02_Form_Pluviometrie'!O64,"")</x:f>
      </x:c>
      <x:c r="P64" s="76" t="str">
        <x:f>IF('02_Form_Pluviometrie'!$L64="Validé humainement",'02_Form_Pluviometrie'!P64,"")</x:f>
      </x:c>
      <x:c r="Q64" s="76" t="str">
        <x:f>IF('02_Form_Pluviometrie'!$L64="Validé humainement",'02_Form_Pluviometrie'!Q64,"")</x:f>
      </x:c>
    </x:row>
    <x:row r="65">
      <x:c r="A65" s="76" t="str">
        <x:f>IF('02_Form_Pluviometrie'!$L65="Validé humainement",'02_Form_Pluviometrie'!A65,"")</x:f>
      </x:c>
      <x:c r="B65" s="78" t="str">
        <x:f>IF('02_Form_Pluviometrie'!$L65="Validé humainement",'02_Form_Pluviometrie'!B65,"")</x:f>
      </x:c>
      <x:c r="C65" s="76" t="str">
        <x:f>IF('02_Form_Pluviometrie'!$L65="Validé humainement",'02_Form_Pluviometrie'!C65,"")</x:f>
      </x:c>
      <x:c r="D65" s="76" t="str">
        <x:f>IF('02_Form_Pluviometrie'!$L65="Validé humainement",'02_Form_Pluviometrie'!D65,"")</x:f>
      </x:c>
      <x:c r="E65" s="76" t="str">
        <x:f>IF('02_Form_Pluviometrie'!$L65="Validé humainement",'02_Form_Pluviometrie'!E65,"")</x:f>
      </x:c>
      <x:c r="F65" s="76" t="str">
        <x:f>IF('02_Form_Pluviometrie'!$L65="Validé humainement",'02_Form_Pluviometrie'!F65,"")</x:f>
      </x:c>
      <x:c r="G65" s="80" t="str">
        <x:f>IF('02_Form_Pluviometrie'!$L65="Validé humainement",'02_Form_Pluviometrie'!G65,"")</x:f>
      </x:c>
      <x:c r="H65" s="76" t="str">
        <x:f>IF('02_Form_Pluviometrie'!$L65="Validé humainement",'02_Form_Pluviometrie'!H65,"")</x:f>
      </x:c>
      <x:c r="I65" s="76" t="str">
        <x:f>IF('02_Form_Pluviometrie'!$L65="Validé humainement",'02_Form_Pluviometrie'!I65,"")</x:f>
      </x:c>
      <x:c r="J65" s="76" t="str">
        <x:f>IF('02_Form_Pluviometrie'!$L65="Validé humainement",'02_Form_Pluviometrie'!J65,"")</x:f>
      </x:c>
      <x:c r="K65" s="76" t="str">
        <x:f>IF('02_Form_Pluviometrie'!$L65="Validé humainement",'02_Form_Pluviometrie'!K65,"")</x:f>
      </x:c>
      <x:c r="L65" s="76" t="str">
        <x:f>IF('02_Form_Pluviometrie'!$L65="Validé humainement",'02_Form_Pluviometrie'!L65,"")</x:f>
      </x:c>
      <x:c r="M65" s="76" t="str">
        <x:f>IF('02_Form_Pluviometrie'!$L65="Validé humainement",'02_Form_Pluviometrie'!M65,"")</x:f>
      </x:c>
      <x:c r="N65" s="78" t="str">
        <x:f>IF('02_Form_Pluviometrie'!$L65="Validé humainement",'02_Form_Pluviometrie'!N65,"")</x:f>
      </x:c>
      <x:c r="O65" s="76" t="str">
        <x:f>IF('02_Form_Pluviometrie'!$L65="Validé humainement",'02_Form_Pluviometrie'!O65,"")</x:f>
      </x:c>
      <x:c r="P65" s="76" t="str">
        <x:f>IF('02_Form_Pluviometrie'!$L65="Validé humainement",'02_Form_Pluviometrie'!P65,"")</x:f>
      </x:c>
      <x:c r="Q65" s="76" t="str">
        <x:f>IF('02_Form_Pluviometrie'!$L65="Validé humainement",'02_Form_Pluviometrie'!Q65,"")</x:f>
      </x:c>
    </x:row>
    <x:row r="66">
      <x:c r="A66" s="76" t="str">
        <x:f>IF('02_Form_Pluviometrie'!$L66="Validé humainement",'02_Form_Pluviometrie'!A66,"")</x:f>
      </x:c>
      <x:c r="B66" s="78" t="str">
        <x:f>IF('02_Form_Pluviometrie'!$L66="Validé humainement",'02_Form_Pluviometrie'!B66,"")</x:f>
      </x:c>
      <x:c r="C66" s="76" t="str">
        <x:f>IF('02_Form_Pluviometrie'!$L66="Validé humainement",'02_Form_Pluviometrie'!C66,"")</x:f>
      </x:c>
      <x:c r="D66" s="76" t="str">
        <x:f>IF('02_Form_Pluviometrie'!$L66="Validé humainement",'02_Form_Pluviometrie'!D66,"")</x:f>
      </x:c>
      <x:c r="E66" s="76" t="str">
        <x:f>IF('02_Form_Pluviometrie'!$L66="Validé humainement",'02_Form_Pluviometrie'!E66,"")</x:f>
      </x:c>
      <x:c r="F66" s="76" t="str">
        <x:f>IF('02_Form_Pluviometrie'!$L66="Validé humainement",'02_Form_Pluviometrie'!F66,"")</x:f>
      </x:c>
      <x:c r="G66" s="80" t="str">
        <x:f>IF('02_Form_Pluviometrie'!$L66="Validé humainement",'02_Form_Pluviometrie'!G66,"")</x:f>
      </x:c>
      <x:c r="H66" s="76" t="str">
        <x:f>IF('02_Form_Pluviometrie'!$L66="Validé humainement",'02_Form_Pluviometrie'!H66,"")</x:f>
      </x:c>
      <x:c r="I66" s="76" t="str">
        <x:f>IF('02_Form_Pluviometrie'!$L66="Validé humainement",'02_Form_Pluviometrie'!I66,"")</x:f>
      </x:c>
      <x:c r="J66" s="76" t="str">
        <x:f>IF('02_Form_Pluviometrie'!$L66="Validé humainement",'02_Form_Pluviometrie'!J66,"")</x:f>
      </x:c>
      <x:c r="K66" s="76" t="str">
        <x:f>IF('02_Form_Pluviometrie'!$L66="Validé humainement",'02_Form_Pluviometrie'!K66,"")</x:f>
      </x:c>
      <x:c r="L66" s="76" t="str">
        <x:f>IF('02_Form_Pluviometrie'!$L66="Validé humainement",'02_Form_Pluviometrie'!L66,"")</x:f>
      </x:c>
      <x:c r="M66" s="76" t="str">
        <x:f>IF('02_Form_Pluviometrie'!$L66="Validé humainement",'02_Form_Pluviometrie'!M66,"")</x:f>
      </x:c>
      <x:c r="N66" s="78" t="str">
        <x:f>IF('02_Form_Pluviometrie'!$L66="Validé humainement",'02_Form_Pluviometrie'!N66,"")</x:f>
      </x:c>
      <x:c r="O66" s="76" t="str">
        <x:f>IF('02_Form_Pluviometrie'!$L66="Validé humainement",'02_Form_Pluviometrie'!O66,"")</x:f>
      </x:c>
      <x:c r="P66" s="76" t="str">
        <x:f>IF('02_Form_Pluviometrie'!$L66="Validé humainement",'02_Form_Pluviometrie'!P66,"")</x:f>
      </x:c>
      <x:c r="Q66" s="76" t="str">
        <x:f>IF('02_Form_Pluviometrie'!$L66="Validé humainement",'02_Form_Pluviometrie'!Q66,"")</x:f>
      </x:c>
    </x:row>
    <x:row r="67">
      <x:c r="A67" s="76" t="str">
        <x:f>IF('02_Form_Pluviometrie'!$L67="Validé humainement",'02_Form_Pluviometrie'!A67,"")</x:f>
      </x:c>
      <x:c r="B67" s="78" t="str">
        <x:f>IF('02_Form_Pluviometrie'!$L67="Validé humainement",'02_Form_Pluviometrie'!B67,"")</x:f>
      </x:c>
      <x:c r="C67" s="76" t="str">
        <x:f>IF('02_Form_Pluviometrie'!$L67="Validé humainement",'02_Form_Pluviometrie'!C67,"")</x:f>
      </x:c>
      <x:c r="D67" s="76" t="str">
        <x:f>IF('02_Form_Pluviometrie'!$L67="Validé humainement",'02_Form_Pluviometrie'!D67,"")</x:f>
      </x:c>
      <x:c r="E67" s="76" t="str">
        <x:f>IF('02_Form_Pluviometrie'!$L67="Validé humainement",'02_Form_Pluviometrie'!E67,"")</x:f>
      </x:c>
      <x:c r="F67" s="76" t="str">
        <x:f>IF('02_Form_Pluviometrie'!$L67="Validé humainement",'02_Form_Pluviometrie'!F67,"")</x:f>
      </x:c>
      <x:c r="G67" s="80" t="str">
        <x:f>IF('02_Form_Pluviometrie'!$L67="Validé humainement",'02_Form_Pluviometrie'!G67,"")</x:f>
      </x:c>
      <x:c r="H67" s="76" t="str">
        <x:f>IF('02_Form_Pluviometrie'!$L67="Validé humainement",'02_Form_Pluviometrie'!H67,"")</x:f>
      </x:c>
      <x:c r="I67" s="76" t="str">
        <x:f>IF('02_Form_Pluviometrie'!$L67="Validé humainement",'02_Form_Pluviometrie'!I67,"")</x:f>
      </x:c>
      <x:c r="J67" s="76" t="str">
        <x:f>IF('02_Form_Pluviometrie'!$L67="Validé humainement",'02_Form_Pluviometrie'!J67,"")</x:f>
      </x:c>
      <x:c r="K67" s="76" t="str">
        <x:f>IF('02_Form_Pluviometrie'!$L67="Validé humainement",'02_Form_Pluviometrie'!K67,"")</x:f>
      </x:c>
      <x:c r="L67" s="76" t="str">
        <x:f>IF('02_Form_Pluviometrie'!$L67="Validé humainement",'02_Form_Pluviometrie'!L67,"")</x:f>
      </x:c>
      <x:c r="M67" s="76" t="str">
        <x:f>IF('02_Form_Pluviometrie'!$L67="Validé humainement",'02_Form_Pluviometrie'!M67,"")</x:f>
      </x:c>
      <x:c r="N67" s="78" t="str">
        <x:f>IF('02_Form_Pluviometrie'!$L67="Validé humainement",'02_Form_Pluviometrie'!N67,"")</x:f>
      </x:c>
      <x:c r="O67" s="76" t="str">
        <x:f>IF('02_Form_Pluviometrie'!$L67="Validé humainement",'02_Form_Pluviometrie'!O67,"")</x:f>
      </x:c>
      <x:c r="P67" s="76" t="str">
        <x:f>IF('02_Form_Pluviometrie'!$L67="Validé humainement",'02_Form_Pluviometrie'!P67,"")</x:f>
      </x:c>
      <x:c r="Q67" s="76" t="str">
        <x:f>IF('02_Form_Pluviometrie'!$L67="Validé humainement",'02_Form_Pluviometrie'!Q67,"")</x:f>
      </x:c>
    </x:row>
    <x:row r="68">
      <x:c r="A68" s="76" t="str">
        <x:f>IF('02_Form_Pluviometrie'!$L68="Validé humainement",'02_Form_Pluviometrie'!A68,"")</x:f>
      </x:c>
      <x:c r="B68" s="78" t="str">
        <x:f>IF('02_Form_Pluviometrie'!$L68="Validé humainement",'02_Form_Pluviometrie'!B68,"")</x:f>
      </x:c>
      <x:c r="C68" s="76" t="str">
        <x:f>IF('02_Form_Pluviometrie'!$L68="Validé humainement",'02_Form_Pluviometrie'!C68,"")</x:f>
      </x:c>
      <x:c r="D68" s="76" t="str">
        <x:f>IF('02_Form_Pluviometrie'!$L68="Validé humainement",'02_Form_Pluviometrie'!D68,"")</x:f>
      </x:c>
      <x:c r="E68" s="76" t="str">
        <x:f>IF('02_Form_Pluviometrie'!$L68="Validé humainement",'02_Form_Pluviometrie'!E68,"")</x:f>
      </x:c>
      <x:c r="F68" s="76" t="str">
        <x:f>IF('02_Form_Pluviometrie'!$L68="Validé humainement",'02_Form_Pluviometrie'!F68,"")</x:f>
      </x:c>
      <x:c r="G68" s="80" t="str">
        <x:f>IF('02_Form_Pluviometrie'!$L68="Validé humainement",'02_Form_Pluviometrie'!G68,"")</x:f>
      </x:c>
      <x:c r="H68" s="76" t="str">
        <x:f>IF('02_Form_Pluviometrie'!$L68="Validé humainement",'02_Form_Pluviometrie'!H68,"")</x:f>
      </x:c>
      <x:c r="I68" s="76" t="str">
        <x:f>IF('02_Form_Pluviometrie'!$L68="Validé humainement",'02_Form_Pluviometrie'!I68,"")</x:f>
      </x:c>
      <x:c r="J68" s="76" t="str">
        <x:f>IF('02_Form_Pluviometrie'!$L68="Validé humainement",'02_Form_Pluviometrie'!J68,"")</x:f>
      </x:c>
      <x:c r="K68" s="76" t="str">
        <x:f>IF('02_Form_Pluviometrie'!$L68="Validé humainement",'02_Form_Pluviometrie'!K68,"")</x:f>
      </x:c>
      <x:c r="L68" s="76" t="str">
        <x:f>IF('02_Form_Pluviometrie'!$L68="Validé humainement",'02_Form_Pluviometrie'!L68,"")</x:f>
      </x:c>
      <x:c r="M68" s="76" t="str">
        <x:f>IF('02_Form_Pluviometrie'!$L68="Validé humainement",'02_Form_Pluviometrie'!M68,"")</x:f>
      </x:c>
      <x:c r="N68" s="78" t="str">
        <x:f>IF('02_Form_Pluviometrie'!$L68="Validé humainement",'02_Form_Pluviometrie'!N68,"")</x:f>
      </x:c>
      <x:c r="O68" s="76" t="str">
        <x:f>IF('02_Form_Pluviometrie'!$L68="Validé humainement",'02_Form_Pluviometrie'!O68,"")</x:f>
      </x:c>
      <x:c r="P68" s="76" t="str">
        <x:f>IF('02_Form_Pluviometrie'!$L68="Validé humainement",'02_Form_Pluviometrie'!P68,"")</x:f>
      </x:c>
      <x:c r="Q68" s="76" t="str">
        <x:f>IF('02_Form_Pluviometrie'!$L68="Validé humainement",'02_Form_Pluviometrie'!Q68,"")</x:f>
      </x:c>
    </x:row>
    <x:row r="69">
      <x:c r="A69" s="76" t="str">
        <x:f>IF('02_Form_Pluviometrie'!$L69="Validé humainement",'02_Form_Pluviometrie'!A69,"")</x:f>
      </x:c>
      <x:c r="B69" s="78" t="str">
        <x:f>IF('02_Form_Pluviometrie'!$L69="Validé humainement",'02_Form_Pluviometrie'!B69,"")</x:f>
      </x:c>
      <x:c r="C69" s="76" t="str">
        <x:f>IF('02_Form_Pluviometrie'!$L69="Validé humainement",'02_Form_Pluviometrie'!C69,"")</x:f>
      </x:c>
      <x:c r="D69" s="76" t="str">
        <x:f>IF('02_Form_Pluviometrie'!$L69="Validé humainement",'02_Form_Pluviometrie'!D69,"")</x:f>
      </x:c>
      <x:c r="E69" s="76" t="str">
        <x:f>IF('02_Form_Pluviometrie'!$L69="Validé humainement",'02_Form_Pluviometrie'!E69,"")</x:f>
      </x:c>
      <x:c r="F69" s="76" t="str">
        <x:f>IF('02_Form_Pluviometrie'!$L69="Validé humainement",'02_Form_Pluviometrie'!F69,"")</x:f>
      </x:c>
      <x:c r="G69" s="80" t="str">
        <x:f>IF('02_Form_Pluviometrie'!$L69="Validé humainement",'02_Form_Pluviometrie'!G69,"")</x:f>
      </x:c>
      <x:c r="H69" s="76" t="str">
        <x:f>IF('02_Form_Pluviometrie'!$L69="Validé humainement",'02_Form_Pluviometrie'!H69,"")</x:f>
      </x:c>
      <x:c r="I69" s="76" t="str">
        <x:f>IF('02_Form_Pluviometrie'!$L69="Validé humainement",'02_Form_Pluviometrie'!I69,"")</x:f>
      </x:c>
      <x:c r="J69" s="76" t="str">
        <x:f>IF('02_Form_Pluviometrie'!$L69="Validé humainement",'02_Form_Pluviometrie'!J69,"")</x:f>
      </x:c>
      <x:c r="K69" s="76" t="str">
        <x:f>IF('02_Form_Pluviometrie'!$L69="Validé humainement",'02_Form_Pluviometrie'!K69,"")</x:f>
      </x:c>
      <x:c r="L69" s="76" t="str">
        <x:f>IF('02_Form_Pluviometrie'!$L69="Validé humainement",'02_Form_Pluviometrie'!L69,"")</x:f>
      </x:c>
      <x:c r="M69" s="76" t="str">
        <x:f>IF('02_Form_Pluviometrie'!$L69="Validé humainement",'02_Form_Pluviometrie'!M69,"")</x:f>
      </x:c>
      <x:c r="N69" s="78" t="str">
        <x:f>IF('02_Form_Pluviometrie'!$L69="Validé humainement",'02_Form_Pluviometrie'!N69,"")</x:f>
      </x:c>
      <x:c r="O69" s="76" t="str">
        <x:f>IF('02_Form_Pluviometrie'!$L69="Validé humainement",'02_Form_Pluviometrie'!O69,"")</x:f>
      </x:c>
      <x:c r="P69" s="76" t="str">
        <x:f>IF('02_Form_Pluviometrie'!$L69="Validé humainement",'02_Form_Pluviometrie'!P69,"")</x:f>
      </x:c>
      <x:c r="Q69" s="76" t="str">
        <x:f>IF('02_Form_Pluviometrie'!$L69="Validé humainement",'02_Form_Pluviometrie'!Q69,"")</x:f>
      </x:c>
    </x:row>
    <x:row r="70">
      <x:c r="A70" s="76" t="str">
        <x:f>IF('02_Form_Pluviometrie'!$L70="Validé humainement",'02_Form_Pluviometrie'!A70,"")</x:f>
      </x:c>
      <x:c r="B70" s="78" t="str">
        <x:f>IF('02_Form_Pluviometrie'!$L70="Validé humainement",'02_Form_Pluviometrie'!B70,"")</x:f>
      </x:c>
      <x:c r="C70" s="76" t="str">
        <x:f>IF('02_Form_Pluviometrie'!$L70="Validé humainement",'02_Form_Pluviometrie'!C70,"")</x:f>
      </x:c>
      <x:c r="D70" s="76" t="str">
        <x:f>IF('02_Form_Pluviometrie'!$L70="Validé humainement",'02_Form_Pluviometrie'!D70,"")</x:f>
      </x:c>
      <x:c r="E70" s="76" t="str">
        <x:f>IF('02_Form_Pluviometrie'!$L70="Validé humainement",'02_Form_Pluviometrie'!E70,"")</x:f>
      </x:c>
      <x:c r="F70" s="76" t="str">
        <x:f>IF('02_Form_Pluviometrie'!$L70="Validé humainement",'02_Form_Pluviometrie'!F70,"")</x:f>
      </x:c>
      <x:c r="G70" s="80" t="str">
        <x:f>IF('02_Form_Pluviometrie'!$L70="Validé humainement",'02_Form_Pluviometrie'!G70,"")</x:f>
      </x:c>
      <x:c r="H70" s="76" t="str">
        <x:f>IF('02_Form_Pluviometrie'!$L70="Validé humainement",'02_Form_Pluviometrie'!H70,"")</x:f>
      </x:c>
      <x:c r="I70" s="76" t="str">
        <x:f>IF('02_Form_Pluviometrie'!$L70="Validé humainement",'02_Form_Pluviometrie'!I70,"")</x:f>
      </x:c>
      <x:c r="J70" s="76" t="str">
        <x:f>IF('02_Form_Pluviometrie'!$L70="Validé humainement",'02_Form_Pluviometrie'!J70,"")</x:f>
      </x:c>
      <x:c r="K70" s="76" t="str">
        <x:f>IF('02_Form_Pluviometrie'!$L70="Validé humainement",'02_Form_Pluviometrie'!K70,"")</x:f>
      </x:c>
      <x:c r="L70" s="76" t="str">
        <x:f>IF('02_Form_Pluviometrie'!$L70="Validé humainement",'02_Form_Pluviometrie'!L70,"")</x:f>
      </x:c>
      <x:c r="M70" s="76" t="str">
        <x:f>IF('02_Form_Pluviometrie'!$L70="Validé humainement",'02_Form_Pluviometrie'!M70,"")</x:f>
      </x:c>
      <x:c r="N70" s="78" t="str">
        <x:f>IF('02_Form_Pluviometrie'!$L70="Validé humainement",'02_Form_Pluviometrie'!N70,"")</x:f>
      </x:c>
      <x:c r="O70" s="76" t="str">
        <x:f>IF('02_Form_Pluviometrie'!$L70="Validé humainement",'02_Form_Pluviometrie'!O70,"")</x:f>
      </x:c>
      <x:c r="P70" s="76" t="str">
        <x:f>IF('02_Form_Pluviometrie'!$L70="Validé humainement",'02_Form_Pluviometrie'!P70,"")</x:f>
      </x:c>
      <x:c r="Q70" s="76" t="str">
        <x:f>IF('02_Form_Pluviometrie'!$L70="Validé humainement",'02_Form_Pluviometrie'!Q70,"")</x:f>
      </x:c>
    </x:row>
    <x:row r="71">
      <x:c r="A71" s="76" t="str">
        <x:f>IF('02_Form_Pluviometrie'!$L71="Validé humainement",'02_Form_Pluviometrie'!A71,"")</x:f>
      </x:c>
      <x:c r="B71" s="78" t="str">
        <x:f>IF('02_Form_Pluviometrie'!$L71="Validé humainement",'02_Form_Pluviometrie'!B71,"")</x:f>
      </x:c>
      <x:c r="C71" s="76" t="str">
        <x:f>IF('02_Form_Pluviometrie'!$L71="Validé humainement",'02_Form_Pluviometrie'!C71,"")</x:f>
      </x:c>
      <x:c r="D71" s="76" t="str">
        <x:f>IF('02_Form_Pluviometrie'!$L71="Validé humainement",'02_Form_Pluviometrie'!D71,"")</x:f>
      </x:c>
      <x:c r="E71" s="76" t="str">
        <x:f>IF('02_Form_Pluviometrie'!$L71="Validé humainement",'02_Form_Pluviometrie'!E71,"")</x:f>
      </x:c>
      <x:c r="F71" s="76" t="str">
        <x:f>IF('02_Form_Pluviometrie'!$L71="Validé humainement",'02_Form_Pluviometrie'!F71,"")</x:f>
      </x:c>
      <x:c r="G71" s="80" t="str">
        <x:f>IF('02_Form_Pluviometrie'!$L71="Validé humainement",'02_Form_Pluviometrie'!G71,"")</x:f>
      </x:c>
      <x:c r="H71" s="76" t="str">
        <x:f>IF('02_Form_Pluviometrie'!$L71="Validé humainement",'02_Form_Pluviometrie'!H71,"")</x:f>
      </x:c>
      <x:c r="I71" s="76" t="str">
        <x:f>IF('02_Form_Pluviometrie'!$L71="Validé humainement",'02_Form_Pluviometrie'!I71,"")</x:f>
      </x:c>
      <x:c r="J71" s="76" t="str">
        <x:f>IF('02_Form_Pluviometrie'!$L71="Validé humainement",'02_Form_Pluviometrie'!J71,"")</x:f>
      </x:c>
      <x:c r="K71" s="76" t="str">
        <x:f>IF('02_Form_Pluviometrie'!$L71="Validé humainement",'02_Form_Pluviometrie'!K71,"")</x:f>
      </x:c>
      <x:c r="L71" s="76" t="str">
        <x:f>IF('02_Form_Pluviometrie'!$L71="Validé humainement",'02_Form_Pluviometrie'!L71,"")</x:f>
      </x:c>
      <x:c r="M71" s="76" t="str">
        <x:f>IF('02_Form_Pluviometrie'!$L71="Validé humainement",'02_Form_Pluviometrie'!M71,"")</x:f>
      </x:c>
      <x:c r="N71" s="78" t="str">
        <x:f>IF('02_Form_Pluviometrie'!$L71="Validé humainement",'02_Form_Pluviometrie'!N71,"")</x:f>
      </x:c>
      <x:c r="O71" s="76" t="str">
        <x:f>IF('02_Form_Pluviometrie'!$L71="Validé humainement",'02_Form_Pluviometrie'!O71,"")</x:f>
      </x:c>
      <x:c r="P71" s="76" t="str">
        <x:f>IF('02_Form_Pluviometrie'!$L71="Validé humainement",'02_Form_Pluviometrie'!P71,"")</x:f>
      </x:c>
      <x:c r="Q71" s="76" t="str">
        <x:f>IF('02_Form_Pluviometrie'!$L71="Validé humainement",'02_Form_Pluviometrie'!Q71,"")</x:f>
      </x:c>
    </x:row>
    <x:row r="72">
      <x:c r="A72" s="76" t="str">
        <x:f>IF('02_Form_Pluviometrie'!$L72="Validé humainement",'02_Form_Pluviometrie'!A72,"")</x:f>
      </x:c>
      <x:c r="B72" s="78" t="str">
        <x:f>IF('02_Form_Pluviometrie'!$L72="Validé humainement",'02_Form_Pluviometrie'!B72,"")</x:f>
      </x:c>
      <x:c r="C72" s="76" t="str">
        <x:f>IF('02_Form_Pluviometrie'!$L72="Validé humainement",'02_Form_Pluviometrie'!C72,"")</x:f>
      </x:c>
      <x:c r="D72" s="76" t="str">
        <x:f>IF('02_Form_Pluviometrie'!$L72="Validé humainement",'02_Form_Pluviometrie'!D72,"")</x:f>
      </x:c>
      <x:c r="E72" s="76" t="str">
        <x:f>IF('02_Form_Pluviometrie'!$L72="Validé humainement",'02_Form_Pluviometrie'!E72,"")</x:f>
      </x:c>
      <x:c r="F72" s="76" t="str">
        <x:f>IF('02_Form_Pluviometrie'!$L72="Validé humainement",'02_Form_Pluviometrie'!F72,"")</x:f>
      </x:c>
      <x:c r="G72" s="80" t="str">
        <x:f>IF('02_Form_Pluviometrie'!$L72="Validé humainement",'02_Form_Pluviometrie'!G72,"")</x:f>
      </x:c>
      <x:c r="H72" s="76" t="str">
        <x:f>IF('02_Form_Pluviometrie'!$L72="Validé humainement",'02_Form_Pluviometrie'!H72,"")</x:f>
      </x:c>
      <x:c r="I72" s="76" t="str">
        <x:f>IF('02_Form_Pluviometrie'!$L72="Validé humainement",'02_Form_Pluviometrie'!I72,"")</x:f>
      </x:c>
      <x:c r="J72" s="76" t="str">
        <x:f>IF('02_Form_Pluviometrie'!$L72="Validé humainement",'02_Form_Pluviometrie'!J72,"")</x:f>
      </x:c>
      <x:c r="K72" s="76" t="str">
        <x:f>IF('02_Form_Pluviometrie'!$L72="Validé humainement",'02_Form_Pluviometrie'!K72,"")</x:f>
      </x:c>
      <x:c r="L72" s="76" t="str">
        <x:f>IF('02_Form_Pluviometrie'!$L72="Validé humainement",'02_Form_Pluviometrie'!L72,"")</x:f>
      </x:c>
      <x:c r="M72" s="76" t="str">
        <x:f>IF('02_Form_Pluviometrie'!$L72="Validé humainement",'02_Form_Pluviometrie'!M72,"")</x:f>
      </x:c>
      <x:c r="N72" s="78" t="str">
        <x:f>IF('02_Form_Pluviometrie'!$L72="Validé humainement",'02_Form_Pluviometrie'!N72,"")</x:f>
      </x:c>
      <x:c r="O72" s="76" t="str">
        <x:f>IF('02_Form_Pluviometrie'!$L72="Validé humainement",'02_Form_Pluviometrie'!O72,"")</x:f>
      </x:c>
      <x:c r="P72" s="76" t="str">
        <x:f>IF('02_Form_Pluviometrie'!$L72="Validé humainement",'02_Form_Pluviometrie'!P72,"")</x:f>
      </x:c>
      <x:c r="Q72" s="76" t="str">
        <x:f>IF('02_Form_Pluviometrie'!$L72="Validé humainement",'02_Form_Pluviometrie'!Q72,"")</x:f>
      </x:c>
    </x:row>
    <x:row r="73">
      <x:c r="A73" s="76" t="str">
        <x:f>IF('02_Form_Pluviometrie'!$L73="Validé humainement",'02_Form_Pluviometrie'!A73,"")</x:f>
      </x:c>
      <x:c r="B73" s="78" t="str">
        <x:f>IF('02_Form_Pluviometrie'!$L73="Validé humainement",'02_Form_Pluviometrie'!B73,"")</x:f>
      </x:c>
      <x:c r="C73" s="76" t="str">
        <x:f>IF('02_Form_Pluviometrie'!$L73="Validé humainement",'02_Form_Pluviometrie'!C73,"")</x:f>
      </x:c>
      <x:c r="D73" s="76" t="str">
        <x:f>IF('02_Form_Pluviometrie'!$L73="Validé humainement",'02_Form_Pluviometrie'!D73,"")</x:f>
      </x:c>
      <x:c r="E73" s="76" t="str">
        <x:f>IF('02_Form_Pluviometrie'!$L73="Validé humainement",'02_Form_Pluviometrie'!E73,"")</x:f>
      </x:c>
      <x:c r="F73" s="76" t="str">
        <x:f>IF('02_Form_Pluviometrie'!$L73="Validé humainement",'02_Form_Pluviometrie'!F73,"")</x:f>
      </x:c>
      <x:c r="G73" s="80" t="str">
        <x:f>IF('02_Form_Pluviometrie'!$L73="Validé humainement",'02_Form_Pluviometrie'!G73,"")</x:f>
      </x:c>
      <x:c r="H73" s="76" t="str">
        <x:f>IF('02_Form_Pluviometrie'!$L73="Validé humainement",'02_Form_Pluviometrie'!H73,"")</x:f>
      </x:c>
      <x:c r="I73" s="76" t="str">
        <x:f>IF('02_Form_Pluviometrie'!$L73="Validé humainement",'02_Form_Pluviometrie'!I73,"")</x:f>
      </x:c>
      <x:c r="J73" s="76" t="str">
        <x:f>IF('02_Form_Pluviometrie'!$L73="Validé humainement",'02_Form_Pluviometrie'!J73,"")</x:f>
      </x:c>
      <x:c r="K73" s="76" t="str">
        <x:f>IF('02_Form_Pluviometrie'!$L73="Validé humainement",'02_Form_Pluviometrie'!K73,"")</x:f>
      </x:c>
      <x:c r="L73" s="76" t="str">
        <x:f>IF('02_Form_Pluviometrie'!$L73="Validé humainement",'02_Form_Pluviometrie'!L73,"")</x:f>
      </x:c>
      <x:c r="M73" s="76" t="str">
        <x:f>IF('02_Form_Pluviometrie'!$L73="Validé humainement",'02_Form_Pluviometrie'!M73,"")</x:f>
      </x:c>
      <x:c r="N73" s="78" t="str">
        <x:f>IF('02_Form_Pluviometrie'!$L73="Validé humainement",'02_Form_Pluviometrie'!N73,"")</x:f>
      </x:c>
      <x:c r="O73" s="76" t="str">
        <x:f>IF('02_Form_Pluviometrie'!$L73="Validé humainement",'02_Form_Pluviometrie'!O73,"")</x:f>
      </x:c>
      <x:c r="P73" s="76" t="str">
        <x:f>IF('02_Form_Pluviometrie'!$L73="Validé humainement",'02_Form_Pluviometrie'!P73,"")</x:f>
      </x:c>
      <x:c r="Q73" s="76" t="str">
        <x:f>IF('02_Form_Pluviometrie'!$L73="Validé humainement",'02_Form_Pluviometrie'!Q73,"")</x:f>
      </x:c>
    </x:row>
    <x:row r="74">
      <x:c r="A74" s="76" t="str">
        <x:f>IF('02_Form_Pluviometrie'!$L74="Validé humainement",'02_Form_Pluviometrie'!A74,"")</x:f>
      </x:c>
      <x:c r="B74" s="78" t="str">
        <x:f>IF('02_Form_Pluviometrie'!$L74="Validé humainement",'02_Form_Pluviometrie'!B74,"")</x:f>
      </x:c>
      <x:c r="C74" s="76" t="str">
        <x:f>IF('02_Form_Pluviometrie'!$L74="Validé humainement",'02_Form_Pluviometrie'!C74,"")</x:f>
      </x:c>
      <x:c r="D74" s="76" t="str">
        <x:f>IF('02_Form_Pluviometrie'!$L74="Validé humainement",'02_Form_Pluviometrie'!D74,"")</x:f>
      </x:c>
      <x:c r="E74" s="76" t="str">
        <x:f>IF('02_Form_Pluviometrie'!$L74="Validé humainement",'02_Form_Pluviometrie'!E74,"")</x:f>
      </x:c>
      <x:c r="F74" s="76" t="str">
        <x:f>IF('02_Form_Pluviometrie'!$L74="Validé humainement",'02_Form_Pluviometrie'!F74,"")</x:f>
      </x:c>
      <x:c r="G74" s="80" t="str">
        <x:f>IF('02_Form_Pluviometrie'!$L74="Validé humainement",'02_Form_Pluviometrie'!G74,"")</x:f>
      </x:c>
      <x:c r="H74" s="76" t="str">
        <x:f>IF('02_Form_Pluviometrie'!$L74="Validé humainement",'02_Form_Pluviometrie'!H74,"")</x:f>
      </x:c>
      <x:c r="I74" s="76" t="str">
        <x:f>IF('02_Form_Pluviometrie'!$L74="Validé humainement",'02_Form_Pluviometrie'!I74,"")</x:f>
      </x:c>
      <x:c r="J74" s="76" t="str">
        <x:f>IF('02_Form_Pluviometrie'!$L74="Validé humainement",'02_Form_Pluviometrie'!J74,"")</x:f>
      </x:c>
      <x:c r="K74" s="76" t="str">
        <x:f>IF('02_Form_Pluviometrie'!$L74="Validé humainement",'02_Form_Pluviometrie'!K74,"")</x:f>
      </x:c>
      <x:c r="L74" s="76" t="str">
        <x:f>IF('02_Form_Pluviometrie'!$L74="Validé humainement",'02_Form_Pluviometrie'!L74,"")</x:f>
      </x:c>
      <x:c r="M74" s="76" t="str">
        <x:f>IF('02_Form_Pluviometrie'!$L74="Validé humainement",'02_Form_Pluviometrie'!M74,"")</x:f>
      </x:c>
      <x:c r="N74" s="78" t="str">
        <x:f>IF('02_Form_Pluviometrie'!$L74="Validé humainement",'02_Form_Pluviometrie'!N74,"")</x:f>
      </x:c>
      <x:c r="O74" s="76" t="str">
        <x:f>IF('02_Form_Pluviometrie'!$L74="Validé humainement",'02_Form_Pluviometrie'!O74,"")</x:f>
      </x:c>
      <x:c r="P74" s="76" t="str">
        <x:f>IF('02_Form_Pluviometrie'!$L74="Validé humainement",'02_Form_Pluviometrie'!P74,"")</x:f>
      </x:c>
      <x:c r="Q74" s="76" t="str">
        <x:f>IF('02_Form_Pluviometrie'!$L74="Validé humainement",'02_Form_Pluviometrie'!Q74,"")</x:f>
      </x:c>
    </x:row>
    <x:row r="75">
      <x:c r="A75" s="76" t="str">
        <x:f>IF('02_Form_Pluviometrie'!$L75="Validé humainement",'02_Form_Pluviometrie'!A75,"")</x:f>
      </x:c>
      <x:c r="B75" s="78" t="str">
        <x:f>IF('02_Form_Pluviometrie'!$L75="Validé humainement",'02_Form_Pluviometrie'!B75,"")</x:f>
      </x:c>
      <x:c r="C75" s="76" t="str">
        <x:f>IF('02_Form_Pluviometrie'!$L75="Validé humainement",'02_Form_Pluviometrie'!C75,"")</x:f>
      </x:c>
      <x:c r="D75" s="76" t="str">
        <x:f>IF('02_Form_Pluviometrie'!$L75="Validé humainement",'02_Form_Pluviometrie'!D75,"")</x:f>
      </x:c>
      <x:c r="E75" s="76" t="str">
        <x:f>IF('02_Form_Pluviometrie'!$L75="Validé humainement",'02_Form_Pluviometrie'!E75,"")</x:f>
      </x:c>
      <x:c r="F75" s="76" t="str">
        <x:f>IF('02_Form_Pluviometrie'!$L75="Validé humainement",'02_Form_Pluviometrie'!F75,"")</x:f>
      </x:c>
      <x:c r="G75" s="80" t="str">
        <x:f>IF('02_Form_Pluviometrie'!$L75="Validé humainement",'02_Form_Pluviometrie'!G75,"")</x:f>
      </x:c>
      <x:c r="H75" s="76" t="str">
        <x:f>IF('02_Form_Pluviometrie'!$L75="Validé humainement",'02_Form_Pluviometrie'!H75,"")</x:f>
      </x:c>
      <x:c r="I75" s="76" t="str">
        <x:f>IF('02_Form_Pluviometrie'!$L75="Validé humainement",'02_Form_Pluviometrie'!I75,"")</x:f>
      </x:c>
      <x:c r="J75" s="76" t="str">
        <x:f>IF('02_Form_Pluviometrie'!$L75="Validé humainement",'02_Form_Pluviometrie'!J75,"")</x:f>
      </x:c>
      <x:c r="K75" s="76" t="str">
        <x:f>IF('02_Form_Pluviometrie'!$L75="Validé humainement",'02_Form_Pluviometrie'!K75,"")</x:f>
      </x:c>
      <x:c r="L75" s="76" t="str">
        <x:f>IF('02_Form_Pluviometrie'!$L75="Validé humainement",'02_Form_Pluviometrie'!L75,"")</x:f>
      </x:c>
      <x:c r="M75" s="76" t="str">
        <x:f>IF('02_Form_Pluviometrie'!$L75="Validé humainement",'02_Form_Pluviometrie'!M75,"")</x:f>
      </x:c>
      <x:c r="N75" s="78" t="str">
        <x:f>IF('02_Form_Pluviometrie'!$L75="Validé humainement",'02_Form_Pluviometrie'!N75,"")</x:f>
      </x:c>
      <x:c r="O75" s="76" t="str">
        <x:f>IF('02_Form_Pluviometrie'!$L75="Validé humainement",'02_Form_Pluviometrie'!O75,"")</x:f>
      </x:c>
      <x:c r="P75" s="76" t="str">
        <x:f>IF('02_Form_Pluviometrie'!$L75="Validé humainement",'02_Form_Pluviometrie'!P75,"")</x:f>
      </x:c>
      <x:c r="Q75" s="76" t="str">
        <x:f>IF('02_Form_Pluviometrie'!$L75="Validé humainement",'02_Form_Pluviometrie'!Q75,"")</x:f>
      </x:c>
    </x:row>
    <x:row r="76">
      <x:c r="A76" s="76" t="str">
        <x:f>IF('02_Form_Pluviometrie'!$L76="Validé humainement",'02_Form_Pluviometrie'!A76,"")</x:f>
      </x:c>
      <x:c r="B76" s="78" t="str">
        <x:f>IF('02_Form_Pluviometrie'!$L76="Validé humainement",'02_Form_Pluviometrie'!B76,"")</x:f>
      </x:c>
      <x:c r="C76" s="76" t="str">
        <x:f>IF('02_Form_Pluviometrie'!$L76="Validé humainement",'02_Form_Pluviometrie'!C76,"")</x:f>
      </x:c>
      <x:c r="D76" s="76" t="str">
        <x:f>IF('02_Form_Pluviometrie'!$L76="Validé humainement",'02_Form_Pluviometrie'!D76,"")</x:f>
      </x:c>
      <x:c r="E76" s="76" t="str">
        <x:f>IF('02_Form_Pluviometrie'!$L76="Validé humainement",'02_Form_Pluviometrie'!E76,"")</x:f>
      </x:c>
      <x:c r="F76" s="76" t="str">
        <x:f>IF('02_Form_Pluviometrie'!$L76="Validé humainement",'02_Form_Pluviometrie'!F76,"")</x:f>
      </x:c>
      <x:c r="G76" s="80" t="str">
        <x:f>IF('02_Form_Pluviometrie'!$L76="Validé humainement",'02_Form_Pluviometrie'!G76,"")</x:f>
      </x:c>
      <x:c r="H76" s="76" t="str">
        <x:f>IF('02_Form_Pluviometrie'!$L76="Validé humainement",'02_Form_Pluviometrie'!H76,"")</x:f>
      </x:c>
      <x:c r="I76" s="76" t="str">
        <x:f>IF('02_Form_Pluviometrie'!$L76="Validé humainement",'02_Form_Pluviometrie'!I76,"")</x:f>
      </x:c>
      <x:c r="J76" s="76" t="str">
        <x:f>IF('02_Form_Pluviometrie'!$L76="Validé humainement",'02_Form_Pluviometrie'!J76,"")</x:f>
      </x:c>
      <x:c r="K76" s="76" t="str">
        <x:f>IF('02_Form_Pluviometrie'!$L76="Validé humainement",'02_Form_Pluviometrie'!K76,"")</x:f>
      </x:c>
      <x:c r="L76" s="76" t="str">
        <x:f>IF('02_Form_Pluviometrie'!$L76="Validé humainement",'02_Form_Pluviometrie'!L76,"")</x:f>
      </x:c>
      <x:c r="M76" s="76" t="str">
        <x:f>IF('02_Form_Pluviometrie'!$L76="Validé humainement",'02_Form_Pluviometrie'!M76,"")</x:f>
      </x:c>
      <x:c r="N76" s="78" t="str">
        <x:f>IF('02_Form_Pluviometrie'!$L76="Validé humainement",'02_Form_Pluviometrie'!N76,"")</x:f>
      </x:c>
      <x:c r="O76" s="76" t="str">
        <x:f>IF('02_Form_Pluviometrie'!$L76="Validé humainement",'02_Form_Pluviometrie'!O76,"")</x:f>
      </x:c>
      <x:c r="P76" s="76" t="str">
        <x:f>IF('02_Form_Pluviometrie'!$L76="Validé humainement",'02_Form_Pluviometrie'!P76,"")</x:f>
      </x:c>
      <x:c r="Q76" s="76" t="str">
        <x:f>IF('02_Form_Pluviometrie'!$L76="Validé humainement",'02_Form_Pluviometrie'!Q76,"")</x:f>
      </x:c>
    </x:row>
    <x:row r="77">
      <x:c r="A77" s="76" t="str">
        <x:f>IF('02_Form_Pluviometrie'!$L77="Validé humainement",'02_Form_Pluviometrie'!A77,"")</x:f>
      </x:c>
      <x:c r="B77" s="78" t="str">
        <x:f>IF('02_Form_Pluviometrie'!$L77="Validé humainement",'02_Form_Pluviometrie'!B77,"")</x:f>
      </x:c>
      <x:c r="C77" s="76" t="str">
        <x:f>IF('02_Form_Pluviometrie'!$L77="Validé humainement",'02_Form_Pluviometrie'!C77,"")</x:f>
      </x:c>
      <x:c r="D77" s="76" t="str">
        <x:f>IF('02_Form_Pluviometrie'!$L77="Validé humainement",'02_Form_Pluviometrie'!D77,"")</x:f>
      </x:c>
      <x:c r="E77" s="76" t="str">
        <x:f>IF('02_Form_Pluviometrie'!$L77="Validé humainement",'02_Form_Pluviometrie'!E77,"")</x:f>
      </x:c>
      <x:c r="F77" s="76" t="str">
        <x:f>IF('02_Form_Pluviometrie'!$L77="Validé humainement",'02_Form_Pluviometrie'!F77,"")</x:f>
      </x:c>
      <x:c r="G77" s="80" t="str">
        <x:f>IF('02_Form_Pluviometrie'!$L77="Validé humainement",'02_Form_Pluviometrie'!G77,"")</x:f>
      </x:c>
      <x:c r="H77" s="76" t="str">
        <x:f>IF('02_Form_Pluviometrie'!$L77="Validé humainement",'02_Form_Pluviometrie'!H77,"")</x:f>
      </x:c>
      <x:c r="I77" s="76" t="str">
        <x:f>IF('02_Form_Pluviometrie'!$L77="Validé humainement",'02_Form_Pluviometrie'!I77,"")</x:f>
      </x:c>
      <x:c r="J77" s="76" t="str">
        <x:f>IF('02_Form_Pluviometrie'!$L77="Validé humainement",'02_Form_Pluviometrie'!J77,"")</x:f>
      </x:c>
      <x:c r="K77" s="76" t="str">
        <x:f>IF('02_Form_Pluviometrie'!$L77="Validé humainement",'02_Form_Pluviometrie'!K77,"")</x:f>
      </x:c>
      <x:c r="L77" s="76" t="str">
        <x:f>IF('02_Form_Pluviometrie'!$L77="Validé humainement",'02_Form_Pluviometrie'!L77,"")</x:f>
      </x:c>
      <x:c r="M77" s="76" t="str">
        <x:f>IF('02_Form_Pluviometrie'!$L77="Validé humainement",'02_Form_Pluviometrie'!M77,"")</x:f>
      </x:c>
      <x:c r="N77" s="78" t="str">
        <x:f>IF('02_Form_Pluviometrie'!$L77="Validé humainement",'02_Form_Pluviometrie'!N77,"")</x:f>
      </x:c>
      <x:c r="O77" s="76" t="str">
        <x:f>IF('02_Form_Pluviometrie'!$L77="Validé humainement",'02_Form_Pluviometrie'!O77,"")</x:f>
      </x:c>
      <x:c r="P77" s="76" t="str">
        <x:f>IF('02_Form_Pluviometrie'!$L77="Validé humainement",'02_Form_Pluviometrie'!P77,"")</x:f>
      </x:c>
      <x:c r="Q77" s="76" t="str">
        <x:f>IF('02_Form_Pluviometrie'!$L77="Validé humainement",'02_Form_Pluviometrie'!Q77,"")</x:f>
      </x:c>
    </x:row>
    <x:row r="78">
      <x:c r="A78" s="76" t="str">
        <x:f>IF('02_Form_Pluviometrie'!$L78="Validé humainement",'02_Form_Pluviometrie'!A78,"")</x:f>
      </x:c>
      <x:c r="B78" s="78" t="str">
        <x:f>IF('02_Form_Pluviometrie'!$L78="Validé humainement",'02_Form_Pluviometrie'!B78,"")</x:f>
      </x:c>
      <x:c r="C78" s="76" t="str">
        <x:f>IF('02_Form_Pluviometrie'!$L78="Validé humainement",'02_Form_Pluviometrie'!C78,"")</x:f>
      </x:c>
      <x:c r="D78" s="76" t="str">
        <x:f>IF('02_Form_Pluviometrie'!$L78="Validé humainement",'02_Form_Pluviometrie'!D78,"")</x:f>
      </x:c>
      <x:c r="E78" s="76" t="str">
        <x:f>IF('02_Form_Pluviometrie'!$L78="Validé humainement",'02_Form_Pluviometrie'!E78,"")</x:f>
      </x:c>
      <x:c r="F78" s="76" t="str">
        <x:f>IF('02_Form_Pluviometrie'!$L78="Validé humainement",'02_Form_Pluviometrie'!F78,"")</x:f>
      </x:c>
      <x:c r="G78" s="80" t="str">
        <x:f>IF('02_Form_Pluviometrie'!$L78="Validé humainement",'02_Form_Pluviometrie'!G78,"")</x:f>
      </x:c>
      <x:c r="H78" s="76" t="str">
        <x:f>IF('02_Form_Pluviometrie'!$L78="Validé humainement",'02_Form_Pluviometrie'!H78,"")</x:f>
      </x:c>
      <x:c r="I78" s="76" t="str">
        <x:f>IF('02_Form_Pluviometrie'!$L78="Validé humainement",'02_Form_Pluviometrie'!I78,"")</x:f>
      </x:c>
      <x:c r="J78" s="76" t="str">
        <x:f>IF('02_Form_Pluviometrie'!$L78="Validé humainement",'02_Form_Pluviometrie'!J78,"")</x:f>
      </x:c>
      <x:c r="K78" s="76" t="str">
        <x:f>IF('02_Form_Pluviometrie'!$L78="Validé humainement",'02_Form_Pluviometrie'!K78,"")</x:f>
      </x:c>
      <x:c r="L78" s="76" t="str">
        <x:f>IF('02_Form_Pluviometrie'!$L78="Validé humainement",'02_Form_Pluviometrie'!L78,"")</x:f>
      </x:c>
      <x:c r="M78" s="76" t="str">
        <x:f>IF('02_Form_Pluviometrie'!$L78="Validé humainement",'02_Form_Pluviometrie'!M78,"")</x:f>
      </x:c>
      <x:c r="N78" s="78" t="str">
        <x:f>IF('02_Form_Pluviometrie'!$L78="Validé humainement",'02_Form_Pluviometrie'!N78,"")</x:f>
      </x:c>
      <x:c r="O78" s="76" t="str">
        <x:f>IF('02_Form_Pluviometrie'!$L78="Validé humainement",'02_Form_Pluviometrie'!O78,"")</x:f>
      </x:c>
      <x:c r="P78" s="76" t="str">
        <x:f>IF('02_Form_Pluviometrie'!$L78="Validé humainement",'02_Form_Pluviometrie'!P78,"")</x:f>
      </x:c>
      <x:c r="Q78" s="76" t="str">
        <x:f>IF('02_Form_Pluviometrie'!$L78="Validé humainement",'02_Form_Pluviometrie'!Q78,"")</x:f>
      </x:c>
    </x:row>
    <x:row r="79">
      <x:c r="A79" s="76" t="str">
        <x:f>IF('02_Form_Pluviometrie'!$L79="Validé humainement",'02_Form_Pluviometrie'!A79,"")</x:f>
      </x:c>
      <x:c r="B79" s="78" t="str">
        <x:f>IF('02_Form_Pluviometrie'!$L79="Validé humainement",'02_Form_Pluviometrie'!B79,"")</x:f>
      </x:c>
      <x:c r="C79" s="76" t="str">
        <x:f>IF('02_Form_Pluviometrie'!$L79="Validé humainement",'02_Form_Pluviometrie'!C79,"")</x:f>
      </x:c>
      <x:c r="D79" s="76" t="str">
        <x:f>IF('02_Form_Pluviometrie'!$L79="Validé humainement",'02_Form_Pluviometrie'!D79,"")</x:f>
      </x:c>
      <x:c r="E79" s="76" t="str">
        <x:f>IF('02_Form_Pluviometrie'!$L79="Validé humainement",'02_Form_Pluviometrie'!E79,"")</x:f>
      </x:c>
      <x:c r="F79" s="76" t="str">
        <x:f>IF('02_Form_Pluviometrie'!$L79="Validé humainement",'02_Form_Pluviometrie'!F79,"")</x:f>
      </x:c>
      <x:c r="G79" s="80" t="str">
        <x:f>IF('02_Form_Pluviometrie'!$L79="Validé humainement",'02_Form_Pluviometrie'!G79,"")</x:f>
      </x:c>
      <x:c r="H79" s="76" t="str">
        <x:f>IF('02_Form_Pluviometrie'!$L79="Validé humainement",'02_Form_Pluviometrie'!H79,"")</x:f>
      </x:c>
      <x:c r="I79" s="76" t="str">
        <x:f>IF('02_Form_Pluviometrie'!$L79="Validé humainement",'02_Form_Pluviometrie'!I79,"")</x:f>
      </x:c>
      <x:c r="J79" s="76" t="str">
        <x:f>IF('02_Form_Pluviometrie'!$L79="Validé humainement",'02_Form_Pluviometrie'!J79,"")</x:f>
      </x:c>
      <x:c r="K79" s="76" t="str">
        <x:f>IF('02_Form_Pluviometrie'!$L79="Validé humainement",'02_Form_Pluviometrie'!K79,"")</x:f>
      </x:c>
      <x:c r="L79" s="76" t="str">
        <x:f>IF('02_Form_Pluviometrie'!$L79="Validé humainement",'02_Form_Pluviometrie'!L79,"")</x:f>
      </x:c>
      <x:c r="M79" s="76" t="str">
        <x:f>IF('02_Form_Pluviometrie'!$L79="Validé humainement",'02_Form_Pluviometrie'!M79,"")</x:f>
      </x:c>
      <x:c r="N79" s="78" t="str">
        <x:f>IF('02_Form_Pluviometrie'!$L79="Validé humainement",'02_Form_Pluviometrie'!N79,"")</x:f>
      </x:c>
      <x:c r="O79" s="76" t="str">
        <x:f>IF('02_Form_Pluviometrie'!$L79="Validé humainement",'02_Form_Pluviometrie'!O79,"")</x:f>
      </x:c>
      <x:c r="P79" s="76" t="str">
        <x:f>IF('02_Form_Pluviometrie'!$L79="Validé humainement",'02_Form_Pluviometrie'!P79,"")</x:f>
      </x:c>
      <x:c r="Q79" s="76" t="str">
        <x:f>IF('02_Form_Pluviometrie'!$L79="Validé humainement",'02_Form_Pluviometrie'!Q79,"")</x:f>
      </x:c>
    </x:row>
    <x:row r="80">
      <x:c r="A80" s="76" t="str">
        <x:f>IF('02_Form_Pluviometrie'!$L80="Validé humainement",'02_Form_Pluviometrie'!A80,"")</x:f>
      </x:c>
      <x:c r="B80" s="78" t="str">
        <x:f>IF('02_Form_Pluviometrie'!$L80="Validé humainement",'02_Form_Pluviometrie'!B80,"")</x:f>
      </x:c>
      <x:c r="C80" s="76" t="str">
        <x:f>IF('02_Form_Pluviometrie'!$L80="Validé humainement",'02_Form_Pluviometrie'!C80,"")</x:f>
      </x:c>
      <x:c r="D80" s="76" t="str">
        <x:f>IF('02_Form_Pluviometrie'!$L80="Validé humainement",'02_Form_Pluviometrie'!D80,"")</x:f>
      </x:c>
      <x:c r="E80" s="76" t="str">
        <x:f>IF('02_Form_Pluviometrie'!$L80="Validé humainement",'02_Form_Pluviometrie'!E80,"")</x:f>
      </x:c>
      <x:c r="F80" s="76" t="str">
        <x:f>IF('02_Form_Pluviometrie'!$L80="Validé humainement",'02_Form_Pluviometrie'!F80,"")</x:f>
      </x:c>
      <x:c r="G80" s="80" t="str">
        <x:f>IF('02_Form_Pluviometrie'!$L80="Validé humainement",'02_Form_Pluviometrie'!G80,"")</x:f>
      </x:c>
      <x:c r="H80" s="76" t="str">
        <x:f>IF('02_Form_Pluviometrie'!$L80="Validé humainement",'02_Form_Pluviometrie'!H80,"")</x:f>
      </x:c>
      <x:c r="I80" s="76" t="str">
        <x:f>IF('02_Form_Pluviometrie'!$L80="Validé humainement",'02_Form_Pluviometrie'!I80,"")</x:f>
      </x:c>
      <x:c r="J80" s="76" t="str">
        <x:f>IF('02_Form_Pluviometrie'!$L80="Validé humainement",'02_Form_Pluviometrie'!J80,"")</x:f>
      </x:c>
      <x:c r="K80" s="76" t="str">
        <x:f>IF('02_Form_Pluviometrie'!$L80="Validé humainement",'02_Form_Pluviometrie'!K80,"")</x:f>
      </x:c>
      <x:c r="L80" s="76" t="str">
        <x:f>IF('02_Form_Pluviometrie'!$L80="Validé humainement",'02_Form_Pluviometrie'!L80,"")</x:f>
      </x:c>
      <x:c r="M80" s="76" t="str">
        <x:f>IF('02_Form_Pluviometrie'!$L80="Validé humainement",'02_Form_Pluviometrie'!M80,"")</x:f>
      </x:c>
      <x:c r="N80" s="78" t="str">
        <x:f>IF('02_Form_Pluviometrie'!$L80="Validé humainement",'02_Form_Pluviometrie'!N80,"")</x:f>
      </x:c>
      <x:c r="O80" s="76" t="str">
        <x:f>IF('02_Form_Pluviometrie'!$L80="Validé humainement",'02_Form_Pluviometrie'!O80,"")</x:f>
      </x:c>
      <x:c r="P80" s="76" t="str">
        <x:f>IF('02_Form_Pluviometrie'!$L80="Validé humainement",'02_Form_Pluviometrie'!P80,"")</x:f>
      </x:c>
      <x:c r="Q80" s="76" t="str">
        <x:f>IF('02_Form_Pluviometrie'!$L80="Validé humainement",'02_Form_Pluviometrie'!Q80,"")</x:f>
      </x:c>
    </x:row>
    <x:row r="81">
      <x:c r="A81" s="76" t="str">
        <x:f>IF('02_Form_Pluviometrie'!$L81="Validé humainement",'02_Form_Pluviometrie'!A81,"")</x:f>
      </x:c>
      <x:c r="B81" s="78" t="str">
        <x:f>IF('02_Form_Pluviometrie'!$L81="Validé humainement",'02_Form_Pluviometrie'!B81,"")</x:f>
      </x:c>
      <x:c r="C81" s="76" t="str">
        <x:f>IF('02_Form_Pluviometrie'!$L81="Validé humainement",'02_Form_Pluviometrie'!C81,"")</x:f>
      </x:c>
      <x:c r="D81" s="76" t="str">
        <x:f>IF('02_Form_Pluviometrie'!$L81="Validé humainement",'02_Form_Pluviometrie'!D81,"")</x:f>
      </x:c>
      <x:c r="E81" s="76" t="str">
        <x:f>IF('02_Form_Pluviometrie'!$L81="Validé humainement",'02_Form_Pluviometrie'!E81,"")</x:f>
      </x:c>
      <x:c r="F81" s="76" t="str">
        <x:f>IF('02_Form_Pluviometrie'!$L81="Validé humainement",'02_Form_Pluviometrie'!F81,"")</x:f>
      </x:c>
      <x:c r="G81" s="80" t="str">
        <x:f>IF('02_Form_Pluviometrie'!$L81="Validé humainement",'02_Form_Pluviometrie'!G81,"")</x:f>
      </x:c>
      <x:c r="H81" s="76" t="str">
        <x:f>IF('02_Form_Pluviometrie'!$L81="Validé humainement",'02_Form_Pluviometrie'!H81,"")</x:f>
      </x:c>
      <x:c r="I81" s="76" t="str">
        <x:f>IF('02_Form_Pluviometrie'!$L81="Validé humainement",'02_Form_Pluviometrie'!I81,"")</x:f>
      </x:c>
      <x:c r="J81" s="76" t="str">
        <x:f>IF('02_Form_Pluviometrie'!$L81="Validé humainement",'02_Form_Pluviometrie'!J81,"")</x:f>
      </x:c>
      <x:c r="K81" s="76" t="str">
        <x:f>IF('02_Form_Pluviometrie'!$L81="Validé humainement",'02_Form_Pluviometrie'!K81,"")</x:f>
      </x:c>
      <x:c r="L81" s="76" t="str">
        <x:f>IF('02_Form_Pluviometrie'!$L81="Validé humainement",'02_Form_Pluviometrie'!L81,"")</x:f>
      </x:c>
      <x:c r="M81" s="76" t="str">
        <x:f>IF('02_Form_Pluviometrie'!$L81="Validé humainement",'02_Form_Pluviometrie'!M81,"")</x:f>
      </x:c>
      <x:c r="N81" s="78" t="str">
        <x:f>IF('02_Form_Pluviometrie'!$L81="Validé humainement",'02_Form_Pluviometrie'!N81,"")</x:f>
      </x:c>
      <x:c r="O81" s="76" t="str">
        <x:f>IF('02_Form_Pluviometrie'!$L81="Validé humainement",'02_Form_Pluviometrie'!O81,"")</x:f>
      </x:c>
      <x:c r="P81" s="76" t="str">
        <x:f>IF('02_Form_Pluviometrie'!$L81="Validé humainement",'02_Form_Pluviometrie'!P81,"")</x:f>
      </x:c>
      <x:c r="Q81" s="76" t="str">
        <x:f>IF('02_Form_Pluviometrie'!$L81="Validé humainement",'02_Form_Pluviometrie'!Q81,"")</x:f>
      </x:c>
    </x:row>
    <x:row r="82">
      <x:c r="A82" s="76" t="str">
        <x:f>IF('02_Form_Pluviometrie'!$L82="Validé humainement",'02_Form_Pluviometrie'!A82,"")</x:f>
      </x:c>
      <x:c r="B82" s="78" t="str">
        <x:f>IF('02_Form_Pluviometrie'!$L82="Validé humainement",'02_Form_Pluviometrie'!B82,"")</x:f>
      </x:c>
      <x:c r="C82" s="76" t="str">
        <x:f>IF('02_Form_Pluviometrie'!$L82="Validé humainement",'02_Form_Pluviometrie'!C82,"")</x:f>
      </x:c>
      <x:c r="D82" s="76" t="str">
        <x:f>IF('02_Form_Pluviometrie'!$L82="Validé humainement",'02_Form_Pluviometrie'!D82,"")</x:f>
      </x:c>
      <x:c r="E82" s="76" t="str">
        <x:f>IF('02_Form_Pluviometrie'!$L82="Validé humainement",'02_Form_Pluviometrie'!E82,"")</x:f>
      </x:c>
      <x:c r="F82" s="76" t="str">
        <x:f>IF('02_Form_Pluviometrie'!$L82="Validé humainement",'02_Form_Pluviometrie'!F82,"")</x:f>
      </x:c>
      <x:c r="G82" s="80" t="str">
        <x:f>IF('02_Form_Pluviometrie'!$L82="Validé humainement",'02_Form_Pluviometrie'!G82,"")</x:f>
      </x:c>
      <x:c r="H82" s="76" t="str">
        <x:f>IF('02_Form_Pluviometrie'!$L82="Validé humainement",'02_Form_Pluviometrie'!H82,"")</x:f>
      </x:c>
      <x:c r="I82" s="76" t="str">
        <x:f>IF('02_Form_Pluviometrie'!$L82="Validé humainement",'02_Form_Pluviometrie'!I82,"")</x:f>
      </x:c>
      <x:c r="J82" s="76" t="str">
        <x:f>IF('02_Form_Pluviometrie'!$L82="Validé humainement",'02_Form_Pluviometrie'!J82,"")</x:f>
      </x:c>
      <x:c r="K82" s="76" t="str">
        <x:f>IF('02_Form_Pluviometrie'!$L82="Validé humainement",'02_Form_Pluviometrie'!K82,"")</x:f>
      </x:c>
      <x:c r="L82" s="76" t="str">
        <x:f>IF('02_Form_Pluviometrie'!$L82="Validé humainement",'02_Form_Pluviometrie'!L82,"")</x:f>
      </x:c>
      <x:c r="M82" s="76" t="str">
        <x:f>IF('02_Form_Pluviometrie'!$L82="Validé humainement",'02_Form_Pluviometrie'!M82,"")</x:f>
      </x:c>
      <x:c r="N82" s="78" t="str">
        <x:f>IF('02_Form_Pluviometrie'!$L82="Validé humainement",'02_Form_Pluviometrie'!N82,"")</x:f>
      </x:c>
      <x:c r="O82" s="76" t="str">
        <x:f>IF('02_Form_Pluviometrie'!$L82="Validé humainement",'02_Form_Pluviometrie'!O82,"")</x:f>
      </x:c>
      <x:c r="P82" s="76" t="str">
        <x:f>IF('02_Form_Pluviometrie'!$L82="Validé humainement",'02_Form_Pluviometrie'!P82,"")</x:f>
      </x:c>
      <x:c r="Q82" s="76" t="str">
        <x:f>IF('02_Form_Pluviometrie'!$L82="Validé humainement",'02_Form_Pluviometrie'!Q82,"")</x:f>
      </x:c>
    </x:row>
    <x:row r="83">
      <x:c r="A83" s="76" t="str">
        <x:f>IF('02_Form_Pluviometrie'!$L83="Validé humainement",'02_Form_Pluviometrie'!A83,"")</x:f>
      </x:c>
      <x:c r="B83" s="78" t="str">
        <x:f>IF('02_Form_Pluviometrie'!$L83="Validé humainement",'02_Form_Pluviometrie'!B83,"")</x:f>
      </x:c>
      <x:c r="C83" s="76" t="str">
        <x:f>IF('02_Form_Pluviometrie'!$L83="Validé humainement",'02_Form_Pluviometrie'!C83,"")</x:f>
      </x:c>
      <x:c r="D83" s="76" t="str">
        <x:f>IF('02_Form_Pluviometrie'!$L83="Validé humainement",'02_Form_Pluviometrie'!D83,"")</x:f>
      </x:c>
      <x:c r="E83" s="76" t="str">
        <x:f>IF('02_Form_Pluviometrie'!$L83="Validé humainement",'02_Form_Pluviometrie'!E83,"")</x:f>
      </x:c>
      <x:c r="F83" s="76" t="str">
        <x:f>IF('02_Form_Pluviometrie'!$L83="Validé humainement",'02_Form_Pluviometrie'!F83,"")</x:f>
      </x:c>
      <x:c r="G83" s="80" t="str">
        <x:f>IF('02_Form_Pluviometrie'!$L83="Validé humainement",'02_Form_Pluviometrie'!G83,"")</x:f>
      </x:c>
      <x:c r="H83" s="76" t="str">
        <x:f>IF('02_Form_Pluviometrie'!$L83="Validé humainement",'02_Form_Pluviometrie'!H83,"")</x:f>
      </x:c>
      <x:c r="I83" s="76" t="str">
        <x:f>IF('02_Form_Pluviometrie'!$L83="Validé humainement",'02_Form_Pluviometrie'!I83,"")</x:f>
      </x:c>
      <x:c r="J83" s="76" t="str">
        <x:f>IF('02_Form_Pluviometrie'!$L83="Validé humainement",'02_Form_Pluviometrie'!J83,"")</x:f>
      </x:c>
      <x:c r="K83" s="76" t="str">
        <x:f>IF('02_Form_Pluviometrie'!$L83="Validé humainement",'02_Form_Pluviometrie'!K83,"")</x:f>
      </x:c>
      <x:c r="L83" s="76" t="str">
        <x:f>IF('02_Form_Pluviometrie'!$L83="Validé humainement",'02_Form_Pluviometrie'!L83,"")</x:f>
      </x:c>
      <x:c r="M83" s="76" t="str">
        <x:f>IF('02_Form_Pluviometrie'!$L83="Validé humainement",'02_Form_Pluviometrie'!M83,"")</x:f>
      </x:c>
      <x:c r="N83" s="78" t="str">
        <x:f>IF('02_Form_Pluviometrie'!$L83="Validé humainement",'02_Form_Pluviometrie'!N83,"")</x:f>
      </x:c>
      <x:c r="O83" s="76" t="str">
        <x:f>IF('02_Form_Pluviometrie'!$L83="Validé humainement",'02_Form_Pluviometrie'!O83,"")</x:f>
      </x:c>
      <x:c r="P83" s="76" t="str">
        <x:f>IF('02_Form_Pluviometrie'!$L83="Validé humainement",'02_Form_Pluviometrie'!P83,"")</x:f>
      </x:c>
      <x:c r="Q83" s="76" t="str">
        <x:f>IF('02_Form_Pluviometrie'!$L83="Validé humainement",'02_Form_Pluviometrie'!Q83,"")</x:f>
      </x:c>
    </x:row>
    <x:row r="84">
      <x:c r="A84" s="76" t="str">
        <x:f>IF('02_Form_Pluviometrie'!$L84="Validé humainement",'02_Form_Pluviometrie'!A84,"")</x:f>
      </x:c>
      <x:c r="B84" s="78" t="str">
        <x:f>IF('02_Form_Pluviometrie'!$L84="Validé humainement",'02_Form_Pluviometrie'!B84,"")</x:f>
      </x:c>
      <x:c r="C84" s="76" t="str">
        <x:f>IF('02_Form_Pluviometrie'!$L84="Validé humainement",'02_Form_Pluviometrie'!C84,"")</x:f>
      </x:c>
      <x:c r="D84" s="76" t="str">
        <x:f>IF('02_Form_Pluviometrie'!$L84="Validé humainement",'02_Form_Pluviometrie'!D84,"")</x:f>
      </x:c>
      <x:c r="E84" s="76" t="str">
        <x:f>IF('02_Form_Pluviometrie'!$L84="Validé humainement",'02_Form_Pluviometrie'!E84,"")</x:f>
      </x:c>
      <x:c r="F84" s="76" t="str">
        <x:f>IF('02_Form_Pluviometrie'!$L84="Validé humainement",'02_Form_Pluviometrie'!F84,"")</x:f>
      </x:c>
      <x:c r="G84" s="80" t="str">
        <x:f>IF('02_Form_Pluviometrie'!$L84="Validé humainement",'02_Form_Pluviometrie'!G84,"")</x:f>
      </x:c>
      <x:c r="H84" s="76" t="str">
        <x:f>IF('02_Form_Pluviometrie'!$L84="Validé humainement",'02_Form_Pluviometrie'!H84,"")</x:f>
      </x:c>
      <x:c r="I84" s="76" t="str">
        <x:f>IF('02_Form_Pluviometrie'!$L84="Validé humainement",'02_Form_Pluviometrie'!I84,"")</x:f>
      </x:c>
      <x:c r="J84" s="76" t="str">
        <x:f>IF('02_Form_Pluviometrie'!$L84="Validé humainement",'02_Form_Pluviometrie'!J84,"")</x:f>
      </x:c>
      <x:c r="K84" s="76" t="str">
        <x:f>IF('02_Form_Pluviometrie'!$L84="Validé humainement",'02_Form_Pluviometrie'!K84,"")</x:f>
      </x:c>
      <x:c r="L84" s="76" t="str">
        <x:f>IF('02_Form_Pluviometrie'!$L84="Validé humainement",'02_Form_Pluviometrie'!L84,"")</x:f>
      </x:c>
      <x:c r="M84" s="76" t="str">
        <x:f>IF('02_Form_Pluviometrie'!$L84="Validé humainement",'02_Form_Pluviometrie'!M84,"")</x:f>
      </x:c>
      <x:c r="N84" s="78" t="str">
        <x:f>IF('02_Form_Pluviometrie'!$L84="Validé humainement",'02_Form_Pluviometrie'!N84,"")</x:f>
      </x:c>
      <x:c r="O84" s="76" t="str">
        <x:f>IF('02_Form_Pluviometrie'!$L84="Validé humainement",'02_Form_Pluviometrie'!O84,"")</x:f>
      </x:c>
      <x:c r="P84" s="76" t="str">
        <x:f>IF('02_Form_Pluviometrie'!$L84="Validé humainement",'02_Form_Pluviometrie'!P84,"")</x:f>
      </x:c>
      <x:c r="Q84" s="76" t="str">
        <x:f>IF('02_Form_Pluviometrie'!$L84="Validé humainement",'02_Form_Pluviometrie'!Q84,"")</x:f>
      </x:c>
    </x:row>
    <x:row r="85">
      <x:c r="A85" s="76" t="str">
        <x:f>IF('02_Form_Pluviometrie'!$L85="Validé humainement",'02_Form_Pluviometrie'!A85,"")</x:f>
      </x:c>
      <x:c r="B85" s="78" t="str">
        <x:f>IF('02_Form_Pluviometrie'!$L85="Validé humainement",'02_Form_Pluviometrie'!B85,"")</x:f>
      </x:c>
      <x:c r="C85" s="76" t="str">
        <x:f>IF('02_Form_Pluviometrie'!$L85="Validé humainement",'02_Form_Pluviometrie'!C85,"")</x:f>
      </x:c>
      <x:c r="D85" s="76" t="str">
        <x:f>IF('02_Form_Pluviometrie'!$L85="Validé humainement",'02_Form_Pluviometrie'!D85,"")</x:f>
      </x:c>
      <x:c r="E85" s="76" t="str">
        <x:f>IF('02_Form_Pluviometrie'!$L85="Validé humainement",'02_Form_Pluviometrie'!E85,"")</x:f>
      </x:c>
      <x:c r="F85" s="76" t="str">
        <x:f>IF('02_Form_Pluviometrie'!$L85="Validé humainement",'02_Form_Pluviometrie'!F85,"")</x:f>
      </x:c>
      <x:c r="G85" s="80" t="str">
        <x:f>IF('02_Form_Pluviometrie'!$L85="Validé humainement",'02_Form_Pluviometrie'!G85,"")</x:f>
      </x:c>
      <x:c r="H85" s="76" t="str">
        <x:f>IF('02_Form_Pluviometrie'!$L85="Validé humainement",'02_Form_Pluviometrie'!H85,"")</x:f>
      </x:c>
      <x:c r="I85" s="76" t="str">
        <x:f>IF('02_Form_Pluviometrie'!$L85="Validé humainement",'02_Form_Pluviometrie'!I85,"")</x:f>
      </x:c>
      <x:c r="J85" s="76" t="str">
        <x:f>IF('02_Form_Pluviometrie'!$L85="Validé humainement",'02_Form_Pluviometrie'!J85,"")</x:f>
      </x:c>
      <x:c r="K85" s="76" t="str">
        <x:f>IF('02_Form_Pluviometrie'!$L85="Validé humainement",'02_Form_Pluviometrie'!K85,"")</x:f>
      </x:c>
      <x:c r="L85" s="76" t="str">
        <x:f>IF('02_Form_Pluviometrie'!$L85="Validé humainement",'02_Form_Pluviometrie'!L85,"")</x:f>
      </x:c>
      <x:c r="M85" s="76" t="str">
        <x:f>IF('02_Form_Pluviometrie'!$L85="Validé humainement",'02_Form_Pluviometrie'!M85,"")</x:f>
      </x:c>
      <x:c r="N85" s="78" t="str">
        <x:f>IF('02_Form_Pluviometrie'!$L85="Validé humainement",'02_Form_Pluviometrie'!N85,"")</x:f>
      </x:c>
      <x:c r="O85" s="76" t="str">
        <x:f>IF('02_Form_Pluviometrie'!$L85="Validé humainement",'02_Form_Pluviometrie'!O85,"")</x:f>
      </x:c>
      <x:c r="P85" s="76" t="str">
        <x:f>IF('02_Form_Pluviometrie'!$L85="Validé humainement",'02_Form_Pluviometrie'!P85,"")</x:f>
      </x:c>
      <x:c r="Q85" s="76" t="str">
        <x:f>IF('02_Form_Pluviometrie'!$L85="Validé humainement",'02_Form_Pluviometrie'!Q85,"")</x:f>
      </x:c>
    </x:row>
    <x:row r="86">
      <x:c r="A86" s="76" t="str">
        <x:f>IF('02_Form_Pluviometrie'!$L86="Validé humainement",'02_Form_Pluviometrie'!A86,"")</x:f>
      </x:c>
      <x:c r="B86" s="78" t="str">
        <x:f>IF('02_Form_Pluviometrie'!$L86="Validé humainement",'02_Form_Pluviometrie'!B86,"")</x:f>
      </x:c>
      <x:c r="C86" s="76" t="str">
        <x:f>IF('02_Form_Pluviometrie'!$L86="Validé humainement",'02_Form_Pluviometrie'!C86,"")</x:f>
      </x:c>
      <x:c r="D86" s="76" t="str">
        <x:f>IF('02_Form_Pluviometrie'!$L86="Validé humainement",'02_Form_Pluviometrie'!D86,"")</x:f>
      </x:c>
      <x:c r="E86" s="76" t="str">
        <x:f>IF('02_Form_Pluviometrie'!$L86="Validé humainement",'02_Form_Pluviometrie'!E86,"")</x:f>
      </x:c>
      <x:c r="F86" s="76" t="str">
        <x:f>IF('02_Form_Pluviometrie'!$L86="Validé humainement",'02_Form_Pluviometrie'!F86,"")</x:f>
      </x:c>
      <x:c r="G86" s="80" t="str">
        <x:f>IF('02_Form_Pluviometrie'!$L86="Validé humainement",'02_Form_Pluviometrie'!G86,"")</x:f>
      </x:c>
      <x:c r="H86" s="76" t="str">
        <x:f>IF('02_Form_Pluviometrie'!$L86="Validé humainement",'02_Form_Pluviometrie'!H86,"")</x:f>
      </x:c>
      <x:c r="I86" s="76" t="str">
        <x:f>IF('02_Form_Pluviometrie'!$L86="Validé humainement",'02_Form_Pluviometrie'!I86,"")</x:f>
      </x:c>
      <x:c r="J86" s="76" t="str">
        <x:f>IF('02_Form_Pluviometrie'!$L86="Validé humainement",'02_Form_Pluviometrie'!J86,"")</x:f>
      </x:c>
      <x:c r="K86" s="76" t="str">
        <x:f>IF('02_Form_Pluviometrie'!$L86="Validé humainement",'02_Form_Pluviometrie'!K86,"")</x:f>
      </x:c>
      <x:c r="L86" s="76" t="str">
        <x:f>IF('02_Form_Pluviometrie'!$L86="Validé humainement",'02_Form_Pluviometrie'!L86,"")</x:f>
      </x:c>
      <x:c r="M86" s="76" t="str">
        <x:f>IF('02_Form_Pluviometrie'!$L86="Validé humainement",'02_Form_Pluviometrie'!M86,"")</x:f>
      </x:c>
      <x:c r="N86" s="78" t="str">
        <x:f>IF('02_Form_Pluviometrie'!$L86="Validé humainement",'02_Form_Pluviometrie'!N86,"")</x:f>
      </x:c>
      <x:c r="O86" s="76" t="str">
        <x:f>IF('02_Form_Pluviometrie'!$L86="Validé humainement",'02_Form_Pluviometrie'!O86,"")</x:f>
      </x:c>
      <x:c r="P86" s="76" t="str">
        <x:f>IF('02_Form_Pluviometrie'!$L86="Validé humainement",'02_Form_Pluviometrie'!P86,"")</x:f>
      </x:c>
      <x:c r="Q86" s="76" t="str">
        <x:f>IF('02_Form_Pluviometrie'!$L86="Validé humainement",'02_Form_Pluviometrie'!Q86,"")</x:f>
      </x:c>
    </x:row>
    <x:row r="87">
      <x:c r="A87" s="76" t="str">
        <x:f>IF('02_Form_Pluviometrie'!$L87="Validé humainement",'02_Form_Pluviometrie'!A87,"")</x:f>
      </x:c>
      <x:c r="B87" s="78" t="str">
        <x:f>IF('02_Form_Pluviometrie'!$L87="Validé humainement",'02_Form_Pluviometrie'!B87,"")</x:f>
      </x:c>
      <x:c r="C87" s="76" t="str">
        <x:f>IF('02_Form_Pluviometrie'!$L87="Validé humainement",'02_Form_Pluviometrie'!C87,"")</x:f>
      </x:c>
      <x:c r="D87" s="76" t="str">
        <x:f>IF('02_Form_Pluviometrie'!$L87="Validé humainement",'02_Form_Pluviometrie'!D87,"")</x:f>
      </x:c>
      <x:c r="E87" s="76" t="str">
        <x:f>IF('02_Form_Pluviometrie'!$L87="Validé humainement",'02_Form_Pluviometrie'!E87,"")</x:f>
      </x:c>
      <x:c r="F87" s="76" t="str">
        <x:f>IF('02_Form_Pluviometrie'!$L87="Validé humainement",'02_Form_Pluviometrie'!F87,"")</x:f>
      </x:c>
      <x:c r="G87" s="80" t="str">
        <x:f>IF('02_Form_Pluviometrie'!$L87="Validé humainement",'02_Form_Pluviometrie'!G87,"")</x:f>
      </x:c>
      <x:c r="H87" s="76" t="str">
        <x:f>IF('02_Form_Pluviometrie'!$L87="Validé humainement",'02_Form_Pluviometrie'!H87,"")</x:f>
      </x:c>
      <x:c r="I87" s="76" t="str">
        <x:f>IF('02_Form_Pluviometrie'!$L87="Validé humainement",'02_Form_Pluviometrie'!I87,"")</x:f>
      </x:c>
      <x:c r="J87" s="76" t="str">
        <x:f>IF('02_Form_Pluviometrie'!$L87="Validé humainement",'02_Form_Pluviometrie'!J87,"")</x:f>
      </x:c>
      <x:c r="K87" s="76" t="str">
        <x:f>IF('02_Form_Pluviometrie'!$L87="Validé humainement",'02_Form_Pluviometrie'!K87,"")</x:f>
      </x:c>
      <x:c r="L87" s="76" t="str">
        <x:f>IF('02_Form_Pluviometrie'!$L87="Validé humainement",'02_Form_Pluviometrie'!L87,"")</x:f>
      </x:c>
      <x:c r="M87" s="76" t="str">
        <x:f>IF('02_Form_Pluviometrie'!$L87="Validé humainement",'02_Form_Pluviometrie'!M87,"")</x:f>
      </x:c>
      <x:c r="N87" s="78" t="str">
        <x:f>IF('02_Form_Pluviometrie'!$L87="Validé humainement",'02_Form_Pluviometrie'!N87,"")</x:f>
      </x:c>
      <x:c r="O87" s="76" t="str">
        <x:f>IF('02_Form_Pluviometrie'!$L87="Validé humainement",'02_Form_Pluviometrie'!O87,"")</x:f>
      </x:c>
      <x:c r="P87" s="76" t="str">
        <x:f>IF('02_Form_Pluviometrie'!$L87="Validé humainement",'02_Form_Pluviometrie'!P87,"")</x:f>
      </x:c>
      <x:c r="Q87" s="76" t="str">
        <x:f>IF('02_Form_Pluviometrie'!$L87="Validé humainement",'02_Form_Pluviometrie'!Q87,"")</x:f>
      </x:c>
    </x:row>
    <x:row r="88">
      <x:c r="A88" s="76" t="str">
        <x:f>IF('02_Form_Pluviometrie'!$L88="Validé humainement",'02_Form_Pluviometrie'!A88,"")</x:f>
      </x:c>
      <x:c r="B88" s="78" t="str">
        <x:f>IF('02_Form_Pluviometrie'!$L88="Validé humainement",'02_Form_Pluviometrie'!B88,"")</x:f>
      </x:c>
      <x:c r="C88" s="76" t="str">
        <x:f>IF('02_Form_Pluviometrie'!$L88="Validé humainement",'02_Form_Pluviometrie'!C88,"")</x:f>
      </x:c>
      <x:c r="D88" s="76" t="str">
        <x:f>IF('02_Form_Pluviometrie'!$L88="Validé humainement",'02_Form_Pluviometrie'!D88,"")</x:f>
      </x:c>
      <x:c r="E88" s="76" t="str">
        <x:f>IF('02_Form_Pluviometrie'!$L88="Validé humainement",'02_Form_Pluviometrie'!E88,"")</x:f>
      </x:c>
      <x:c r="F88" s="76" t="str">
        <x:f>IF('02_Form_Pluviometrie'!$L88="Validé humainement",'02_Form_Pluviometrie'!F88,"")</x:f>
      </x:c>
      <x:c r="G88" s="80" t="str">
        <x:f>IF('02_Form_Pluviometrie'!$L88="Validé humainement",'02_Form_Pluviometrie'!G88,"")</x:f>
      </x:c>
      <x:c r="H88" s="76" t="str">
        <x:f>IF('02_Form_Pluviometrie'!$L88="Validé humainement",'02_Form_Pluviometrie'!H88,"")</x:f>
      </x:c>
      <x:c r="I88" s="76" t="str">
        <x:f>IF('02_Form_Pluviometrie'!$L88="Validé humainement",'02_Form_Pluviometrie'!I88,"")</x:f>
      </x:c>
      <x:c r="J88" s="76" t="str">
        <x:f>IF('02_Form_Pluviometrie'!$L88="Validé humainement",'02_Form_Pluviometrie'!J88,"")</x:f>
      </x:c>
      <x:c r="K88" s="76" t="str">
        <x:f>IF('02_Form_Pluviometrie'!$L88="Validé humainement",'02_Form_Pluviometrie'!K88,"")</x:f>
      </x:c>
      <x:c r="L88" s="76" t="str">
        <x:f>IF('02_Form_Pluviometrie'!$L88="Validé humainement",'02_Form_Pluviometrie'!L88,"")</x:f>
      </x:c>
      <x:c r="M88" s="76" t="str">
        <x:f>IF('02_Form_Pluviometrie'!$L88="Validé humainement",'02_Form_Pluviometrie'!M88,"")</x:f>
      </x:c>
      <x:c r="N88" s="78" t="str">
        <x:f>IF('02_Form_Pluviometrie'!$L88="Validé humainement",'02_Form_Pluviometrie'!N88,"")</x:f>
      </x:c>
      <x:c r="O88" s="76" t="str">
        <x:f>IF('02_Form_Pluviometrie'!$L88="Validé humainement",'02_Form_Pluviometrie'!O88,"")</x:f>
      </x:c>
      <x:c r="P88" s="76" t="str">
        <x:f>IF('02_Form_Pluviometrie'!$L88="Validé humainement",'02_Form_Pluviometrie'!P88,"")</x:f>
      </x:c>
      <x:c r="Q88" s="76" t="str">
        <x:f>IF('02_Form_Pluviometrie'!$L88="Validé humainement",'02_Form_Pluviometrie'!Q88,"")</x:f>
      </x:c>
    </x:row>
    <x:row r="89">
      <x:c r="A89" s="76" t="str">
        <x:f>IF('02_Form_Pluviometrie'!$L89="Validé humainement",'02_Form_Pluviometrie'!A89,"")</x:f>
      </x:c>
      <x:c r="B89" s="78" t="str">
        <x:f>IF('02_Form_Pluviometrie'!$L89="Validé humainement",'02_Form_Pluviometrie'!B89,"")</x:f>
      </x:c>
      <x:c r="C89" s="76" t="str">
        <x:f>IF('02_Form_Pluviometrie'!$L89="Validé humainement",'02_Form_Pluviometrie'!C89,"")</x:f>
      </x:c>
      <x:c r="D89" s="76" t="str">
        <x:f>IF('02_Form_Pluviometrie'!$L89="Validé humainement",'02_Form_Pluviometrie'!D89,"")</x:f>
      </x:c>
      <x:c r="E89" s="76" t="str">
        <x:f>IF('02_Form_Pluviometrie'!$L89="Validé humainement",'02_Form_Pluviometrie'!E89,"")</x:f>
      </x:c>
      <x:c r="F89" s="76" t="str">
        <x:f>IF('02_Form_Pluviometrie'!$L89="Validé humainement",'02_Form_Pluviometrie'!F89,"")</x:f>
      </x:c>
      <x:c r="G89" s="80" t="str">
        <x:f>IF('02_Form_Pluviometrie'!$L89="Validé humainement",'02_Form_Pluviometrie'!G89,"")</x:f>
      </x:c>
      <x:c r="H89" s="76" t="str">
        <x:f>IF('02_Form_Pluviometrie'!$L89="Validé humainement",'02_Form_Pluviometrie'!H89,"")</x:f>
      </x:c>
      <x:c r="I89" s="76" t="str">
        <x:f>IF('02_Form_Pluviometrie'!$L89="Validé humainement",'02_Form_Pluviometrie'!I89,"")</x:f>
      </x:c>
      <x:c r="J89" s="76" t="str">
        <x:f>IF('02_Form_Pluviometrie'!$L89="Validé humainement",'02_Form_Pluviometrie'!J89,"")</x:f>
      </x:c>
      <x:c r="K89" s="76" t="str">
        <x:f>IF('02_Form_Pluviometrie'!$L89="Validé humainement",'02_Form_Pluviometrie'!K89,"")</x:f>
      </x:c>
      <x:c r="L89" s="76" t="str">
        <x:f>IF('02_Form_Pluviometrie'!$L89="Validé humainement",'02_Form_Pluviometrie'!L89,"")</x:f>
      </x:c>
      <x:c r="M89" s="76" t="str">
        <x:f>IF('02_Form_Pluviometrie'!$L89="Validé humainement",'02_Form_Pluviometrie'!M89,"")</x:f>
      </x:c>
      <x:c r="N89" s="78" t="str">
        <x:f>IF('02_Form_Pluviometrie'!$L89="Validé humainement",'02_Form_Pluviometrie'!N89,"")</x:f>
      </x:c>
      <x:c r="O89" s="76" t="str">
        <x:f>IF('02_Form_Pluviometrie'!$L89="Validé humainement",'02_Form_Pluviometrie'!O89,"")</x:f>
      </x:c>
      <x:c r="P89" s="76" t="str">
        <x:f>IF('02_Form_Pluviometrie'!$L89="Validé humainement",'02_Form_Pluviometrie'!P89,"")</x:f>
      </x:c>
      <x:c r="Q89" s="76" t="str">
        <x:f>IF('02_Form_Pluviometrie'!$L89="Validé humainement",'02_Form_Pluviometrie'!Q89,"")</x:f>
      </x:c>
    </x:row>
    <x:row r="90">
      <x:c r="A90" s="76" t="str">
        <x:f>IF('02_Form_Pluviometrie'!$L90="Validé humainement",'02_Form_Pluviometrie'!A90,"")</x:f>
      </x:c>
      <x:c r="B90" s="78" t="str">
        <x:f>IF('02_Form_Pluviometrie'!$L90="Validé humainement",'02_Form_Pluviometrie'!B90,"")</x:f>
      </x:c>
      <x:c r="C90" s="76" t="str">
        <x:f>IF('02_Form_Pluviometrie'!$L90="Validé humainement",'02_Form_Pluviometrie'!C90,"")</x:f>
      </x:c>
      <x:c r="D90" s="76" t="str">
        <x:f>IF('02_Form_Pluviometrie'!$L90="Validé humainement",'02_Form_Pluviometrie'!D90,"")</x:f>
      </x:c>
      <x:c r="E90" s="76" t="str">
        <x:f>IF('02_Form_Pluviometrie'!$L90="Validé humainement",'02_Form_Pluviometrie'!E90,"")</x:f>
      </x:c>
      <x:c r="F90" s="76" t="str">
        <x:f>IF('02_Form_Pluviometrie'!$L90="Validé humainement",'02_Form_Pluviometrie'!F90,"")</x:f>
      </x:c>
      <x:c r="G90" s="80" t="str">
        <x:f>IF('02_Form_Pluviometrie'!$L90="Validé humainement",'02_Form_Pluviometrie'!G90,"")</x:f>
      </x:c>
      <x:c r="H90" s="76" t="str">
        <x:f>IF('02_Form_Pluviometrie'!$L90="Validé humainement",'02_Form_Pluviometrie'!H90,"")</x:f>
      </x:c>
      <x:c r="I90" s="76" t="str">
        <x:f>IF('02_Form_Pluviometrie'!$L90="Validé humainement",'02_Form_Pluviometrie'!I90,"")</x:f>
      </x:c>
      <x:c r="J90" s="76" t="str">
        <x:f>IF('02_Form_Pluviometrie'!$L90="Validé humainement",'02_Form_Pluviometrie'!J90,"")</x:f>
      </x:c>
      <x:c r="K90" s="76" t="str">
        <x:f>IF('02_Form_Pluviometrie'!$L90="Validé humainement",'02_Form_Pluviometrie'!K90,"")</x:f>
      </x:c>
      <x:c r="L90" s="76" t="str">
        <x:f>IF('02_Form_Pluviometrie'!$L90="Validé humainement",'02_Form_Pluviometrie'!L90,"")</x:f>
      </x:c>
      <x:c r="M90" s="76" t="str">
        <x:f>IF('02_Form_Pluviometrie'!$L90="Validé humainement",'02_Form_Pluviometrie'!M90,"")</x:f>
      </x:c>
      <x:c r="N90" s="78" t="str">
        <x:f>IF('02_Form_Pluviometrie'!$L90="Validé humainement",'02_Form_Pluviometrie'!N90,"")</x:f>
      </x:c>
      <x:c r="O90" s="76" t="str">
        <x:f>IF('02_Form_Pluviometrie'!$L90="Validé humainement",'02_Form_Pluviometrie'!O90,"")</x:f>
      </x:c>
      <x:c r="P90" s="76" t="str">
        <x:f>IF('02_Form_Pluviometrie'!$L90="Validé humainement",'02_Form_Pluviometrie'!P90,"")</x:f>
      </x:c>
      <x:c r="Q90" s="76" t="str">
        <x:f>IF('02_Form_Pluviometrie'!$L90="Validé humainement",'02_Form_Pluviometrie'!Q90,"")</x:f>
      </x:c>
    </x:row>
    <x:row r="91">
      <x:c r="A91" s="76" t="str">
        <x:f>IF('02_Form_Pluviometrie'!$L91="Validé humainement",'02_Form_Pluviometrie'!A91,"")</x:f>
      </x:c>
      <x:c r="B91" s="78" t="str">
        <x:f>IF('02_Form_Pluviometrie'!$L91="Validé humainement",'02_Form_Pluviometrie'!B91,"")</x:f>
      </x:c>
      <x:c r="C91" s="76" t="str">
        <x:f>IF('02_Form_Pluviometrie'!$L91="Validé humainement",'02_Form_Pluviometrie'!C91,"")</x:f>
      </x:c>
      <x:c r="D91" s="76" t="str">
        <x:f>IF('02_Form_Pluviometrie'!$L91="Validé humainement",'02_Form_Pluviometrie'!D91,"")</x:f>
      </x:c>
      <x:c r="E91" s="76" t="str">
        <x:f>IF('02_Form_Pluviometrie'!$L91="Validé humainement",'02_Form_Pluviometrie'!E91,"")</x:f>
      </x:c>
      <x:c r="F91" s="76" t="str">
        <x:f>IF('02_Form_Pluviometrie'!$L91="Validé humainement",'02_Form_Pluviometrie'!F91,"")</x:f>
      </x:c>
      <x:c r="G91" s="80" t="str">
        <x:f>IF('02_Form_Pluviometrie'!$L91="Validé humainement",'02_Form_Pluviometrie'!G91,"")</x:f>
      </x:c>
      <x:c r="H91" s="76" t="str">
        <x:f>IF('02_Form_Pluviometrie'!$L91="Validé humainement",'02_Form_Pluviometrie'!H91,"")</x:f>
      </x:c>
      <x:c r="I91" s="76" t="str">
        <x:f>IF('02_Form_Pluviometrie'!$L91="Validé humainement",'02_Form_Pluviometrie'!I91,"")</x:f>
      </x:c>
      <x:c r="J91" s="76" t="str">
        <x:f>IF('02_Form_Pluviometrie'!$L91="Validé humainement",'02_Form_Pluviometrie'!J91,"")</x:f>
      </x:c>
      <x:c r="K91" s="76" t="str">
        <x:f>IF('02_Form_Pluviometrie'!$L91="Validé humainement",'02_Form_Pluviometrie'!K91,"")</x:f>
      </x:c>
      <x:c r="L91" s="76" t="str">
        <x:f>IF('02_Form_Pluviometrie'!$L91="Validé humainement",'02_Form_Pluviometrie'!L91,"")</x:f>
      </x:c>
      <x:c r="M91" s="76" t="str">
        <x:f>IF('02_Form_Pluviometrie'!$L91="Validé humainement",'02_Form_Pluviometrie'!M91,"")</x:f>
      </x:c>
      <x:c r="N91" s="78" t="str">
        <x:f>IF('02_Form_Pluviometrie'!$L91="Validé humainement",'02_Form_Pluviometrie'!N91,"")</x:f>
      </x:c>
      <x:c r="O91" s="76" t="str">
        <x:f>IF('02_Form_Pluviometrie'!$L91="Validé humainement",'02_Form_Pluviometrie'!O91,"")</x:f>
      </x:c>
      <x:c r="P91" s="76" t="str">
        <x:f>IF('02_Form_Pluviometrie'!$L91="Validé humainement",'02_Form_Pluviometrie'!P91,"")</x:f>
      </x:c>
      <x:c r="Q91" s="76" t="str">
        <x:f>IF('02_Form_Pluviometrie'!$L91="Validé humainement",'02_Form_Pluviometrie'!Q91,"")</x:f>
      </x:c>
    </x:row>
    <x:row r="92">
      <x:c r="A92" s="76" t="str">
        <x:f>IF('02_Form_Pluviometrie'!$L92="Validé humainement",'02_Form_Pluviometrie'!A92,"")</x:f>
      </x:c>
      <x:c r="B92" s="78" t="str">
        <x:f>IF('02_Form_Pluviometrie'!$L92="Validé humainement",'02_Form_Pluviometrie'!B92,"")</x:f>
      </x:c>
      <x:c r="C92" s="76" t="str">
        <x:f>IF('02_Form_Pluviometrie'!$L92="Validé humainement",'02_Form_Pluviometrie'!C92,"")</x:f>
      </x:c>
      <x:c r="D92" s="76" t="str">
        <x:f>IF('02_Form_Pluviometrie'!$L92="Validé humainement",'02_Form_Pluviometrie'!D92,"")</x:f>
      </x:c>
      <x:c r="E92" s="76" t="str">
        <x:f>IF('02_Form_Pluviometrie'!$L92="Validé humainement",'02_Form_Pluviometrie'!E92,"")</x:f>
      </x:c>
      <x:c r="F92" s="76" t="str">
        <x:f>IF('02_Form_Pluviometrie'!$L92="Validé humainement",'02_Form_Pluviometrie'!F92,"")</x:f>
      </x:c>
      <x:c r="G92" s="80" t="str">
        <x:f>IF('02_Form_Pluviometrie'!$L92="Validé humainement",'02_Form_Pluviometrie'!G92,"")</x:f>
      </x:c>
      <x:c r="H92" s="76" t="str">
        <x:f>IF('02_Form_Pluviometrie'!$L92="Validé humainement",'02_Form_Pluviometrie'!H92,"")</x:f>
      </x:c>
      <x:c r="I92" s="76" t="str">
        <x:f>IF('02_Form_Pluviometrie'!$L92="Validé humainement",'02_Form_Pluviometrie'!I92,"")</x:f>
      </x:c>
      <x:c r="J92" s="76" t="str">
        <x:f>IF('02_Form_Pluviometrie'!$L92="Validé humainement",'02_Form_Pluviometrie'!J92,"")</x:f>
      </x:c>
      <x:c r="K92" s="76" t="str">
        <x:f>IF('02_Form_Pluviometrie'!$L92="Validé humainement",'02_Form_Pluviometrie'!K92,"")</x:f>
      </x:c>
      <x:c r="L92" s="76" t="str">
        <x:f>IF('02_Form_Pluviometrie'!$L92="Validé humainement",'02_Form_Pluviometrie'!L92,"")</x:f>
      </x:c>
      <x:c r="M92" s="76" t="str">
        <x:f>IF('02_Form_Pluviometrie'!$L92="Validé humainement",'02_Form_Pluviometrie'!M92,"")</x:f>
      </x:c>
      <x:c r="N92" s="78" t="str">
        <x:f>IF('02_Form_Pluviometrie'!$L92="Validé humainement",'02_Form_Pluviometrie'!N92,"")</x:f>
      </x:c>
      <x:c r="O92" s="76" t="str">
        <x:f>IF('02_Form_Pluviometrie'!$L92="Validé humainement",'02_Form_Pluviometrie'!O92,"")</x:f>
      </x:c>
      <x:c r="P92" s="76" t="str">
        <x:f>IF('02_Form_Pluviometrie'!$L92="Validé humainement",'02_Form_Pluviometrie'!P92,"")</x:f>
      </x:c>
      <x:c r="Q92" s="76" t="str">
        <x:f>IF('02_Form_Pluviometrie'!$L92="Validé humainement",'02_Form_Pluviometrie'!Q92,"")</x:f>
      </x:c>
    </x:row>
    <x:row r="93">
      <x:c r="A93" s="76" t="str">
        <x:f>IF('02_Form_Pluviometrie'!$L93="Validé humainement",'02_Form_Pluviometrie'!A93,"")</x:f>
      </x:c>
      <x:c r="B93" s="78" t="str">
        <x:f>IF('02_Form_Pluviometrie'!$L93="Validé humainement",'02_Form_Pluviometrie'!B93,"")</x:f>
      </x:c>
      <x:c r="C93" s="76" t="str">
        <x:f>IF('02_Form_Pluviometrie'!$L93="Validé humainement",'02_Form_Pluviometrie'!C93,"")</x:f>
      </x:c>
      <x:c r="D93" s="76" t="str">
        <x:f>IF('02_Form_Pluviometrie'!$L93="Validé humainement",'02_Form_Pluviometrie'!D93,"")</x:f>
      </x:c>
      <x:c r="E93" s="76" t="str">
        <x:f>IF('02_Form_Pluviometrie'!$L93="Validé humainement",'02_Form_Pluviometrie'!E93,"")</x:f>
      </x:c>
      <x:c r="F93" s="76" t="str">
        <x:f>IF('02_Form_Pluviometrie'!$L93="Validé humainement",'02_Form_Pluviometrie'!F93,"")</x:f>
      </x:c>
      <x:c r="G93" s="80" t="str">
        <x:f>IF('02_Form_Pluviometrie'!$L93="Validé humainement",'02_Form_Pluviometrie'!G93,"")</x:f>
      </x:c>
      <x:c r="H93" s="76" t="str">
        <x:f>IF('02_Form_Pluviometrie'!$L93="Validé humainement",'02_Form_Pluviometrie'!H93,"")</x:f>
      </x:c>
      <x:c r="I93" s="76" t="str">
        <x:f>IF('02_Form_Pluviometrie'!$L93="Validé humainement",'02_Form_Pluviometrie'!I93,"")</x:f>
      </x:c>
      <x:c r="J93" s="76" t="str">
        <x:f>IF('02_Form_Pluviometrie'!$L93="Validé humainement",'02_Form_Pluviometrie'!J93,"")</x:f>
      </x:c>
      <x:c r="K93" s="76" t="str">
        <x:f>IF('02_Form_Pluviometrie'!$L93="Validé humainement",'02_Form_Pluviometrie'!K93,"")</x:f>
      </x:c>
      <x:c r="L93" s="76" t="str">
        <x:f>IF('02_Form_Pluviometrie'!$L93="Validé humainement",'02_Form_Pluviometrie'!L93,"")</x:f>
      </x:c>
      <x:c r="M93" s="76" t="str">
        <x:f>IF('02_Form_Pluviometrie'!$L93="Validé humainement",'02_Form_Pluviometrie'!M93,"")</x:f>
      </x:c>
      <x:c r="N93" s="78" t="str">
        <x:f>IF('02_Form_Pluviometrie'!$L93="Validé humainement",'02_Form_Pluviometrie'!N93,"")</x:f>
      </x:c>
      <x:c r="O93" s="76" t="str">
        <x:f>IF('02_Form_Pluviometrie'!$L93="Validé humainement",'02_Form_Pluviometrie'!O93,"")</x:f>
      </x:c>
      <x:c r="P93" s="76" t="str">
        <x:f>IF('02_Form_Pluviometrie'!$L93="Validé humainement",'02_Form_Pluviometrie'!P93,"")</x:f>
      </x:c>
      <x:c r="Q93" s="76" t="str">
        <x:f>IF('02_Form_Pluviometrie'!$L93="Validé humainement",'02_Form_Pluviometrie'!Q93,"")</x:f>
      </x:c>
    </x:row>
    <x:row r="94">
      <x:c r="A94" s="76" t="str">
        <x:f>IF('02_Form_Pluviometrie'!$L94="Validé humainement",'02_Form_Pluviometrie'!A94,"")</x:f>
      </x:c>
      <x:c r="B94" s="78" t="str">
        <x:f>IF('02_Form_Pluviometrie'!$L94="Validé humainement",'02_Form_Pluviometrie'!B94,"")</x:f>
      </x:c>
      <x:c r="C94" s="76" t="str">
        <x:f>IF('02_Form_Pluviometrie'!$L94="Validé humainement",'02_Form_Pluviometrie'!C94,"")</x:f>
      </x:c>
      <x:c r="D94" s="76" t="str">
        <x:f>IF('02_Form_Pluviometrie'!$L94="Validé humainement",'02_Form_Pluviometrie'!D94,"")</x:f>
      </x:c>
      <x:c r="E94" s="76" t="str">
        <x:f>IF('02_Form_Pluviometrie'!$L94="Validé humainement",'02_Form_Pluviometrie'!E94,"")</x:f>
      </x:c>
      <x:c r="F94" s="76" t="str">
        <x:f>IF('02_Form_Pluviometrie'!$L94="Validé humainement",'02_Form_Pluviometrie'!F94,"")</x:f>
      </x:c>
      <x:c r="G94" s="80" t="str">
        <x:f>IF('02_Form_Pluviometrie'!$L94="Validé humainement",'02_Form_Pluviometrie'!G94,"")</x:f>
      </x:c>
      <x:c r="H94" s="76" t="str">
        <x:f>IF('02_Form_Pluviometrie'!$L94="Validé humainement",'02_Form_Pluviometrie'!H94,"")</x:f>
      </x:c>
      <x:c r="I94" s="76" t="str">
        <x:f>IF('02_Form_Pluviometrie'!$L94="Validé humainement",'02_Form_Pluviometrie'!I94,"")</x:f>
      </x:c>
      <x:c r="J94" s="76" t="str">
        <x:f>IF('02_Form_Pluviometrie'!$L94="Validé humainement",'02_Form_Pluviometrie'!J94,"")</x:f>
      </x:c>
      <x:c r="K94" s="76" t="str">
        <x:f>IF('02_Form_Pluviometrie'!$L94="Validé humainement",'02_Form_Pluviometrie'!K94,"")</x:f>
      </x:c>
      <x:c r="L94" s="76" t="str">
        <x:f>IF('02_Form_Pluviometrie'!$L94="Validé humainement",'02_Form_Pluviometrie'!L94,"")</x:f>
      </x:c>
      <x:c r="M94" s="76" t="str">
        <x:f>IF('02_Form_Pluviometrie'!$L94="Validé humainement",'02_Form_Pluviometrie'!M94,"")</x:f>
      </x:c>
      <x:c r="N94" s="78" t="str">
        <x:f>IF('02_Form_Pluviometrie'!$L94="Validé humainement",'02_Form_Pluviometrie'!N94,"")</x:f>
      </x:c>
      <x:c r="O94" s="76" t="str">
        <x:f>IF('02_Form_Pluviometrie'!$L94="Validé humainement",'02_Form_Pluviometrie'!O94,"")</x:f>
      </x:c>
      <x:c r="P94" s="76" t="str">
        <x:f>IF('02_Form_Pluviometrie'!$L94="Validé humainement",'02_Form_Pluviometrie'!P94,"")</x:f>
      </x:c>
      <x:c r="Q94" s="76" t="str">
        <x:f>IF('02_Form_Pluviometrie'!$L94="Validé humainement",'02_Form_Pluviometrie'!Q94,"")</x:f>
      </x:c>
    </x:row>
    <x:row r="95">
      <x:c r="A95" s="76" t="str">
        <x:f>IF('02_Form_Pluviometrie'!$L95="Validé humainement",'02_Form_Pluviometrie'!A95,"")</x:f>
      </x:c>
      <x:c r="B95" s="78" t="str">
        <x:f>IF('02_Form_Pluviometrie'!$L95="Validé humainement",'02_Form_Pluviometrie'!B95,"")</x:f>
      </x:c>
      <x:c r="C95" s="76" t="str">
        <x:f>IF('02_Form_Pluviometrie'!$L95="Validé humainement",'02_Form_Pluviometrie'!C95,"")</x:f>
      </x:c>
      <x:c r="D95" s="76" t="str">
        <x:f>IF('02_Form_Pluviometrie'!$L95="Validé humainement",'02_Form_Pluviometrie'!D95,"")</x:f>
      </x:c>
      <x:c r="E95" s="76" t="str">
        <x:f>IF('02_Form_Pluviometrie'!$L95="Validé humainement",'02_Form_Pluviometrie'!E95,"")</x:f>
      </x:c>
      <x:c r="F95" s="76" t="str">
        <x:f>IF('02_Form_Pluviometrie'!$L95="Validé humainement",'02_Form_Pluviometrie'!F95,"")</x:f>
      </x:c>
      <x:c r="G95" s="80" t="str">
        <x:f>IF('02_Form_Pluviometrie'!$L95="Validé humainement",'02_Form_Pluviometrie'!G95,"")</x:f>
      </x:c>
      <x:c r="H95" s="76" t="str">
        <x:f>IF('02_Form_Pluviometrie'!$L95="Validé humainement",'02_Form_Pluviometrie'!H95,"")</x:f>
      </x:c>
      <x:c r="I95" s="76" t="str">
        <x:f>IF('02_Form_Pluviometrie'!$L95="Validé humainement",'02_Form_Pluviometrie'!I95,"")</x:f>
      </x:c>
      <x:c r="J95" s="76" t="str">
        <x:f>IF('02_Form_Pluviometrie'!$L95="Validé humainement",'02_Form_Pluviometrie'!J95,"")</x:f>
      </x:c>
      <x:c r="K95" s="76" t="str">
        <x:f>IF('02_Form_Pluviometrie'!$L95="Validé humainement",'02_Form_Pluviometrie'!K95,"")</x:f>
      </x:c>
      <x:c r="L95" s="76" t="str">
        <x:f>IF('02_Form_Pluviometrie'!$L95="Validé humainement",'02_Form_Pluviometrie'!L95,"")</x:f>
      </x:c>
      <x:c r="M95" s="76" t="str">
        <x:f>IF('02_Form_Pluviometrie'!$L95="Validé humainement",'02_Form_Pluviometrie'!M95,"")</x:f>
      </x:c>
      <x:c r="N95" s="78" t="str">
        <x:f>IF('02_Form_Pluviometrie'!$L95="Validé humainement",'02_Form_Pluviometrie'!N95,"")</x:f>
      </x:c>
      <x:c r="O95" s="76" t="str">
        <x:f>IF('02_Form_Pluviometrie'!$L95="Validé humainement",'02_Form_Pluviometrie'!O95,"")</x:f>
      </x:c>
      <x:c r="P95" s="76" t="str">
        <x:f>IF('02_Form_Pluviometrie'!$L95="Validé humainement",'02_Form_Pluviometrie'!P95,"")</x:f>
      </x:c>
      <x:c r="Q95" s="76" t="str">
        <x:f>IF('02_Form_Pluviometrie'!$L95="Validé humainement",'02_Form_Pluviometrie'!Q95,"")</x:f>
      </x:c>
    </x:row>
    <x:row r="96">
      <x:c r="A96" s="76" t="str">
        <x:f>IF('02_Form_Pluviometrie'!$L96="Validé humainement",'02_Form_Pluviometrie'!A96,"")</x:f>
      </x:c>
      <x:c r="B96" s="78" t="str">
        <x:f>IF('02_Form_Pluviometrie'!$L96="Validé humainement",'02_Form_Pluviometrie'!B96,"")</x:f>
      </x:c>
      <x:c r="C96" s="76" t="str">
        <x:f>IF('02_Form_Pluviometrie'!$L96="Validé humainement",'02_Form_Pluviometrie'!C96,"")</x:f>
      </x:c>
      <x:c r="D96" s="76" t="str">
        <x:f>IF('02_Form_Pluviometrie'!$L96="Validé humainement",'02_Form_Pluviometrie'!D96,"")</x:f>
      </x:c>
      <x:c r="E96" s="76" t="str">
        <x:f>IF('02_Form_Pluviometrie'!$L96="Validé humainement",'02_Form_Pluviometrie'!E96,"")</x:f>
      </x:c>
      <x:c r="F96" s="76" t="str">
        <x:f>IF('02_Form_Pluviometrie'!$L96="Validé humainement",'02_Form_Pluviometrie'!F96,"")</x:f>
      </x:c>
      <x:c r="G96" s="80" t="str">
        <x:f>IF('02_Form_Pluviometrie'!$L96="Validé humainement",'02_Form_Pluviometrie'!G96,"")</x:f>
      </x:c>
      <x:c r="H96" s="76" t="str">
        <x:f>IF('02_Form_Pluviometrie'!$L96="Validé humainement",'02_Form_Pluviometrie'!H96,"")</x:f>
      </x:c>
      <x:c r="I96" s="76" t="str">
        <x:f>IF('02_Form_Pluviometrie'!$L96="Validé humainement",'02_Form_Pluviometrie'!I96,"")</x:f>
      </x:c>
      <x:c r="J96" s="76" t="str">
        <x:f>IF('02_Form_Pluviometrie'!$L96="Validé humainement",'02_Form_Pluviometrie'!J96,"")</x:f>
      </x:c>
      <x:c r="K96" s="76" t="str">
        <x:f>IF('02_Form_Pluviometrie'!$L96="Validé humainement",'02_Form_Pluviometrie'!K96,"")</x:f>
      </x:c>
      <x:c r="L96" s="76" t="str">
        <x:f>IF('02_Form_Pluviometrie'!$L96="Validé humainement",'02_Form_Pluviometrie'!L96,"")</x:f>
      </x:c>
      <x:c r="M96" s="76" t="str">
        <x:f>IF('02_Form_Pluviometrie'!$L96="Validé humainement",'02_Form_Pluviometrie'!M96,"")</x:f>
      </x:c>
      <x:c r="N96" s="78" t="str">
        <x:f>IF('02_Form_Pluviometrie'!$L96="Validé humainement",'02_Form_Pluviometrie'!N96,"")</x:f>
      </x:c>
      <x:c r="O96" s="76" t="str">
        <x:f>IF('02_Form_Pluviometrie'!$L96="Validé humainement",'02_Form_Pluviometrie'!O96,"")</x:f>
      </x:c>
      <x:c r="P96" s="76" t="str">
        <x:f>IF('02_Form_Pluviometrie'!$L96="Validé humainement",'02_Form_Pluviometrie'!P96,"")</x:f>
      </x:c>
      <x:c r="Q96" s="76" t="str">
        <x:f>IF('02_Form_Pluviometrie'!$L96="Validé humainement",'02_Form_Pluviometrie'!Q96,"")</x:f>
      </x:c>
    </x:row>
    <x:row r="97">
      <x:c r="A97" s="76" t="str">
        <x:f>IF('02_Form_Pluviometrie'!$L97="Validé humainement",'02_Form_Pluviometrie'!A97,"")</x:f>
      </x:c>
      <x:c r="B97" s="78" t="str">
        <x:f>IF('02_Form_Pluviometrie'!$L97="Validé humainement",'02_Form_Pluviometrie'!B97,"")</x:f>
      </x:c>
      <x:c r="C97" s="76" t="str">
        <x:f>IF('02_Form_Pluviometrie'!$L97="Validé humainement",'02_Form_Pluviometrie'!C97,"")</x:f>
      </x:c>
      <x:c r="D97" s="76" t="str">
        <x:f>IF('02_Form_Pluviometrie'!$L97="Validé humainement",'02_Form_Pluviometrie'!D97,"")</x:f>
      </x:c>
      <x:c r="E97" s="76" t="str">
        <x:f>IF('02_Form_Pluviometrie'!$L97="Validé humainement",'02_Form_Pluviometrie'!E97,"")</x:f>
      </x:c>
      <x:c r="F97" s="76" t="str">
        <x:f>IF('02_Form_Pluviometrie'!$L97="Validé humainement",'02_Form_Pluviometrie'!F97,"")</x:f>
      </x:c>
      <x:c r="G97" s="80" t="str">
        <x:f>IF('02_Form_Pluviometrie'!$L97="Validé humainement",'02_Form_Pluviometrie'!G97,"")</x:f>
      </x:c>
      <x:c r="H97" s="76" t="str">
        <x:f>IF('02_Form_Pluviometrie'!$L97="Validé humainement",'02_Form_Pluviometrie'!H97,"")</x:f>
      </x:c>
      <x:c r="I97" s="76" t="str">
        <x:f>IF('02_Form_Pluviometrie'!$L97="Validé humainement",'02_Form_Pluviometrie'!I97,"")</x:f>
      </x:c>
      <x:c r="J97" s="76" t="str">
        <x:f>IF('02_Form_Pluviometrie'!$L97="Validé humainement",'02_Form_Pluviometrie'!J97,"")</x:f>
      </x:c>
      <x:c r="K97" s="76" t="str">
        <x:f>IF('02_Form_Pluviometrie'!$L97="Validé humainement",'02_Form_Pluviometrie'!K97,"")</x:f>
      </x:c>
      <x:c r="L97" s="76" t="str">
        <x:f>IF('02_Form_Pluviometrie'!$L97="Validé humainement",'02_Form_Pluviometrie'!L97,"")</x:f>
      </x:c>
      <x:c r="M97" s="76" t="str">
        <x:f>IF('02_Form_Pluviometrie'!$L97="Validé humainement",'02_Form_Pluviometrie'!M97,"")</x:f>
      </x:c>
      <x:c r="N97" s="78" t="str">
        <x:f>IF('02_Form_Pluviometrie'!$L97="Validé humainement",'02_Form_Pluviometrie'!N97,"")</x:f>
      </x:c>
      <x:c r="O97" s="76" t="str">
        <x:f>IF('02_Form_Pluviometrie'!$L97="Validé humainement",'02_Form_Pluviometrie'!O97,"")</x:f>
      </x:c>
      <x:c r="P97" s="76" t="str">
        <x:f>IF('02_Form_Pluviometrie'!$L97="Validé humainement",'02_Form_Pluviometrie'!P97,"")</x:f>
      </x:c>
      <x:c r="Q97" s="76" t="str">
        <x:f>IF('02_Form_Pluviometrie'!$L97="Validé humainement",'02_Form_Pluviometrie'!Q97,"")</x:f>
      </x:c>
    </x:row>
    <x:row r="98">
      <x:c r="A98" s="76" t="str">
        <x:f>IF('02_Form_Pluviometrie'!$L98="Validé humainement",'02_Form_Pluviometrie'!A98,"")</x:f>
      </x:c>
      <x:c r="B98" s="78" t="str">
        <x:f>IF('02_Form_Pluviometrie'!$L98="Validé humainement",'02_Form_Pluviometrie'!B98,"")</x:f>
      </x:c>
      <x:c r="C98" s="76" t="str">
        <x:f>IF('02_Form_Pluviometrie'!$L98="Validé humainement",'02_Form_Pluviometrie'!C98,"")</x:f>
      </x:c>
      <x:c r="D98" s="76" t="str">
        <x:f>IF('02_Form_Pluviometrie'!$L98="Validé humainement",'02_Form_Pluviometrie'!D98,"")</x:f>
      </x:c>
      <x:c r="E98" s="76" t="str">
        <x:f>IF('02_Form_Pluviometrie'!$L98="Validé humainement",'02_Form_Pluviometrie'!E98,"")</x:f>
      </x:c>
      <x:c r="F98" s="76" t="str">
        <x:f>IF('02_Form_Pluviometrie'!$L98="Validé humainement",'02_Form_Pluviometrie'!F98,"")</x:f>
      </x:c>
      <x:c r="G98" s="80" t="str">
        <x:f>IF('02_Form_Pluviometrie'!$L98="Validé humainement",'02_Form_Pluviometrie'!G98,"")</x:f>
      </x:c>
      <x:c r="H98" s="76" t="str">
        <x:f>IF('02_Form_Pluviometrie'!$L98="Validé humainement",'02_Form_Pluviometrie'!H98,"")</x:f>
      </x:c>
      <x:c r="I98" s="76" t="str">
        <x:f>IF('02_Form_Pluviometrie'!$L98="Validé humainement",'02_Form_Pluviometrie'!I98,"")</x:f>
      </x:c>
      <x:c r="J98" s="76" t="str">
        <x:f>IF('02_Form_Pluviometrie'!$L98="Validé humainement",'02_Form_Pluviometrie'!J98,"")</x:f>
      </x:c>
      <x:c r="K98" s="76" t="str">
        <x:f>IF('02_Form_Pluviometrie'!$L98="Validé humainement",'02_Form_Pluviometrie'!K98,"")</x:f>
      </x:c>
      <x:c r="L98" s="76" t="str">
        <x:f>IF('02_Form_Pluviometrie'!$L98="Validé humainement",'02_Form_Pluviometrie'!L98,"")</x:f>
      </x:c>
      <x:c r="M98" s="76" t="str">
        <x:f>IF('02_Form_Pluviometrie'!$L98="Validé humainement",'02_Form_Pluviometrie'!M98,"")</x:f>
      </x:c>
      <x:c r="N98" s="78" t="str">
        <x:f>IF('02_Form_Pluviometrie'!$L98="Validé humainement",'02_Form_Pluviometrie'!N98,"")</x:f>
      </x:c>
      <x:c r="O98" s="76" t="str">
        <x:f>IF('02_Form_Pluviometrie'!$L98="Validé humainement",'02_Form_Pluviometrie'!O98,"")</x:f>
      </x:c>
      <x:c r="P98" s="76" t="str">
        <x:f>IF('02_Form_Pluviometrie'!$L98="Validé humainement",'02_Form_Pluviometrie'!P98,"")</x:f>
      </x:c>
      <x:c r="Q98" s="76" t="str">
        <x:f>IF('02_Form_Pluviometrie'!$L98="Validé humainement",'02_Form_Pluviometrie'!Q98,"")</x:f>
      </x:c>
    </x:row>
    <x:row r="99">
      <x:c r="A99" s="76" t="str">
        <x:f>IF('02_Form_Pluviometrie'!$L99="Validé humainement",'02_Form_Pluviometrie'!A99,"")</x:f>
      </x:c>
      <x:c r="B99" s="78" t="str">
        <x:f>IF('02_Form_Pluviometrie'!$L99="Validé humainement",'02_Form_Pluviometrie'!B99,"")</x:f>
      </x:c>
      <x:c r="C99" s="76" t="str">
        <x:f>IF('02_Form_Pluviometrie'!$L99="Validé humainement",'02_Form_Pluviometrie'!C99,"")</x:f>
      </x:c>
      <x:c r="D99" s="76" t="str">
        <x:f>IF('02_Form_Pluviometrie'!$L99="Validé humainement",'02_Form_Pluviometrie'!D99,"")</x:f>
      </x:c>
      <x:c r="E99" s="76" t="str">
        <x:f>IF('02_Form_Pluviometrie'!$L99="Validé humainement",'02_Form_Pluviometrie'!E99,"")</x:f>
      </x:c>
      <x:c r="F99" s="76" t="str">
        <x:f>IF('02_Form_Pluviometrie'!$L99="Validé humainement",'02_Form_Pluviometrie'!F99,"")</x:f>
      </x:c>
      <x:c r="G99" s="80" t="str">
        <x:f>IF('02_Form_Pluviometrie'!$L99="Validé humainement",'02_Form_Pluviometrie'!G99,"")</x:f>
      </x:c>
      <x:c r="H99" s="76" t="str">
        <x:f>IF('02_Form_Pluviometrie'!$L99="Validé humainement",'02_Form_Pluviometrie'!H99,"")</x:f>
      </x:c>
      <x:c r="I99" s="76" t="str">
        <x:f>IF('02_Form_Pluviometrie'!$L99="Validé humainement",'02_Form_Pluviometrie'!I99,"")</x:f>
      </x:c>
      <x:c r="J99" s="76" t="str">
        <x:f>IF('02_Form_Pluviometrie'!$L99="Validé humainement",'02_Form_Pluviometrie'!J99,"")</x:f>
      </x:c>
      <x:c r="K99" s="76" t="str">
        <x:f>IF('02_Form_Pluviometrie'!$L99="Validé humainement",'02_Form_Pluviometrie'!K99,"")</x:f>
      </x:c>
      <x:c r="L99" s="76" t="str">
        <x:f>IF('02_Form_Pluviometrie'!$L99="Validé humainement",'02_Form_Pluviometrie'!L99,"")</x:f>
      </x:c>
      <x:c r="M99" s="76" t="str">
        <x:f>IF('02_Form_Pluviometrie'!$L99="Validé humainement",'02_Form_Pluviometrie'!M99,"")</x:f>
      </x:c>
      <x:c r="N99" s="78" t="str">
        <x:f>IF('02_Form_Pluviometrie'!$L99="Validé humainement",'02_Form_Pluviometrie'!N99,"")</x:f>
      </x:c>
      <x:c r="O99" s="76" t="str">
        <x:f>IF('02_Form_Pluviometrie'!$L99="Validé humainement",'02_Form_Pluviometrie'!O99,"")</x:f>
      </x:c>
      <x:c r="P99" s="76" t="str">
        <x:f>IF('02_Form_Pluviometrie'!$L99="Validé humainement",'02_Form_Pluviometrie'!P99,"")</x:f>
      </x:c>
      <x:c r="Q99" s="76" t="str">
        <x:f>IF('02_Form_Pluviometrie'!$L99="Validé humainement",'02_Form_Pluviometrie'!Q99,"")</x:f>
      </x:c>
    </x:row>
    <x:row r="100">
      <x:c r="A100" s="76" t="str">
        <x:f>IF('02_Form_Pluviometrie'!$L100="Validé humainement",'02_Form_Pluviometrie'!A100,"")</x:f>
      </x:c>
      <x:c r="B100" s="78" t="str">
        <x:f>IF('02_Form_Pluviometrie'!$L100="Validé humainement",'02_Form_Pluviometrie'!B100,"")</x:f>
      </x:c>
      <x:c r="C100" s="76" t="str">
        <x:f>IF('02_Form_Pluviometrie'!$L100="Validé humainement",'02_Form_Pluviometrie'!C100,"")</x:f>
      </x:c>
      <x:c r="D100" s="76" t="str">
        <x:f>IF('02_Form_Pluviometrie'!$L100="Validé humainement",'02_Form_Pluviometrie'!D100,"")</x:f>
      </x:c>
      <x:c r="E100" s="76" t="str">
        <x:f>IF('02_Form_Pluviometrie'!$L100="Validé humainement",'02_Form_Pluviometrie'!E100,"")</x:f>
      </x:c>
      <x:c r="F100" s="76" t="str">
        <x:f>IF('02_Form_Pluviometrie'!$L100="Validé humainement",'02_Form_Pluviometrie'!F100,"")</x:f>
      </x:c>
      <x:c r="G100" s="80" t="str">
        <x:f>IF('02_Form_Pluviometrie'!$L100="Validé humainement",'02_Form_Pluviometrie'!G100,"")</x:f>
      </x:c>
      <x:c r="H100" s="76" t="str">
        <x:f>IF('02_Form_Pluviometrie'!$L100="Validé humainement",'02_Form_Pluviometrie'!H100,"")</x:f>
      </x:c>
      <x:c r="I100" s="76" t="str">
        <x:f>IF('02_Form_Pluviometrie'!$L100="Validé humainement",'02_Form_Pluviometrie'!I100,"")</x:f>
      </x:c>
      <x:c r="J100" s="76" t="str">
        <x:f>IF('02_Form_Pluviometrie'!$L100="Validé humainement",'02_Form_Pluviometrie'!J100,"")</x:f>
      </x:c>
      <x:c r="K100" s="76" t="str">
        <x:f>IF('02_Form_Pluviometrie'!$L100="Validé humainement",'02_Form_Pluviometrie'!K100,"")</x:f>
      </x:c>
      <x:c r="L100" s="76" t="str">
        <x:f>IF('02_Form_Pluviometrie'!$L100="Validé humainement",'02_Form_Pluviometrie'!L100,"")</x:f>
      </x:c>
      <x:c r="M100" s="76" t="str">
        <x:f>IF('02_Form_Pluviometrie'!$L100="Validé humainement",'02_Form_Pluviometrie'!M100,"")</x:f>
      </x:c>
      <x:c r="N100" s="78" t="str">
        <x:f>IF('02_Form_Pluviometrie'!$L100="Validé humainement",'02_Form_Pluviometrie'!N100,"")</x:f>
      </x:c>
      <x:c r="O100" s="76" t="str">
        <x:f>IF('02_Form_Pluviometrie'!$L100="Validé humainement",'02_Form_Pluviometrie'!O100,"")</x:f>
      </x:c>
      <x:c r="P100" s="76" t="str">
        <x:f>IF('02_Form_Pluviometrie'!$L100="Validé humainement",'02_Form_Pluviometrie'!P100,"")</x:f>
      </x:c>
      <x:c r="Q100" s="76" t="str">
        <x:f>IF('02_Form_Pluviometrie'!$L100="Validé humainement",'02_Form_Pluviometrie'!Q100,"")</x:f>
      </x:c>
    </x:row>
    <x:row r="101">
      <x:c r="A101" s="76" t="str">
        <x:f>IF('02_Form_Pluviometrie'!$L101="Validé humainement",'02_Form_Pluviometrie'!A101,"")</x:f>
      </x:c>
      <x:c r="B101" s="78" t="str">
        <x:f>IF('02_Form_Pluviometrie'!$L101="Validé humainement",'02_Form_Pluviometrie'!B101,"")</x:f>
      </x:c>
      <x:c r="C101" s="76" t="str">
        <x:f>IF('02_Form_Pluviometrie'!$L101="Validé humainement",'02_Form_Pluviometrie'!C101,"")</x:f>
      </x:c>
      <x:c r="D101" s="76" t="str">
        <x:f>IF('02_Form_Pluviometrie'!$L101="Validé humainement",'02_Form_Pluviometrie'!D101,"")</x:f>
      </x:c>
      <x:c r="E101" s="76" t="str">
        <x:f>IF('02_Form_Pluviometrie'!$L101="Validé humainement",'02_Form_Pluviometrie'!E101,"")</x:f>
      </x:c>
      <x:c r="F101" s="76" t="str">
        <x:f>IF('02_Form_Pluviometrie'!$L101="Validé humainement",'02_Form_Pluviometrie'!F101,"")</x:f>
      </x:c>
      <x:c r="G101" s="80" t="str">
        <x:f>IF('02_Form_Pluviometrie'!$L101="Validé humainement",'02_Form_Pluviometrie'!G101,"")</x:f>
      </x:c>
      <x:c r="H101" s="76" t="str">
        <x:f>IF('02_Form_Pluviometrie'!$L101="Validé humainement",'02_Form_Pluviometrie'!H101,"")</x:f>
      </x:c>
      <x:c r="I101" s="76" t="str">
        <x:f>IF('02_Form_Pluviometrie'!$L101="Validé humainement",'02_Form_Pluviometrie'!I101,"")</x:f>
      </x:c>
      <x:c r="J101" s="76" t="str">
        <x:f>IF('02_Form_Pluviometrie'!$L101="Validé humainement",'02_Form_Pluviometrie'!J101,"")</x:f>
      </x:c>
      <x:c r="K101" s="76" t="str">
        <x:f>IF('02_Form_Pluviometrie'!$L101="Validé humainement",'02_Form_Pluviometrie'!K101,"")</x:f>
      </x:c>
      <x:c r="L101" s="76" t="str">
        <x:f>IF('02_Form_Pluviometrie'!$L101="Validé humainement",'02_Form_Pluviometrie'!L101,"")</x:f>
      </x:c>
      <x:c r="M101" s="76" t="str">
        <x:f>IF('02_Form_Pluviometrie'!$L101="Validé humainement",'02_Form_Pluviometrie'!M101,"")</x:f>
      </x:c>
      <x:c r="N101" s="78" t="str">
        <x:f>IF('02_Form_Pluviometrie'!$L101="Validé humainement",'02_Form_Pluviometrie'!N101,"")</x:f>
      </x:c>
      <x:c r="O101" s="76" t="str">
        <x:f>IF('02_Form_Pluviometrie'!$L101="Validé humainement",'02_Form_Pluviometrie'!O101,"")</x:f>
      </x:c>
      <x:c r="P101" s="76" t="str">
        <x:f>IF('02_Form_Pluviometrie'!$L101="Validé humainement",'02_Form_Pluviometrie'!P101,"")</x:f>
      </x:c>
      <x:c r="Q101" s="76" t="str">
        <x:f>IF('02_Form_Pluviometrie'!$L101="Validé humainement",'02_Form_Pluviometrie'!Q101,"")</x:f>
      </x:c>
    </x:row>
    <x:row r="102">
      <x:c r="A102" s="76" t="str">
        <x:f>IF('02_Form_Pluviometrie'!$L102="Validé humainement",'02_Form_Pluviometrie'!A102,"")</x:f>
      </x:c>
      <x:c r="B102" s="78" t="str">
        <x:f>IF('02_Form_Pluviometrie'!$L102="Validé humainement",'02_Form_Pluviometrie'!B102,"")</x:f>
      </x:c>
      <x:c r="C102" s="76" t="str">
        <x:f>IF('02_Form_Pluviometrie'!$L102="Validé humainement",'02_Form_Pluviometrie'!C102,"")</x:f>
      </x:c>
      <x:c r="D102" s="76" t="str">
        <x:f>IF('02_Form_Pluviometrie'!$L102="Validé humainement",'02_Form_Pluviometrie'!D102,"")</x:f>
      </x:c>
      <x:c r="E102" s="76" t="str">
        <x:f>IF('02_Form_Pluviometrie'!$L102="Validé humainement",'02_Form_Pluviometrie'!E102,"")</x:f>
      </x:c>
      <x:c r="F102" s="76" t="str">
        <x:f>IF('02_Form_Pluviometrie'!$L102="Validé humainement",'02_Form_Pluviometrie'!F102,"")</x:f>
      </x:c>
      <x:c r="G102" s="80" t="str">
        <x:f>IF('02_Form_Pluviometrie'!$L102="Validé humainement",'02_Form_Pluviometrie'!G102,"")</x:f>
      </x:c>
      <x:c r="H102" s="76" t="str">
        <x:f>IF('02_Form_Pluviometrie'!$L102="Validé humainement",'02_Form_Pluviometrie'!H102,"")</x:f>
      </x:c>
      <x:c r="I102" s="76" t="str">
        <x:f>IF('02_Form_Pluviometrie'!$L102="Validé humainement",'02_Form_Pluviometrie'!I102,"")</x:f>
      </x:c>
      <x:c r="J102" s="76" t="str">
        <x:f>IF('02_Form_Pluviometrie'!$L102="Validé humainement",'02_Form_Pluviometrie'!J102,"")</x:f>
      </x:c>
      <x:c r="K102" s="76" t="str">
        <x:f>IF('02_Form_Pluviometrie'!$L102="Validé humainement",'02_Form_Pluviometrie'!K102,"")</x:f>
      </x:c>
      <x:c r="L102" s="76" t="str">
        <x:f>IF('02_Form_Pluviometrie'!$L102="Validé humainement",'02_Form_Pluviometrie'!L102,"")</x:f>
      </x:c>
      <x:c r="M102" s="76" t="str">
        <x:f>IF('02_Form_Pluviometrie'!$L102="Validé humainement",'02_Form_Pluviometrie'!M102,"")</x:f>
      </x:c>
      <x:c r="N102" s="78" t="str">
        <x:f>IF('02_Form_Pluviometrie'!$L102="Validé humainement",'02_Form_Pluviometrie'!N102,"")</x:f>
      </x:c>
      <x:c r="O102" s="76" t="str">
        <x:f>IF('02_Form_Pluviometrie'!$L102="Validé humainement",'02_Form_Pluviometrie'!O102,"")</x:f>
      </x:c>
      <x:c r="P102" s="76" t="str">
        <x:f>IF('02_Form_Pluviometrie'!$L102="Validé humainement",'02_Form_Pluviometrie'!P102,"")</x:f>
      </x:c>
      <x:c r="Q102" s="76" t="str">
        <x:f>IF('02_Form_Pluviometrie'!$L102="Validé humainement",'02_Form_Pluviometrie'!Q102,"")</x:f>
      </x:c>
    </x:row>
    <x:row r="103">
      <x:c r="A103" s="76" t="str">
        <x:f>IF('02_Form_Pluviometrie'!$L103="Validé humainement",'02_Form_Pluviometrie'!A103,"")</x:f>
      </x:c>
      <x:c r="B103" s="78" t="str">
        <x:f>IF('02_Form_Pluviometrie'!$L103="Validé humainement",'02_Form_Pluviometrie'!B103,"")</x:f>
      </x:c>
      <x:c r="C103" s="76" t="str">
        <x:f>IF('02_Form_Pluviometrie'!$L103="Validé humainement",'02_Form_Pluviometrie'!C103,"")</x:f>
      </x:c>
      <x:c r="D103" s="76" t="str">
        <x:f>IF('02_Form_Pluviometrie'!$L103="Validé humainement",'02_Form_Pluviometrie'!D103,"")</x:f>
      </x:c>
      <x:c r="E103" s="76" t="str">
        <x:f>IF('02_Form_Pluviometrie'!$L103="Validé humainement",'02_Form_Pluviometrie'!E103,"")</x:f>
      </x:c>
      <x:c r="F103" s="76" t="str">
        <x:f>IF('02_Form_Pluviometrie'!$L103="Validé humainement",'02_Form_Pluviometrie'!F103,"")</x:f>
      </x:c>
      <x:c r="G103" s="80" t="str">
        <x:f>IF('02_Form_Pluviometrie'!$L103="Validé humainement",'02_Form_Pluviometrie'!G103,"")</x:f>
      </x:c>
      <x:c r="H103" s="76" t="str">
        <x:f>IF('02_Form_Pluviometrie'!$L103="Validé humainement",'02_Form_Pluviometrie'!H103,"")</x:f>
      </x:c>
      <x:c r="I103" s="76" t="str">
        <x:f>IF('02_Form_Pluviometrie'!$L103="Validé humainement",'02_Form_Pluviometrie'!I103,"")</x:f>
      </x:c>
      <x:c r="J103" s="76" t="str">
        <x:f>IF('02_Form_Pluviometrie'!$L103="Validé humainement",'02_Form_Pluviometrie'!J103,"")</x:f>
      </x:c>
      <x:c r="K103" s="76" t="str">
        <x:f>IF('02_Form_Pluviometrie'!$L103="Validé humainement",'02_Form_Pluviometrie'!K103,"")</x:f>
      </x:c>
      <x:c r="L103" s="76" t="str">
        <x:f>IF('02_Form_Pluviometrie'!$L103="Validé humainement",'02_Form_Pluviometrie'!L103,"")</x:f>
      </x:c>
      <x:c r="M103" s="76" t="str">
        <x:f>IF('02_Form_Pluviometrie'!$L103="Validé humainement",'02_Form_Pluviometrie'!M103,"")</x:f>
      </x:c>
      <x:c r="N103" s="78" t="str">
        <x:f>IF('02_Form_Pluviometrie'!$L103="Validé humainement",'02_Form_Pluviometrie'!N103,"")</x:f>
      </x:c>
      <x:c r="O103" s="76" t="str">
        <x:f>IF('02_Form_Pluviometrie'!$L103="Validé humainement",'02_Form_Pluviometrie'!O103,"")</x:f>
      </x:c>
      <x:c r="P103" s="76" t="str">
        <x:f>IF('02_Form_Pluviometrie'!$L103="Validé humainement",'02_Form_Pluviometrie'!P103,"")</x:f>
      </x:c>
      <x:c r="Q103" s="76" t="str">
        <x:f>IF('02_Form_Pluviometrie'!$L103="Validé humainement",'02_Form_Pluviometrie'!Q103,"")</x:f>
      </x:c>
    </x:row>
    <x:row r="104">
      <x:c r="A104" s="76" t="str">
        <x:f>IF('02_Form_Pluviometrie'!$L104="Validé humainement",'02_Form_Pluviometrie'!A104,"")</x:f>
      </x:c>
      <x:c r="B104" s="78" t="str">
        <x:f>IF('02_Form_Pluviometrie'!$L104="Validé humainement",'02_Form_Pluviometrie'!B104,"")</x:f>
      </x:c>
      <x:c r="C104" s="76" t="str">
        <x:f>IF('02_Form_Pluviometrie'!$L104="Validé humainement",'02_Form_Pluviometrie'!C104,"")</x:f>
      </x:c>
      <x:c r="D104" s="76" t="str">
        <x:f>IF('02_Form_Pluviometrie'!$L104="Validé humainement",'02_Form_Pluviometrie'!D104,"")</x:f>
      </x:c>
      <x:c r="E104" s="76" t="str">
        <x:f>IF('02_Form_Pluviometrie'!$L104="Validé humainement",'02_Form_Pluviometrie'!E104,"")</x:f>
      </x:c>
      <x:c r="F104" s="76" t="str">
        <x:f>IF('02_Form_Pluviometrie'!$L104="Validé humainement",'02_Form_Pluviometrie'!F104,"")</x:f>
      </x:c>
      <x:c r="G104" s="80" t="str">
        <x:f>IF('02_Form_Pluviometrie'!$L104="Validé humainement",'02_Form_Pluviometrie'!G104,"")</x:f>
      </x:c>
      <x:c r="H104" s="76" t="str">
        <x:f>IF('02_Form_Pluviometrie'!$L104="Validé humainement",'02_Form_Pluviometrie'!H104,"")</x:f>
      </x:c>
      <x:c r="I104" s="76" t="str">
        <x:f>IF('02_Form_Pluviometrie'!$L104="Validé humainement",'02_Form_Pluviometrie'!I104,"")</x:f>
      </x:c>
      <x:c r="J104" s="76" t="str">
        <x:f>IF('02_Form_Pluviometrie'!$L104="Validé humainement",'02_Form_Pluviometrie'!J104,"")</x:f>
      </x:c>
      <x:c r="K104" s="76" t="str">
        <x:f>IF('02_Form_Pluviometrie'!$L104="Validé humainement",'02_Form_Pluviometrie'!K104,"")</x:f>
      </x:c>
      <x:c r="L104" s="76" t="str">
        <x:f>IF('02_Form_Pluviometrie'!$L104="Validé humainement",'02_Form_Pluviometrie'!L104,"")</x:f>
      </x:c>
      <x:c r="M104" s="76" t="str">
        <x:f>IF('02_Form_Pluviometrie'!$L104="Validé humainement",'02_Form_Pluviometrie'!M104,"")</x:f>
      </x:c>
      <x:c r="N104" s="78" t="str">
        <x:f>IF('02_Form_Pluviometrie'!$L104="Validé humainement",'02_Form_Pluviometrie'!N104,"")</x:f>
      </x:c>
      <x:c r="O104" s="76" t="str">
        <x:f>IF('02_Form_Pluviometrie'!$L104="Validé humainement",'02_Form_Pluviometrie'!O104,"")</x:f>
      </x:c>
      <x:c r="P104" s="76" t="str">
        <x:f>IF('02_Form_Pluviometrie'!$L104="Validé humainement",'02_Form_Pluviometrie'!P104,"")</x:f>
      </x:c>
      <x:c r="Q104" s="76" t="str">
        <x:f>IF('02_Form_Pluviometrie'!$L104="Validé humainement",'02_Form_Pluviometrie'!Q104,"")</x:f>
      </x:c>
    </x:row>
  </x:sheetData>
  <x:mergeCells>
    <x:mergeCell ref="A1:Q1"/>
    <x:mergeCell ref="A2:Q2"/>
  </x:mergeCells>
  <x:pageMargins left="0.7" right="0.7" top="0.75" bottom="0.75" header="0.3" footer="0.3"/>
  <x:tableParts count="1">
    <x:tablePart xmlns:r="http://schemas.openxmlformats.org/officeDocument/2006/relationships" r:id="Rd8e16c6cbcb84708"/>
  </x:tableParts>
</x:worksheet>
</file>

<file path=xl/worksheets/sheet56.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1.25" hidden="0" customWidth="1"/>
    <x:col min="6" max="6" width="17.5" hidden="0" customWidth="1"/>
    <x:col min="7" max="7" width="23.1299991607666" hidden="0" customWidth="1"/>
    <x:col min="8" max="8" width="19.3799991607666" hidden="0" customWidth="1"/>
    <x:col min="9" max="9" width="22.5" hidden="0" customWidth="1"/>
    <x:col min="10" max="10" width="26.25" hidden="0" customWidth="1"/>
    <x:col min="11" max="11" width="20" hidden="0" customWidth="1"/>
    <x:col min="12" max="12" width="31.25" hidden="0" customWidth="1"/>
    <x:col min="13" max="13" width="15" hidden="0" customWidth="1"/>
    <x:col min="14" max="14" width="18.75" hidden="0" customWidth="1"/>
    <x:col min="15" max="15" width="23.75" hidden="0" customWidth="1"/>
    <x:col min="16" max="16" width="15" hidden="0" customWidth="1"/>
  </x:cols>
  <x:sheetData>
    <x:row r="1" ht="25.5" customHeight="1">
      <x:c r="A1" s="68" t="str">
        <x:v>Base validée - électricité</x:v>
      </x:c>
      <x:c r="B1" s="68"/>
      <x:c r="C1" s="68"/>
      <x:c r="D1" s="68"/>
      <x:c r="E1" s="68"/>
      <x:c r="F1" s="68"/>
      <x:c r="G1" s="68"/>
      <x:c r="H1" s="68"/>
      <x:c r="I1" s="68"/>
      <x:c r="J1" s="68"/>
      <x:c r="K1" s="68"/>
      <x:c r="L1" s="68"/>
      <x:c r="M1" s="68"/>
      <x:c r="N1" s="68"/>
      <x:c r="O1" s="68"/>
      <x:c r="P1" s="68"/>
    </x:row>
    <x:row r="2" ht="33" customHeight="1">
      <x:c r="A2" s="71" t="str">
        <x:v>Cette base est alimentée automatiquement depuis 03_Form_Electricite. Seules les lignes avec le statut "Validé humainement" sont reprises.</x:v>
      </x:c>
      <x:c r="B2" s="71"/>
      <x:c r="C2" s="71"/>
      <x:c r="D2" s="71"/>
      <x:c r="E2" s="71"/>
      <x:c r="F2" s="71"/>
      <x:c r="G2" s="71"/>
      <x:c r="H2" s="71"/>
      <x:c r="I2" s="71"/>
      <x:c r="J2" s="71"/>
      <x:c r="K2" s="71"/>
      <x:c r="L2" s="71"/>
      <x:c r="M2" s="71"/>
      <x:c r="N2" s="71"/>
      <x:c r="O2" s="71"/>
      <x:c r="P2" s="71"/>
    </x:row>
    <x:row r="4">
      <x:c r="A4" s="87" t="str">
        <x:v>ID_Saisie</x:v>
      </x:c>
      <x:c r="B4" s="87" t="str">
        <x:v>Année</x:v>
      </x:c>
      <x:c r="C4" s="87" t="str">
        <x:v>Mois</x:v>
      </x:c>
      <x:c r="D4" s="87" t="str">
        <x:v>Zone</x:v>
      </x:c>
      <x:c r="E4" s="87" t="str">
        <x:v>Type de consommation</x:v>
      </x:c>
      <x:c r="F4" s="87" t="str">
        <x:v>Consommation kWh</x:v>
      </x:c>
      <x:c r="G4" s="87" t="str">
        <x:v>Facteur d'émission kgCO2e/kWh</x:v>
      </x:c>
      <x:c r="H4" s="87" t="str">
        <x:v>Émissions estimées tCO2e</x:v>
      </x:c>
      <x:c r="I4" s="87" t="str">
        <x:v>Institution source</x:v>
      </x:c>
      <x:c r="J4" s="87" t="str">
        <x:v>Document source</x:v>
      </x:c>
      <x:c r="K4" s="87" t="str">
        <x:v>Statut validation</x:v>
      </x:c>
      <x:c r="L4" s="87" t="str">
        <x:v>Observations</x:v>
      </x:c>
      <x:c r="M4" s="87" t="str">
        <x:v>Date de saisie</x:v>
      </x:c>
      <x:c r="N4" s="87" t="str">
        <x:v>Responsable</x:v>
      </x:c>
      <x:c r="O4" s="87" t="str">
        <x:v>Alerte_QC</x:v>
      </x:c>
      <x:c r="P4" s="87" t="str">
        <x:v>Alimente_Rapports</x:v>
      </x:c>
    </x:row>
    <x:row r="5">
      <x:c r="A5" s="76" t="str">
        <x:f>IF('03_Form_Electricite'!$K5="Validé humainement",'03_Form_Electricite'!A5,"")</x:f>
      </x:c>
      <x:c r="B5" s="76" t="str">
        <x:f>IF('03_Form_Electricite'!$K5="Validé humainement",'03_Form_Electricite'!B5,"")</x:f>
      </x:c>
      <x:c r="C5" s="76" t="str">
        <x:f>IF('03_Form_Electricite'!$K5="Validé humainement",'03_Form_Electricite'!C5,"")</x:f>
      </x:c>
      <x:c r="D5" s="76" t="str">
        <x:f>IF('03_Form_Electricite'!$K5="Validé humainement",'03_Form_Electricite'!D5,"")</x:f>
      </x:c>
      <x:c r="E5" s="76" t="str">
        <x:f>IF('03_Form_Electricite'!$K5="Validé humainement",'03_Form_Electricite'!E5,"")</x:f>
      </x:c>
      <x:c r="F5" s="81" t="str">
        <x:f>IF('03_Form_Electricite'!$K5="Validé humainement",'03_Form_Electricite'!F5,"")</x:f>
      </x:c>
      <x:c r="G5" s="82" t="str">
        <x:f>IF('03_Form_Electricite'!$K5="Validé humainement",'03_Form_Electricite'!G5,"")</x:f>
      </x:c>
      <x:c r="H5" s="77" t="str">
        <x:f>IF('03_Form_Electricite'!$K5="Validé humainement",'03_Form_Electricite'!H5,"")</x:f>
      </x:c>
      <x:c r="I5" s="76" t="str">
        <x:f>IF('03_Form_Electricite'!$K5="Validé humainement",'03_Form_Electricite'!I5,"")</x:f>
      </x:c>
      <x:c r="J5" s="76" t="str">
        <x:f>IF('03_Form_Electricite'!$K5="Validé humainement",'03_Form_Electricite'!J5,"")</x:f>
      </x:c>
      <x:c r="K5" s="76" t="str">
        <x:f>IF('03_Form_Electricite'!$K5="Validé humainement",'03_Form_Electricite'!K5,"")</x:f>
      </x:c>
      <x:c r="L5" s="76" t="str">
        <x:f>IF('03_Form_Electricite'!$K5="Validé humainement",'03_Form_Electricite'!L5,"")</x:f>
      </x:c>
      <x:c r="M5" s="78" t="str">
        <x:f>IF('03_Form_Electricite'!$K5="Validé humainement",'03_Form_Electricite'!M5,"")</x:f>
      </x:c>
      <x:c r="N5" s="76" t="str">
        <x:f>IF('03_Form_Electricite'!$K5="Validé humainement",'03_Form_Electricite'!N5,"")</x:f>
      </x:c>
      <x:c r="O5" s="76" t="str">
        <x:f>IF('03_Form_Electricite'!$K5="Validé humainement",'03_Form_Electricite'!O5,"")</x:f>
      </x:c>
      <x:c r="P5" s="76" t="str">
        <x:f>IF('03_Form_Electricite'!$K5="Validé humainement",'03_Form_Electricite'!P5,"")</x:f>
      </x:c>
    </x:row>
    <x:row r="6">
      <x:c r="A6" s="76" t="str">
        <x:f>IF('03_Form_Electricite'!$K6="Validé humainement",'03_Form_Electricite'!A6,"")</x:f>
      </x:c>
      <x:c r="B6" s="76" t="str">
        <x:f>IF('03_Form_Electricite'!$K6="Validé humainement",'03_Form_Electricite'!B6,"")</x:f>
      </x:c>
      <x:c r="C6" s="76" t="str">
        <x:f>IF('03_Form_Electricite'!$K6="Validé humainement",'03_Form_Electricite'!C6,"")</x:f>
      </x:c>
      <x:c r="D6" s="76" t="str">
        <x:f>IF('03_Form_Electricite'!$K6="Validé humainement",'03_Form_Electricite'!D6,"")</x:f>
      </x:c>
      <x:c r="E6" s="76" t="str">
        <x:f>IF('03_Form_Electricite'!$K6="Validé humainement",'03_Form_Electricite'!E6,"")</x:f>
      </x:c>
      <x:c r="F6" s="81" t="str">
        <x:f>IF('03_Form_Electricite'!$K6="Validé humainement",'03_Form_Electricite'!F6,"")</x:f>
      </x:c>
      <x:c r="G6" s="82" t="str">
        <x:f>IF('03_Form_Electricite'!$K6="Validé humainement",'03_Form_Electricite'!G6,"")</x:f>
      </x:c>
      <x:c r="H6" s="77" t="str">
        <x:f>IF('03_Form_Electricite'!$K6="Validé humainement",'03_Form_Electricite'!H6,"")</x:f>
      </x:c>
      <x:c r="I6" s="76" t="str">
        <x:f>IF('03_Form_Electricite'!$K6="Validé humainement",'03_Form_Electricite'!I6,"")</x:f>
      </x:c>
      <x:c r="J6" s="76" t="str">
        <x:f>IF('03_Form_Electricite'!$K6="Validé humainement",'03_Form_Electricite'!J6,"")</x:f>
      </x:c>
      <x:c r="K6" s="76" t="str">
        <x:f>IF('03_Form_Electricite'!$K6="Validé humainement",'03_Form_Electricite'!K6,"")</x:f>
      </x:c>
      <x:c r="L6" s="76" t="str">
        <x:f>IF('03_Form_Electricite'!$K6="Validé humainement",'03_Form_Electricite'!L6,"")</x:f>
      </x:c>
      <x:c r="M6" s="78" t="str">
        <x:f>IF('03_Form_Electricite'!$K6="Validé humainement",'03_Form_Electricite'!M6,"")</x:f>
      </x:c>
      <x:c r="N6" s="76" t="str">
        <x:f>IF('03_Form_Electricite'!$K6="Validé humainement",'03_Form_Electricite'!N6,"")</x:f>
      </x:c>
      <x:c r="O6" s="76" t="str">
        <x:f>IF('03_Form_Electricite'!$K6="Validé humainement",'03_Form_Electricite'!O6,"")</x:f>
      </x:c>
      <x:c r="P6" s="76" t="str">
        <x:f>IF('03_Form_Electricite'!$K6="Validé humainement",'03_Form_Electricite'!P6,"")</x:f>
      </x:c>
    </x:row>
    <x:row r="7">
      <x:c r="A7" s="76" t="str">
        <x:f>IF('03_Form_Electricite'!$K7="Validé humainement",'03_Form_Electricite'!A7,"")</x:f>
      </x:c>
      <x:c r="B7" s="76" t="str">
        <x:f>IF('03_Form_Electricite'!$K7="Validé humainement",'03_Form_Electricite'!B7,"")</x:f>
      </x:c>
      <x:c r="C7" s="76" t="str">
        <x:f>IF('03_Form_Electricite'!$K7="Validé humainement",'03_Form_Electricite'!C7,"")</x:f>
      </x:c>
      <x:c r="D7" s="76" t="str">
        <x:f>IF('03_Form_Electricite'!$K7="Validé humainement",'03_Form_Electricite'!D7,"")</x:f>
      </x:c>
      <x:c r="E7" s="76" t="str">
        <x:f>IF('03_Form_Electricite'!$K7="Validé humainement",'03_Form_Electricite'!E7,"")</x:f>
      </x:c>
      <x:c r="F7" s="81" t="str">
        <x:f>IF('03_Form_Electricite'!$K7="Validé humainement",'03_Form_Electricite'!F7,"")</x:f>
      </x:c>
      <x:c r="G7" s="82" t="str">
        <x:f>IF('03_Form_Electricite'!$K7="Validé humainement",'03_Form_Electricite'!G7,"")</x:f>
      </x:c>
      <x:c r="H7" s="77" t="str">
        <x:f>IF('03_Form_Electricite'!$K7="Validé humainement",'03_Form_Electricite'!H7,"")</x:f>
      </x:c>
      <x:c r="I7" s="76" t="str">
        <x:f>IF('03_Form_Electricite'!$K7="Validé humainement",'03_Form_Electricite'!I7,"")</x:f>
      </x:c>
      <x:c r="J7" s="76" t="str">
        <x:f>IF('03_Form_Electricite'!$K7="Validé humainement",'03_Form_Electricite'!J7,"")</x:f>
      </x:c>
      <x:c r="K7" s="76" t="str">
        <x:f>IF('03_Form_Electricite'!$K7="Validé humainement",'03_Form_Electricite'!K7,"")</x:f>
      </x:c>
      <x:c r="L7" s="76" t="str">
        <x:f>IF('03_Form_Electricite'!$K7="Validé humainement",'03_Form_Electricite'!L7,"")</x:f>
      </x:c>
      <x:c r="M7" s="78" t="str">
        <x:f>IF('03_Form_Electricite'!$K7="Validé humainement",'03_Form_Electricite'!M7,"")</x:f>
      </x:c>
      <x:c r="N7" s="76" t="str">
        <x:f>IF('03_Form_Electricite'!$K7="Validé humainement",'03_Form_Electricite'!N7,"")</x:f>
      </x:c>
      <x:c r="O7" s="76" t="str">
        <x:f>IF('03_Form_Electricite'!$K7="Validé humainement",'03_Form_Electricite'!O7,"")</x:f>
      </x:c>
      <x:c r="P7" s="76" t="str">
        <x:f>IF('03_Form_Electricite'!$K7="Validé humainement",'03_Form_Electricite'!P7,"")</x:f>
      </x:c>
    </x:row>
    <x:row r="8">
      <x:c r="A8" s="76" t="str">
        <x:f>IF('03_Form_Electricite'!$K8="Validé humainement",'03_Form_Electricite'!A8,"")</x:f>
      </x:c>
      <x:c r="B8" s="76" t="str">
        <x:f>IF('03_Form_Electricite'!$K8="Validé humainement",'03_Form_Electricite'!B8,"")</x:f>
      </x:c>
      <x:c r="C8" s="76" t="str">
        <x:f>IF('03_Form_Electricite'!$K8="Validé humainement",'03_Form_Electricite'!C8,"")</x:f>
      </x:c>
      <x:c r="D8" s="76" t="str">
        <x:f>IF('03_Form_Electricite'!$K8="Validé humainement",'03_Form_Electricite'!D8,"")</x:f>
      </x:c>
      <x:c r="E8" s="76" t="str">
        <x:f>IF('03_Form_Electricite'!$K8="Validé humainement",'03_Form_Electricite'!E8,"")</x:f>
      </x:c>
      <x:c r="F8" s="81" t="str">
        <x:f>IF('03_Form_Electricite'!$K8="Validé humainement",'03_Form_Electricite'!F8,"")</x:f>
      </x:c>
      <x:c r="G8" s="82" t="str">
        <x:f>IF('03_Form_Electricite'!$K8="Validé humainement",'03_Form_Electricite'!G8,"")</x:f>
      </x:c>
      <x:c r="H8" s="77" t="str">
        <x:f>IF('03_Form_Electricite'!$K8="Validé humainement",'03_Form_Electricite'!H8,"")</x:f>
      </x:c>
      <x:c r="I8" s="76" t="str">
        <x:f>IF('03_Form_Electricite'!$K8="Validé humainement",'03_Form_Electricite'!I8,"")</x:f>
      </x:c>
      <x:c r="J8" s="76" t="str">
        <x:f>IF('03_Form_Electricite'!$K8="Validé humainement",'03_Form_Electricite'!J8,"")</x:f>
      </x:c>
      <x:c r="K8" s="76" t="str">
        <x:f>IF('03_Form_Electricite'!$K8="Validé humainement",'03_Form_Electricite'!K8,"")</x:f>
      </x:c>
      <x:c r="L8" s="76" t="str">
        <x:f>IF('03_Form_Electricite'!$K8="Validé humainement",'03_Form_Electricite'!L8,"")</x:f>
      </x:c>
      <x:c r="M8" s="78" t="str">
        <x:f>IF('03_Form_Electricite'!$K8="Validé humainement",'03_Form_Electricite'!M8,"")</x:f>
      </x:c>
      <x:c r="N8" s="76" t="str">
        <x:f>IF('03_Form_Electricite'!$K8="Validé humainement",'03_Form_Electricite'!N8,"")</x:f>
      </x:c>
      <x:c r="O8" s="76" t="str">
        <x:f>IF('03_Form_Electricite'!$K8="Validé humainement",'03_Form_Electricite'!O8,"")</x:f>
      </x:c>
      <x:c r="P8" s="76" t="str">
        <x:f>IF('03_Form_Electricite'!$K8="Validé humainement",'03_Form_Electricite'!P8,"")</x:f>
      </x:c>
    </x:row>
    <x:row r="9">
      <x:c r="A9" s="76" t="str">
        <x:f>IF('03_Form_Electricite'!$K9="Validé humainement",'03_Form_Electricite'!A9,"")</x:f>
      </x:c>
      <x:c r="B9" s="76" t="str">
        <x:f>IF('03_Form_Electricite'!$K9="Validé humainement",'03_Form_Electricite'!B9,"")</x:f>
      </x:c>
      <x:c r="C9" s="76" t="str">
        <x:f>IF('03_Form_Electricite'!$K9="Validé humainement",'03_Form_Electricite'!C9,"")</x:f>
      </x:c>
      <x:c r="D9" s="76" t="str">
        <x:f>IF('03_Form_Electricite'!$K9="Validé humainement",'03_Form_Electricite'!D9,"")</x:f>
      </x:c>
      <x:c r="E9" s="76" t="str">
        <x:f>IF('03_Form_Electricite'!$K9="Validé humainement",'03_Form_Electricite'!E9,"")</x:f>
      </x:c>
      <x:c r="F9" s="81" t="str">
        <x:f>IF('03_Form_Electricite'!$K9="Validé humainement",'03_Form_Electricite'!F9,"")</x:f>
      </x:c>
      <x:c r="G9" s="82" t="str">
        <x:f>IF('03_Form_Electricite'!$K9="Validé humainement",'03_Form_Electricite'!G9,"")</x:f>
      </x:c>
      <x:c r="H9" s="77" t="str">
        <x:f>IF('03_Form_Electricite'!$K9="Validé humainement",'03_Form_Electricite'!H9,"")</x:f>
      </x:c>
      <x:c r="I9" s="76" t="str">
        <x:f>IF('03_Form_Electricite'!$K9="Validé humainement",'03_Form_Electricite'!I9,"")</x:f>
      </x:c>
      <x:c r="J9" s="76" t="str">
        <x:f>IF('03_Form_Electricite'!$K9="Validé humainement",'03_Form_Electricite'!J9,"")</x:f>
      </x:c>
      <x:c r="K9" s="76" t="str">
        <x:f>IF('03_Form_Electricite'!$K9="Validé humainement",'03_Form_Electricite'!K9,"")</x:f>
      </x:c>
      <x:c r="L9" s="76" t="str">
        <x:f>IF('03_Form_Electricite'!$K9="Validé humainement",'03_Form_Electricite'!L9,"")</x:f>
      </x:c>
      <x:c r="M9" s="78" t="str">
        <x:f>IF('03_Form_Electricite'!$K9="Validé humainement",'03_Form_Electricite'!M9,"")</x:f>
      </x:c>
      <x:c r="N9" s="76" t="str">
        <x:f>IF('03_Form_Electricite'!$K9="Validé humainement",'03_Form_Electricite'!N9,"")</x:f>
      </x:c>
      <x:c r="O9" s="76" t="str">
        <x:f>IF('03_Form_Electricite'!$K9="Validé humainement",'03_Form_Electricite'!O9,"")</x:f>
      </x:c>
      <x:c r="P9" s="76" t="str">
        <x:f>IF('03_Form_Electricite'!$K9="Validé humainement",'03_Form_Electricite'!P9,"")</x:f>
      </x:c>
    </x:row>
    <x:row r="10">
      <x:c r="A10" s="76" t="str">
        <x:f>IF('03_Form_Electricite'!$K10="Validé humainement",'03_Form_Electricite'!A10,"")</x:f>
      </x:c>
      <x:c r="B10" s="76" t="str">
        <x:f>IF('03_Form_Electricite'!$K10="Validé humainement",'03_Form_Electricite'!B10,"")</x:f>
      </x:c>
      <x:c r="C10" s="76" t="str">
        <x:f>IF('03_Form_Electricite'!$K10="Validé humainement",'03_Form_Electricite'!C10,"")</x:f>
      </x:c>
      <x:c r="D10" s="76" t="str">
        <x:f>IF('03_Form_Electricite'!$K10="Validé humainement",'03_Form_Electricite'!D10,"")</x:f>
      </x:c>
      <x:c r="E10" s="76" t="str">
        <x:f>IF('03_Form_Electricite'!$K10="Validé humainement",'03_Form_Electricite'!E10,"")</x:f>
      </x:c>
      <x:c r="F10" s="81" t="str">
        <x:f>IF('03_Form_Electricite'!$K10="Validé humainement",'03_Form_Electricite'!F10,"")</x:f>
      </x:c>
      <x:c r="G10" s="82" t="str">
        <x:f>IF('03_Form_Electricite'!$K10="Validé humainement",'03_Form_Electricite'!G10,"")</x:f>
      </x:c>
      <x:c r="H10" s="77" t="str">
        <x:f>IF('03_Form_Electricite'!$K10="Validé humainement",'03_Form_Electricite'!H10,"")</x:f>
      </x:c>
      <x:c r="I10" s="76" t="str">
        <x:f>IF('03_Form_Electricite'!$K10="Validé humainement",'03_Form_Electricite'!I10,"")</x:f>
      </x:c>
      <x:c r="J10" s="76" t="str">
        <x:f>IF('03_Form_Electricite'!$K10="Validé humainement",'03_Form_Electricite'!J10,"")</x:f>
      </x:c>
      <x:c r="K10" s="76" t="str">
        <x:f>IF('03_Form_Electricite'!$K10="Validé humainement",'03_Form_Electricite'!K10,"")</x:f>
      </x:c>
      <x:c r="L10" s="76" t="str">
        <x:f>IF('03_Form_Electricite'!$K10="Validé humainement",'03_Form_Electricite'!L10,"")</x:f>
      </x:c>
      <x:c r="M10" s="78" t="str">
        <x:f>IF('03_Form_Electricite'!$K10="Validé humainement",'03_Form_Electricite'!M10,"")</x:f>
      </x:c>
      <x:c r="N10" s="76" t="str">
        <x:f>IF('03_Form_Electricite'!$K10="Validé humainement",'03_Form_Electricite'!N10,"")</x:f>
      </x:c>
      <x:c r="O10" s="76" t="str">
        <x:f>IF('03_Form_Electricite'!$K10="Validé humainement",'03_Form_Electricite'!O10,"")</x:f>
      </x:c>
      <x:c r="P10" s="76" t="str">
        <x:f>IF('03_Form_Electricite'!$K10="Validé humainement",'03_Form_Electricite'!P10,"")</x:f>
      </x:c>
    </x:row>
    <x:row r="11">
      <x:c r="A11" s="76" t="str">
        <x:f>IF('03_Form_Electricite'!$K11="Validé humainement",'03_Form_Electricite'!A11,"")</x:f>
      </x:c>
      <x:c r="B11" s="76" t="str">
        <x:f>IF('03_Form_Electricite'!$K11="Validé humainement",'03_Form_Electricite'!B11,"")</x:f>
      </x:c>
      <x:c r="C11" s="76" t="str">
        <x:f>IF('03_Form_Electricite'!$K11="Validé humainement",'03_Form_Electricite'!C11,"")</x:f>
      </x:c>
      <x:c r="D11" s="76" t="str">
        <x:f>IF('03_Form_Electricite'!$K11="Validé humainement",'03_Form_Electricite'!D11,"")</x:f>
      </x:c>
      <x:c r="E11" s="76" t="str">
        <x:f>IF('03_Form_Electricite'!$K11="Validé humainement",'03_Form_Electricite'!E11,"")</x:f>
      </x:c>
      <x:c r="F11" s="81" t="str">
        <x:f>IF('03_Form_Electricite'!$K11="Validé humainement",'03_Form_Electricite'!F11,"")</x:f>
      </x:c>
      <x:c r="G11" s="82" t="str">
        <x:f>IF('03_Form_Electricite'!$K11="Validé humainement",'03_Form_Electricite'!G11,"")</x:f>
      </x:c>
      <x:c r="H11" s="77" t="str">
        <x:f>IF('03_Form_Electricite'!$K11="Validé humainement",'03_Form_Electricite'!H11,"")</x:f>
      </x:c>
      <x:c r="I11" s="76" t="str">
        <x:f>IF('03_Form_Electricite'!$K11="Validé humainement",'03_Form_Electricite'!I11,"")</x:f>
      </x:c>
      <x:c r="J11" s="76" t="str">
        <x:f>IF('03_Form_Electricite'!$K11="Validé humainement",'03_Form_Electricite'!J11,"")</x:f>
      </x:c>
      <x:c r="K11" s="76" t="str">
        <x:f>IF('03_Form_Electricite'!$K11="Validé humainement",'03_Form_Electricite'!K11,"")</x:f>
      </x:c>
      <x:c r="L11" s="76" t="str">
        <x:f>IF('03_Form_Electricite'!$K11="Validé humainement",'03_Form_Electricite'!L11,"")</x:f>
      </x:c>
      <x:c r="M11" s="78" t="str">
        <x:f>IF('03_Form_Electricite'!$K11="Validé humainement",'03_Form_Electricite'!M11,"")</x:f>
      </x:c>
      <x:c r="N11" s="76" t="str">
        <x:f>IF('03_Form_Electricite'!$K11="Validé humainement",'03_Form_Electricite'!N11,"")</x:f>
      </x:c>
      <x:c r="O11" s="76" t="str">
        <x:f>IF('03_Form_Electricite'!$K11="Validé humainement",'03_Form_Electricite'!O11,"")</x:f>
      </x:c>
      <x:c r="P11" s="76" t="str">
        <x:f>IF('03_Form_Electricite'!$K11="Validé humainement",'03_Form_Electricite'!P11,"")</x:f>
      </x:c>
    </x:row>
    <x:row r="12">
      <x:c r="A12" s="76" t="str">
        <x:f>IF('03_Form_Electricite'!$K12="Validé humainement",'03_Form_Electricite'!A12,"")</x:f>
      </x:c>
      <x:c r="B12" s="76" t="str">
        <x:f>IF('03_Form_Electricite'!$K12="Validé humainement",'03_Form_Electricite'!B12,"")</x:f>
      </x:c>
      <x:c r="C12" s="76" t="str">
        <x:f>IF('03_Form_Electricite'!$K12="Validé humainement",'03_Form_Electricite'!C12,"")</x:f>
      </x:c>
      <x:c r="D12" s="76" t="str">
        <x:f>IF('03_Form_Electricite'!$K12="Validé humainement",'03_Form_Electricite'!D12,"")</x:f>
      </x:c>
      <x:c r="E12" s="76" t="str">
        <x:f>IF('03_Form_Electricite'!$K12="Validé humainement",'03_Form_Electricite'!E12,"")</x:f>
      </x:c>
      <x:c r="F12" s="81" t="str">
        <x:f>IF('03_Form_Electricite'!$K12="Validé humainement",'03_Form_Electricite'!F12,"")</x:f>
      </x:c>
      <x:c r="G12" s="82" t="str">
        <x:f>IF('03_Form_Electricite'!$K12="Validé humainement",'03_Form_Electricite'!G12,"")</x:f>
      </x:c>
      <x:c r="H12" s="77" t="str">
        <x:f>IF('03_Form_Electricite'!$K12="Validé humainement",'03_Form_Electricite'!H12,"")</x:f>
      </x:c>
      <x:c r="I12" s="76" t="str">
        <x:f>IF('03_Form_Electricite'!$K12="Validé humainement",'03_Form_Electricite'!I12,"")</x:f>
      </x:c>
      <x:c r="J12" s="76" t="str">
        <x:f>IF('03_Form_Electricite'!$K12="Validé humainement",'03_Form_Electricite'!J12,"")</x:f>
      </x:c>
      <x:c r="K12" s="76" t="str">
        <x:f>IF('03_Form_Electricite'!$K12="Validé humainement",'03_Form_Electricite'!K12,"")</x:f>
      </x:c>
      <x:c r="L12" s="76" t="str">
        <x:f>IF('03_Form_Electricite'!$K12="Validé humainement",'03_Form_Electricite'!L12,"")</x:f>
      </x:c>
      <x:c r="M12" s="78" t="str">
        <x:f>IF('03_Form_Electricite'!$K12="Validé humainement",'03_Form_Electricite'!M12,"")</x:f>
      </x:c>
      <x:c r="N12" s="76" t="str">
        <x:f>IF('03_Form_Electricite'!$K12="Validé humainement",'03_Form_Electricite'!N12,"")</x:f>
      </x:c>
      <x:c r="O12" s="76" t="str">
        <x:f>IF('03_Form_Electricite'!$K12="Validé humainement",'03_Form_Electricite'!O12,"")</x:f>
      </x:c>
      <x:c r="P12" s="76" t="str">
        <x:f>IF('03_Form_Electricite'!$K12="Validé humainement",'03_Form_Electricite'!P12,"")</x:f>
      </x:c>
    </x:row>
    <x:row r="13">
      <x:c r="A13" s="76" t="str">
        <x:f>IF('03_Form_Electricite'!$K13="Validé humainement",'03_Form_Electricite'!A13,"")</x:f>
      </x:c>
      <x:c r="B13" s="76" t="str">
        <x:f>IF('03_Form_Electricite'!$K13="Validé humainement",'03_Form_Electricite'!B13,"")</x:f>
      </x:c>
      <x:c r="C13" s="76" t="str">
        <x:f>IF('03_Form_Electricite'!$K13="Validé humainement",'03_Form_Electricite'!C13,"")</x:f>
      </x:c>
      <x:c r="D13" s="76" t="str">
        <x:f>IF('03_Form_Electricite'!$K13="Validé humainement",'03_Form_Electricite'!D13,"")</x:f>
      </x:c>
      <x:c r="E13" s="76" t="str">
        <x:f>IF('03_Form_Electricite'!$K13="Validé humainement",'03_Form_Electricite'!E13,"")</x:f>
      </x:c>
      <x:c r="F13" s="81" t="str">
        <x:f>IF('03_Form_Electricite'!$K13="Validé humainement",'03_Form_Electricite'!F13,"")</x:f>
      </x:c>
      <x:c r="G13" s="82" t="str">
        <x:f>IF('03_Form_Electricite'!$K13="Validé humainement",'03_Form_Electricite'!G13,"")</x:f>
      </x:c>
      <x:c r="H13" s="77" t="str">
        <x:f>IF('03_Form_Electricite'!$K13="Validé humainement",'03_Form_Electricite'!H13,"")</x:f>
      </x:c>
      <x:c r="I13" s="76" t="str">
        <x:f>IF('03_Form_Electricite'!$K13="Validé humainement",'03_Form_Electricite'!I13,"")</x:f>
      </x:c>
      <x:c r="J13" s="76" t="str">
        <x:f>IF('03_Form_Electricite'!$K13="Validé humainement",'03_Form_Electricite'!J13,"")</x:f>
      </x:c>
      <x:c r="K13" s="76" t="str">
        <x:f>IF('03_Form_Electricite'!$K13="Validé humainement",'03_Form_Electricite'!K13,"")</x:f>
      </x:c>
      <x:c r="L13" s="76" t="str">
        <x:f>IF('03_Form_Electricite'!$K13="Validé humainement",'03_Form_Electricite'!L13,"")</x:f>
      </x:c>
      <x:c r="M13" s="78" t="str">
        <x:f>IF('03_Form_Electricite'!$K13="Validé humainement",'03_Form_Electricite'!M13,"")</x:f>
      </x:c>
      <x:c r="N13" s="76" t="str">
        <x:f>IF('03_Form_Electricite'!$K13="Validé humainement",'03_Form_Electricite'!N13,"")</x:f>
      </x:c>
      <x:c r="O13" s="76" t="str">
        <x:f>IF('03_Form_Electricite'!$K13="Validé humainement",'03_Form_Electricite'!O13,"")</x:f>
      </x:c>
      <x:c r="P13" s="76" t="str">
        <x:f>IF('03_Form_Electricite'!$K13="Validé humainement",'03_Form_Electricite'!P13,"")</x:f>
      </x:c>
    </x:row>
    <x:row r="14">
      <x:c r="A14" s="76" t="str">
        <x:f>IF('03_Form_Electricite'!$K14="Validé humainement",'03_Form_Electricite'!A14,"")</x:f>
      </x:c>
      <x:c r="B14" s="76" t="str">
        <x:f>IF('03_Form_Electricite'!$K14="Validé humainement",'03_Form_Electricite'!B14,"")</x:f>
      </x:c>
      <x:c r="C14" s="76" t="str">
        <x:f>IF('03_Form_Electricite'!$K14="Validé humainement",'03_Form_Electricite'!C14,"")</x:f>
      </x:c>
      <x:c r="D14" s="76" t="str">
        <x:f>IF('03_Form_Electricite'!$K14="Validé humainement",'03_Form_Electricite'!D14,"")</x:f>
      </x:c>
      <x:c r="E14" s="76" t="str">
        <x:f>IF('03_Form_Electricite'!$K14="Validé humainement",'03_Form_Electricite'!E14,"")</x:f>
      </x:c>
      <x:c r="F14" s="81" t="str">
        <x:f>IF('03_Form_Electricite'!$K14="Validé humainement",'03_Form_Electricite'!F14,"")</x:f>
      </x:c>
      <x:c r="G14" s="82" t="str">
        <x:f>IF('03_Form_Electricite'!$K14="Validé humainement",'03_Form_Electricite'!G14,"")</x:f>
      </x:c>
      <x:c r="H14" s="77" t="str">
        <x:f>IF('03_Form_Electricite'!$K14="Validé humainement",'03_Form_Electricite'!H14,"")</x:f>
      </x:c>
      <x:c r="I14" s="76" t="str">
        <x:f>IF('03_Form_Electricite'!$K14="Validé humainement",'03_Form_Electricite'!I14,"")</x:f>
      </x:c>
      <x:c r="J14" s="76" t="str">
        <x:f>IF('03_Form_Electricite'!$K14="Validé humainement",'03_Form_Electricite'!J14,"")</x:f>
      </x:c>
      <x:c r="K14" s="76" t="str">
        <x:f>IF('03_Form_Electricite'!$K14="Validé humainement",'03_Form_Electricite'!K14,"")</x:f>
      </x:c>
      <x:c r="L14" s="76" t="str">
        <x:f>IF('03_Form_Electricite'!$K14="Validé humainement",'03_Form_Electricite'!L14,"")</x:f>
      </x:c>
      <x:c r="M14" s="78" t="str">
        <x:f>IF('03_Form_Electricite'!$K14="Validé humainement",'03_Form_Electricite'!M14,"")</x:f>
      </x:c>
      <x:c r="N14" s="76" t="str">
        <x:f>IF('03_Form_Electricite'!$K14="Validé humainement",'03_Form_Electricite'!N14,"")</x:f>
      </x:c>
      <x:c r="O14" s="76" t="str">
        <x:f>IF('03_Form_Electricite'!$K14="Validé humainement",'03_Form_Electricite'!O14,"")</x:f>
      </x:c>
      <x:c r="P14" s="76" t="str">
        <x:f>IF('03_Form_Electricite'!$K14="Validé humainement",'03_Form_Electricite'!P14,"")</x:f>
      </x:c>
    </x:row>
    <x:row r="15">
      <x:c r="A15" s="76" t="str">
        <x:f>IF('03_Form_Electricite'!$K15="Validé humainement",'03_Form_Electricite'!A15,"")</x:f>
      </x:c>
      <x:c r="B15" s="76" t="str">
        <x:f>IF('03_Form_Electricite'!$K15="Validé humainement",'03_Form_Electricite'!B15,"")</x:f>
      </x:c>
      <x:c r="C15" s="76" t="str">
        <x:f>IF('03_Form_Electricite'!$K15="Validé humainement",'03_Form_Electricite'!C15,"")</x:f>
      </x:c>
      <x:c r="D15" s="76" t="str">
        <x:f>IF('03_Form_Electricite'!$K15="Validé humainement",'03_Form_Electricite'!D15,"")</x:f>
      </x:c>
      <x:c r="E15" s="76" t="str">
        <x:f>IF('03_Form_Electricite'!$K15="Validé humainement",'03_Form_Electricite'!E15,"")</x:f>
      </x:c>
      <x:c r="F15" s="81" t="str">
        <x:f>IF('03_Form_Electricite'!$K15="Validé humainement",'03_Form_Electricite'!F15,"")</x:f>
      </x:c>
      <x:c r="G15" s="82" t="str">
        <x:f>IF('03_Form_Electricite'!$K15="Validé humainement",'03_Form_Electricite'!G15,"")</x:f>
      </x:c>
      <x:c r="H15" s="77" t="str">
        <x:f>IF('03_Form_Electricite'!$K15="Validé humainement",'03_Form_Electricite'!H15,"")</x:f>
      </x:c>
      <x:c r="I15" s="76" t="str">
        <x:f>IF('03_Form_Electricite'!$K15="Validé humainement",'03_Form_Electricite'!I15,"")</x:f>
      </x:c>
      <x:c r="J15" s="76" t="str">
        <x:f>IF('03_Form_Electricite'!$K15="Validé humainement",'03_Form_Electricite'!J15,"")</x:f>
      </x:c>
      <x:c r="K15" s="76" t="str">
        <x:f>IF('03_Form_Electricite'!$K15="Validé humainement",'03_Form_Electricite'!K15,"")</x:f>
      </x:c>
      <x:c r="L15" s="76" t="str">
        <x:f>IF('03_Form_Electricite'!$K15="Validé humainement",'03_Form_Electricite'!L15,"")</x:f>
      </x:c>
      <x:c r="M15" s="78" t="str">
        <x:f>IF('03_Form_Electricite'!$K15="Validé humainement",'03_Form_Electricite'!M15,"")</x:f>
      </x:c>
      <x:c r="N15" s="76" t="str">
        <x:f>IF('03_Form_Electricite'!$K15="Validé humainement",'03_Form_Electricite'!N15,"")</x:f>
      </x:c>
      <x:c r="O15" s="76" t="str">
        <x:f>IF('03_Form_Electricite'!$K15="Validé humainement",'03_Form_Electricite'!O15,"")</x:f>
      </x:c>
      <x:c r="P15" s="76" t="str">
        <x:f>IF('03_Form_Electricite'!$K15="Validé humainement",'03_Form_Electricite'!P15,"")</x:f>
      </x:c>
    </x:row>
    <x:row r="16">
      <x:c r="A16" s="76" t="str">
        <x:f>IF('03_Form_Electricite'!$K16="Validé humainement",'03_Form_Electricite'!A16,"")</x:f>
      </x:c>
      <x:c r="B16" s="76" t="str">
        <x:f>IF('03_Form_Electricite'!$K16="Validé humainement",'03_Form_Electricite'!B16,"")</x:f>
      </x:c>
      <x:c r="C16" s="76" t="str">
        <x:f>IF('03_Form_Electricite'!$K16="Validé humainement",'03_Form_Electricite'!C16,"")</x:f>
      </x:c>
      <x:c r="D16" s="76" t="str">
        <x:f>IF('03_Form_Electricite'!$K16="Validé humainement",'03_Form_Electricite'!D16,"")</x:f>
      </x:c>
      <x:c r="E16" s="76" t="str">
        <x:f>IF('03_Form_Electricite'!$K16="Validé humainement",'03_Form_Electricite'!E16,"")</x:f>
      </x:c>
      <x:c r="F16" s="81" t="str">
        <x:f>IF('03_Form_Electricite'!$K16="Validé humainement",'03_Form_Electricite'!F16,"")</x:f>
      </x:c>
      <x:c r="G16" s="82" t="str">
        <x:f>IF('03_Form_Electricite'!$K16="Validé humainement",'03_Form_Electricite'!G16,"")</x:f>
      </x:c>
      <x:c r="H16" s="77" t="str">
        <x:f>IF('03_Form_Electricite'!$K16="Validé humainement",'03_Form_Electricite'!H16,"")</x:f>
      </x:c>
      <x:c r="I16" s="76" t="str">
        <x:f>IF('03_Form_Electricite'!$K16="Validé humainement",'03_Form_Electricite'!I16,"")</x:f>
      </x:c>
      <x:c r="J16" s="76" t="str">
        <x:f>IF('03_Form_Electricite'!$K16="Validé humainement",'03_Form_Electricite'!J16,"")</x:f>
      </x:c>
      <x:c r="K16" s="76" t="str">
        <x:f>IF('03_Form_Electricite'!$K16="Validé humainement",'03_Form_Electricite'!K16,"")</x:f>
      </x:c>
      <x:c r="L16" s="76" t="str">
        <x:f>IF('03_Form_Electricite'!$K16="Validé humainement",'03_Form_Electricite'!L16,"")</x:f>
      </x:c>
      <x:c r="M16" s="78" t="str">
        <x:f>IF('03_Form_Electricite'!$K16="Validé humainement",'03_Form_Electricite'!M16,"")</x:f>
      </x:c>
      <x:c r="N16" s="76" t="str">
        <x:f>IF('03_Form_Electricite'!$K16="Validé humainement",'03_Form_Electricite'!N16,"")</x:f>
      </x:c>
      <x:c r="O16" s="76" t="str">
        <x:f>IF('03_Form_Electricite'!$K16="Validé humainement",'03_Form_Electricite'!O16,"")</x:f>
      </x:c>
      <x:c r="P16" s="76" t="str">
        <x:f>IF('03_Form_Electricite'!$K16="Validé humainement",'03_Form_Electricite'!P16,"")</x:f>
      </x:c>
    </x:row>
    <x:row r="17">
      <x:c r="A17" s="76" t="str">
        <x:f>IF('03_Form_Electricite'!$K17="Validé humainement",'03_Form_Electricite'!A17,"")</x:f>
      </x:c>
      <x:c r="B17" s="76" t="str">
        <x:f>IF('03_Form_Electricite'!$K17="Validé humainement",'03_Form_Electricite'!B17,"")</x:f>
      </x:c>
      <x:c r="C17" s="76" t="str">
        <x:f>IF('03_Form_Electricite'!$K17="Validé humainement",'03_Form_Electricite'!C17,"")</x:f>
      </x:c>
      <x:c r="D17" s="76" t="str">
        <x:f>IF('03_Form_Electricite'!$K17="Validé humainement",'03_Form_Electricite'!D17,"")</x:f>
      </x:c>
      <x:c r="E17" s="76" t="str">
        <x:f>IF('03_Form_Electricite'!$K17="Validé humainement",'03_Form_Electricite'!E17,"")</x:f>
      </x:c>
      <x:c r="F17" s="81" t="str">
        <x:f>IF('03_Form_Electricite'!$K17="Validé humainement",'03_Form_Electricite'!F17,"")</x:f>
      </x:c>
      <x:c r="G17" s="82" t="str">
        <x:f>IF('03_Form_Electricite'!$K17="Validé humainement",'03_Form_Electricite'!G17,"")</x:f>
      </x:c>
      <x:c r="H17" s="77" t="str">
        <x:f>IF('03_Form_Electricite'!$K17="Validé humainement",'03_Form_Electricite'!H17,"")</x:f>
      </x:c>
      <x:c r="I17" s="76" t="str">
        <x:f>IF('03_Form_Electricite'!$K17="Validé humainement",'03_Form_Electricite'!I17,"")</x:f>
      </x:c>
      <x:c r="J17" s="76" t="str">
        <x:f>IF('03_Form_Electricite'!$K17="Validé humainement",'03_Form_Electricite'!J17,"")</x:f>
      </x:c>
      <x:c r="K17" s="76" t="str">
        <x:f>IF('03_Form_Electricite'!$K17="Validé humainement",'03_Form_Electricite'!K17,"")</x:f>
      </x:c>
      <x:c r="L17" s="76" t="str">
        <x:f>IF('03_Form_Electricite'!$K17="Validé humainement",'03_Form_Electricite'!L17,"")</x:f>
      </x:c>
      <x:c r="M17" s="78" t="str">
        <x:f>IF('03_Form_Electricite'!$K17="Validé humainement",'03_Form_Electricite'!M17,"")</x:f>
      </x:c>
      <x:c r="N17" s="76" t="str">
        <x:f>IF('03_Form_Electricite'!$K17="Validé humainement",'03_Form_Electricite'!N17,"")</x:f>
      </x:c>
      <x:c r="O17" s="76" t="str">
        <x:f>IF('03_Form_Electricite'!$K17="Validé humainement",'03_Form_Electricite'!O17,"")</x:f>
      </x:c>
      <x:c r="P17" s="76" t="str">
        <x:f>IF('03_Form_Electricite'!$K17="Validé humainement",'03_Form_Electricite'!P17,"")</x:f>
      </x:c>
    </x:row>
    <x:row r="18">
      <x:c r="A18" s="76" t="str">
        <x:f>IF('03_Form_Electricite'!$K18="Validé humainement",'03_Form_Electricite'!A18,"")</x:f>
      </x:c>
      <x:c r="B18" s="76" t="str">
        <x:f>IF('03_Form_Electricite'!$K18="Validé humainement",'03_Form_Electricite'!B18,"")</x:f>
      </x:c>
      <x:c r="C18" s="76" t="str">
        <x:f>IF('03_Form_Electricite'!$K18="Validé humainement",'03_Form_Electricite'!C18,"")</x:f>
      </x:c>
      <x:c r="D18" s="76" t="str">
        <x:f>IF('03_Form_Electricite'!$K18="Validé humainement",'03_Form_Electricite'!D18,"")</x:f>
      </x:c>
      <x:c r="E18" s="76" t="str">
        <x:f>IF('03_Form_Electricite'!$K18="Validé humainement",'03_Form_Electricite'!E18,"")</x:f>
      </x:c>
      <x:c r="F18" s="81" t="str">
        <x:f>IF('03_Form_Electricite'!$K18="Validé humainement",'03_Form_Electricite'!F18,"")</x:f>
      </x:c>
      <x:c r="G18" s="82" t="str">
        <x:f>IF('03_Form_Electricite'!$K18="Validé humainement",'03_Form_Electricite'!G18,"")</x:f>
      </x:c>
      <x:c r="H18" s="77" t="str">
        <x:f>IF('03_Form_Electricite'!$K18="Validé humainement",'03_Form_Electricite'!H18,"")</x:f>
      </x:c>
      <x:c r="I18" s="76" t="str">
        <x:f>IF('03_Form_Electricite'!$K18="Validé humainement",'03_Form_Electricite'!I18,"")</x:f>
      </x:c>
      <x:c r="J18" s="76" t="str">
        <x:f>IF('03_Form_Electricite'!$K18="Validé humainement",'03_Form_Electricite'!J18,"")</x:f>
      </x:c>
      <x:c r="K18" s="76" t="str">
        <x:f>IF('03_Form_Electricite'!$K18="Validé humainement",'03_Form_Electricite'!K18,"")</x:f>
      </x:c>
      <x:c r="L18" s="76" t="str">
        <x:f>IF('03_Form_Electricite'!$K18="Validé humainement",'03_Form_Electricite'!L18,"")</x:f>
      </x:c>
      <x:c r="M18" s="78" t="str">
        <x:f>IF('03_Form_Electricite'!$K18="Validé humainement",'03_Form_Electricite'!M18,"")</x:f>
      </x:c>
      <x:c r="N18" s="76" t="str">
        <x:f>IF('03_Form_Electricite'!$K18="Validé humainement",'03_Form_Electricite'!N18,"")</x:f>
      </x:c>
      <x:c r="O18" s="76" t="str">
        <x:f>IF('03_Form_Electricite'!$K18="Validé humainement",'03_Form_Electricite'!O18,"")</x:f>
      </x:c>
      <x:c r="P18" s="76" t="str">
        <x:f>IF('03_Form_Electricite'!$K18="Validé humainement",'03_Form_Electricite'!P18,"")</x:f>
      </x:c>
    </x:row>
    <x:row r="19">
      <x:c r="A19" s="76" t="str">
        <x:f>IF('03_Form_Electricite'!$K19="Validé humainement",'03_Form_Electricite'!A19,"")</x:f>
      </x:c>
      <x:c r="B19" s="76" t="str">
        <x:f>IF('03_Form_Electricite'!$K19="Validé humainement",'03_Form_Electricite'!B19,"")</x:f>
      </x:c>
      <x:c r="C19" s="76" t="str">
        <x:f>IF('03_Form_Electricite'!$K19="Validé humainement",'03_Form_Electricite'!C19,"")</x:f>
      </x:c>
      <x:c r="D19" s="76" t="str">
        <x:f>IF('03_Form_Electricite'!$K19="Validé humainement",'03_Form_Electricite'!D19,"")</x:f>
      </x:c>
      <x:c r="E19" s="76" t="str">
        <x:f>IF('03_Form_Electricite'!$K19="Validé humainement",'03_Form_Electricite'!E19,"")</x:f>
      </x:c>
      <x:c r="F19" s="81" t="str">
        <x:f>IF('03_Form_Electricite'!$K19="Validé humainement",'03_Form_Electricite'!F19,"")</x:f>
      </x:c>
      <x:c r="G19" s="82" t="str">
        <x:f>IF('03_Form_Electricite'!$K19="Validé humainement",'03_Form_Electricite'!G19,"")</x:f>
      </x:c>
      <x:c r="H19" s="77" t="str">
        <x:f>IF('03_Form_Electricite'!$K19="Validé humainement",'03_Form_Electricite'!H19,"")</x:f>
      </x:c>
      <x:c r="I19" s="76" t="str">
        <x:f>IF('03_Form_Electricite'!$K19="Validé humainement",'03_Form_Electricite'!I19,"")</x:f>
      </x:c>
      <x:c r="J19" s="76" t="str">
        <x:f>IF('03_Form_Electricite'!$K19="Validé humainement",'03_Form_Electricite'!J19,"")</x:f>
      </x:c>
      <x:c r="K19" s="76" t="str">
        <x:f>IF('03_Form_Electricite'!$K19="Validé humainement",'03_Form_Electricite'!K19,"")</x:f>
      </x:c>
      <x:c r="L19" s="76" t="str">
        <x:f>IF('03_Form_Electricite'!$K19="Validé humainement",'03_Form_Electricite'!L19,"")</x:f>
      </x:c>
      <x:c r="M19" s="78" t="str">
        <x:f>IF('03_Form_Electricite'!$K19="Validé humainement",'03_Form_Electricite'!M19,"")</x:f>
      </x:c>
      <x:c r="N19" s="76" t="str">
        <x:f>IF('03_Form_Electricite'!$K19="Validé humainement",'03_Form_Electricite'!N19,"")</x:f>
      </x:c>
      <x:c r="O19" s="76" t="str">
        <x:f>IF('03_Form_Electricite'!$K19="Validé humainement",'03_Form_Electricite'!O19,"")</x:f>
      </x:c>
      <x:c r="P19" s="76" t="str">
        <x:f>IF('03_Form_Electricite'!$K19="Validé humainement",'03_Form_Electricite'!P19,"")</x:f>
      </x:c>
    </x:row>
    <x:row r="20">
      <x:c r="A20" s="76" t="str">
        <x:f>IF('03_Form_Electricite'!$K20="Validé humainement",'03_Form_Electricite'!A20,"")</x:f>
      </x:c>
      <x:c r="B20" s="76" t="str">
        <x:f>IF('03_Form_Electricite'!$K20="Validé humainement",'03_Form_Electricite'!B20,"")</x:f>
      </x:c>
      <x:c r="C20" s="76" t="str">
        <x:f>IF('03_Form_Electricite'!$K20="Validé humainement",'03_Form_Electricite'!C20,"")</x:f>
      </x:c>
      <x:c r="D20" s="76" t="str">
        <x:f>IF('03_Form_Electricite'!$K20="Validé humainement",'03_Form_Electricite'!D20,"")</x:f>
      </x:c>
      <x:c r="E20" s="76" t="str">
        <x:f>IF('03_Form_Electricite'!$K20="Validé humainement",'03_Form_Electricite'!E20,"")</x:f>
      </x:c>
      <x:c r="F20" s="81" t="str">
        <x:f>IF('03_Form_Electricite'!$K20="Validé humainement",'03_Form_Electricite'!F20,"")</x:f>
      </x:c>
      <x:c r="G20" s="82" t="str">
        <x:f>IF('03_Form_Electricite'!$K20="Validé humainement",'03_Form_Electricite'!G20,"")</x:f>
      </x:c>
      <x:c r="H20" s="77" t="str">
        <x:f>IF('03_Form_Electricite'!$K20="Validé humainement",'03_Form_Electricite'!H20,"")</x:f>
      </x:c>
      <x:c r="I20" s="76" t="str">
        <x:f>IF('03_Form_Electricite'!$K20="Validé humainement",'03_Form_Electricite'!I20,"")</x:f>
      </x:c>
      <x:c r="J20" s="76" t="str">
        <x:f>IF('03_Form_Electricite'!$K20="Validé humainement",'03_Form_Electricite'!J20,"")</x:f>
      </x:c>
      <x:c r="K20" s="76" t="str">
        <x:f>IF('03_Form_Electricite'!$K20="Validé humainement",'03_Form_Electricite'!K20,"")</x:f>
      </x:c>
      <x:c r="L20" s="76" t="str">
        <x:f>IF('03_Form_Electricite'!$K20="Validé humainement",'03_Form_Electricite'!L20,"")</x:f>
      </x:c>
      <x:c r="M20" s="78" t="str">
        <x:f>IF('03_Form_Electricite'!$K20="Validé humainement",'03_Form_Electricite'!M20,"")</x:f>
      </x:c>
      <x:c r="N20" s="76" t="str">
        <x:f>IF('03_Form_Electricite'!$K20="Validé humainement",'03_Form_Electricite'!N20,"")</x:f>
      </x:c>
      <x:c r="O20" s="76" t="str">
        <x:f>IF('03_Form_Electricite'!$K20="Validé humainement",'03_Form_Electricite'!O20,"")</x:f>
      </x:c>
      <x:c r="P20" s="76" t="str">
        <x:f>IF('03_Form_Electricite'!$K20="Validé humainement",'03_Form_Electricite'!P20,"")</x:f>
      </x:c>
    </x:row>
    <x:row r="21">
      <x:c r="A21" s="76" t="str">
        <x:f>IF('03_Form_Electricite'!$K21="Validé humainement",'03_Form_Electricite'!A21,"")</x:f>
      </x:c>
      <x:c r="B21" s="76" t="str">
        <x:f>IF('03_Form_Electricite'!$K21="Validé humainement",'03_Form_Electricite'!B21,"")</x:f>
      </x:c>
      <x:c r="C21" s="76" t="str">
        <x:f>IF('03_Form_Electricite'!$K21="Validé humainement",'03_Form_Electricite'!C21,"")</x:f>
      </x:c>
      <x:c r="D21" s="76" t="str">
        <x:f>IF('03_Form_Electricite'!$K21="Validé humainement",'03_Form_Electricite'!D21,"")</x:f>
      </x:c>
      <x:c r="E21" s="76" t="str">
        <x:f>IF('03_Form_Electricite'!$K21="Validé humainement",'03_Form_Electricite'!E21,"")</x:f>
      </x:c>
      <x:c r="F21" s="81" t="str">
        <x:f>IF('03_Form_Electricite'!$K21="Validé humainement",'03_Form_Electricite'!F21,"")</x:f>
      </x:c>
      <x:c r="G21" s="82" t="str">
        <x:f>IF('03_Form_Electricite'!$K21="Validé humainement",'03_Form_Electricite'!G21,"")</x:f>
      </x:c>
      <x:c r="H21" s="77" t="str">
        <x:f>IF('03_Form_Electricite'!$K21="Validé humainement",'03_Form_Electricite'!H21,"")</x:f>
      </x:c>
      <x:c r="I21" s="76" t="str">
        <x:f>IF('03_Form_Electricite'!$K21="Validé humainement",'03_Form_Electricite'!I21,"")</x:f>
      </x:c>
      <x:c r="J21" s="76" t="str">
        <x:f>IF('03_Form_Electricite'!$K21="Validé humainement",'03_Form_Electricite'!J21,"")</x:f>
      </x:c>
      <x:c r="K21" s="76" t="str">
        <x:f>IF('03_Form_Electricite'!$K21="Validé humainement",'03_Form_Electricite'!K21,"")</x:f>
      </x:c>
      <x:c r="L21" s="76" t="str">
        <x:f>IF('03_Form_Electricite'!$K21="Validé humainement",'03_Form_Electricite'!L21,"")</x:f>
      </x:c>
      <x:c r="M21" s="78" t="str">
        <x:f>IF('03_Form_Electricite'!$K21="Validé humainement",'03_Form_Electricite'!M21,"")</x:f>
      </x:c>
      <x:c r="N21" s="76" t="str">
        <x:f>IF('03_Form_Electricite'!$K21="Validé humainement",'03_Form_Electricite'!N21,"")</x:f>
      </x:c>
      <x:c r="O21" s="76" t="str">
        <x:f>IF('03_Form_Electricite'!$K21="Validé humainement",'03_Form_Electricite'!O21,"")</x:f>
      </x:c>
      <x:c r="P21" s="76" t="str">
        <x:f>IF('03_Form_Electricite'!$K21="Validé humainement",'03_Form_Electricite'!P21,"")</x:f>
      </x:c>
    </x:row>
    <x:row r="22">
      <x:c r="A22" s="76" t="str">
        <x:f>IF('03_Form_Electricite'!$K22="Validé humainement",'03_Form_Electricite'!A22,"")</x:f>
      </x:c>
      <x:c r="B22" s="76" t="str">
        <x:f>IF('03_Form_Electricite'!$K22="Validé humainement",'03_Form_Electricite'!B22,"")</x:f>
      </x:c>
      <x:c r="C22" s="76" t="str">
        <x:f>IF('03_Form_Electricite'!$K22="Validé humainement",'03_Form_Electricite'!C22,"")</x:f>
      </x:c>
      <x:c r="D22" s="76" t="str">
        <x:f>IF('03_Form_Electricite'!$K22="Validé humainement",'03_Form_Electricite'!D22,"")</x:f>
      </x:c>
      <x:c r="E22" s="76" t="str">
        <x:f>IF('03_Form_Electricite'!$K22="Validé humainement",'03_Form_Electricite'!E22,"")</x:f>
      </x:c>
      <x:c r="F22" s="81" t="str">
        <x:f>IF('03_Form_Electricite'!$K22="Validé humainement",'03_Form_Electricite'!F22,"")</x:f>
      </x:c>
      <x:c r="G22" s="82" t="str">
        <x:f>IF('03_Form_Electricite'!$K22="Validé humainement",'03_Form_Electricite'!G22,"")</x:f>
      </x:c>
      <x:c r="H22" s="77" t="str">
        <x:f>IF('03_Form_Electricite'!$K22="Validé humainement",'03_Form_Electricite'!H22,"")</x:f>
      </x:c>
      <x:c r="I22" s="76" t="str">
        <x:f>IF('03_Form_Electricite'!$K22="Validé humainement",'03_Form_Electricite'!I22,"")</x:f>
      </x:c>
      <x:c r="J22" s="76" t="str">
        <x:f>IF('03_Form_Electricite'!$K22="Validé humainement",'03_Form_Electricite'!J22,"")</x:f>
      </x:c>
      <x:c r="K22" s="76" t="str">
        <x:f>IF('03_Form_Electricite'!$K22="Validé humainement",'03_Form_Electricite'!K22,"")</x:f>
      </x:c>
      <x:c r="L22" s="76" t="str">
        <x:f>IF('03_Form_Electricite'!$K22="Validé humainement",'03_Form_Electricite'!L22,"")</x:f>
      </x:c>
      <x:c r="M22" s="78" t="str">
        <x:f>IF('03_Form_Electricite'!$K22="Validé humainement",'03_Form_Electricite'!M22,"")</x:f>
      </x:c>
      <x:c r="N22" s="76" t="str">
        <x:f>IF('03_Form_Electricite'!$K22="Validé humainement",'03_Form_Electricite'!N22,"")</x:f>
      </x:c>
      <x:c r="O22" s="76" t="str">
        <x:f>IF('03_Form_Electricite'!$K22="Validé humainement",'03_Form_Electricite'!O22,"")</x:f>
      </x:c>
      <x:c r="P22" s="76" t="str">
        <x:f>IF('03_Form_Electricite'!$K22="Validé humainement",'03_Form_Electricite'!P22,"")</x:f>
      </x:c>
    </x:row>
    <x:row r="23">
      <x:c r="A23" s="76" t="str">
        <x:f>IF('03_Form_Electricite'!$K23="Validé humainement",'03_Form_Electricite'!A23,"")</x:f>
      </x:c>
      <x:c r="B23" s="76" t="str">
        <x:f>IF('03_Form_Electricite'!$K23="Validé humainement",'03_Form_Electricite'!B23,"")</x:f>
      </x:c>
      <x:c r="C23" s="76" t="str">
        <x:f>IF('03_Form_Electricite'!$K23="Validé humainement",'03_Form_Electricite'!C23,"")</x:f>
      </x:c>
      <x:c r="D23" s="76" t="str">
        <x:f>IF('03_Form_Electricite'!$K23="Validé humainement",'03_Form_Electricite'!D23,"")</x:f>
      </x:c>
      <x:c r="E23" s="76" t="str">
        <x:f>IF('03_Form_Electricite'!$K23="Validé humainement",'03_Form_Electricite'!E23,"")</x:f>
      </x:c>
      <x:c r="F23" s="81" t="str">
        <x:f>IF('03_Form_Electricite'!$K23="Validé humainement",'03_Form_Electricite'!F23,"")</x:f>
      </x:c>
      <x:c r="G23" s="82" t="str">
        <x:f>IF('03_Form_Electricite'!$K23="Validé humainement",'03_Form_Electricite'!G23,"")</x:f>
      </x:c>
      <x:c r="H23" s="77" t="str">
        <x:f>IF('03_Form_Electricite'!$K23="Validé humainement",'03_Form_Electricite'!H23,"")</x:f>
      </x:c>
      <x:c r="I23" s="76" t="str">
        <x:f>IF('03_Form_Electricite'!$K23="Validé humainement",'03_Form_Electricite'!I23,"")</x:f>
      </x:c>
      <x:c r="J23" s="76" t="str">
        <x:f>IF('03_Form_Electricite'!$K23="Validé humainement",'03_Form_Electricite'!J23,"")</x:f>
      </x:c>
      <x:c r="K23" s="76" t="str">
        <x:f>IF('03_Form_Electricite'!$K23="Validé humainement",'03_Form_Electricite'!K23,"")</x:f>
      </x:c>
      <x:c r="L23" s="76" t="str">
        <x:f>IF('03_Form_Electricite'!$K23="Validé humainement",'03_Form_Electricite'!L23,"")</x:f>
      </x:c>
      <x:c r="M23" s="78" t="str">
        <x:f>IF('03_Form_Electricite'!$K23="Validé humainement",'03_Form_Electricite'!M23,"")</x:f>
      </x:c>
      <x:c r="N23" s="76" t="str">
        <x:f>IF('03_Form_Electricite'!$K23="Validé humainement",'03_Form_Electricite'!N23,"")</x:f>
      </x:c>
      <x:c r="O23" s="76" t="str">
        <x:f>IF('03_Form_Electricite'!$K23="Validé humainement",'03_Form_Electricite'!O23,"")</x:f>
      </x:c>
      <x:c r="P23" s="76" t="str">
        <x:f>IF('03_Form_Electricite'!$K23="Validé humainement",'03_Form_Electricite'!P23,"")</x:f>
      </x:c>
    </x:row>
    <x:row r="24">
      <x:c r="A24" s="76" t="str">
        <x:f>IF('03_Form_Electricite'!$K24="Validé humainement",'03_Form_Electricite'!A24,"")</x:f>
      </x:c>
      <x:c r="B24" s="76" t="str">
        <x:f>IF('03_Form_Electricite'!$K24="Validé humainement",'03_Form_Electricite'!B24,"")</x:f>
      </x:c>
      <x:c r="C24" s="76" t="str">
        <x:f>IF('03_Form_Electricite'!$K24="Validé humainement",'03_Form_Electricite'!C24,"")</x:f>
      </x:c>
      <x:c r="D24" s="76" t="str">
        <x:f>IF('03_Form_Electricite'!$K24="Validé humainement",'03_Form_Electricite'!D24,"")</x:f>
      </x:c>
      <x:c r="E24" s="76" t="str">
        <x:f>IF('03_Form_Electricite'!$K24="Validé humainement",'03_Form_Electricite'!E24,"")</x:f>
      </x:c>
      <x:c r="F24" s="81" t="str">
        <x:f>IF('03_Form_Electricite'!$K24="Validé humainement",'03_Form_Electricite'!F24,"")</x:f>
      </x:c>
      <x:c r="G24" s="82" t="str">
        <x:f>IF('03_Form_Electricite'!$K24="Validé humainement",'03_Form_Electricite'!G24,"")</x:f>
      </x:c>
      <x:c r="H24" s="77" t="str">
        <x:f>IF('03_Form_Electricite'!$K24="Validé humainement",'03_Form_Electricite'!H24,"")</x:f>
      </x:c>
      <x:c r="I24" s="76" t="str">
        <x:f>IF('03_Form_Electricite'!$K24="Validé humainement",'03_Form_Electricite'!I24,"")</x:f>
      </x:c>
      <x:c r="J24" s="76" t="str">
        <x:f>IF('03_Form_Electricite'!$K24="Validé humainement",'03_Form_Electricite'!J24,"")</x:f>
      </x:c>
      <x:c r="K24" s="76" t="str">
        <x:f>IF('03_Form_Electricite'!$K24="Validé humainement",'03_Form_Electricite'!K24,"")</x:f>
      </x:c>
      <x:c r="L24" s="76" t="str">
        <x:f>IF('03_Form_Electricite'!$K24="Validé humainement",'03_Form_Electricite'!L24,"")</x:f>
      </x:c>
      <x:c r="M24" s="78" t="str">
        <x:f>IF('03_Form_Electricite'!$K24="Validé humainement",'03_Form_Electricite'!M24,"")</x:f>
      </x:c>
      <x:c r="N24" s="76" t="str">
        <x:f>IF('03_Form_Electricite'!$K24="Validé humainement",'03_Form_Electricite'!N24,"")</x:f>
      </x:c>
      <x:c r="O24" s="76" t="str">
        <x:f>IF('03_Form_Electricite'!$K24="Validé humainement",'03_Form_Electricite'!O24,"")</x:f>
      </x:c>
      <x:c r="P24" s="76" t="str">
        <x:f>IF('03_Form_Electricite'!$K24="Validé humainement",'03_Form_Electricite'!P24,"")</x:f>
      </x:c>
    </x:row>
    <x:row r="25">
      <x:c r="A25" s="76" t="str">
        <x:f>IF('03_Form_Electricite'!$K25="Validé humainement",'03_Form_Electricite'!A25,"")</x:f>
      </x:c>
      <x:c r="B25" s="76" t="str">
        <x:f>IF('03_Form_Electricite'!$K25="Validé humainement",'03_Form_Electricite'!B25,"")</x:f>
      </x:c>
      <x:c r="C25" s="76" t="str">
        <x:f>IF('03_Form_Electricite'!$K25="Validé humainement",'03_Form_Electricite'!C25,"")</x:f>
      </x:c>
      <x:c r="D25" s="76" t="str">
        <x:f>IF('03_Form_Electricite'!$K25="Validé humainement",'03_Form_Electricite'!D25,"")</x:f>
      </x:c>
      <x:c r="E25" s="76" t="str">
        <x:f>IF('03_Form_Electricite'!$K25="Validé humainement",'03_Form_Electricite'!E25,"")</x:f>
      </x:c>
      <x:c r="F25" s="81" t="str">
        <x:f>IF('03_Form_Electricite'!$K25="Validé humainement",'03_Form_Electricite'!F25,"")</x:f>
      </x:c>
      <x:c r="G25" s="82" t="str">
        <x:f>IF('03_Form_Electricite'!$K25="Validé humainement",'03_Form_Electricite'!G25,"")</x:f>
      </x:c>
      <x:c r="H25" s="77" t="str">
        <x:f>IF('03_Form_Electricite'!$K25="Validé humainement",'03_Form_Electricite'!H25,"")</x:f>
      </x:c>
      <x:c r="I25" s="76" t="str">
        <x:f>IF('03_Form_Electricite'!$K25="Validé humainement",'03_Form_Electricite'!I25,"")</x:f>
      </x:c>
      <x:c r="J25" s="76" t="str">
        <x:f>IF('03_Form_Electricite'!$K25="Validé humainement",'03_Form_Electricite'!J25,"")</x:f>
      </x:c>
      <x:c r="K25" s="76" t="str">
        <x:f>IF('03_Form_Electricite'!$K25="Validé humainement",'03_Form_Electricite'!K25,"")</x:f>
      </x:c>
      <x:c r="L25" s="76" t="str">
        <x:f>IF('03_Form_Electricite'!$K25="Validé humainement",'03_Form_Electricite'!L25,"")</x:f>
      </x:c>
      <x:c r="M25" s="78" t="str">
        <x:f>IF('03_Form_Electricite'!$K25="Validé humainement",'03_Form_Electricite'!M25,"")</x:f>
      </x:c>
      <x:c r="N25" s="76" t="str">
        <x:f>IF('03_Form_Electricite'!$K25="Validé humainement",'03_Form_Electricite'!N25,"")</x:f>
      </x:c>
      <x:c r="O25" s="76" t="str">
        <x:f>IF('03_Form_Electricite'!$K25="Validé humainement",'03_Form_Electricite'!O25,"")</x:f>
      </x:c>
      <x:c r="P25" s="76" t="str">
        <x:f>IF('03_Form_Electricite'!$K25="Validé humainement",'03_Form_Electricite'!P25,"")</x:f>
      </x:c>
    </x:row>
    <x:row r="26">
      <x:c r="A26" s="76" t="str">
        <x:f>IF('03_Form_Electricite'!$K26="Validé humainement",'03_Form_Electricite'!A26,"")</x:f>
      </x:c>
      <x:c r="B26" s="76" t="str">
        <x:f>IF('03_Form_Electricite'!$K26="Validé humainement",'03_Form_Electricite'!B26,"")</x:f>
      </x:c>
      <x:c r="C26" s="76" t="str">
        <x:f>IF('03_Form_Electricite'!$K26="Validé humainement",'03_Form_Electricite'!C26,"")</x:f>
      </x:c>
      <x:c r="D26" s="76" t="str">
        <x:f>IF('03_Form_Electricite'!$K26="Validé humainement",'03_Form_Electricite'!D26,"")</x:f>
      </x:c>
      <x:c r="E26" s="76" t="str">
        <x:f>IF('03_Form_Electricite'!$K26="Validé humainement",'03_Form_Electricite'!E26,"")</x:f>
      </x:c>
      <x:c r="F26" s="81" t="str">
        <x:f>IF('03_Form_Electricite'!$K26="Validé humainement",'03_Form_Electricite'!F26,"")</x:f>
      </x:c>
      <x:c r="G26" s="82" t="str">
        <x:f>IF('03_Form_Electricite'!$K26="Validé humainement",'03_Form_Electricite'!G26,"")</x:f>
      </x:c>
      <x:c r="H26" s="77" t="str">
        <x:f>IF('03_Form_Electricite'!$K26="Validé humainement",'03_Form_Electricite'!H26,"")</x:f>
      </x:c>
      <x:c r="I26" s="76" t="str">
        <x:f>IF('03_Form_Electricite'!$K26="Validé humainement",'03_Form_Electricite'!I26,"")</x:f>
      </x:c>
      <x:c r="J26" s="76" t="str">
        <x:f>IF('03_Form_Electricite'!$K26="Validé humainement",'03_Form_Electricite'!J26,"")</x:f>
      </x:c>
      <x:c r="K26" s="76" t="str">
        <x:f>IF('03_Form_Electricite'!$K26="Validé humainement",'03_Form_Electricite'!K26,"")</x:f>
      </x:c>
      <x:c r="L26" s="76" t="str">
        <x:f>IF('03_Form_Electricite'!$K26="Validé humainement",'03_Form_Electricite'!L26,"")</x:f>
      </x:c>
      <x:c r="M26" s="78" t="str">
        <x:f>IF('03_Form_Electricite'!$K26="Validé humainement",'03_Form_Electricite'!M26,"")</x:f>
      </x:c>
      <x:c r="N26" s="76" t="str">
        <x:f>IF('03_Form_Electricite'!$K26="Validé humainement",'03_Form_Electricite'!N26,"")</x:f>
      </x:c>
      <x:c r="O26" s="76" t="str">
        <x:f>IF('03_Form_Electricite'!$K26="Validé humainement",'03_Form_Electricite'!O26,"")</x:f>
      </x:c>
      <x:c r="P26" s="76" t="str">
        <x:f>IF('03_Form_Electricite'!$K26="Validé humainement",'03_Form_Electricite'!P26,"")</x:f>
      </x:c>
    </x:row>
    <x:row r="27">
      <x:c r="A27" s="76" t="str">
        <x:f>IF('03_Form_Electricite'!$K27="Validé humainement",'03_Form_Electricite'!A27,"")</x:f>
      </x:c>
      <x:c r="B27" s="76" t="str">
        <x:f>IF('03_Form_Electricite'!$K27="Validé humainement",'03_Form_Electricite'!B27,"")</x:f>
      </x:c>
      <x:c r="C27" s="76" t="str">
        <x:f>IF('03_Form_Electricite'!$K27="Validé humainement",'03_Form_Electricite'!C27,"")</x:f>
      </x:c>
      <x:c r="D27" s="76" t="str">
        <x:f>IF('03_Form_Electricite'!$K27="Validé humainement",'03_Form_Electricite'!D27,"")</x:f>
      </x:c>
      <x:c r="E27" s="76" t="str">
        <x:f>IF('03_Form_Electricite'!$K27="Validé humainement",'03_Form_Electricite'!E27,"")</x:f>
      </x:c>
      <x:c r="F27" s="81" t="str">
        <x:f>IF('03_Form_Electricite'!$K27="Validé humainement",'03_Form_Electricite'!F27,"")</x:f>
      </x:c>
      <x:c r="G27" s="82" t="str">
        <x:f>IF('03_Form_Electricite'!$K27="Validé humainement",'03_Form_Electricite'!G27,"")</x:f>
      </x:c>
      <x:c r="H27" s="77" t="str">
        <x:f>IF('03_Form_Electricite'!$K27="Validé humainement",'03_Form_Electricite'!H27,"")</x:f>
      </x:c>
      <x:c r="I27" s="76" t="str">
        <x:f>IF('03_Form_Electricite'!$K27="Validé humainement",'03_Form_Electricite'!I27,"")</x:f>
      </x:c>
      <x:c r="J27" s="76" t="str">
        <x:f>IF('03_Form_Electricite'!$K27="Validé humainement",'03_Form_Electricite'!J27,"")</x:f>
      </x:c>
      <x:c r="K27" s="76" t="str">
        <x:f>IF('03_Form_Electricite'!$K27="Validé humainement",'03_Form_Electricite'!K27,"")</x:f>
      </x:c>
      <x:c r="L27" s="76" t="str">
        <x:f>IF('03_Form_Electricite'!$K27="Validé humainement",'03_Form_Electricite'!L27,"")</x:f>
      </x:c>
      <x:c r="M27" s="78" t="str">
        <x:f>IF('03_Form_Electricite'!$K27="Validé humainement",'03_Form_Electricite'!M27,"")</x:f>
      </x:c>
      <x:c r="N27" s="76" t="str">
        <x:f>IF('03_Form_Electricite'!$K27="Validé humainement",'03_Form_Electricite'!N27,"")</x:f>
      </x:c>
      <x:c r="O27" s="76" t="str">
        <x:f>IF('03_Form_Electricite'!$K27="Validé humainement",'03_Form_Electricite'!O27,"")</x:f>
      </x:c>
      <x:c r="P27" s="76" t="str">
        <x:f>IF('03_Form_Electricite'!$K27="Validé humainement",'03_Form_Electricite'!P27,"")</x:f>
      </x:c>
    </x:row>
    <x:row r="28">
      <x:c r="A28" s="76" t="str">
        <x:f>IF('03_Form_Electricite'!$K28="Validé humainement",'03_Form_Electricite'!A28,"")</x:f>
      </x:c>
      <x:c r="B28" s="76" t="str">
        <x:f>IF('03_Form_Electricite'!$K28="Validé humainement",'03_Form_Electricite'!B28,"")</x:f>
      </x:c>
      <x:c r="C28" s="76" t="str">
        <x:f>IF('03_Form_Electricite'!$K28="Validé humainement",'03_Form_Electricite'!C28,"")</x:f>
      </x:c>
      <x:c r="D28" s="76" t="str">
        <x:f>IF('03_Form_Electricite'!$K28="Validé humainement",'03_Form_Electricite'!D28,"")</x:f>
      </x:c>
      <x:c r="E28" s="76" t="str">
        <x:f>IF('03_Form_Electricite'!$K28="Validé humainement",'03_Form_Electricite'!E28,"")</x:f>
      </x:c>
      <x:c r="F28" s="81" t="str">
        <x:f>IF('03_Form_Electricite'!$K28="Validé humainement",'03_Form_Electricite'!F28,"")</x:f>
      </x:c>
      <x:c r="G28" s="82" t="str">
        <x:f>IF('03_Form_Electricite'!$K28="Validé humainement",'03_Form_Electricite'!G28,"")</x:f>
      </x:c>
      <x:c r="H28" s="77" t="str">
        <x:f>IF('03_Form_Electricite'!$K28="Validé humainement",'03_Form_Electricite'!H28,"")</x:f>
      </x:c>
      <x:c r="I28" s="76" t="str">
        <x:f>IF('03_Form_Electricite'!$K28="Validé humainement",'03_Form_Electricite'!I28,"")</x:f>
      </x:c>
      <x:c r="J28" s="76" t="str">
        <x:f>IF('03_Form_Electricite'!$K28="Validé humainement",'03_Form_Electricite'!J28,"")</x:f>
      </x:c>
      <x:c r="K28" s="76" t="str">
        <x:f>IF('03_Form_Electricite'!$K28="Validé humainement",'03_Form_Electricite'!K28,"")</x:f>
      </x:c>
      <x:c r="L28" s="76" t="str">
        <x:f>IF('03_Form_Electricite'!$K28="Validé humainement",'03_Form_Electricite'!L28,"")</x:f>
      </x:c>
      <x:c r="M28" s="78" t="str">
        <x:f>IF('03_Form_Electricite'!$K28="Validé humainement",'03_Form_Electricite'!M28,"")</x:f>
      </x:c>
      <x:c r="N28" s="76" t="str">
        <x:f>IF('03_Form_Electricite'!$K28="Validé humainement",'03_Form_Electricite'!N28,"")</x:f>
      </x:c>
      <x:c r="O28" s="76" t="str">
        <x:f>IF('03_Form_Electricite'!$K28="Validé humainement",'03_Form_Electricite'!O28,"")</x:f>
      </x:c>
      <x:c r="P28" s="76" t="str">
        <x:f>IF('03_Form_Electricite'!$K28="Validé humainement",'03_Form_Electricite'!P28,"")</x:f>
      </x:c>
    </x:row>
    <x:row r="29">
      <x:c r="A29" s="76" t="str">
        <x:f>IF('03_Form_Electricite'!$K29="Validé humainement",'03_Form_Electricite'!A29,"")</x:f>
      </x:c>
      <x:c r="B29" s="76" t="str">
        <x:f>IF('03_Form_Electricite'!$K29="Validé humainement",'03_Form_Electricite'!B29,"")</x:f>
      </x:c>
      <x:c r="C29" s="76" t="str">
        <x:f>IF('03_Form_Electricite'!$K29="Validé humainement",'03_Form_Electricite'!C29,"")</x:f>
      </x:c>
      <x:c r="D29" s="76" t="str">
        <x:f>IF('03_Form_Electricite'!$K29="Validé humainement",'03_Form_Electricite'!D29,"")</x:f>
      </x:c>
      <x:c r="E29" s="76" t="str">
        <x:f>IF('03_Form_Electricite'!$K29="Validé humainement",'03_Form_Electricite'!E29,"")</x:f>
      </x:c>
      <x:c r="F29" s="81" t="str">
        <x:f>IF('03_Form_Electricite'!$K29="Validé humainement",'03_Form_Electricite'!F29,"")</x:f>
      </x:c>
      <x:c r="G29" s="82" t="str">
        <x:f>IF('03_Form_Electricite'!$K29="Validé humainement",'03_Form_Electricite'!G29,"")</x:f>
      </x:c>
      <x:c r="H29" s="77" t="str">
        <x:f>IF('03_Form_Electricite'!$K29="Validé humainement",'03_Form_Electricite'!H29,"")</x:f>
      </x:c>
      <x:c r="I29" s="76" t="str">
        <x:f>IF('03_Form_Electricite'!$K29="Validé humainement",'03_Form_Electricite'!I29,"")</x:f>
      </x:c>
      <x:c r="J29" s="76" t="str">
        <x:f>IF('03_Form_Electricite'!$K29="Validé humainement",'03_Form_Electricite'!J29,"")</x:f>
      </x:c>
      <x:c r="K29" s="76" t="str">
        <x:f>IF('03_Form_Electricite'!$K29="Validé humainement",'03_Form_Electricite'!K29,"")</x:f>
      </x:c>
      <x:c r="L29" s="76" t="str">
        <x:f>IF('03_Form_Electricite'!$K29="Validé humainement",'03_Form_Electricite'!L29,"")</x:f>
      </x:c>
      <x:c r="M29" s="78" t="str">
        <x:f>IF('03_Form_Electricite'!$K29="Validé humainement",'03_Form_Electricite'!M29,"")</x:f>
      </x:c>
      <x:c r="N29" s="76" t="str">
        <x:f>IF('03_Form_Electricite'!$K29="Validé humainement",'03_Form_Electricite'!N29,"")</x:f>
      </x:c>
      <x:c r="O29" s="76" t="str">
        <x:f>IF('03_Form_Electricite'!$K29="Validé humainement",'03_Form_Electricite'!O29,"")</x:f>
      </x:c>
      <x:c r="P29" s="76" t="str">
        <x:f>IF('03_Form_Electricite'!$K29="Validé humainement",'03_Form_Electricite'!P29,"")</x:f>
      </x:c>
    </x:row>
    <x:row r="30">
      <x:c r="A30" s="76" t="str">
        <x:f>IF('03_Form_Electricite'!$K30="Validé humainement",'03_Form_Electricite'!A30,"")</x:f>
      </x:c>
      <x:c r="B30" s="76" t="str">
        <x:f>IF('03_Form_Electricite'!$K30="Validé humainement",'03_Form_Electricite'!B30,"")</x:f>
      </x:c>
      <x:c r="C30" s="76" t="str">
        <x:f>IF('03_Form_Electricite'!$K30="Validé humainement",'03_Form_Electricite'!C30,"")</x:f>
      </x:c>
      <x:c r="D30" s="76" t="str">
        <x:f>IF('03_Form_Electricite'!$K30="Validé humainement",'03_Form_Electricite'!D30,"")</x:f>
      </x:c>
      <x:c r="E30" s="76" t="str">
        <x:f>IF('03_Form_Electricite'!$K30="Validé humainement",'03_Form_Electricite'!E30,"")</x:f>
      </x:c>
      <x:c r="F30" s="81" t="str">
        <x:f>IF('03_Form_Electricite'!$K30="Validé humainement",'03_Form_Electricite'!F30,"")</x:f>
      </x:c>
      <x:c r="G30" s="82" t="str">
        <x:f>IF('03_Form_Electricite'!$K30="Validé humainement",'03_Form_Electricite'!G30,"")</x:f>
      </x:c>
      <x:c r="H30" s="77" t="str">
        <x:f>IF('03_Form_Electricite'!$K30="Validé humainement",'03_Form_Electricite'!H30,"")</x:f>
      </x:c>
      <x:c r="I30" s="76" t="str">
        <x:f>IF('03_Form_Electricite'!$K30="Validé humainement",'03_Form_Electricite'!I30,"")</x:f>
      </x:c>
      <x:c r="J30" s="76" t="str">
        <x:f>IF('03_Form_Electricite'!$K30="Validé humainement",'03_Form_Electricite'!J30,"")</x:f>
      </x:c>
      <x:c r="K30" s="76" t="str">
        <x:f>IF('03_Form_Electricite'!$K30="Validé humainement",'03_Form_Electricite'!K30,"")</x:f>
      </x:c>
      <x:c r="L30" s="76" t="str">
        <x:f>IF('03_Form_Electricite'!$K30="Validé humainement",'03_Form_Electricite'!L30,"")</x:f>
      </x:c>
      <x:c r="M30" s="78" t="str">
        <x:f>IF('03_Form_Electricite'!$K30="Validé humainement",'03_Form_Electricite'!M30,"")</x:f>
      </x:c>
      <x:c r="N30" s="76" t="str">
        <x:f>IF('03_Form_Electricite'!$K30="Validé humainement",'03_Form_Electricite'!N30,"")</x:f>
      </x:c>
      <x:c r="O30" s="76" t="str">
        <x:f>IF('03_Form_Electricite'!$K30="Validé humainement",'03_Form_Electricite'!O30,"")</x:f>
      </x:c>
      <x:c r="P30" s="76" t="str">
        <x:f>IF('03_Form_Electricite'!$K30="Validé humainement",'03_Form_Electricite'!P30,"")</x:f>
      </x:c>
    </x:row>
    <x:row r="31">
      <x:c r="A31" s="76" t="str">
        <x:f>IF('03_Form_Electricite'!$K31="Validé humainement",'03_Form_Electricite'!A31,"")</x:f>
      </x:c>
      <x:c r="B31" s="76" t="str">
        <x:f>IF('03_Form_Electricite'!$K31="Validé humainement",'03_Form_Electricite'!B31,"")</x:f>
      </x:c>
      <x:c r="C31" s="76" t="str">
        <x:f>IF('03_Form_Electricite'!$K31="Validé humainement",'03_Form_Electricite'!C31,"")</x:f>
      </x:c>
      <x:c r="D31" s="76" t="str">
        <x:f>IF('03_Form_Electricite'!$K31="Validé humainement",'03_Form_Electricite'!D31,"")</x:f>
      </x:c>
      <x:c r="E31" s="76" t="str">
        <x:f>IF('03_Form_Electricite'!$K31="Validé humainement",'03_Form_Electricite'!E31,"")</x:f>
      </x:c>
      <x:c r="F31" s="81" t="str">
        <x:f>IF('03_Form_Electricite'!$K31="Validé humainement",'03_Form_Electricite'!F31,"")</x:f>
      </x:c>
      <x:c r="G31" s="82" t="str">
        <x:f>IF('03_Form_Electricite'!$K31="Validé humainement",'03_Form_Electricite'!G31,"")</x:f>
      </x:c>
      <x:c r="H31" s="77" t="str">
        <x:f>IF('03_Form_Electricite'!$K31="Validé humainement",'03_Form_Electricite'!H31,"")</x:f>
      </x:c>
      <x:c r="I31" s="76" t="str">
        <x:f>IF('03_Form_Electricite'!$K31="Validé humainement",'03_Form_Electricite'!I31,"")</x:f>
      </x:c>
      <x:c r="J31" s="76" t="str">
        <x:f>IF('03_Form_Electricite'!$K31="Validé humainement",'03_Form_Electricite'!J31,"")</x:f>
      </x:c>
      <x:c r="K31" s="76" t="str">
        <x:f>IF('03_Form_Electricite'!$K31="Validé humainement",'03_Form_Electricite'!K31,"")</x:f>
      </x:c>
      <x:c r="L31" s="76" t="str">
        <x:f>IF('03_Form_Electricite'!$K31="Validé humainement",'03_Form_Electricite'!L31,"")</x:f>
      </x:c>
      <x:c r="M31" s="78" t="str">
        <x:f>IF('03_Form_Electricite'!$K31="Validé humainement",'03_Form_Electricite'!M31,"")</x:f>
      </x:c>
      <x:c r="N31" s="76" t="str">
        <x:f>IF('03_Form_Electricite'!$K31="Validé humainement",'03_Form_Electricite'!N31,"")</x:f>
      </x:c>
      <x:c r="O31" s="76" t="str">
        <x:f>IF('03_Form_Electricite'!$K31="Validé humainement",'03_Form_Electricite'!O31,"")</x:f>
      </x:c>
      <x:c r="P31" s="76" t="str">
        <x:f>IF('03_Form_Electricite'!$K31="Validé humainement",'03_Form_Electricite'!P31,"")</x:f>
      </x:c>
    </x:row>
    <x:row r="32">
      <x:c r="A32" s="76" t="str">
        <x:f>IF('03_Form_Electricite'!$K32="Validé humainement",'03_Form_Electricite'!A32,"")</x:f>
      </x:c>
      <x:c r="B32" s="76" t="str">
        <x:f>IF('03_Form_Electricite'!$K32="Validé humainement",'03_Form_Electricite'!B32,"")</x:f>
      </x:c>
      <x:c r="C32" s="76" t="str">
        <x:f>IF('03_Form_Electricite'!$K32="Validé humainement",'03_Form_Electricite'!C32,"")</x:f>
      </x:c>
      <x:c r="D32" s="76" t="str">
        <x:f>IF('03_Form_Electricite'!$K32="Validé humainement",'03_Form_Electricite'!D32,"")</x:f>
      </x:c>
      <x:c r="E32" s="76" t="str">
        <x:f>IF('03_Form_Electricite'!$K32="Validé humainement",'03_Form_Electricite'!E32,"")</x:f>
      </x:c>
      <x:c r="F32" s="81" t="str">
        <x:f>IF('03_Form_Electricite'!$K32="Validé humainement",'03_Form_Electricite'!F32,"")</x:f>
      </x:c>
      <x:c r="G32" s="82" t="str">
        <x:f>IF('03_Form_Electricite'!$K32="Validé humainement",'03_Form_Electricite'!G32,"")</x:f>
      </x:c>
      <x:c r="H32" s="77" t="str">
        <x:f>IF('03_Form_Electricite'!$K32="Validé humainement",'03_Form_Electricite'!H32,"")</x:f>
      </x:c>
      <x:c r="I32" s="76" t="str">
        <x:f>IF('03_Form_Electricite'!$K32="Validé humainement",'03_Form_Electricite'!I32,"")</x:f>
      </x:c>
      <x:c r="J32" s="76" t="str">
        <x:f>IF('03_Form_Electricite'!$K32="Validé humainement",'03_Form_Electricite'!J32,"")</x:f>
      </x:c>
      <x:c r="K32" s="76" t="str">
        <x:f>IF('03_Form_Electricite'!$K32="Validé humainement",'03_Form_Electricite'!K32,"")</x:f>
      </x:c>
      <x:c r="L32" s="76" t="str">
        <x:f>IF('03_Form_Electricite'!$K32="Validé humainement",'03_Form_Electricite'!L32,"")</x:f>
      </x:c>
      <x:c r="M32" s="78" t="str">
        <x:f>IF('03_Form_Electricite'!$K32="Validé humainement",'03_Form_Electricite'!M32,"")</x:f>
      </x:c>
      <x:c r="N32" s="76" t="str">
        <x:f>IF('03_Form_Electricite'!$K32="Validé humainement",'03_Form_Electricite'!N32,"")</x:f>
      </x:c>
      <x:c r="O32" s="76" t="str">
        <x:f>IF('03_Form_Electricite'!$K32="Validé humainement",'03_Form_Electricite'!O32,"")</x:f>
      </x:c>
      <x:c r="P32" s="76" t="str">
        <x:f>IF('03_Form_Electricite'!$K32="Validé humainement",'03_Form_Electricite'!P32,"")</x:f>
      </x:c>
    </x:row>
    <x:row r="33">
      <x:c r="A33" s="76" t="str">
        <x:f>IF('03_Form_Electricite'!$K33="Validé humainement",'03_Form_Electricite'!A33,"")</x:f>
      </x:c>
      <x:c r="B33" s="76" t="str">
        <x:f>IF('03_Form_Electricite'!$K33="Validé humainement",'03_Form_Electricite'!B33,"")</x:f>
      </x:c>
      <x:c r="C33" s="76" t="str">
        <x:f>IF('03_Form_Electricite'!$K33="Validé humainement",'03_Form_Electricite'!C33,"")</x:f>
      </x:c>
      <x:c r="D33" s="76" t="str">
        <x:f>IF('03_Form_Electricite'!$K33="Validé humainement",'03_Form_Electricite'!D33,"")</x:f>
      </x:c>
      <x:c r="E33" s="76" t="str">
        <x:f>IF('03_Form_Electricite'!$K33="Validé humainement",'03_Form_Electricite'!E33,"")</x:f>
      </x:c>
      <x:c r="F33" s="81" t="str">
        <x:f>IF('03_Form_Electricite'!$K33="Validé humainement",'03_Form_Electricite'!F33,"")</x:f>
      </x:c>
      <x:c r="G33" s="82" t="str">
        <x:f>IF('03_Form_Electricite'!$K33="Validé humainement",'03_Form_Electricite'!G33,"")</x:f>
      </x:c>
      <x:c r="H33" s="77" t="str">
        <x:f>IF('03_Form_Electricite'!$K33="Validé humainement",'03_Form_Electricite'!H33,"")</x:f>
      </x:c>
      <x:c r="I33" s="76" t="str">
        <x:f>IF('03_Form_Electricite'!$K33="Validé humainement",'03_Form_Electricite'!I33,"")</x:f>
      </x:c>
      <x:c r="J33" s="76" t="str">
        <x:f>IF('03_Form_Electricite'!$K33="Validé humainement",'03_Form_Electricite'!J33,"")</x:f>
      </x:c>
      <x:c r="K33" s="76" t="str">
        <x:f>IF('03_Form_Electricite'!$K33="Validé humainement",'03_Form_Electricite'!K33,"")</x:f>
      </x:c>
      <x:c r="L33" s="76" t="str">
        <x:f>IF('03_Form_Electricite'!$K33="Validé humainement",'03_Form_Electricite'!L33,"")</x:f>
      </x:c>
      <x:c r="M33" s="78" t="str">
        <x:f>IF('03_Form_Electricite'!$K33="Validé humainement",'03_Form_Electricite'!M33,"")</x:f>
      </x:c>
      <x:c r="N33" s="76" t="str">
        <x:f>IF('03_Form_Electricite'!$K33="Validé humainement",'03_Form_Electricite'!N33,"")</x:f>
      </x:c>
      <x:c r="O33" s="76" t="str">
        <x:f>IF('03_Form_Electricite'!$K33="Validé humainement",'03_Form_Electricite'!O33,"")</x:f>
      </x:c>
      <x:c r="P33" s="76" t="str">
        <x:f>IF('03_Form_Electricite'!$K33="Validé humainement",'03_Form_Electricite'!P33,"")</x:f>
      </x:c>
    </x:row>
    <x:row r="34">
      <x:c r="A34" s="76" t="str">
        <x:f>IF('03_Form_Electricite'!$K34="Validé humainement",'03_Form_Electricite'!A34,"")</x:f>
      </x:c>
      <x:c r="B34" s="76" t="str">
        <x:f>IF('03_Form_Electricite'!$K34="Validé humainement",'03_Form_Electricite'!B34,"")</x:f>
      </x:c>
      <x:c r="C34" s="76" t="str">
        <x:f>IF('03_Form_Electricite'!$K34="Validé humainement",'03_Form_Electricite'!C34,"")</x:f>
      </x:c>
      <x:c r="D34" s="76" t="str">
        <x:f>IF('03_Form_Electricite'!$K34="Validé humainement",'03_Form_Electricite'!D34,"")</x:f>
      </x:c>
      <x:c r="E34" s="76" t="str">
        <x:f>IF('03_Form_Electricite'!$K34="Validé humainement",'03_Form_Electricite'!E34,"")</x:f>
      </x:c>
      <x:c r="F34" s="81" t="str">
        <x:f>IF('03_Form_Electricite'!$K34="Validé humainement",'03_Form_Electricite'!F34,"")</x:f>
      </x:c>
      <x:c r="G34" s="82" t="str">
        <x:f>IF('03_Form_Electricite'!$K34="Validé humainement",'03_Form_Electricite'!G34,"")</x:f>
      </x:c>
      <x:c r="H34" s="77" t="str">
        <x:f>IF('03_Form_Electricite'!$K34="Validé humainement",'03_Form_Electricite'!H34,"")</x:f>
      </x:c>
      <x:c r="I34" s="76" t="str">
        <x:f>IF('03_Form_Electricite'!$K34="Validé humainement",'03_Form_Electricite'!I34,"")</x:f>
      </x:c>
      <x:c r="J34" s="76" t="str">
        <x:f>IF('03_Form_Electricite'!$K34="Validé humainement",'03_Form_Electricite'!J34,"")</x:f>
      </x:c>
      <x:c r="K34" s="76" t="str">
        <x:f>IF('03_Form_Electricite'!$K34="Validé humainement",'03_Form_Electricite'!K34,"")</x:f>
      </x:c>
      <x:c r="L34" s="76" t="str">
        <x:f>IF('03_Form_Electricite'!$K34="Validé humainement",'03_Form_Electricite'!L34,"")</x:f>
      </x:c>
      <x:c r="M34" s="78" t="str">
        <x:f>IF('03_Form_Electricite'!$K34="Validé humainement",'03_Form_Electricite'!M34,"")</x:f>
      </x:c>
      <x:c r="N34" s="76" t="str">
        <x:f>IF('03_Form_Electricite'!$K34="Validé humainement",'03_Form_Electricite'!N34,"")</x:f>
      </x:c>
      <x:c r="O34" s="76" t="str">
        <x:f>IF('03_Form_Electricite'!$K34="Validé humainement",'03_Form_Electricite'!O34,"")</x:f>
      </x:c>
      <x:c r="P34" s="76" t="str">
        <x:f>IF('03_Form_Electricite'!$K34="Validé humainement",'03_Form_Electricite'!P34,"")</x:f>
      </x:c>
    </x:row>
    <x:row r="35">
      <x:c r="A35" s="76" t="str">
        <x:f>IF('03_Form_Electricite'!$K35="Validé humainement",'03_Form_Electricite'!A35,"")</x:f>
      </x:c>
      <x:c r="B35" s="76" t="str">
        <x:f>IF('03_Form_Electricite'!$K35="Validé humainement",'03_Form_Electricite'!B35,"")</x:f>
      </x:c>
      <x:c r="C35" s="76" t="str">
        <x:f>IF('03_Form_Electricite'!$K35="Validé humainement",'03_Form_Electricite'!C35,"")</x:f>
      </x:c>
      <x:c r="D35" s="76" t="str">
        <x:f>IF('03_Form_Electricite'!$K35="Validé humainement",'03_Form_Electricite'!D35,"")</x:f>
      </x:c>
      <x:c r="E35" s="76" t="str">
        <x:f>IF('03_Form_Electricite'!$K35="Validé humainement",'03_Form_Electricite'!E35,"")</x:f>
      </x:c>
      <x:c r="F35" s="81" t="str">
        <x:f>IF('03_Form_Electricite'!$K35="Validé humainement",'03_Form_Electricite'!F35,"")</x:f>
      </x:c>
      <x:c r="G35" s="82" t="str">
        <x:f>IF('03_Form_Electricite'!$K35="Validé humainement",'03_Form_Electricite'!G35,"")</x:f>
      </x:c>
      <x:c r="H35" s="77" t="str">
        <x:f>IF('03_Form_Electricite'!$K35="Validé humainement",'03_Form_Electricite'!H35,"")</x:f>
      </x:c>
      <x:c r="I35" s="76" t="str">
        <x:f>IF('03_Form_Electricite'!$K35="Validé humainement",'03_Form_Electricite'!I35,"")</x:f>
      </x:c>
      <x:c r="J35" s="76" t="str">
        <x:f>IF('03_Form_Electricite'!$K35="Validé humainement",'03_Form_Electricite'!J35,"")</x:f>
      </x:c>
      <x:c r="K35" s="76" t="str">
        <x:f>IF('03_Form_Electricite'!$K35="Validé humainement",'03_Form_Electricite'!K35,"")</x:f>
      </x:c>
      <x:c r="L35" s="76" t="str">
        <x:f>IF('03_Form_Electricite'!$K35="Validé humainement",'03_Form_Electricite'!L35,"")</x:f>
      </x:c>
      <x:c r="M35" s="78" t="str">
        <x:f>IF('03_Form_Electricite'!$K35="Validé humainement",'03_Form_Electricite'!M35,"")</x:f>
      </x:c>
      <x:c r="N35" s="76" t="str">
        <x:f>IF('03_Form_Electricite'!$K35="Validé humainement",'03_Form_Electricite'!N35,"")</x:f>
      </x:c>
      <x:c r="O35" s="76" t="str">
        <x:f>IF('03_Form_Electricite'!$K35="Validé humainement",'03_Form_Electricite'!O35,"")</x:f>
      </x:c>
      <x:c r="P35" s="76" t="str">
        <x:f>IF('03_Form_Electricite'!$K35="Validé humainement",'03_Form_Electricite'!P35,"")</x:f>
      </x:c>
    </x:row>
    <x:row r="36">
      <x:c r="A36" s="76" t="str">
        <x:f>IF('03_Form_Electricite'!$K36="Validé humainement",'03_Form_Electricite'!A36,"")</x:f>
      </x:c>
      <x:c r="B36" s="76" t="str">
        <x:f>IF('03_Form_Electricite'!$K36="Validé humainement",'03_Form_Electricite'!B36,"")</x:f>
      </x:c>
      <x:c r="C36" s="76" t="str">
        <x:f>IF('03_Form_Electricite'!$K36="Validé humainement",'03_Form_Electricite'!C36,"")</x:f>
      </x:c>
      <x:c r="D36" s="76" t="str">
        <x:f>IF('03_Form_Electricite'!$K36="Validé humainement",'03_Form_Electricite'!D36,"")</x:f>
      </x:c>
      <x:c r="E36" s="76" t="str">
        <x:f>IF('03_Form_Electricite'!$K36="Validé humainement",'03_Form_Electricite'!E36,"")</x:f>
      </x:c>
      <x:c r="F36" s="81" t="str">
        <x:f>IF('03_Form_Electricite'!$K36="Validé humainement",'03_Form_Electricite'!F36,"")</x:f>
      </x:c>
      <x:c r="G36" s="82" t="str">
        <x:f>IF('03_Form_Electricite'!$K36="Validé humainement",'03_Form_Electricite'!G36,"")</x:f>
      </x:c>
      <x:c r="H36" s="77" t="str">
        <x:f>IF('03_Form_Electricite'!$K36="Validé humainement",'03_Form_Electricite'!H36,"")</x:f>
      </x:c>
      <x:c r="I36" s="76" t="str">
        <x:f>IF('03_Form_Electricite'!$K36="Validé humainement",'03_Form_Electricite'!I36,"")</x:f>
      </x:c>
      <x:c r="J36" s="76" t="str">
        <x:f>IF('03_Form_Electricite'!$K36="Validé humainement",'03_Form_Electricite'!J36,"")</x:f>
      </x:c>
      <x:c r="K36" s="76" t="str">
        <x:f>IF('03_Form_Electricite'!$K36="Validé humainement",'03_Form_Electricite'!K36,"")</x:f>
      </x:c>
      <x:c r="L36" s="76" t="str">
        <x:f>IF('03_Form_Electricite'!$K36="Validé humainement",'03_Form_Electricite'!L36,"")</x:f>
      </x:c>
      <x:c r="M36" s="78" t="str">
        <x:f>IF('03_Form_Electricite'!$K36="Validé humainement",'03_Form_Electricite'!M36,"")</x:f>
      </x:c>
      <x:c r="N36" s="76" t="str">
        <x:f>IF('03_Form_Electricite'!$K36="Validé humainement",'03_Form_Electricite'!N36,"")</x:f>
      </x:c>
      <x:c r="O36" s="76" t="str">
        <x:f>IF('03_Form_Electricite'!$K36="Validé humainement",'03_Form_Electricite'!O36,"")</x:f>
      </x:c>
      <x:c r="P36" s="76" t="str">
        <x:f>IF('03_Form_Electricite'!$K36="Validé humainement",'03_Form_Electricite'!P36,"")</x:f>
      </x:c>
    </x:row>
    <x:row r="37">
      <x:c r="A37" s="76" t="str">
        <x:f>IF('03_Form_Electricite'!$K37="Validé humainement",'03_Form_Electricite'!A37,"")</x:f>
      </x:c>
      <x:c r="B37" s="76" t="str">
        <x:f>IF('03_Form_Electricite'!$K37="Validé humainement",'03_Form_Electricite'!B37,"")</x:f>
      </x:c>
      <x:c r="C37" s="76" t="str">
        <x:f>IF('03_Form_Electricite'!$K37="Validé humainement",'03_Form_Electricite'!C37,"")</x:f>
      </x:c>
      <x:c r="D37" s="76" t="str">
        <x:f>IF('03_Form_Electricite'!$K37="Validé humainement",'03_Form_Electricite'!D37,"")</x:f>
      </x:c>
      <x:c r="E37" s="76" t="str">
        <x:f>IF('03_Form_Electricite'!$K37="Validé humainement",'03_Form_Electricite'!E37,"")</x:f>
      </x:c>
      <x:c r="F37" s="81" t="str">
        <x:f>IF('03_Form_Electricite'!$K37="Validé humainement",'03_Form_Electricite'!F37,"")</x:f>
      </x:c>
      <x:c r="G37" s="82" t="str">
        <x:f>IF('03_Form_Electricite'!$K37="Validé humainement",'03_Form_Electricite'!G37,"")</x:f>
      </x:c>
      <x:c r="H37" s="77" t="str">
        <x:f>IF('03_Form_Electricite'!$K37="Validé humainement",'03_Form_Electricite'!H37,"")</x:f>
      </x:c>
      <x:c r="I37" s="76" t="str">
        <x:f>IF('03_Form_Electricite'!$K37="Validé humainement",'03_Form_Electricite'!I37,"")</x:f>
      </x:c>
      <x:c r="J37" s="76" t="str">
        <x:f>IF('03_Form_Electricite'!$K37="Validé humainement",'03_Form_Electricite'!J37,"")</x:f>
      </x:c>
      <x:c r="K37" s="76" t="str">
        <x:f>IF('03_Form_Electricite'!$K37="Validé humainement",'03_Form_Electricite'!K37,"")</x:f>
      </x:c>
      <x:c r="L37" s="76" t="str">
        <x:f>IF('03_Form_Electricite'!$K37="Validé humainement",'03_Form_Electricite'!L37,"")</x:f>
      </x:c>
      <x:c r="M37" s="78" t="str">
        <x:f>IF('03_Form_Electricite'!$K37="Validé humainement",'03_Form_Electricite'!M37,"")</x:f>
      </x:c>
      <x:c r="N37" s="76" t="str">
        <x:f>IF('03_Form_Electricite'!$K37="Validé humainement",'03_Form_Electricite'!N37,"")</x:f>
      </x:c>
      <x:c r="O37" s="76" t="str">
        <x:f>IF('03_Form_Electricite'!$K37="Validé humainement",'03_Form_Electricite'!O37,"")</x:f>
      </x:c>
      <x:c r="P37" s="76" t="str">
        <x:f>IF('03_Form_Electricite'!$K37="Validé humainement",'03_Form_Electricite'!P37,"")</x:f>
      </x:c>
    </x:row>
    <x:row r="38">
      <x:c r="A38" s="76" t="str">
        <x:f>IF('03_Form_Electricite'!$K38="Validé humainement",'03_Form_Electricite'!A38,"")</x:f>
      </x:c>
      <x:c r="B38" s="76" t="str">
        <x:f>IF('03_Form_Electricite'!$K38="Validé humainement",'03_Form_Electricite'!B38,"")</x:f>
      </x:c>
      <x:c r="C38" s="76" t="str">
        <x:f>IF('03_Form_Electricite'!$K38="Validé humainement",'03_Form_Electricite'!C38,"")</x:f>
      </x:c>
      <x:c r="D38" s="76" t="str">
        <x:f>IF('03_Form_Electricite'!$K38="Validé humainement",'03_Form_Electricite'!D38,"")</x:f>
      </x:c>
      <x:c r="E38" s="76" t="str">
        <x:f>IF('03_Form_Electricite'!$K38="Validé humainement",'03_Form_Electricite'!E38,"")</x:f>
      </x:c>
      <x:c r="F38" s="81" t="str">
        <x:f>IF('03_Form_Electricite'!$K38="Validé humainement",'03_Form_Electricite'!F38,"")</x:f>
      </x:c>
      <x:c r="G38" s="82" t="str">
        <x:f>IF('03_Form_Electricite'!$K38="Validé humainement",'03_Form_Electricite'!G38,"")</x:f>
      </x:c>
      <x:c r="H38" s="77" t="str">
        <x:f>IF('03_Form_Electricite'!$K38="Validé humainement",'03_Form_Electricite'!H38,"")</x:f>
      </x:c>
      <x:c r="I38" s="76" t="str">
        <x:f>IF('03_Form_Electricite'!$K38="Validé humainement",'03_Form_Electricite'!I38,"")</x:f>
      </x:c>
      <x:c r="J38" s="76" t="str">
        <x:f>IF('03_Form_Electricite'!$K38="Validé humainement",'03_Form_Electricite'!J38,"")</x:f>
      </x:c>
      <x:c r="K38" s="76" t="str">
        <x:f>IF('03_Form_Electricite'!$K38="Validé humainement",'03_Form_Electricite'!K38,"")</x:f>
      </x:c>
      <x:c r="L38" s="76" t="str">
        <x:f>IF('03_Form_Electricite'!$K38="Validé humainement",'03_Form_Electricite'!L38,"")</x:f>
      </x:c>
      <x:c r="M38" s="78" t="str">
        <x:f>IF('03_Form_Electricite'!$K38="Validé humainement",'03_Form_Electricite'!M38,"")</x:f>
      </x:c>
      <x:c r="N38" s="76" t="str">
        <x:f>IF('03_Form_Electricite'!$K38="Validé humainement",'03_Form_Electricite'!N38,"")</x:f>
      </x:c>
      <x:c r="O38" s="76" t="str">
        <x:f>IF('03_Form_Electricite'!$K38="Validé humainement",'03_Form_Electricite'!O38,"")</x:f>
      </x:c>
      <x:c r="P38" s="76" t="str">
        <x:f>IF('03_Form_Electricite'!$K38="Validé humainement",'03_Form_Electricite'!P38,"")</x:f>
      </x:c>
    </x:row>
    <x:row r="39">
      <x:c r="A39" s="76" t="str">
        <x:f>IF('03_Form_Electricite'!$K39="Validé humainement",'03_Form_Electricite'!A39,"")</x:f>
      </x:c>
      <x:c r="B39" s="76" t="str">
        <x:f>IF('03_Form_Electricite'!$K39="Validé humainement",'03_Form_Electricite'!B39,"")</x:f>
      </x:c>
      <x:c r="C39" s="76" t="str">
        <x:f>IF('03_Form_Electricite'!$K39="Validé humainement",'03_Form_Electricite'!C39,"")</x:f>
      </x:c>
      <x:c r="D39" s="76" t="str">
        <x:f>IF('03_Form_Electricite'!$K39="Validé humainement",'03_Form_Electricite'!D39,"")</x:f>
      </x:c>
      <x:c r="E39" s="76" t="str">
        <x:f>IF('03_Form_Electricite'!$K39="Validé humainement",'03_Form_Electricite'!E39,"")</x:f>
      </x:c>
      <x:c r="F39" s="81" t="str">
        <x:f>IF('03_Form_Electricite'!$K39="Validé humainement",'03_Form_Electricite'!F39,"")</x:f>
      </x:c>
      <x:c r="G39" s="82" t="str">
        <x:f>IF('03_Form_Electricite'!$K39="Validé humainement",'03_Form_Electricite'!G39,"")</x:f>
      </x:c>
      <x:c r="H39" s="77" t="str">
        <x:f>IF('03_Form_Electricite'!$K39="Validé humainement",'03_Form_Electricite'!H39,"")</x:f>
      </x:c>
      <x:c r="I39" s="76" t="str">
        <x:f>IF('03_Form_Electricite'!$K39="Validé humainement",'03_Form_Electricite'!I39,"")</x:f>
      </x:c>
      <x:c r="J39" s="76" t="str">
        <x:f>IF('03_Form_Electricite'!$K39="Validé humainement",'03_Form_Electricite'!J39,"")</x:f>
      </x:c>
      <x:c r="K39" s="76" t="str">
        <x:f>IF('03_Form_Electricite'!$K39="Validé humainement",'03_Form_Electricite'!K39,"")</x:f>
      </x:c>
      <x:c r="L39" s="76" t="str">
        <x:f>IF('03_Form_Electricite'!$K39="Validé humainement",'03_Form_Electricite'!L39,"")</x:f>
      </x:c>
      <x:c r="M39" s="78" t="str">
        <x:f>IF('03_Form_Electricite'!$K39="Validé humainement",'03_Form_Electricite'!M39,"")</x:f>
      </x:c>
      <x:c r="N39" s="76" t="str">
        <x:f>IF('03_Form_Electricite'!$K39="Validé humainement",'03_Form_Electricite'!N39,"")</x:f>
      </x:c>
      <x:c r="O39" s="76" t="str">
        <x:f>IF('03_Form_Electricite'!$K39="Validé humainement",'03_Form_Electricite'!O39,"")</x:f>
      </x:c>
      <x:c r="P39" s="76" t="str">
        <x:f>IF('03_Form_Electricite'!$K39="Validé humainement",'03_Form_Electricite'!P39,"")</x:f>
      </x:c>
    </x:row>
    <x:row r="40">
      <x:c r="A40" s="76" t="str">
        <x:f>IF('03_Form_Electricite'!$K40="Validé humainement",'03_Form_Electricite'!A40,"")</x:f>
      </x:c>
      <x:c r="B40" s="76" t="str">
        <x:f>IF('03_Form_Electricite'!$K40="Validé humainement",'03_Form_Electricite'!B40,"")</x:f>
      </x:c>
      <x:c r="C40" s="76" t="str">
        <x:f>IF('03_Form_Electricite'!$K40="Validé humainement",'03_Form_Electricite'!C40,"")</x:f>
      </x:c>
      <x:c r="D40" s="76" t="str">
        <x:f>IF('03_Form_Electricite'!$K40="Validé humainement",'03_Form_Electricite'!D40,"")</x:f>
      </x:c>
      <x:c r="E40" s="76" t="str">
        <x:f>IF('03_Form_Electricite'!$K40="Validé humainement",'03_Form_Electricite'!E40,"")</x:f>
      </x:c>
      <x:c r="F40" s="81" t="str">
        <x:f>IF('03_Form_Electricite'!$K40="Validé humainement",'03_Form_Electricite'!F40,"")</x:f>
      </x:c>
      <x:c r="G40" s="82" t="str">
        <x:f>IF('03_Form_Electricite'!$K40="Validé humainement",'03_Form_Electricite'!G40,"")</x:f>
      </x:c>
      <x:c r="H40" s="77" t="str">
        <x:f>IF('03_Form_Electricite'!$K40="Validé humainement",'03_Form_Electricite'!H40,"")</x:f>
      </x:c>
      <x:c r="I40" s="76" t="str">
        <x:f>IF('03_Form_Electricite'!$K40="Validé humainement",'03_Form_Electricite'!I40,"")</x:f>
      </x:c>
      <x:c r="J40" s="76" t="str">
        <x:f>IF('03_Form_Electricite'!$K40="Validé humainement",'03_Form_Electricite'!J40,"")</x:f>
      </x:c>
      <x:c r="K40" s="76" t="str">
        <x:f>IF('03_Form_Electricite'!$K40="Validé humainement",'03_Form_Electricite'!K40,"")</x:f>
      </x:c>
      <x:c r="L40" s="76" t="str">
        <x:f>IF('03_Form_Electricite'!$K40="Validé humainement",'03_Form_Electricite'!L40,"")</x:f>
      </x:c>
      <x:c r="M40" s="78" t="str">
        <x:f>IF('03_Form_Electricite'!$K40="Validé humainement",'03_Form_Electricite'!M40,"")</x:f>
      </x:c>
      <x:c r="N40" s="76" t="str">
        <x:f>IF('03_Form_Electricite'!$K40="Validé humainement",'03_Form_Electricite'!N40,"")</x:f>
      </x:c>
      <x:c r="O40" s="76" t="str">
        <x:f>IF('03_Form_Electricite'!$K40="Validé humainement",'03_Form_Electricite'!O40,"")</x:f>
      </x:c>
      <x:c r="P40" s="76" t="str">
        <x:f>IF('03_Form_Electricite'!$K40="Validé humainement",'03_Form_Electricite'!P40,"")</x:f>
      </x:c>
    </x:row>
    <x:row r="41">
      <x:c r="A41" s="76" t="str">
        <x:f>IF('03_Form_Electricite'!$K41="Validé humainement",'03_Form_Electricite'!A41,"")</x:f>
      </x:c>
      <x:c r="B41" s="76" t="str">
        <x:f>IF('03_Form_Electricite'!$K41="Validé humainement",'03_Form_Electricite'!B41,"")</x:f>
      </x:c>
      <x:c r="C41" s="76" t="str">
        <x:f>IF('03_Form_Electricite'!$K41="Validé humainement",'03_Form_Electricite'!C41,"")</x:f>
      </x:c>
      <x:c r="D41" s="76" t="str">
        <x:f>IF('03_Form_Electricite'!$K41="Validé humainement",'03_Form_Electricite'!D41,"")</x:f>
      </x:c>
      <x:c r="E41" s="76" t="str">
        <x:f>IF('03_Form_Electricite'!$K41="Validé humainement",'03_Form_Electricite'!E41,"")</x:f>
      </x:c>
      <x:c r="F41" s="81" t="str">
        <x:f>IF('03_Form_Electricite'!$K41="Validé humainement",'03_Form_Electricite'!F41,"")</x:f>
      </x:c>
      <x:c r="G41" s="82" t="str">
        <x:f>IF('03_Form_Electricite'!$K41="Validé humainement",'03_Form_Electricite'!G41,"")</x:f>
      </x:c>
      <x:c r="H41" s="77" t="str">
        <x:f>IF('03_Form_Electricite'!$K41="Validé humainement",'03_Form_Electricite'!H41,"")</x:f>
      </x:c>
      <x:c r="I41" s="76" t="str">
        <x:f>IF('03_Form_Electricite'!$K41="Validé humainement",'03_Form_Electricite'!I41,"")</x:f>
      </x:c>
      <x:c r="J41" s="76" t="str">
        <x:f>IF('03_Form_Electricite'!$K41="Validé humainement",'03_Form_Electricite'!J41,"")</x:f>
      </x:c>
      <x:c r="K41" s="76" t="str">
        <x:f>IF('03_Form_Electricite'!$K41="Validé humainement",'03_Form_Electricite'!K41,"")</x:f>
      </x:c>
      <x:c r="L41" s="76" t="str">
        <x:f>IF('03_Form_Electricite'!$K41="Validé humainement",'03_Form_Electricite'!L41,"")</x:f>
      </x:c>
      <x:c r="M41" s="78" t="str">
        <x:f>IF('03_Form_Electricite'!$K41="Validé humainement",'03_Form_Electricite'!M41,"")</x:f>
      </x:c>
      <x:c r="N41" s="76" t="str">
        <x:f>IF('03_Form_Electricite'!$K41="Validé humainement",'03_Form_Electricite'!N41,"")</x:f>
      </x:c>
      <x:c r="O41" s="76" t="str">
        <x:f>IF('03_Form_Electricite'!$K41="Validé humainement",'03_Form_Electricite'!O41,"")</x:f>
      </x:c>
      <x:c r="P41" s="76" t="str">
        <x:f>IF('03_Form_Electricite'!$K41="Validé humainement",'03_Form_Electricite'!P41,"")</x:f>
      </x:c>
    </x:row>
    <x:row r="42">
      <x:c r="A42" s="76" t="str">
        <x:f>IF('03_Form_Electricite'!$K42="Validé humainement",'03_Form_Electricite'!A42,"")</x:f>
      </x:c>
      <x:c r="B42" s="76" t="str">
        <x:f>IF('03_Form_Electricite'!$K42="Validé humainement",'03_Form_Electricite'!B42,"")</x:f>
      </x:c>
      <x:c r="C42" s="76" t="str">
        <x:f>IF('03_Form_Electricite'!$K42="Validé humainement",'03_Form_Electricite'!C42,"")</x:f>
      </x:c>
      <x:c r="D42" s="76" t="str">
        <x:f>IF('03_Form_Electricite'!$K42="Validé humainement",'03_Form_Electricite'!D42,"")</x:f>
      </x:c>
      <x:c r="E42" s="76" t="str">
        <x:f>IF('03_Form_Electricite'!$K42="Validé humainement",'03_Form_Electricite'!E42,"")</x:f>
      </x:c>
      <x:c r="F42" s="81" t="str">
        <x:f>IF('03_Form_Electricite'!$K42="Validé humainement",'03_Form_Electricite'!F42,"")</x:f>
      </x:c>
      <x:c r="G42" s="82" t="str">
        <x:f>IF('03_Form_Electricite'!$K42="Validé humainement",'03_Form_Electricite'!G42,"")</x:f>
      </x:c>
      <x:c r="H42" s="77" t="str">
        <x:f>IF('03_Form_Electricite'!$K42="Validé humainement",'03_Form_Electricite'!H42,"")</x:f>
      </x:c>
      <x:c r="I42" s="76" t="str">
        <x:f>IF('03_Form_Electricite'!$K42="Validé humainement",'03_Form_Electricite'!I42,"")</x:f>
      </x:c>
      <x:c r="J42" s="76" t="str">
        <x:f>IF('03_Form_Electricite'!$K42="Validé humainement",'03_Form_Electricite'!J42,"")</x:f>
      </x:c>
      <x:c r="K42" s="76" t="str">
        <x:f>IF('03_Form_Electricite'!$K42="Validé humainement",'03_Form_Electricite'!K42,"")</x:f>
      </x:c>
      <x:c r="L42" s="76" t="str">
        <x:f>IF('03_Form_Electricite'!$K42="Validé humainement",'03_Form_Electricite'!L42,"")</x:f>
      </x:c>
      <x:c r="M42" s="78" t="str">
        <x:f>IF('03_Form_Electricite'!$K42="Validé humainement",'03_Form_Electricite'!M42,"")</x:f>
      </x:c>
      <x:c r="N42" s="76" t="str">
        <x:f>IF('03_Form_Electricite'!$K42="Validé humainement",'03_Form_Electricite'!N42,"")</x:f>
      </x:c>
      <x:c r="O42" s="76" t="str">
        <x:f>IF('03_Form_Electricite'!$K42="Validé humainement",'03_Form_Electricite'!O42,"")</x:f>
      </x:c>
      <x:c r="P42" s="76" t="str">
        <x:f>IF('03_Form_Electricite'!$K42="Validé humainement",'03_Form_Electricite'!P42,"")</x:f>
      </x:c>
    </x:row>
    <x:row r="43">
      <x:c r="A43" s="76" t="str">
        <x:f>IF('03_Form_Electricite'!$K43="Validé humainement",'03_Form_Electricite'!A43,"")</x:f>
      </x:c>
      <x:c r="B43" s="76" t="str">
        <x:f>IF('03_Form_Electricite'!$K43="Validé humainement",'03_Form_Electricite'!B43,"")</x:f>
      </x:c>
      <x:c r="C43" s="76" t="str">
        <x:f>IF('03_Form_Electricite'!$K43="Validé humainement",'03_Form_Electricite'!C43,"")</x:f>
      </x:c>
      <x:c r="D43" s="76" t="str">
        <x:f>IF('03_Form_Electricite'!$K43="Validé humainement",'03_Form_Electricite'!D43,"")</x:f>
      </x:c>
      <x:c r="E43" s="76" t="str">
        <x:f>IF('03_Form_Electricite'!$K43="Validé humainement",'03_Form_Electricite'!E43,"")</x:f>
      </x:c>
      <x:c r="F43" s="81" t="str">
        <x:f>IF('03_Form_Electricite'!$K43="Validé humainement",'03_Form_Electricite'!F43,"")</x:f>
      </x:c>
      <x:c r="G43" s="82" t="str">
        <x:f>IF('03_Form_Electricite'!$K43="Validé humainement",'03_Form_Electricite'!G43,"")</x:f>
      </x:c>
      <x:c r="H43" s="77" t="str">
        <x:f>IF('03_Form_Electricite'!$K43="Validé humainement",'03_Form_Electricite'!H43,"")</x:f>
      </x:c>
      <x:c r="I43" s="76" t="str">
        <x:f>IF('03_Form_Electricite'!$K43="Validé humainement",'03_Form_Electricite'!I43,"")</x:f>
      </x:c>
      <x:c r="J43" s="76" t="str">
        <x:f>IF('03_Form_Electricite'!$K43="Validé humainement",'03_Form_Electricite'!J43,"")</x:f>
      </x:c>
      <x:c r="K43" s="76" t="str">
        <x:f>IF('03_Form_Electricite'!$K43="Validé humainement",'03_Form_Electricite'!K43,"")</x:f>
      </x:c>
      <x:c r="L43" s="76" t="str">
        <x:f>IF('03_Form_Electricite'!$K43="Validé humainement",'03_Form_Electricite'!L43,"")</x:f>
      </x:c>
      <x:c r="M43" s="78" t="str">
        <x:f>IF('03_Form_Electricite'!$K43="Validé humainement",'03_Form_Electricite'!M43,"")</x:f>
      </x:c>
      <x:c r="N43" s="76" t="str">
        <x:f>IF('03_Form_Electricite'!$K43="Validé humainement",'03_Form_Electricite'!N43,"")</x:f>
      </x:c>
      <x:c r="O43" s="76" t="str">
        <x:f>IF('03_Form_Electricite'!$K43="Validé humainement",'03_Form_Electricite'!O43,"")</x:f>
      </x:c>
      <x:c r="P43" s="76" t="str">
        <x:f>IF('03_Form_Electricite'!$K43="Validé humainement",'03_Form_Electricite'!P43,"")</x:f>
      </x:c>
    </x:row>
    <x:row r="44">
      <x:c r="A44" s="76" t="str">
        <x:f>IF('03_Form_Electricite'!$K44="Validé humainement",'03_Form_Electricite'!A44,"")</x:f>
      </x:c>
      <x:c r="B44" s="76" t="str">
        <x:f>IF('03_Form_Electricite'!$K44="Validé humainement",'03_Form_Electricite'!B44,"")</x:f>
      </x:c>
      <x:c r="C44" s="76" t="str">
        <x:f>IF('03_Form_Electricite'!$K44="Validé humainement",'03_Form_Electricite'!C44,"")</x:f>
      </x:c>
      <x:c r="D44" s="76" t="str">
        <x:f>IF('03_Form_Electricite'!$K44="Validé humainement",'03_Form_Electricite'!D44,"")</x:f>
      </x:c>
      <x:c r="E44" s="76" t="str">
        <x:f>IF('03_Form_Electricite'!$K44="Validé humainement",'03_Form_Electricite'!E44,"")</x:f>
      </x:c>
      <x:c r="F44" s="81" t="str">
        <x:f>IF('03_Form_Electricite'!$K44="Validé humainement",'03_Form_Electricite'!F44,"")</x:f>
      </x:c>
      <x:c r="G44" s="82" t="str">
        <x:f>IF('03_Form_Electricite'!$K44="Validé humainement",'03_Form_Electricite'!G44,"")</x:f>
      </x:c>
      <x:c r="H44" s="77" t="str">
        <x:f>IF('03_Form_Electricite'!$K44="Validé humainement",'03_Form_Electricite'!H44,"")</x:f>
      </x:c>
      <x:c r="I44" s="76" t="str">
        <x:f>IF('03_Form_Electricite'!$K44="Validé humainement",'03_Form_Electricite'!I44,"")</x:f>
      </x:c>
      <x:c r="J44" s="76" t="str">
        <x:f>IF('03_Form_Electricite'!$K44="Validé humainement",'03_Form_Electricite'!J44,"")</x:f>
      </x:c>
      <x:c r="K44" s="76" t="str">
        <x:f>IF('03_Form_Electricite'!$K44="Validé humainement",'03_Form_Electricite'!K44,"")</x:f>
      </x:c>
      <x:c r="L44" s="76" t="str">
        <x:f>IF('03_Form_Electricite'!$K44="Validé humainement",'03_Form_Electricite'!L44,"")</x:f>
      </x:c>
      <x:c r="M44" s="78" t="str">
        <x:f>IF('03_Form_Electricite'!$K44="Validé humainement",'03_Form_Electricite'!M44,"")</x:f>
      </x:c>
      <x:c r="N44" s="76" t="str">
        <x:f>IF('03_Form_Electricite'!$K44="Validé humainement",'03_Form_Electricite'!N44,"")</x:f>
      </x:c>
      <x:c r="O44" s="76" t="str">
        <x:f>IF('03_Form_Electricite'!$K44="Validé humainement",'03_Form_Electricite'!O44,"")</x:f>
      </x:c>
      <x:c r="P44" s="76" t="str">
        <x:f>IF('03_Form_Electricite'!$K44="Validé humainement",'03_Form_Electricite'!P44,"")</x:f>
      </x:c>
    </x:row>
    <x:row r="45">
      <x:c r="A45" s="76" t="str">
        <x:f>IF('03_Form_Electricite'!$K45="Validé humainement",'03_Form_Electricite'!A45,"")</x:f>
      </x:c>
      <x:c r="B45" s="76" t="str">
        <x:f>IF('03_Form_Electricite'!$K45="Validé humainement",'03_Form_Electricite'!B45,"")</x:f>
      </x:c>
      <x:c r="C45" s="76" t="str">
        <x:f>IF('03_Form_Electricite'!$K45="Validé humainement",'03_Form_Electricite'!C45,"")</x:f>
      </x:c>
      <x:c r="D45" s="76" t="str">
        <x:f>IF('03_Form_Electricite'!$K45="Validé humainement",'03_Form_Electricite'!D45,"")</x:f>
      </x:c>
      <x:c r="E45" s="76" t="str">
        <x:f>IF('03_Form_Electricite'!$K45="Validé humainement",'03_Form_Electricite'!E45,"")</x:f>
      </x:c>
      <x:c r="F45" s="81" t="str">
        <x:f>IF('03_Form_Electricite'!$K45="Validé humainement",'03_Form_Electricite'!F45,"")</x:f>
      </x:c>
      <x:c r="G45" s="82" t="str">
        <x:f>IF('03_Form_Electricite'!$K45="Validé humainement",'03_Form_Electricite'!G45,"")</x:f>
      </x:c>
      <x:c r="H45" s="77" t="str">
        <x:f>IF('03_Form_Electricite'!$K45="Validé humainement",'03_Form_Electricite'!H45,"")</x:f>
      </x:c>
      <x:c r="I45" s="76" t="str">
        <x:f>IF('03_Form_Electricite'!$K45="Validé humainement",'03_Form_Electricite'!I45,"")</x:f>
      </x:c>
      <x:c r="J45" s="76" t="str">
        <x:f>IF('03_Form_Electricite'!$K45="Validé humainement",'03_Form_Electricite'!J45,"")</x:f>
      </x:c>
      <x:c r="K45" s="76" t="str">
        <x:f>IF('03_Form_Electricite'!$K45="Validé humainement",'03_Form_Electricite'!K45,"")</x:f>
      </x:c>
      <x:c r="L45" s="76" t="str">
        <x:f>IF('03_Form_Electricite'!$K45="Validé humainement",'03_Form_Electricite'!L45,"")</x:f>
      </x:c>
      <x:c r="M45" s="78" t="str">
        <x:f>IF('03_Form_Electricite'!$K45="Validé humainement",'03_Form_Electricite'!M45,"")</x:f>
      </x:c>
      <x:c r="N45" s="76" t="str">
        <x:f>IF('03_Form_Electricite'!$K45="Validé humainement",'03_Form_Electricite'!N45,"")</x:f>
      </x:c>
      <x:c r="O45" s="76" t="str">
        <x:f>IF('03_Form_Electricite'!$K45="Validé humainement",'03_Form_Electricite'!O45,"")</x:f>
      </x:c>
      <x:c r="P45" s="76" t="str">
        <x:f>IF('03_Form_Electricite'!$K45="Validé humainement",'03_Form_Electricite'!P45,"")</x:f>
      </x:c>
    </x:row>
    <x:row r="46">
      <x:c r="A46" s="76" t="str">
        <x:f>IF('03_Form_Electricite'!$K46="Validé humainement",'03_Form_Electricite'!A46,"")</x:f>
      </x:c>
      <x:c r="B46" s="76" t="str">
        <x:f>IF('03_Form_Electricite'!$K46="Validé humainement",'03_Form_Electricite'!B46,"")</x:f>
      </x:c>
      <x:c r="C46" s="76" t="str">
        <x:f>IF('03_Form_Electricite'!$K46="Validé humainement",'03_Form_Electricite'!C46,"")</x:f>
      </x:c>
      <x:c r="D46" s="76" t="str">
        <x:f>IF('03_Form_Electricite'!$K46="Validé humainement",'03_Form_Electricite'!D46,"")</x:f>
      </x:c>
      <x:c r="E46" s="76" t="str">
        <x:f>IF('03_Form_Electricite'!$K46="Validé humainement",'03_Form_Electricite'!E46,"")</x:f>
      </x:c>
      <x:c r="F46" s="81" t="str">
        <x:f>IF('03_Form_Electricite'!$K46="Validé humainement",'03_Form_Electricite'!F46,"")</x:f>
      </x:c>
      <x:c r="G46" s="82" t="str">
        <x:f>IF('03_Form_Electricite'!$K46="Validé humainement",'03_Form_Electricite'!G46,"")</x:f>
      </x:c>
      <x:c r="H46" s="77" t="str">
        <x:f>IF('03_Form_Electricite'!$K46="Validé humainement",'03_Form_Electricite'!H46,"")</x:f>
      </x:c>
      <x:c r="I46" s="76" t="str">
        <x:f>IF('03_Form_Electricite'!$K46="Validé humainement",'03_Form_Electricite'!I46,"")</x:f>
      </x:c>
      <x:c r="J46" s="76" t="str">
        <x:f>IF('03_Form_Electricite'!$K46="Validé humainement",'03_Form_Electricite'!J46,"")</x:f>
      </x:c>
      <x:c r="K46" s="76" t="str">
        <x:f>IF('03_Form_Electricite'!$K46="Validé humainement",'03_Form_Electricite'!K46,"")</x:f>
      </x:c>
      <x:c r="L46" s="76" t="str">
        <x:f>IF('03_Form_Electricite'!$K46="Validé humainement",'03_Form_Electricite'!L46,"")</x:f>
      </x:c>
      <x:c r="M46" s="78" t="str">
        <x:f>IF('03_Form_Electricite'!$K46="Validé humainement",'03_Form_Electricite'!M46,"")</x:f>
      </x:c>
      <x:c r="N46" s="76" t="str">
        <x:f>IF('03_Form_Electricite'!$K46="Validé humainement",'03_Form_Electricite'!N46,"")</x:f>
      </x:c>
      <x:c r="O46" s="76" t="str">
        <x:f>IF('03_Form_Electricite'!$K46="Validé humainement",'03_Form_Electricite'!O46,"")</x:f>
      </x:c>
      <x:c r="P46" s="76" t="str">
        <x:f>IF('03_Form_Electricite'!$K46="Validé humainement",'03_Form_Electricite'!P46,"")</x:f>
      </x:c>
    </x:row>
    <x:row r="47">
      <x:c r="A47" s="76" t="str">
        <x:f>IF('03_Form_Electricite'!$K47="Validé humainement",'03_Form_Electricite'!A47,"")</x:f>
      </x:c>
      <x:c r="B47" s="76" t="str">
        <x:f>IF('03_Form_Electricite'!$K47="Validé humainement",'03_Form_Electricite'!B47,"")</x:f>
      </x:c>
      <x:c r="C47" s="76" t="str">
        <x:f>IF('03_Form_Electricite'!$K47="Validé humainement",'03_Form_Electricite'!C47,"")</x:f>
      </x:c>
      <x:c r="D47" s="76" t="str">
        <x:f>IF('03_Form_Electricite'!$K47="Validé humainement",'03_Form_Electricite'!D47,"")</x:f>
      </x:c>
      <x:c r="E47" s="76" t="str">
        <x:f>IF('03_Form_Electricite'!$K47="Validé humainement",'03_Form_Electricite'!E47,"")</x:f>
      </x:c>
      <x:c r="F47" s="81" t="str">
        <x:f>IF('03_Form_Electricite'!$K47="Validé humainement",'03_Form_Electricite'!F47,"")</x:f>
      </x:c>
      <x:c r="G47" s="82" t="str">
        <x:f>IF('03_Form_Electricite'!$K47="Validé humainement",'03_Form_Electricite'!G47,"")</x:f>
      </x:c>
      <x:c r="H47" s="77" t="str">
        <x:f>IF('03_Form_Electricite'!$K47="Validé humainement",'03_Form_Electricite'!H47,"")</x:f>
      </x:c>
      <x:c r="I47" s="76" t="str">
        <x:f>IF('03_Form_Electricite'!$K47="Validé humainement",'03_Form_Electricite'!I47,"")</x:f>
      </x:c>
      <x:c r="J47" s="76" t="str">
        <x:f>IF('03_Form_Electricite'!$K47="Validé humainement",'03_Form_Electricite'!J47,"")</x:f>
      </x:c>
      <x:c r="K47" s="76" t="str">
        <x:f>IF('03_Form_Electricite'!$K47="Validé humainement",'03_Form_Electricite'!K47,"")</x:f>
      </x:c>
      <x:c r="L47" s="76" t="str">
        <x:f>IF('03_Form_Electricite'!$K47="Validé humainement",'03_Form_Electricite'!L47,"")</x:f>
      </x:c>
      <x:c r="M47" s="78" t="str">
        <x:f>IF('03_Form_Electricite'!$K47="Validé humainement",'03_Form_Electricite'!M47,"")</x:f>
      </x:c>
      <x:c r="N47" s="76" t="str">
        <x:f>IF('03_Form_Electricite'!$K47="Validé humainement",'03_Form_Electricite'!N47,"")</x:f>
      </x:c>
      <x:c r="O47" s="76" t="str">
        <x:f>IF('03_Form_Electricite'!$K47="Validé humainement",'03_Form_Electricite'!O47,"")</x:f>
      </x:c>
      <x:c r="P47" s="76" t="str">
        <x:f>IF('03_Form_Electricite'!$K47="Validé humainement",'03_Form_Electricite'!P47,"")</x:f>
      </x:c>
    </x:row>
    <x:row r="48">
      <x:c r="A48" s="76" t="str">
        <x:f>IF('03_Form_Electricite'!$K48="Validé humainement",'03_Form_Electricite'!A48,"")</x:f>
      </x:c>
      <x:c r="B48" s="76" t="str">
        <x:f>IF('03_Form_Electricite'!$K48="Validé humainement",'03_Form_Electricite'!B48,"")</x:f>
      </x:c>
      <x:c r="C48" s="76" t="str">
        <x:f>IF('03_Form_Electricite'!$K48="Validé humainement",'03_Form_Electricite'!C48,"")</x:f>
      </x:c>
      <x:c r="D48" s="76" t="str">
        <x:f>IF('03_Form_Electricite'!$K48="Validé humainement",'03_Form_Electricite'!D48,"")</x:f>
      </x:c>
      <x:c r="E48" s="76" t="str">
        <x:f>IF('03_Form_Electricite'!$K48="Validé humainement",'03_Form_Electricite'!E48,"")</x:f>
      </x:c>
      <x:c r="F48" s="81" t="str">
        <x:f>IF('03_Form_Electricite'!$K48="Validé humainement",'03_Form_Electricite'!F48,"")</x:f>
      </x:c>
      <x:c r="G48" s="82" t="str">
        <x:f>IF('03_Form_Electricite'!$K48="Validé humainement",'03_Form_Electricite'!G48,"")</x:f>
      </x:c>
      <x:c r="H48" s="77" t="str">
        <x:f>IF('03_Form_Electricite'!$K48="Validé humainement",'03_Form_Electricite'!H48,"")</x:f>
      </x:c>
      <x:c r="I48" s="76" t="str">
        <x:f>IF('03_Form_Electricite'!$K48="Validé humainement",'03_Form_Electricite'!I48,"")</x:f>
      </x:c>
      <x:c r="J48" s="76" t="str">
        <x:f>IF('03_Form_Electricite'!$K48="Validé humainement",'03_Form_Electricite'!J48,"")</x:f>
      </x:c>
      <x:c r="K48" s="76" t="str">
        <x:f>IF('03_Form_Electricite'!$K48="Validé humainement",'03_Form_Electricite'!K48,"")</x:f>
      </x:c>
      <x:c r="L48" s="76" t="str">
        <x:f>IF('03_Form_Electricite'!$K48="Validé humainement",'03_Form_Electricite'!L48,"")</x:f>
      </x:c>
      <x:c r="M48" s="78" t="str">
        <x:f>IF('03_Form_Electricite'!$K48="Validé humainement",'03_Form_Electricite'!M48,"")</x:f>
      </x:c>
      <x:c r="N48" s="76" t="str">
        <x:f>IF('03_Form_Electricite'!$K48="Validé humainement",'03_Form_Electricite'!N48,"")</x:f>
      </x:c>
      <x:c r="O48" s="76" t="str">
        <x:f>IF('03_Form_Electricite'!$K48="Validé humainement",'03_Form_Electricite'!O48,"")</x:f>
      </x:c>
      <x:c r="P48" s="76" t="str">
        <x:f>IF('03_Form_Electricite'!$K48="Validé humainement",'03_Form_Electricite'!P48,"")</x:f>
      </x:c>
    </x:row>
    <x:row r="49">
      <x:c r="A49" s="76" t="str">
        <x:f>IF('03_Form_Electricite'!$K49="Validé humainement",'03_Form_Electricite'!A49,"")</x:f>
      </x:c>
      <x:c r="B49" s="76" t="str">
        <x:f>IF('03_Form_Electricite'!$K49="Validé humainement",'03_Form_Electricite'!B49,"")</x:f>
      </x:c>
      <x:c r="C49" s="76" t="str">
        <x:f>IF('03_Form_Electricite'!$K49="Validé humainement",'03_Form_Electricite'!C49,"")</x:f>
      </x:c>
      <x:c r="D49" s="76" t="str">
        <x:f>IF('03_Form_Electricite'!$K49="Validé humainement",'03_Form_Electricite'!D49,"")</x:f>
      </x:c>
      <x:c r="E49" s="76" t="str">
        <x:f>IF('03_Form_Electricite'!$K49="Validé humainement",'03_Form_Electricite'!E49,"")</x:f>
      </x:c>
      <x:c r="F49" s="81" t="str">
        <x:f>IF('03_Form_Electricite'!$K49="Validé humainement",'03_Form_Electricite'!F49,"")</x:f>
      </x:c>
      <x:c r="G49" s="82" t="str">
        <x:f>IF('03_Form_Electricite'!$K49="Validé humainement",'03_Form_Electricite'!G49,"")</x:f>
      </x:c>
      <x:c r="H49" s="77" t="str">
        <x:f>IF('03_Form_Electricite'!$K49="Validé humainement",'03_Form_Electricite'!H49,"")</x:f>
      </x:c>
      <x:c r="I49" s="76" t="str">
        <x:f>IF('03_Form_Electricite'!$K49="Validé humainement",'03_Form_Electricite'!I49,"")</x:f>
      </x:c>
      <x:c r="J49" s="76" t="str">
        <x:f>IF('03_Form_Electricite'!$K49="Validé humainement",'03_Form_Electricite'!J49,"")</x:f>
      </x:c>
      <x:c r="K49" s="76" t="str">
        <x:f>IF('03_Form_Electricite'!$K49="Validé humainement",'03_Form_Electricite'!K49,"")</x:f>
      </x:c>
      <x:c r="L49" s="76" t="str">
        <x:f>IF('03_Form_Electricite'!$K49="Validé humainement",'03_Form_Electricite'!L49,"")</x:f>
      </x:c>
      <x:c r="M49" s="78" t="str">
        <x:f>IF('03_Form_Electricite'!$K49="Validé humainement",'03_Form_Electricite'!M49,"")</x:f>
      </x:c>
      <x:c r="N49" s="76" t="str">
        <x:f>IF('03_Form_Electricite'!$K49="Validé humainement",'03_Form_Electricite'!N49,"")</x:f>
      </x:c>
      <x:c r="O49" s="76" t="str">
        <x:f>IF('03_Form_Electricite'!$K49="Validé humainement",'03_Form_Electricite'!O49,"")</x:f>
      </x:c>
      <x:c r="P49" s="76" t="str">
        <x:f>IF('03_Form_Electricite'!$K49="Validé humainement",'03_Form_Electricite'!P49,"")</x:f>
      </x:c>
    </x:row>
    <x:row r="50">
      <x:c r="A50" s="76" t="str">
        <x:f>IF('03_Form_Electricite'!$K50="Validé humainement",'03_Form_Electricite'!A50,"")</x:f>
      </x:c>
      <x:c r="B50" s="76" t="str">
        <x:f>IF('03_Form_Electricite'!$K50="Validé humainement",'03_Form_Electricite'!B50,"")</x:f>
      </x:c>
      <x:c r="C50" s="76" t="str">
        <x:f>IF('03_Form_Electricite'!$K50="Validé humainement",'03_Form_Electricite'!C50,"")</x:f>
      </x:c>
      <x:c r="D50" s="76" t="str">
        <x:f>IF('03_Form_Electricite'!$K50="Validé humainement",'03_Form_Electricite'!D50,"")</x:f>
      </x:c>
      <x:c r="E50" s="76" t="str">
        <x:f>IF('03_Form_Electricite'!$K50="Validé humainement",'03_Form_Electricite'!E50,"")</x:f>
      </x:c>
      <x:c r="F50" s="81" t="str">
        <x:f>IF('03_Form_Electricite'!$K50="Validé humainement",'03_Form_Electricite'!F50,"")</x:f>
      </x:c>
      <x:c r="G50" s="82" t="str">
        <x:f>IF('03_Form_Electricite'!$K50="Validé humainement",'03_Form_Electricite'!G50,"")</x:f>
      </x:c>
      <x:c r="H50" s="77" t="str">
        <x:f>IF('03_Form_Electricite'!$K50="Validé humainement",'03_Form_Electricite'!H50,"")</x:f>
      </x:c>
      <x:c r="I50" s="76" t="str">
        <x:f>IF('03_Form_Electricite'!$K50="Validé humainement",'03_Form_Electricite'!I50,"")</x:f>
      </x:c>
      <x:c r="J50" s="76" t="str">
        <x:f>IF('03_Form_Electricite'!$K50="Validé humainement",'03_Form_Electricite'!J50,"")</x:f>
      </x:c>
      <x:c r="K50" s="76" t="str">
        <x:f>IF('03_Form_Electricite'!$K50="Validé humainement",'03_Form_Electricite'!K50,"")</x:f>
      </x:c>
      <x:c r="L50" s="76" t="str">
        <x:f>IF('03_Form_Electricite'!$K50="Validé humainement",'03_Form_Electricite'!L50,"")</x:f>
      </x:c>
      <x:c r="M50" s="78" t="str">
        <x:f>IF('03_Form_Electricite'!$K50="Validé humainement",'03_Form_Electricite'!M50,"")</x:f>
      </x:c>
      <x:c r="N50" s="76" t="str">
        <x:f>IF('03_Form_Electricite'!$K50="Validé humainement",'03_Form_Electricite'!N50,"")</x:f>
      </x:c>
      <x:c r="O50" s="76" t="str">
        <x:f>IF('03_Form_Electricite'!$K50="Validé humainement",'03_Form_Electricite'!O50,"")</x:f>
      </x:c>
      <x:c r="P50" s="76" t="str">
        <x:f>IF('03_Form_Electricite'!$K50="Validé humainement",'03_Form_Electricite'!P50,"")</x:f>
      </x:c>
    </x:row>
    <x:row r="51">
      <x:c r="A51" s="76" t="str">
        <x:f>IF('03_Form_Electricite'!$K51="Validé humainement",'03_Form_Electricite'!A51,"")</x:f>
      </x:c>
      <x:c r="B51" s="76" t="str">
        <x:f>IF('03_Form_Electricite'!$K51="Validé humainement",'03_Form_Electricite'!B51,"")</x:f>
      </x:c>
      <x:c r="C51" s="76" t="str">
        <x:f>IF('03_Form_Electricite'!$K51="Validé humainement",'03_Form_Electricite'!C51,"")</x:f>
      </x:c>
      <x:c r="D51" s="76" t="str">
        <x:f>IF('03_Form_Electricite'!$K51="Validé humainement",'03_Form_Electricite'!D51,"")</x:f>
      </x:c>
      <x:c r="E51" s="76" t="str">
        <x:f>IF('03_Form_Electricite'!$K51="Validé humainement",'03_Form_Electricite'!E51,"")</x:f>
      </x:c>
      <x:c r="F51" s="81" t="str">
        <x:f>IF('03_Form_Electricite'!$K51="Validé humainement",'03_Form_Electricite'!F51,"")</x:f>
      </x:c>
      <x:c r="G51" s="82" t="str">
        <x:f>IF('03_Form_Electricite'!$K51="Validé humainement",'03_Form_Electricite'!G51,"")</x:f>
      </x:c>
      <x:c r="H51" s="77" t="str">
        <x:f>IF('03_Form_Electricite'!$K51="Validé humainement",'03_Form_Electricite'!H51,"")</x:f>
      </x:c>
      <x:c r="I51" s="76" t="str">
        <x:f>IF('03_Form_Electricite'!$K51="Validé humainement",'03_Form_Electricite'!I51,"")</x:f>
      </x:c>
      <x:c r="J51" s="76" t="str">
        <x:f>IF('03_Form_Electricite'!$K51="Validé humainement",'03_Form_Electricite'!J51,"")</x:f>
      </x:c>
      <x:c r="K51" s="76" t="str">
        <x:f>IF('03_Form_Electricite'!$K51="Validé humainement",'03_Form_Electricite'!K51,"")</x:f>
      </x:c>
      <x:c r="L51" s="76" t="str">
        <x:f>IF('03_Form_Electricite'!$K51="Validé humainement",'03_Form_Electricite'!L51,"")</x:f>
      </x:c>
      <x:c r="M51" s="78" t="str">
        <x:f>IF('03_Form_Electricite'!$K51="Validé humainement",'03_Form_Electricite'!M51,"")</x:f>
      </x:c>
      <x:c r="N51" s="76" t="str">
        <x:f>IF('03_Form_Electricite'!$K51="Validé humainement",'03_Form_Electricite'!N51,"")</x:f>
      </x:c>
      <x:c r="O51" s="76" t="str">
        <x:f>IF('03_Form_Electricite'!$K51="Validé humainement",'03_Form_Electricite'!O51,"")</x:f>
      </x:c>
      <x:c r="P51" s="76" t="str">
        <x:f>IF('03_Form_Electricite'!$K51="Validé humainement",'03_Form_Electricite'!P51,"")</x:f>
      </x:c>
    </x:row>
    <x:row r="52">
      <x:c r="A52" s="76" t="str">
        <x:f>IF('03_Form_Electricite'!$K52="Validé humainement",'03_Form_Electricite'!A52,"")</x:f>
      </x:c>
      <x:c r="B52" s="76" t="str">
        <x:f>IF('03_Form_Electricite'!$K52="Validé humainement",'03_Form_Electricite'!B52,"")</x:f>
      </x:c>
      <x:c r="C52" s="76" t="str">
        <x:f>IF('03_Form_Electricite'!$K52="Validé humainement",'03_Form_Electricite'!C52,"")</x:f>
      </x:c>
      <x:c r="D52" s="76" t="str">
        <x:f>IF('03_Form_Electricite'!$K52="Validé humainement",'03_Form_Electricite'!D52,"")</x:f>
      </x:c>
      <x:c r="E52" s="76" t="str">
        <x:f>IF('03_Form_Electricite'!$K52="Validé humainement",'03_Form_Electricite'!E52,"")</x:f>
      </x:c>
      <x:c r="F52" s="81" t="str">
        <x:f>IF('03_Form_Electricite'!$K52="Validé humainement",'03_Form_Electricite'!F52,"")</x:f>
      </x:c>
      <x:c r="G52" s="82" t="str">
        <x:f>IF('03_Form_Electricite'!$K52="Validé humainement",'03_Form_Electricite'!G52,"")</x:f>
      </x:c>
      <x:c r="H52" s="77" t="str">
        <x:f>IF('03_Form_Electricite'!$K52="Validé humainement",'03_Form_Electricite'!H52,"")</x:f>
      </x:c>
      <x:c r="I52" s="76" t="str">
        <x:f>IF('03_Form_Electricite'!$K52="Validé humainement",'03_Form_Electricite'!I52,"")</x:f>
      </x:c>
      <x:c r="J52" s="76" t="str">
        <x:f>IF('03_Form_Electricite'!$K52="Validé humainement",'03_Form_Electricite'!J52,"")</x:f>
      </x:c>
      <x:c r="K52" s="76" t="str">
        <x:f>IF('03_Form_Electricite'!$K52="Validé humainement",'03_Form_Electricite'!K52,"")</x:f>
      </x:c>
      <x:c r="L52" s="76" t="str">
        <x:f>IF('03_Form_Electricite'!$K52="Validé humainement",'03_Form_Electricite'!L52,"")</x:f>
      </x:c>
      <x:c r="M52" s="78" t="str">
        <x:f>IF('03_Form_Electricite'!$K52="Validé humainement",'03_Form_Electricite'!M52,"")</x:f>
      </x:c>
      <x:c r="N52" s="76" t="str">
        <x:f>IF('03_Form_Electricite'!$K52="Validé humainement",'03_Form_Electricite'!N52,"")</x:f>
      </x:c>
      <x:c r="O52" s="76" t="str">
        <x:f>IF('03_Form_Electricite'!$K52="Validé humainement",'03_Form_Electricite'!O52,"")</x:f>
      </x:c>
      <x:c r="P52" s="76" t="str">
        <x:f>IF('03_Form_Electricite'!$K52="Validé humainement",'03_Form_Electricite'!P52,"")</x:f>
      </x:c>
    </x:row>
    <x:row r="53">
      <x:c r="A53" s="76" t="str">
        <x:f>IF('03_Form_Electricite'!$K53="Validé humainement",'03_Form_Electricite'!A53,"")</x:f>
      </x:c>
      <x:c r="B53" s="76" t="str">
        <x:f>IF('03_Form_Electricite'!$K53="Validé humainement",'03_Form_Electricite'!B53,"")</x:f>
      </x:c>
      <x:c r="C53" s="76" t="str">
        <x:f>IF('03_Form_Electricite'!$K53="Validé humainement",'03_Form_Electricite'!C53,"")</x:f>
      </x:c>
      <x:c r="D53" s="76" t="str">
        <x:f>IF('03_Form_Electricite'!$K53="Validé humainement",'03_Form_Electricite'!D53,"")</x:f>
      </x:c>
      <x:c r="E53" s="76" t="str">
        <x:f>IF('03_Form_Electricite'!$K53="Validé humainement",'03_Form_Electricite'!E53,"")</x:f>
      </x:c>
      <x:c r="F53" s="81" t="str">
        <x:f>IF('03_Form_Electricite'!$K53="Validé humainement",'03_Form_Electricite'!F53,"")</x:f>
      </x:c>
      <x:c r="G53" s="82" t="str">
        <x:f>IF('03_Form_Electricite'!$K53="Validé humainement",'03_Form_Electricite'!G53,"")</x:f>
      </x:c>
      <x:c r="H53" s="77" t="str">
        <x:f>IF('03_Form_Electricite'!$K53="Validé humainement",'03_Form_Electricite'!H53,"")</x:f>
      </x:c>
      <x:c r="I53" s="76" t="str">
        <x:f>IF('03_Form_Electricite'!$K53="Validé humainement",'03_Form_Electricite'!I53,"")</x:f>
      </x:c>
      <x:c r="J53" s="76" t="str">
        <x:f>IF('03_Form_Electricite'!$K53="Validé humainement",'03_Form_Electricite'!J53,"")</x:f>
      </x:c>
      <x:c r="K53" s="76" t="str">
        <x:f>IF('03_Form_Electricite'!$K53="Validé humainement",'03_Form_Electricite'!K53,"")</x:f>
      </x:c>
      <x:c r="L53" s="76" t="str">
        <x:f>IF('03_Form_Electricite'!$K53="Validé humainement",'03_Form_Electricite'!L53,"")</x:f>
      </x:c>
      <x:c r="M53" s="78" t="str">
        <x:f>IF('03_Form_Electricite'!$K53="Validé humainement",'03_Form_Electricite'!M53,"")</x:f>
      </x:c>
      <x:c r="N53" s="76" t="str">
        <x:f>IF('03_Form_Electricite'!$K53="Validé humainement",'03_Form_Electricite'!N53,"")</x:f>
      </x:c>
      <x:c r="O53" s="76" t="str">
        <x:f>IF('03_Form_Electricite'!$K53="Validé humainement",'03_Form_Electricite'!O53,"")</x:f>
      </x:c>
      <x:c r="P53" s="76" t="str">
        <x:f>IF('03_Form_Electricite'!$K53="Validé humainement",'03_Form_Electricite'!P53,"")</x:f>
      </x:c>
    </x:row>
    <x:row r="54">
      <x:c r="A54" s="76" t="str">
        <x:f>IF('03_Form_Electricite'!$K54="Validé humainement",'03_Form_Electricite'!A54,"")</x:f>
      </x:c>
      <x:c r="B54" s="76" t="str">
        <x:f>IF('03_Form_Electricite'!$K54="Validé humainement",'03_Form_Electricite'!B54,"")</x:f>
      </x:c>
      <x:c r="C54" s="76" t="str">
        <x:f>IF('03_Form_Electricite'!$K54="Validé humainement",'03_Form_Electricite'!C54,"")</x:f>
      </x:c>
      <x:c r="D54" s="76" t="str">
        <x:f>IF('03_Form_Electricite'!$K54="Validé humainement",'03_Form_Electricite'!D54,"")</x:f>
      </x:c>
      <x:c r="E54" s="76" t="str">
        <x:f>IF('03_Form_Electricite'!$K54="Validé humainement",'03_Form_Electricite'!E54,"")</x:f>
      </x:c>
      <x:c r="F54" s="81" t="str">
        <x:f>IF('03_Form_Electricite'!$K54="Validé humainement",'03_Form_Electricite'!F54,"")</x:f>
      </x:c>
      <x:c r="G54" s="82" t="str">
        <x:f>IF('03_Form_Electricite'!$K54="Validé humainement",'03_Form_Electricite'!G54,"")</x:f>
      </x:c>
      <x:c r="H54" s="77" t="str">
        <x:f>IF('03_Form_Electricite'!$K54="Validé humainement",'03_Form_Electricite'!H54,"")</x:f>
      </x:c>
      <x:c r="I54" s="76" t="str">
        <x:f>IF('03_Form_Electricite'!$K54="Validé humainement",'03_Form_Electricite'!I54,"")</x:f>
      </x:c>
      <x:c r="J54" s="76" t="str">
        <x:f>IF('03_Form_Electricite'!$K54="Validé humainement",'03_Form_Electricite'!J54,"")</x:f>
      </x:c>
      <x:c r="K54" s="76" t="str">
        <x:f>IF('03_Form_Electricite'!$K54="Validé humainement",'03_Form_Electricite'!K54,"")</x:f>
      </x:c>
      <x:c r="L54" s="76" t="str">
        <x:f>IF('03_Form_Electricite'!$K54="Validé humainement",'03_Form_Electricite'!L54,"")</x:f>
      </x:c>
      <x:c r="M54" s="78" t="str">
        <x:f>IF('03_Form_Electricite'!$K54="Validé humainement",'03_Form_Electricite'!M54,"")</x:f>
      </x:c>
      <x:c r="N54" s="76" t="str">
        <x:f>IF('03_Form_Electricite'!$K54="Validé humainement",'03_Form_Electricite'!N54,"")</x:f>
      </x:c>
      <x:c r="O54" s="76" t="str">
        <x:f>IF('03_Form_Electricite'!$K54="Validé humainement",'03_Form_Electricite'!O54,"")</x:f>
      </x:c>
      <x:c r="P54" s="76" t="str">
        <x:f>IF('03_Form_Electricite'!$K54="Validé humainement",'03_Form_Electricite'!P54,"")</x:f>
      </x:c>
    </x:row>
    <x:row r="55">
      <x:c r="A55" s="76" t="str">
        <x:f>IF('03_Form_Electricite'!$K55="Validé humainement",'03_Form_Electricite'!A55,"")</x:f>
      </x:c>
      <x:c r="B55" s="76" t="str">
        <x:f>IF('03_Form_Electricite'!$K55="Validé humainement",'03_Form_Electricite'!B55,"")</x:f>
      </x:c>
      <x:c r="C55" s="76" t="str">
        <x:f>IF('03_Form_Electricite'!$K55="Validé humainement",'03_Form_Electricite'!C55,"")</x:f>
      </x:c>
      <x:c r="D55" s="76" t="str">
        <x:f>IF('03_Form_Electricite'!$K55="Validé humainement",'03_Form_Electricite'!D55,"")</x:f>
      </x:c>
      <x:c r="E55" s="76" t="str">
        <x:f>IF('03_Form_Electricite'!$K55="Validé humainement",'03_Form_Electricite'!E55,"")</x:f>
      </x:c>
      <x:c r="F55" s="81" t="str">
        <x:f>IF('03_Form_Electricite'!$K55="Validé humainement",'03_Form_Electricite'!F55,"")</x:f>
      </x:c>
      <x:c r="G55" s="82" t="str">
        <x:f>IF('03_Form_Electricite'!$K55="Validé humainement",'03_Form_Electricite'!G55,"")</x:f>
      </x:c>
      <x:c r="H55" s="77" t="str">
        <x:f>IF('03_Form_Electricite'!$K55="Validé humainement",'03_Form_Electricite'!H55,"")</x:f>
      </x:c>
      <x:c r="I55" s="76" t="str">
        <x:f>IF('03_Form_Electricite'!$K55="Validé humainement",'03_Form_Electricite'!I55,"")</x:f>
      </x:c>
      <x:c r="J55" s="76" t="str">
        <x:f>IF('03_Form_Electricite'!$K55="Validé humainement",'03_Form_Electricite'!J55,"")</x:f>
      </x:c>
      <x:c r="K55" s="76" t="str">
        <x:f>IF('03_Form_Electricite'!$K55="Validé humainement",'03_Form_Electricite'!K55,"")</x:f>
      </x:c>
      <x:c r="L55" s="76" t="str">
        <x:f>IF('03_Form_Electricite'!$K55="Validé humainement",'03_Form_Electricite'!L55,"")</x:f>
      </x:c>
      <x:c r="M55" s="78" t="str">
        <x:f>IF('03_Form_Electricite'!$K55="Validé humainement",'03_Form_Electricite'!M55,"")</x:f>
      </x:c>
      <x:c r="N55" s="76" t="str">
        <x:f>IF('03_Form_Electricite'!$K55="Validé humainement",'03_Form_Electricite'!N55,"")</x:f>
      </x:c>
      <x:c r="O55" s="76" t="str">
        <x:f>IF('03_Form_Electricite'!$K55="Validé humainement",'03_Form_Electricite'!O55,"")</x:f>
      </x:c>
      <x:c r="P55" s="76" t="str">
        <x:f>IF('03_Form_Electricite'!$K55="Validé humainement",'03_Form_Electricite'!P55,"")</x:f>
      </x:c>
    </x:row>
    <x:row r="56">
      <x:c r="A56" s="76" t="str">
        <x:f>IF('03_Form_Electricite'!$K56="Validé humainement",'03_Form_Electricite'!A56,"")</x:f>
      </x:c>
      <x:c r="B56" s="76" t="str">
        <x:f>IF('03_Form_Electricite'!$K56="Validé humainement",'03_Form_Electricite'!B56,"")</x:f>
      </x:c>
      <x:c r="C56" s="76" t="str">
        <x:f>IF('03_Form_Electricite'!$K56="Validé humainement",'03_Form_Electricite'!C56,"")</x:f>
      </x:c>
      <x:c r="D56" s="76" t="str">
        <x:f>IF('03_Form_Electricite'!$K56="Validé humainement",'03_Form_Electricite'!D56,"")</x:f>
      </x:c>
      <x:c r="E56" s="76" t="str">
        <x:f>IF('03_Form_Electricite'!$K56="Validé humainement",'03_Form_Electricite'!E56,"")</x:f>
      </x:c>
      <x:c r="F56" s="81" t="str">
        <x:f>IF('03_Form_Electricite'!$K56="Validé humainement",'03_Form_Electricite'!F56,"")</x:f>
      </x:c>
      <x:c r="G56" s="82" t="str">
        <x:f>IF('03_Form_Electricite'!$K56="Validé humainement",'03_Form_Electricite'!G56,"")</x:f>
      </x:c>
      <x:c r="H56" s="77" t="str">
        <x:f>IF('03_Form_Electricite'!$K56="Validé humainement",'03_Form_Electricite'!H56,"")</x:f>
      </x:c>
      <x:c r="I56" s="76" t="str">
        <x:f>IF('03_Form_Electricite'!$K56="Validé humainement",'03_Form_Electricite'!I56,"")</x:f>
      </x:c>
      <x:c r="J56" s="76" t="str">
        <x:f>IF('03_Form_Electricite'!$K56="Validé humainement",'03_Form_Electricite'!J56,"")</x:f>
      </x:c>
      <x:c r="K56" s="76" t="str">
        <x:f>IF('03_Form_Electricite'!$K56="Validé humainement",'03_Form_Electricite'!K56,"")</x:f>
      </x:c>
      <x:c r="L56" s="76" t="str">
        <x:f>IF('03_Form_Electricite'!$K56="Validé humainement",'03_Form_Electricite'!L56,"")</x:f>
      </x:c>
      <x:c r="M56" s="78" t="str">
        <x:f>IF('03_Form_Electricite'!$K56="Validé humainement",'03_Form_Electricite'!M56,"")</x:f>
      </x:c>
      <x:c r="N56" s="76" t="str">
        <x:f>IF('03_Form_Electricite'!$K56="Validé humainement",'03_Form_Electricite'!N56,"")</x:f>
      </x:c>
      <x:c r="O56" s="76" t="str">
        <x:f>IF('03_Form_Electricite'!$K56="Validé humainement",'03_Form_Electricite'!O56,"")</x:f>
      </x:c>
      <x:c r="P56" s="76" t="str">
        <x:f>IF('03_Form_Electricite'!$K56="Validé humainement",'03_Form_Electricite'!P56,"")</x:f>
      </x:c>
    </x:row>
    <x:row r="57">
      <x:c r="A57" s="76" t="str">
        <x:f>IF('03_Form_Electricite'!$K57="Validé humainement",'03_Form_Electricite'!A57,"")</x:f>
      </x:c>
      <x:c r="B57" s="76" t="str">
        <x:f>IF('03_Form_Electricite'!$K57="Validé humainement",'03_Form_Electricite'!B57,"")</x:f>
      </x:c>
      <x:c r="C57" s="76" t="str">
        <x:f>IF('03_Form_Electricite'!$K57="Validé humainement",'03_Form_Electricite'!C57,"")</x:f>
      </x:c>
      <x:c r="D57" s="76" t="str">
        <x:f>IF('03_Form_Electricite'!$K57="Validé humainement",'03_Form_Electricite'!D57,"")</x:f>
      </x:c>
      <x:c r="E57" s="76" t="str">
        <x:f>IF('03_Form_Electricite'!$K57="Validé humainement",'03_Form_Electricite'!E57,"")</x:f>
      </x:c>
      <x:c r="F57" s="81" t="str">
        <x:f>IF('03_Form_Electricite'!$K57="Validé humainement",'03_Form_Electricite'!F57,"")</x:f>
      </x:c>
      <x:c r="G57" s="82" t="str">
        <x:f>IF('03_Form_Electricite'!$K57="Validé humainement",'03_Form_Electricite'!G57,"")</x:f>
      </x:c>
      <x:c r="H57" s="77" t="str">
        <x:f>IF('03_Form_Electricite'!$K57="Validé humainement",'03_Form_Electricite'!H57,"")</x:f>
      </x:c>
      <x:c r="I57" s="76" t="str">
        <x:f>IF('03_Form_Electricite'!$K57="Validé humainement",'03_Form_Electricite'!I57,"")</x:f>
      </x:c>
      <x:c r="J57" s="76" t="str">
        <x:f>IF('03_Form_Electricite'!$K57="Validé humainement",'03_Form_Electricite'!J57,"")</x:f>
      </x:c>
      <x:c r="K57" s="76" t="str">
        <x:f>IF('03_Form_Electricite'!$K57="Validé humainement",'03_Form_Electricite'!K57,"")</x:f>
      </x:c>
      <x:c r="L57" s="76" t="str">
        <x:f>IF('03_Form_Electricite'!$K57="Validé humainement",'03_Form_Electricite'!L57,"")</x:f>
      </x:c>
      <x:c r="M57" s="78" t="str">
        <x:f>IF('03_Form_Electricite'!$K57="Validé humainement",'03_Form_Electricite'!M57,"")</x:f>
      </x:c>
      <x:c r="N57" s="76" t="str">
        <x:f>IF('03_Form_Electricite'!$K57="Validé humainement",'03_Form_Electricite'!N57,"")</x:f>
      </x:c>
      <x:c r="O57" s="76" t="str">
        <x:f>IF('03_Form_Electricite'!$K57="Validé humainement",'03_Form_Electricite'!O57,"")</x:f>
      </x:c>
      <x:c r="P57" s="76" t="str">
        <x:f>IF('03_Form_Electricite'!$K57="Validé humainement",'03_Form_Electricite'!P57,"")</x:f>
      </x:c>
    </x:row>
    <x:row r="58">
      <x:c r="A58" s="76" t="str">
        <x:f>IF('03_Form_Electricite'!$K58="Validé humainement",'03_Form_Electricite'!A58,"")</x:f>
      </x:c>
      <x:c r="B58" s="76" t="str">
        <x:f>IF('03_Form_Electricite'!$K58="Validé humainement",'03_Form_Electricite'!B58,"")</x:f>
      </x:c>
      <x:c r="C58" s="76" t="str">
        <x:f>IF('03_Form_Electricite'!$K58="Validé humainement",'03_Form_Electricite'!C58,"")</x:f>
      </x:c>
      <x:c r="D58" s="76" t="str">
        <x:f>IF('03_Form_Electricite'!$K58="Validé humainement",'03_Form_Electricite'!D58,"")</x:f>
      </x:c>
      <x:c r="E58" s="76" t="str">
        <x:f>IF('03_Form_Electricite'!$K58="Validé humainement",'03_Form_Electricite'!E58,"")</x:f>
      </x:c>
      <x:c r="F58" s="81" t="str">
        <x:f>IF('03_Form_Electricite'!$K58="Validé humainement",'03_Form_Electricite'!F58,"")</x:f>
      </x:c>
      <x:c r="G58" s="82" t="str">
        <x:f>IF('03_Form_Electricite'!$K58="Validé humainement",'03_Form_Electricite'!G58,"")</x:f>
      </x:c>
      <x:c r="H58" s="77" t="str">
        <x:f>IF('03_Form_Electricite'!$K58="Validé humainement",'03_Form_Electricite'!H58,"")</x:f>
      </x:c>
      <x:c r="I58" s="76" t="str">
        <x:f>IF('03_Form_Electricite'!$K58="Validé humainement",'03_Form_Electricite'!I58,"")</x:f>
      </x:c>
      <x:c r="J58" s="76" t="str">
        <x:f>IF('03_Form_Electricite'!$K58="Validé humainement",'03_Form_Electricite'!J58,"")</x:f>
      </x:c>
      <x:c r="K58" s="76" t="str">
        <x:f>IF('03_Form_Electricite'!$K58="Validé humainement",'03_Form_Electricite'!K58,"")</x:f>
      </x:c>
      <x:c r="L58" s="76" t="str">
        <x:f>IF('03_Form_Electricite'!$K58="Validé humainement",'03_Form_Electricite'!L58,"")</x:f>
      </x:c>
      <x:c r="M58" s="78" t="str">
        <x:f>IF('03_Form_Electricite'!$K58="Validé humainement",'03_Form_Electricite'!M58,"")</x:f>
      </x:c>
      <x:c r="N58" s="76" t="str">
        <x:f>IF('03_Form_Electricite'!$K58="Validé humainement",'03_Form_Electricite'!N58,"")</x:f>
      </x:c>
      <x:c r="O58" s="76" t="str">
        <x:f>IF('03_Form_Electricite'!$K58="Validé humainement",'03_Form_Electricite'!O58,"")</x:f>
      </x:c>
      <x:c r="P58" s="76" t="str">
        <x:f>IF('03_Form_Electricite'!$K58="Validé humainement",'03_Form_Electricite'!P58,"")</x:f>
      </x:c>
    </x:row>
    <x:row r="59">
      <x:c r="A59" s="76" t="str">
        <x:f>IF('03_Form_Electricite'!$K59="Validé humainement",'03_Form_Electricite'!A59,"")</x:f>
      </x:c>
      <x:c r="B59" s="76" t="str">
        <x:f>IF('03_Form_Electricite'!$K59="Validé humainement",'03_Form_Electricite'!B59,"")</x:f>
      </x:c>
      <x:c r="C59" s="76" t="str">
        <x:f>IF('03_Form_Electricite'!$K59="Validé humainement",'03_Form_Electricite'!C59,"")</x:f>
      </x:c>
      <x:c r="D59" s="76" t="str">
        <x:f>IF('03_Form_Electricite'!$K59="Validé humainement",'03_Form_Electricite'!D59,"")</x:f>
      </x:c>
      <x:c r="E59" s="76" t="str">
        <x:f>IF('03_Form_Electricite'!$K59="Validé humainement",'03_Form_Electricite'!E59,"")</x:f>
      </x:c>
      <x:c r="F59" s="81" t="str">
        <x:f>IF('03_Form_Electricite'!$K59="Validé humainement",'03_Form_Electricite'!F59,"")</x:f>
      </x:c>
      <x:c r="G59" s="82" t="str">
        <x:f>IF('03_Form_Electricite'!$K59="Validé humainement",'03_Form_Electricite'!G59,"")</x:f>
      </x:c>
      <x:c r="H59" s="77" t="str">
        <x:f>IF('03_Form_Electricite'!$K59="Validé humainement",'03_Form_Electricite'!H59,"")</x:f>
      </x:c>
      <x:c r="I59" s="76" t="str">
        <x:f>IF('03_Form_Electricite'!$K59="Validé humainement",'03_Form_Electricite'!I59,"")</x:f>
      </x:c>
      <x:c r="J59" s="76" t="str">
        <x:f>IF('03_Form_Electricite'!$K59="Validé humainement",'03_Form_Electricite'!J59,"")</x:f>
      </x:c>
      <x:c r="K59" s="76" t="str">
        <x:f>IF('03_Form_Electricite'!$K59="Validé humainement",'03_Form_Electricite'!K59,"")</x:f>
      </x:c>
      <x:c r="L59" s="76" t="str">
        <x:f>IF('03_Form_Electricite'!$K59="Validé humainement",'03_Form_Electricite'!L59,"")</x:f>
      </x:c>
      <x:c r="M59" s="78" t="str">
        <x:f>IF('03_Form_Electricite'!$K59="Validé humainement",'03_Form_Electricite'!M59,"")</x:f>
      </x:c>
      <x:c r="N59" s="76" t="str">
        <x:f>IF('03_Form_Electricite'!$K59="Validé humainement",'03_Form_Electricite'!N59,"")</x:f>
      </x:c>
      <x:c r="O59" s="76" t="str">
        <x:f>IF('03_Form_Electricite'!$K59="Validé humainement",'03_Form_Electricite'!O59,"")</x:f>
      </x:c>
      <x:c r="P59" s="76" t="str">
        <x:f>IF('03_Form_Electricite'!$K59="Validé humainement",'03_Form_Electricite'!P59,"")</x:f>
      </x:c>
    </x:row>
    <x:row r="60">
      <x:c r="A60" s="76" t="str">
        <x:f>IF('03_Form_Electricite'!$K60="Validé humainement",'03_Form_Electricite'!A60,"")</x:f>
      </x:c>
      <x:c r="B60" s="76" t="str">
        <x:f>IF('03_Form_Electricite'!$K60="Validé humainement",'03_Form_Electricite'!B60,"")</x:f>
      </x:c>
      <x:c r="C60" s="76" t="str">
        <x:f>IF('03_Form_Electricite'!$K60="Validé humainement",'03_Form_Electricite'!C60,"")</x:f>
      </x:c>
      <x:c r="D60" s="76" t="str">
        <x:f>IF('03_Form_Electricite'!$K60="Validé humainement",'03_Form_Electricite'!D60,"")</x:f>
      </x:c>
      <x:c r="E60" s="76" t="str">
        <x:f>IF('03_Form_Electricite'!$K60="Validé humainement",'03_Form_Electricite'!E60,"")</x:f>
      </x:c>
      <x:c r="F60" s="81" t="str">
        <x:f>IF('03_Form_Electricite'!$K60="Validé humainement",'03_Form_Electricite'!F60,"")</x:f>
      </x:c>
      <x:c r="G60" s="82" t="str">
        <x:f>IF('03_Form_Electricite'!$K60="Validé humainement",'03_Form_Electricite'!G60,"")</x:f>
      </x:c>
      <x:c r="H60" s="77" t="str">
        <x:f>IF('03_Form_Electricite'!$K60="Validé humainement",'03_Form_Electricite'!H60,"")</x:f>
      </x:c>
      <x:c r="I60" s="76" t="str">
        <x:f>IF('03_Form_Electricite'!$K60="Validé humainement",'03_Form_Electricite'!I60,"")</x:f>
      </x:c>
      <x:c r="J60" s="76" t="str">
        <x:f>IF('03_Form_Electricite'!$K60="Validé humainement",'03_Form_Electricite'!J60,"")</x:f>
      </x:c>
      <x:c r="K60" s="76" t="str">
        <x:f>IF('03_Form_Electricite'!$K60="Validé humainement",'03_Form_Electricite'!K60,"")</x:f>
      </x:c>
      <x:c r="L60" s="76" t="str">
        <x:f>IF('03_Form_Electricite'!$K60="Validé humainement",'03_Form_Electricite'!L60,"")</x:f>
      </x:c>
      <x:c r="M60" s="78" t="str">
        <x:f>IF('03_Form_Electricite'!$K60="Validé humainement",'03_Form_Electricite'!M60,"")</x:f>
      </x:c>
      <x:c r="N60" s="76" t="str">
        <x:f>IF('03_Form_Electricite'!$K60="Validé humainement",'03_Form_Electricite'!N60,"")</x:f>
      </x:c>
      <x:c r="O60" s="76" t="str">
        <x:f>IF('03_Form_Electricite'!$K60="Validé humainement",'03_Form_Electricite'!O60,"")</x:f>
      </x:c>
      <x:c r="P60" s="76" t="str">
        <x:f>IF('03_Form_Electricite'!$K60="Validé humainement",'03_Form_Electricite'!P60,"")</x:f>
      </x:c>
    </x:row>
    <x:row r="61">
      <x:c r="A61" s="76" t="str">
        <x:f>IF('03_Form_Electricite'!$K61="Validé humainement",'03_Form_Electricite'!A61,"")</x:f>
      </x:c>
      <x:c r="B61" s="76" t="str">
        <x:f>IF('03_Form_Electricite'!$K61="Validé humainement",'03_Form_Electricite'!B61,"")</x:f>
      </x:c>
      <x:c r="C61" s="76" t="str">
        <x:f>IF('03_Form_Electricite'!$K61="Validé humainement",'03_Form_Electricite'!C61,"")</x:f>
      </x:c>
      <x:c r="D61" s="76" t="str">
        <x:f>IF('03_Form_Electricite'!$K61="Validé humainement",'03_Form_Electricite'!D61,"")</x:f>
      </x:c>
      <x:c r="E61" s="76" t="str">
        <x:f>IF('03_Form_Electricite'!$K61="Validé humainement",'03_Form_Electricite'!E61,"")</x:f>
      </x:c>
      <x:c r="F61" s="81" t="str">
        <x:f>IF('03_Form_Electricite'!$K61="Validé humainement",'03_Form_Electricite'!F61,"")</x:f>
      </x:c>
      <x:c r="G61" s="82" t="str">
        <x:f>IF('03_Form_Electricite'!$K61="Validé humainement",'03_Form_Electricite'!G61,"")</x:f>
      </x:c>
      <x:c r="H61" s="77" t="str">
        <x:f>IF('03_Form_Electricite'!$K61="Validé humainement",'03_Form_Electricite'!H61,"")</x:f>
      </x:c>
      <x:c r="I61" s="76" t="str">
        <x:f>IF('03_Form_Electricite'!$K61="Validé humainement",'03_Form_Electricite'!I61,"")</x:f>
      </x:c>
      <x:c r="J61" s="76" t="str">
        <x:f>IF('03_Form_Electricite'!$K61="Validé humainement",'03_Form_Electricite'!J61,"")</x:f>
      </x:c>
      <x:c r="K61" s="76" t="str">
        <x:f>IF('03_Form_Electricite'!$K61="Validé humainement",'03_Form_Electricite'!K61,"")</x:f>
      </x:c>
      <x:c r="L61" s="76" t="str">
        <x:f>IF('03_Form_Electricite'!$K61="Validé humainement",'03_Form_Electricite'!L61,"")</x:f>
      </x:c>
      <x:c r="M61" s="78" t="str">
        <x:f>IF('03_Form_Electricite'!$K61="Validé humainement",'03_Form_Electricite'!M61,"")</x:f>
      </x:c>
      <x:c r="N61" s="76" t="str">
        <x:f>IF('03_Form_Electricite'!$K61="Validé humainement",'03_Form_Electricite'!N61,"")</x:f>
      </x:c>
      <x:c r="O61" s="76" t="str">
        <x:f>IF('03_Form_Electricite'!$K61="Validé humainement",'03_Form_Electricite'!O61,"")</x:f>
      </x:c>
      <x:c r="P61" s="76" t="str">
        <x:f>IF('03_Form_Electricite'!$K61="Validé humainement",'03_Form_Electricite'!P61,"")</x:f>
      </x:c>
    </x:row>
    <x:row r="62">
      <x:c r="A62" s="76" t="str">
        <x:f>IF('03_Form_Electricite'!$K62="Validé humainement",'03_Form_Electricite'!A62,"")</x:f>
      </x:c>
      <x:c r="B62" s="76" t="str">
        <x:f>IF('03_Form_Electricite'!$K62="Validé humainement",'03_Form_Electricite'!B62,"")</x:f>
      </x:c>
      <x:c r="C62" s="76" t="str">
        <x:f>IF('03_Form_Electricite'!$K62="Validé humainement",'03_Form_Electricite'!C62,"")</x:f>
      </x:c>
      <x:c r="D62" s="76" t="str">
        <x:f>IF('03_Form_Electricite'!$K62="Validé humainement",'03_Form_Electricite'!D62,"")</x:f>
      </x:c>
      <x:c r="E62" s="76" t="str">
        <x:f>IF('03_Form_Electricite'!$K62="Validé humainement",'03_Form_Electricite'!E62,"")</x:f>
      </x:c>
      <x:c r="F62" s="81" t="str">
        <x:f>IF('03_Form_Electricite'!$K62="Validé humainement",'03_Form_Electricite'!F62,"")</x:f>
      </x:c>
      <x:c r="G62" s="82" t="str">
        <x:f>IF('03_Form_Electricite'!$K62="Validé humainement",'03_Form_Electricite'!G62,"")</x:f>
      </x:c>
      <x:c r="H62" s="77" t="str">
        <x:f>IF('03_Form_Electricite'!$K62="Validé humainement",'03_Form_Electricite'!H62,"")</x:f>
      </x:c>
      <x:c r="I62" s="76" t="str">
        <x:f>IF('03_Form_Electricite'!$K62="Validé humainement",'03_Form_Electricite'!I62,"")</x:f>
      </x:c>
      <x:c r="J62" s="76" t="str">
        <x:f>IF('03_Form_Electricite'!$K62="Validé humainement",'03_Form_Electricite'!J62,"")</x:f>
      </x:c>
      <x:c r="K62" s="76" t="str">
        <x:f>IF('03_Form_Electricite'!$K62="Validé humainement",'03_Form_Electricite'!K62,"")</x:f>
      </x:c>
      <x:c r="L62" s="76" t="str">
        <x:f>IF('03_Form_Electricite'!$K62="Validé humainement",'03_Form_Electricite'!L62,"")</x:f>
      </x:c>
      <x:c r="M62" s="78" t="str">
        <x:f>IF('03_Form_Electricite'!$K62="Validé humainement",'03_Form_Electricite'!M62,"")</x:f>
      </x:c>
      <x:c r="N62" s="76" t="str">
        <x:f>IF('03_Form_Electricite'!$K62="Validé humainement",'03_Form_Electricite'!N62,"")</x:f>
      </x:c>
      <x:c r="O62" s="76" t="str">
        <x:f>IF('03_Form_Electricite'!$K62="Validé humainement",'03_Form_Electricite'!O62,"")</x:f>
      </x:c>
      <x:c r="P62" s="76" t="str">
        <x:f>IF('03_Form_Electricite'!$K62="Validé humainement",'03_Form_Electricite'!P62,"")</x:f>
      </x:c>
    </x:row>
    <x:row r="63">
      <x:c r="A63" s="76" t="str">
        <x:f>IF('03_Form_Electricite'!$K63="Validé humainement",'03_Form_Electricite'!A63,"")</x:f>
      </x:c>
      <x:c r="B63" s="76" t="str">
        <x:f>IF('03_Form_Electricite'!$K63="Validé humainement",'03_Form_Electricite'!B63,"")</x:f>
      </x:c>
      <x:c r="C63" s="76" t="str">
        <x:f>IF('03_Form_Electricite'!$K63="Validé humainement",'03_Form_Electricite'!C63,"")</x:f>
      </x:c>
      <x:c r="D63" s="76" t="str">
        <x:f>IF('03_Form_Electricite'!$K63="Validé humainement",'03_Form_Electricite'!D63,"")</x:f>
      </x:c>
      <x:c r="E63" s="76" t="str">
        <x:f>IF('03_Form_Electricite'!$K63="Validé humainement",'03_Form_Electricite'!E63,"")</x:f>
      </x:c>
      <x:c r="F63" s="81" t="str">
        <x:f>IF('03_Form_Electricite'!$K63="Validé humainement",'03_Form_Electricite'!F63,"")</x:f>
      </x:c>
      <x:c r="G63" s="82" t="str">
        <x:f>IF('03_Form_Electricite'!$K63="Validé humainement",'03_Form_Electricite'!G63,"")</x:f>
      </x:c>
      <x:c r="H63" s="77" t="str">
        <x:f>IF('03_Form_Electricite'!$K63="Validé humainement",'03_Form_Electricite'!H63,"")</x:f>
      </x:c>
      <x:c r="I63" s="76" t="str">
        <x:f>IF('03_Form_Electricite'!$K63="Validé humainement",'03_Form_Electricite'!I63,"")</x:f>
      </x:c>
      <x:c r="J63" s="76" t="str">
        <x:f>IF('03_Form_Electricite'!$K63="Validé humainement",'03_Form_Electricite'!J63,"")</x:f>
      </x:c>
      <x:c r="K63" s="76" t="str">
        <x:f>IF('03_Form_Electricite'!$K63="Validé humainement",'03_Form_Electricite'!K63,"")</x:f>
      </x:c>
      <x:c r="L63" s="76" t="str">
        <x:f>IF('03_Form_Electricite'!$K63="Validé humainement",'03_Form_Electricite'!L63,"")</x:f>
      </x:c>
      <x:c r="M63" s="78" t="str">
        <x:f>IF('03_Form_Electricite'!$K63="Validé humainement",'03_Form_Electricite'!M63,"")</x:f>
      </x:c>
      <x:c r="N63" s="76" t="str">
        <x:f>IF('03_Form_Electricite'!$K63="Validé humainement",'03_Form_Electricite'!N63,"")</x:f>
      </x:c>
      <x:c r="O63" s="76" t="str">
        <x:f>IF('03_Form_Electricite'!$K63="Validé humainement",'03_Form_Electricite'!O63,"")</x:f>
      </x:c>
      <x:c r="P63" s="76" t="str">
        <x:f>IF('03_Form_Electricite'!$K63="Validé humainement",'03_Form_Electricite'!P63,"")</x:f>
      </x:c>
    </x:row>
    <x:row r="64">
      <x:c r="A64" s="76" t="str">
        <x:f>IF('03_Form_Electricite'!$K64="Validé humainement",'03_Form_Electricite'!A64,"")</x:f>
      </x:c>
      <x:c r="B64" s="76" t="str">
        <x:f>IF('03_Form_Electricite'!$K64="Validé humainement",'03_Form_Electricite'!B64,"")</x:f>
      </x:c>
      <x:c r="C64" s="76" t="str">
        <x:f>IF('03_Form_Electricite'!$K64="Validé humainement",'03_Form_Electricite'!C64,"")</x:f>
      </x:c>
      <x:c r="D64" s="76" t="str">
        <x:f>IF('03_Form_Electricite'!$K64="Validé humainement",'03_Form_Electricite'!D64,"")</x:f>
      </x:c>
      <x:c r="E64" s="76" t="str">
        <x:f>IF('03_Form_Electricite'!$K64="Validé humainement",'03_Form_Electricite'!E64,"")</x:f>
      </x:c>
      <x:c r="F64" s="81" t="str">
        <x:f>IF('03_Form_Electricite'!$K64="Validé humainement",'03_Form_Electricite'!F64,"")</x:f>
      </x:c>
      <x:c r="G64" s="82" t="str">
        <x:f>IF('03_Form_Electricite'!$K64="Validé humainement",'03_Form_Electricite'!G64,"")</x:f>
      </x:c>
      <x:c r="H64" s="77" t="str">
        <x:f>IF('03_Form_Electricite'!$K64="Validé humainement",'03_Form_Electricite'!H64,"")</x:f>
      </x:c>
      <x:c r="I64" s="76" t="str">
        <x:f>IF('03_Form_Electricite'!$K64="Validé humainement",'03_Form_Electricite'!I64,"")</x:f>
      </x:c>
      <x:c r="J64" s="76" t="str">
        <x:f>IF('03_Form_Electricite'!$K64="Validé humainement",'03_Form_Electricite'!J64,"")</x:f>
      </x:c>
      <x:c r="K64" s="76" t="str">
        <x:f>IF('03_Form_Electricite'!$K64="Validé humainement",'03_Form_Electricite'!K64,"")</x:f>
      </x:c>
      <x:c r="L64" s="76" t="str">
        <x:f>IF('03_Form_Electricite'!$K64="Validé humainement",'03_Form_Electricite'!L64,"")</x:f>
      </x:c>
      <x:c r="M64" s="78" t="str">
        <x:f>IF('03_Form_Electricite'!$K64="Validé humainement",'03_Form_Electricite'!M64,"")</x:f>
      </x:c>
      <x:c r="N64" s="76" t="str">
        <x:f>IF('03_Form_Electricite'!$K64="Validé humainement",'03_Form_Electricite'!N64,"")</x:f>
      </x:c>
      <x:c r="O64" s="76" t="str">
        <x:f>IF('03_Form_Electricite'!$K64="Validé humainement",'03_Form_Electricite'!O64,"")</x:f>
      </x:c>
      <x:c r="P64" s="76" t="str">
        <x:f>IF('03_Form_Electricite'!$K64="Validé humainement",'03_Form_Electricite'!P64,"")</x:f>
      </x:c>
    </x:row>
    <x:row r="65">
      <x:c r="A65" s="76" t="str">
        <x:f>IF('03_Form_Electricite'!$K65="Validé humainement",'03_Form_Electricite'!A65,"")</x:f>
      </x:c>
      <x:c r="B65" s="76" t="str">
        <x:f>IF('03_Form_Electricite'!$K65="Validé humainement",'03_Form_Electricite'!B65,"")</x:f>
      </x:c>
      <x:c r="C65" s="76" t="str">
        <x:f>IF('03_Form_Electricite'!$K65="Validé humainement",'03_Form_Electricite'!C65,"")</x:f>
      </x:c>
      <x:c r="D65" s="76" t="str">
        <x:f>IF('03_Form_Electricite'!$K65="Validé humainement",'03_Form_Electricite'!D65,"")</x:f>
      </x:c>
      <x:c r="E65" s="76" t="str">
        <x:f>IF('03_Form_Electricite'!$K65="Validé humainement",'03_Form_Electricite'!E65,"")</x:f>
      </x:c>
      <x:c r="F65" s="81" t="str">
        <x:f>IF('03_Form_Electricite'!$K65="Validé humainement",'03_Form_Electricite'!F65,"")</x:f>
      </x:c>
      <x:c r="G65" s="82" t="str">
        <x:f>IF('03_Form_Electricite'!$K65="Validé humainement",'03_Form_Electricite'!G65,"")</x:f>
      </x:c>
      <x:c r="H65" s="77" t="str">
        <x:f>IF('03_Form_Electricite'!$K65="Validé humainement",'03_Form_Electricite'!H65,"")</x:f>
      </x:c>
      <x:c r="I65" s="76" t="str">
        <x:f>IF('03_Form_Electricite'!$K65="Validé humainement",'03_Form_Electricite'!I65,"")</x:f>
      </x:c>
      <x:c r="J65" s="76" t="str">
        <x:f>IF('03_Form_Electricite'!$K65="Validé humainement",'03_Form_Electricite'!J65,"")</x:f>
      </x:c>
      <x:c r="K65" s="76" t="str">
        <x:f>IF('03_Form_Electricite'!$K65="Validé humainement",'03_Form_Electricite'!K65,"")</x:f>
      </x:c>
      <x:c r="L65" s="76" t="str">
        <x:f>IF('03_Form_Electricite'!$K65="Validé humainement",'03_Form_Electricite'!L65,"")</x:f>
      </x:c>
      <x:c r="M65" s="78" t="str">
        <x:f>IF('03_Form_Electricite'!$K65="Validé humainement",'03_Form_Electricite'!M65,"")</x:f>
      </x:c>
      <x:c r="N65" s="76" t="str">
        <x:f>IF('03_Form_Electricite'!$K65="Validé humainement",'03_Form_Electricite'!N65,"")</x:f>
      </x:c>
      <x:c r="O65" s="76" t="str">
        <x:f>IF('03_Form_Electricite'!$K65="Validé humainement",'03_Form_Electricite'!O65,"")</x:f>
      </x:c>
      <x:c r="P65" s="76" t="str">
        <x:f>IF('03_Form_Electricite'!$K65="Validé humainement",'03_Form_Electricite'!P65,"")</x:f>
      </x:c>
    </x:row>
    <x:row r="66">
      <x:c r="A66" s="76" t="str">
        <x:f>IF('03_Form_Electricite'!$K66="Validé humainement",'03_Form_Electricite'!A66,"")</x:f>
      </x:c>
      <x:c r="B66" s="76" t="str">
        <x:f>IF('03_Form_Electricite'!$K66="Validé humainement",'03_Form_Electricite'!B66,"")</x:f>
      </x:c>
      <x:c r="C66" s="76" t="str">
        <x:f>IF('03_Form_Electricite'!$K66="Validé humainement",'03_Form_Electricite'!C66,"")</x:f>
      </x:c>
      <x:c r="D66" s="76" t="str">
        <x:f>IF('03_Form_Electricite'!$K66="Validé humainement",'03_Form_Electricite'!D66,"")</x:f>
      </x:c>
      <x:c r="E66" s="76" t="str">
        <x:f>IF('03_Form_Electricite'!$K66="Validé humainement",'03_Form_Electricite'!E66,"")</x:f>
      </x:c>
      <x:c r="F66" s="81" t="str">
        <x:f>IF('03_Form_Electricite'!$K66="Validé humainement",'03_Form_Electricite'!F66,"")</x:f>
      </x:c>
      <x:c r="G66" s="82" t="str">
        <x:f>IF('03_Form_Electricite'!$K66="Validé humainement",'03_Form_Electricite'!G66,"")</x:f>
      </x:c>
      <x:c r="H66" s="77" t="str">
        <x:f>IF('03_Form_Electricite'!$K66="Validé humainement",'03_Form_Electricite'!H66,"")</x:f>
      </x:c>
      <x:c r="I66" s="76" t="str">
        <x:f>IF('03_Form_Electricite'!$K66="Validé humainement",'03_Form_Electricite'!I66,"")</x:f>
      </x:c>
      <x:c r="J66" s="76" t="str">
        <x:f>IF('03_Form_Electricite'!$K66="Validé humainement",'03_Form_Electricite'!J66,"")</x:f>
      </x:c>
      <x:c r="K66" s="76" t="str">
        <x:f>IF('03_Form_Electricite'!$K66="Validé humainement",'03_Form_Electricite'!K66,"")</x:f>
      </x:c>
      <x:c r="L66" s="76" t="str">
        <x:f>IF('03_Form_Electricite'!$K66="Validé humainement",'03_Form_Electricite'!L66,"")</x:f>
      </x:c>
      <x:c r="M66" s="78" t="str">
        <x:f>IF('03_Form_Electricite'!$K66="Validé humainement",'03_Form_Electricite'!M66,"")</x:f>
      </x:c>
      <x:c r="N66" s="76" t="str">
        <x:f>IF('03_Form_Electricite'!$K66="Validé humainement",'03_Form_Electricite'!N66,"")</x:f>
      </x:c>
      <x:c r="O66" s="76" t="str">
        <x:f>IF('03_Form_Electricite'!$K66="Validé humainement",'03_Form_Electricite'!O66,"")</x:f>
      </x:c>
      <x:c r="P66" s="76" t="str">
        <x:f>IF('03_Form_Electricite'!$K66="Validé humainement",'03_Form_Electricite'!P66,"")</x:f>
      </x:c>
    </x:row>
    <x:row r="67">
      <x:c r="A67" s="76" t="str">
        <x:f>IF('03_Form_Electricite'!$K67="Validé humainement",'03_Form_Electricite'!A67,"")</x:f>
      </x:c>
      <x:c r="B67" s="76" t="str">
        <x:f>IF('03_Form_Electricite'!$K67="Validé humainement",'03_Form_Electricite'!B67,"")</x:f>
      </x:c>
      <x:c r="C67" s="76" t="str">
        <x:f>IF('03_Form_Electricite'!$K67="Validé humainement",'03_Form_Electricite'!C67,"")</x:f>
      </x:c>
      <x:c r="D67" s="76" t="str">
        <x:f>IF('03_Form_Electricite'!$K67="Validé humainement",'03_Form_Electricite'!D67,"")</x:f>
      </x:c>
      <x:c r="E67" s="76" t="str">
        <x:f>IF('03_Form_Electricite'!$K67="Validé humainement",'03_Form_Electricite'!E67,"")</x:f>
      </x:c>
      <x:c r="F67" s="81" t="str">
        <x:f>IF('03_Form_Electricite'!$K67="Validé humainement",'03_Form_Electricite'!F67,"")</x:f>
      </x:c>
      <x:c r="G67" s="82" t="str">
        <x:f>IF('03_Form_Electricite'!$K67="Validé humainement",'03_Form_Electricite'!G67,"")</x:f>
      </x:c>
      <x:c r="H67" s="77" t="str">
        <x:f>IF('03_Form_Electricite'!$K67="Validé humainement",'03_Form_Electricite'!H67,"")</x:f>
      </x:c>
      <x:c r="I67" s="76" t="str">
        <x:f>IF('03_Form_Electricite'!$K67="Validé humainement",'03_Form_Electricite'!I67,"")</x:f>
      </x:c>
      <x:c r="J67" s="76" t="str">
        <x:f>IF('03_Form_Electricite'!$K67="Validé humainement",'03_Form_Electricite'!J67,"")</x:f>
      </x:c>
      <x:c r="K67" s="76" t="str">
        <x:f>IF('03_Form_Electricite'!$K67="Validé humainement",'03_Form_Electricite'!K67,"")</x:f>
      </x:c>
      <x:c r="L67" s="76" t="str">
        <x:f>IF('03_Form_Electricite'!$K67="Validé humainement",'03_Form_Electricite'!L67,"")</x:f>
      </x:c>
      <x:c r="M67" s="78" t="str">
        <x:f>IF('03_Form_Electricite'!$K67="Validé humainement",'03_Form_Electricite'!M67,"")</x:f>
      </x:c>
      <x:c r="N67" s="76" t="str">
        <x:f>IF('03_Form_Electricite'!$K67="Validé humainement",'03_Form_Electricite'!N67,"")</x:f>
      </x:c>
      <x:c r="O67" s="76" t="str">
        <x:f>IF('03_Form_Electricite'!$K67="Validé humainement",'03_Form_Electricite'!O67,"")</x:f>
      </x:c>
      <x:c r="P67" s="76" t="str">
        <x:f>IF('03_Form_Electricite'!$K67="Validé humainement",'03_Form_Electricite'!P67,"")</x:f>
      </x:c>
    </x:row>
    <x:row r="68">
      <x:c r="A68" s="76" t="str">
        <x:f>IF('03_Form_Electricite'!$K68="Validé humainement",'03_Form_Electricite'!A68,"")</x:f>
      </x:c>
      <x:c r="B68" s="76" t="str">
        <x:f>IF('03_Form_Electricite'!$K68="Validé humainement",'03_Form_Electricite'!B68,"")</x:f>
      </x:c>
      <x:c r="C68" s="76" t="str">
        <x:f>IF('03_Form_Electricite'!$K68="Validé humainement",'03_Form_Electricite'!C68,"")</x:f>
      </x:c>
      <x:c r="D68" s="76" t="str">
        <x:f>IF('03_Form_Electricite'!$K68="Validé humainement",'03_Form_Electricite'!D68,"")</x:f>
      </x:c>
      <x:c r="E68" s="76" t="str">
        <x:f>IF('03_Form_Electricite'!$K68="Validé humainement",'03_Form_Electricite'!E68,"")</x:f>
      </x:c>
      <x:c r="F68" s="81" t="str">
        <x:f>IF('03_Form_Electricite'!$K68="Validé humainement",'03_Form_Electricite'!F68,"")</x:f>
      </x:c>
      <x:c r="G68" s="82" t="str">
        <x:f>IF('03_Form_Electricite'!$K68="Validé humainement",'03_Form_Electricite'!G68,"")</x:f>
      </x:c>
      <x:c r="H68" s="77" t="str">
        <x:f>IF('03_Form_Electricite'!$K68="Validé humainement",'03_Form_Electricite'!H68,"")</x:f>
      </x:c>
      <x:c r="I68" s="76" t="str">
        <x:f>IF('03_Form_Electricite'!$K68="Validé humainement",'03_Form_Electricite'!I68,"")</x:f>
      </x:c>
      <x:c r="J68" s="76" t="str">
        <x:f>IF('03_Form_Electricite'!$K68="Validé humainement",'03_Form_Electricite'!J68,"")</x:f>
      </x:c>
      <x:c r="K68" s="76" t="str">
        <x:f>IF('03_Form_Electricite'!$K68="Validé humainement",'03_Form_Electricite'!K68,"")</x:f>
      </x:c>
      <x:c r="L68" s="76" t="str">
        <x:f>IF('03_Form_Electricite'!$K68="Validé humainement",'03_Form_Electricite'!L68,"")</x:f>
      </x:c>
      <x:c r="M68" s="78" t="str">
        <x:f>IF('03_Form_Electricite'!$K68="Validé humainement",'03_Form_Electricite'!M68,"")</x:f>
      </x:c>
      <x:c r="N68" s="76" t="str">
        <x:f>IF('03_Form_Electricite'!$K68="Validé humainement",'03_Form_Electricite'!N68,"")</x:f>
      </x:c>
      <x:c r="O68" s="76" t="str">
        <x:f>IF('03_Form_Electricite'!$K68="Validé humainement",'03_Form_Electricite'!O68,"")</x:f>
      </x:c>
      <x:c r="P68" s="76" t="str">
        <x:f>IF('03_Form_Electricite'!$K68="Validé humainement",'03_Form_Electricite'!P68,"")</x:f>
      </x:c>
    </x:row>
    <x:row r="69">
      <x:c r="A69" s="76" t="str">
        <x:f>IF('03_Form_Electricite'!$K69="Validé humainement",'03_Form_Electricite'!A69,"")</x:f>
      </x:c>
      <x:c r="B69" s="76" t="str">
        <x:f>IF('03_Form_Electricite'!$K69="Validé humainement",'03_Form_Electricite'!B69,"")</x:f>
      </x:c>
      <x:c r="C69" s="76" t="str">
        <x:f>IF('03_Form_Electricite'!$K69="Validé humainement",'03_Form_Electricite'!C69,"")</x:f>
      </x:c>
      <x:c r="D69" s="76" t="str">
        <x:f>IF('03_Form_Electricite'!$K69="Validé humainement",'03_Form_Electricite'!D69,"")</x:f>
      </x:c>
      <x:c r="E69" s="76" t="str">
        <x:f>IF('03_Form_Electricite'!$K69="Validé humainement",'03_Form_Electricite'!E69,"")</x:f>
      </x:c>
      <x:c r="F69" s="81" t="str">
        <x:f>IF('03_Form_Electricite'!$K69="Validé humainement",'03_Form_Electricite'!F69,"")</x:f>
      </x:c>
      <x:c r="G69" s="82" t="str">
        <x:f>IF('03_Form_Electricite'!$K69="Validé humainement",'03_Form_Electricite'!G69,"")</x:f>
      </x:c>
      <x:c r="H69" s="77" t="str">
        <x:f>IF('03_Form_Electricite'!$K69="Validé humainement",'03_Form_Electricite'!H69,"")</x:f>
      </x:c>
      <x:c r="I69" s="76" t="str">
        <x:f>IF('03_Form_Electricite'!$K69="Validé humainement",'03_Form_Electricite'!I69,"")</x:f>
      </x:c>
      <x:c r="J69" s="76" t="str">
        <x:f>IF('03_Form_Electricite'!$K69="Validé humainement",'03_Form_Electricite'!J69,"")</x:f>
      </x:c>
      <x:c r="K69" s="76" t="str">
        <x:f>IF('03_Form_Electricite'!$K69="Validé humainement",'03_Form_Electricite'!K69,"")</x:f>
      </x:c>
      <x:c r="L69" s="76" t="str">
        <x:f>IF('03_Form_Electricite'!$K69="Validé humainement",'03_Form_Electricite'!L69,"")</x:f>
      </x:c>
      <x:c r="M69" s="78" t="str">
        <x:f>IF('03_Form_Electricite'!$K69="Validé humainement",'03_Form_Electricite'!M69,"")</x:f>
      </x:c>
      <x:c r="N69" s="76" t="str">
        <x:f>IF('03_Form_Electricite'!$K69="Validé humainement",'03_Form_Electricite'!N69,"")</x:f>
      </x:c>
      <x:c r="O69" s="76" t="str">
        <x:f>IF('03_Form_Electricite'!$K69="Validé humainement",'03_Form_Electricite'!O69,"")</x:f>
      </x:c>
      <x:c r="P69" s="76" t="str">
        <x:f>IF('03_Form_Electricite'!$K69="Validé humainement",'03_Form_Electricite'!P69,"")</x:f>
      </x:c>
    </x:row>
    <x:row r="70">
      <x:c r="A70" s="76" t="str">
        <x:f>IF('03_Form_Electricite'!$K70="Validé humainement",'03_Form_Electricite'!A70,"")</x:f>
      </x:c>
      <x:c r="B70" s="76" t="str">
        <x:f>IF('03_Form_Electricite'!$K70="Validé humainement",'03_Form_Electricite'!B70,"")</x:f>
      </x:c>
      <x:c r="C70" s="76" t="str">
        <x:f>IF('03_Form_Electricite'!$K70="Validé humainement",'03_Form_Electricite'!C70,"")</x:f>
      </x:c>
      <x:c r="D70" s="76" t="str">
        <x:f>IF('03_Form_Electricite'!$K70="Validé humainement",'03_Form_Electricite'!D70,"")</x:f>
      </x:c>
      <x:c r="E70" s="76" t="str">
        <x:f>IF('03_Form_Electricite'!$K70="Validé humainement",'03_Form_Electricite'!E70,"")</x:f>
      </x:c>
      <x:c r="F70" s="81" t="str">
        <x:f>IF('03_Form_Electricite'!$K70="Validé humainement",'03_Form_Electricite'!F70,"")</x:f>
      </x:c>
      <x:c r="G70" s="82" t="str">
        <x:f>IF('03_Form_Electricite'!$K70="Validé humainement",'03_Form_Electricite'!G70,"")</x:f>
      </x:c>
      <x:c r="H70" s="77" t="str">
        <x:f>IF('03_Form_Electricite'!$K70="Validé humainement",'03_Form_Electricite'!H70,"")</x:f>
      </x:c>
      <x:c r="I70" s="76" t="str">
        <x:f>IF('03_Form_Electricite'!$K70="Validé humainement",'03_Form_Electricite'!I70,"")</x:f>
      </x:c>
      <x:c r="J70" s="76" t="str">
        <x:f>IF('03_Form_Electricite'!$K70="Validé humainement",'03_Form_Electricite'!J70,"")</x:f>
      </x:c>
      <x:c r="K70" s="76" t="str">
        <x:f>IF('03_Form_Electricite'!$K70="Validé humainement",'03_Form_Electricite'!K70,"")</x:f>
      </x:c>
      <x:c r="L70" s="76" t="str">
        <x:f>IF('03_Form_Electricite'!$K70="Validé humainement",'03_Form_Electricite'!L70,"")</x:f>
      </x:c>
      <x:c r="M70" s="78" t="str">
        <x:f>IF('03_Form_Electricite'!$K70="Validé humainement",'03_Form_Electricite'!M70,"")</x:f>
      </x:c>
      <x:c r="N70" s="76" t="str">
        <x:f>IF('03_Form_Electricite'!$K70="Validé humainement",'03_Form_Electricite'!N70,"")</x:f>
      </x:c>
      <x:c r="O70" s="76" t="str">
        <x:f>IF('03_Form_Electricite'!$K70="Validé humainement",'03_Form_Electricite'!O70,"")</x:f>
      </x:c>
      <x:c r="P70" s="76" t="str">
        <x:f>IF('03_Form_Electricite'!$K70="Validé humainement",'03_Form_Electricite'!P70,"")</x:f>
      </x:c>
    </x:row>
    <x:row r="71">
      <x:c r="A71" s="76" t="str">
        <x:f>IF('03_Form_Electricite'!$K71="Validé humainement",'03_Form_Electricite'!A71,"")</x:f>
      </x:c>
      <x:c r="B71" s="76" t="str">
        <x:f>IF('03_Form_Electricite'!$K71="Validé humainement",'03_Form_Electricite'!B71,"")</x:f>
      </x:c>
      <x:c r="C71" s="76" t="str">
        <x:f>IF('03_Form_Electricite'!$K71="Validé humainement",'03_Form_Electricite'!C71,"")</x:f>
      </x:c>
      <x:c r="D71" s="76" t="str">
        <x:f>IF('03_Form_Electricite'!$K71="Validé humainement",'03_Form_Electricite'!D71,"")</x:f>
      </x:c>
      <x:c r="E71" s="76" t="str">
        <x:f>IF('03_Form_Electricite'!$K71="Validé humainement",'03_Form_Electricite'!E71,"")</x:f>
      </x:c>
      <x:c r="F71" s="81" t="str">
        <x:f>IF('03_Form_Electricite'!$K71="Validé humainement",'03_Form_Electricite'!F71,"")</x:f>
      </x:c>
      <x:c r="G71" s="82" t="str">
        <x:f>IF('03_Form_Electricite'!$K71="Validé humainement",'03_Form_Electricite'!G71,"")</x:f>
      </x:c>
      <x:c r="H71" s="77" t="str">
        <x:f>IF('03_Form_Electricite'!$K71="Validé humainement",'03_Form_Electricite'!H71,"")</x:f>
      </x:c>
      <x:c r="I71" s="76" t="str">
        <x:f>IF('03_Form_Electricite'!$K71="Validé humainement",'03_Form_Electricite'!I71,"")</x:f>
      </x:c>
      <x:c r="J71" s="76" t="str">
        <x:f>IF('03_Form_Electricite'!$K71="Validé humainement",'03_Form_Electricite'!J71,"")</x:f>
      </x:c>
      <x:c r="K71" s="76" t="str">
        <x:f>IF('03_Form_Electricite'!$K71="Validé humainement",'03_Form_Electricite'!K71,"")</x:f>
      </x:c>
      <x:c r="L71" s="76" t="str">
        <x:f>IF('03_Form_Electricite'!$K71="Validé humainement",'03_Form_Electricite'!L71,"")</x:f>
      </x:c>
      <x:c r="M71" s="78" t="str">
        <x:f>IF('03_Form_Electricite'!$K71="Validé humainement",'03_Form_Electricite'!M71,"")</x:f>
      </x:c>
      <x:c r="N71" s="76" t="str">
        <x:f>IF('03_Form_Electricite'!$K71="Validé humainement",'03_Form_Electricite'!N71,"")</x:f>
      </x:c>
      <x:c r="O71" s="76" t="str">
        <x:f>IF('03_Form_Electricite'!$K71="Validé humainement",'03_Form_Electricite'!O71,"")</x:f>
      </x:c>
      <x:c r="P71" s="76" t="str">
        <x:f>IF('03_Form_Electricite'!$K71="Validé humainement",'03_Form_Electricite'!P71,"")</x:f>
      </x:c>
    </x:row>
    <x:row r="72">
      <x:c r="A72" s="76" t="str">
        <x:f>IF('03_Form_Electricite'!$K72="Validé humainement",'03_Form_Electricite'!A72,"")</x:f>
      </x:c>
      <x:c r="B72" s="76" t="str">
        <x:f>IF('03_Form_Electricite'!$K72="Validé humainement",'03_Form_Electricite'!B72,"")</x:f>
      </x:c>
      <x:c r="C72" s="76" t="str">
        <x:f>IF('03_Form_Electricite'!$K72="Validé humainement",'03_Form_Electricite'!C72,"")</x:f>
      </x:c>
      <x:c r="D72" s="76" t="str">
        <x:f>IF('03_Form_Electricite'!$K72="Validé humainement",'03_Form_Electricite'!D72,"")</x:f>
      </x:c>
      <x:c r="E72" s="76" t="str">
        <x:f>IF('03_Form_Electricite'!$K72="Validé humainement",'03_Form_Electricite'!E72,"")</x:f>
      </x:c>
      <x:c r="F72" s="81" t="str">
        <x:f>IF('03_Form_Electricite'!$K72="Validé humainement",'03_Form_Electricite'!F72,"")</x:f>
      </x:c>
      <x:c r="G72" s="82" t="str">
        <x:f>IF('03_Form_Electricite'!$K72="Validé humainement",'03_Form_Electricite'!G72,"")</x:f>
      </x:c>
      <x:c r="H72" s="77" t="str">
        <x:f>IF('03_Form_Electricite'!$K72="Validé humainement",'03_Form_Electricite'!H72,"")</x:f>
      </x:c>
      <x:c r="I72" s="76" t="str">
        <x:f>IF('03_Form_Electricite'!$K72="Validé humainement",'03_Form_Electricite'!I72,"")</x:f>
      </x:c>
      <x:c r="J72" s="76" t="str">
        <x:f>IF('03_Form_Electricite'!$K72="Validé humainement",'03_Form_Electricite'!J72,"")</x:f>
      </x:c>
      <x:c r="K72" s="76" t="str">
        <x:f>IF('03_Form_Electricite'!$K72="Validé humainement",'03_Form_Electricite'!K72,"")</x:f>
      </x:c>
      <x:c r="L72" s="76" t="str">
        <x:f>IF('03_Form_Electricite'!$K72="Validé humainement",'03_Form_Electricite'!L72,"")</x:f>
      </x:c>
      <x:c r="M72" s="78" t="str">
        <x:f>IF('03_Form_Electricite'!$K72="Validé humainement",'03_Form_Electricite'!M72,"")</x:f>
      </x:c>
      <x:c r="N72" s="76" t="str">
        <x:f>IF('03_Form_Electricite'!$K72="Validé humainement",'03_Form_Electricite'!N72,"")</x:f>
      </x:c>
      <x:c r="O72" s="76" t="str">
        <x:f>IF('03_Form_Electricite'!$K72="Validé humainement",'03_Form_Electricite'!O72,"")</x:f>
      </x:c>
      <x:c r="P72" s="76" t="str">
        <x:f>IF('03_Form_Electricite'!$K72="Validé humainement",'03_Form_Electricite'!P72,"")</x:f>
      </x:c>
    </x:row>
    <x:row r="73">
      <x:c r="A73" s="76" t="str">
        <x:f>IF('03_Form_Electricite'!$K73="Validé humainement",'03_Form_Electricite'!A73,"")</x:f>
      </x:c>
      <x:c r="B73" s="76" t="str">
        <x:f>IF('03_Form_Electricite'!$K73="Validé humainement",'03_Form_Electricite'!B73,"")</x:f>
      </x:c>
      <x:c r="C73" s="76" t="str">
        <x:f>IF('03_Form_Electricite'!$K73="Validé humainement",'03_Form_Electricite'!C73,"")</x:f>
      </x:c>
      <x:c r="D73" s="76" t="str">
        <x:f>IF('03_Form_Electricite'!$K73="Validé humainement",'03_Form_Electricite'!D73,"")</x:f>
      </x:c>
      <x:c r="E73" s="76" t="str">
        <x:f>IF('03_Form_Electricite'!$K73="Validé humainement",'03_Form_Electricite'!E73,"")</x:f>
      </x:c>
      <x:c r="F73" s="81" t="str">
        <x:f>IF('03_Form_Electricite'!$K73="Validé humainement",'03_Form_Electricite'!F73,"")</x:f>
      </x:c>
      <x:c r="G73" s="82" t="str">
        <x:f>IF('03_Form_Electricite'!$K73="Validé humainement",'03_Form_Electricite'!G73,"")</x:f>
      </x:c>
      <x:c r="H73" s="77" t="str">
        <x:f>IF('03_Form_Electricite'!$K73="Validé humainement",'03_Form_Electricite'!H73,"")</x:f>
      </x:c>
      <x:c r="I73" s="76" t="str">
        <x:f>IF('03_Form_Electricite'!$K73="Validé humainement",'03_Form_Electricite'!I73,"")</x:f>
      </x:c>
      <x:c r="J73" s="76" t="str">
        <x:f>IF('03_Form_Electricite'!$K73="Validé humainement",'03_Form_Electricite'!J73,"")</x:f>
      </x:c>
      <x:c r="K73" s="76" t="str">
        <x:f>IF('03_Form_Electricite'!$K73="Validé humainement",'03_Form_Electricite'!K73,"")</x:f>
      </x:c>
      <x:c r="L73" s="76" t="str">
        <x:f>IF('03_Form_Electricite'!$K73="Validé humainement",'03_Form_Electricite'!L73,"")</x:f>
      </x:c>
      <x:c r="M73" s="78" t="str">
        <x:f>IF('03_Form_Electricite'!$K73="Validé humainement",'03_Form_Electricite'!M73,"")</x:f>
      </x:c>
      <x:c r="N73" s="76" t="str">
        <x:f>IF('03_Form_Electricite'!$K73="Validé humainement",'03_Form_Electricite'!N73,"")</x:f>
      </x:c>
      <x:c r="O73" s="76" t="str">
        <x:f>IF('03_Form_Electricite'!$K73="Validé humainement",'03_Form_Electricite'!O73,"")</x:f>
      </x:c>
      <x:c r="P73" s="76" t="str">
        <x:f>IF('03_Form_Electricite'!$K73="Validé humainement",'03_Form_Electricite'!P73,"")</x:f>
      </x:c>
    </x:row>
    <x:row r="74">
      <x:c r="A74" s="76" t="str">
        <x:f>IF('03_Form_Electricite'!$K74="Validé humainement",'03_Form_Electricite'!A74,"")</x:f>
      </x:c>
      <x:c r="B74" s="76" t="str">
        <x:f>IF('03_Form_Electricite'!$K74="Validé humainement",'03_Form_Electricite'!B74,"")</x:f>
      </x:c>
      <x:c r="C74" s="76" t="str">
        <x:f>IF('03_Form_Electricite'!$K74="Validé humainement",'03_Form_Electricite'!C74,"")</x:f>
      </x:c>
      <x:c r="D74" s="76" t="str">
        <x:f>IF('03_Form_Electricite'!$K74="Validé humainement",'03_Form_Electricite'!D74,"")</x:f>
      </x:c>
      <x:c r="E74" s="76" t="str">
        <x:f>IF('03_Form_Electricite'!$K74="Validé humainement",'03_Form_Electricite'!E74,"")</x:f>
      </x:c>
      <x:c r="F74" s="81" t="str">
        <x:f>IF('03_Form_Electricite'!$K74="Validé humainement",'03_Form_Electricite'!F74,"")</x:f>
      </x:c>
      <x:c r="G74" s="82" t="str">
        <x:f>IF('03_Form_Electricite'!$K74="Validé humainement",'03_Form_Electricite'!G74,"")</x:f>
      </x:c>
      <x:c r="H74" s="77" t="str">
        <x:f>IF('03_Form_Electricite'!$K74="Validé humainement",'03_Form_Electricite'!H74,"")</x:f>
      </x:c>
      <x:c r="I74" s="76" t="str">
        <x:f>IF('03_Form_Electricite'!$K74="Validé humainement",'03_Form_Electricite'!I74,"")</x:f>
      </x:c>
      <x:c r="J74" s="76" t="str">
        <x:f>IF('03_Form_Electricite'!$K74="Validé humainement",'03_Form_Electricite'!J74,"")</x:f>
      </x:c>
      <x:c r="K74" s="76" t="str">
        <x:f>IF('03_Form_Electricite'!$K74="Validé humainement",'03_Form_Electricite'!K74,"")</x:f>
      </x:c>
      <x:c r="L74" s="76" t="str">
        <x:f>IF('03_Form_Electricite'!$K74="Validé humainement",'03_Form_Electricite'!L74,"")</x:f>
      </x:c>
      <x:c r="M74" s="78" t="str">
        <x:f>IF('03_Form_Electricite'!$K74="Validé humainement",'03_Form_Electricite'!M74,"")</x:f>
      </x:c>
      <x:c r="N74" s="76" t="str">
        <x:f>IF('03_Form_Electricite'!$K74="Validé humainement",'03_Form_Electricite'!N74,"")</x:f>
      </x:c>
      <x:c r="O74" s="76" t="str">
        <x:f>IF('03_Form_Electricite'!$K74="Validé humainement",'03_Form_Electricite'!O74,"")</x:f>
      </x:c>
      <x:c r="P74" s="76" t="str">
        <x:f>IF('03_Form_Electricite'!$K74="Validé humainement",'03_Form_Electricite'!P74,"")</x:f>
      </x:c>
    </x:row>
    <x:row r="75">
      <x:c r="A75" s="76" t="str">
        <x:f>IF('03_Form_Electricite'!$K75="Validé humainement",'03_Form_Electricite'!A75,"")</x:f>
      </x:c>
      <x:c r="B75" s="76" t="str">
        <x:f>IF('03_Form_Electricite'!$K75="Validé humainement",'03_Form_Electricite'!B75,"")</x:f>
      </x:c>
      <x:c r="C75" s="76" t="str">
        <x:f>IF('03_Form_Electricite'!$K75="Validé humainement",'03_Form_Electricite'!C75,"")</x:f>
      </x:c>
      <x:c r="D75" s="76" t="str">
        <x:f>IF('03_Form_Electricite'!$K75="Validé humainement",'03_Form_Electricite'!D75,"")</x:f>
      </x:c>
      <x:c r="E75" s="76" t="str">
        <x:f>IF('03_Form_Electricite'!$K75="Validé humainement",'03_Form_Electricite'!E75,"")</x:f>
      </x:c>
      <x:c r="F75" s="81" t="str">
        <x:f>IF('03_Form_Electricite'!$K75="Validé humainement",'03_Form_Electricite'!F75,"")</x:f>
      </x:c>
      <x:c r="G75" s="82" t="str">
        <x:f>IF('03_Form_Electricite'!$K75="Validé humainement",'03_Form_Electricite'!G75,"")</x:f>
      </x:c>
      <x:c r="H75" s="77" t="str">
        <x:f>IF('03_Form_Electricite'!$K75="Validé humainement",'03_Form_Electricite'!H75,"")</x:f>
      </x:c>
      <x:c r="I75" s="76" t="str">
        <x:f>IF('03_Form_Electricite'!$K75="Validé humainement",'03_Form_Electricite'!I75,"")</x:f>
      </x:c>
      <x:c r="J75" s="76" t="str">
        <x:f>IF('03_Form_Electricite'!$K75="Validé humainement",'03_Form_Electricite'!J75,"")</x:f>
      </x:c>
      <x:c r="K75" s="76" t="str">
        <x:f>IF('03_Form_Electricite'!$K75="Validé humainement",'03_Form_Electricite'!K75,"")</x:f>
      </x:c>
      <x:c r="L75" s="76" t="str">
        <x:f>IF('03_Form_Electricite'!$K75="Validé humainement",'03_Form_Electricite'!L75,"")</x:f>
      </x:c>
      <x:c r="M75" s="78" t="str">
        <x:f>IF('03_Form_Electricite'!$K75="Validé humainement",'03_Form_Electricite'!M75,"")</x:f>
      </x:c>
      <x:c r="N75" s="76" t="str">
        <x:f>IF('03_Form_Electricite'!$K75="Validé humainement",'03_Form_Electricite'!N75,"")</x:f>
      </x:c>
      <x:c r="O75" s="76" t="str">
        <x:f>IF('03_Form_Electricite'!$K75="Validé humainement",'03_Form_Electricite'!O75,"")</x:f>
      </x:c>
      <x:c r="P75" s="76" t="str">
        <x:f>IF('03_Form_Electricite'!$K75="Validé humainement",'03_Form_Electricite'!P75,"")</x:f>
      </x:c>
    </x:row>
    <x:row r="76">
      <x:c r="A76" s="76" t="str">
        <x:f>IF('03_Form_Electricite'!$K76="Validé humainement",'03_Form_Electricite'!A76,"")</x:f>
      </x:c>
      <x:c r="B76" s="76" t="str">
        <x:f>IF('03_Form_Electricite'!$K76="Validé humainement",'03_Form_Electricite'!B76,"")</x:f>
      </x:c>
      <x:c r="C76" s="76" t="str">
        <x:f>IF('03_Form_Electricite'!$K76="Validé humainement",'03_Form_Electricite'!C76,"")</x:f>
      </x:c>
      <x:c r="D76" s="76" t="str">
        <x:f>IF('03_Form_Electricite'!$K76="Validé humainement",'03_Form_Electricite'!D76,"")</x:f>
      </x:c>
      <x:c r="E76" s="76" t="str">
        <x:f>IF('03_Form_Electricite'!$K76="Validé humainement",'03_Form_Electricite'!E76,"")</x:f>
      </x:c>
      <x:c r="F76" s="81" t="str">
        <x:f>IF('03_Form_Electricite'!$K76="Validé humainement",'03_Form_Electricite'!F76,"")</x:f>
      </x:c>
      <x:c r="G76" s="82" t="str">
        <x:f>IF('03_Form_Electricite'!$K76="Validé humainement",'03_Form_Electricite'!G76,"")</x:f>
      </x:c>
      <x:c r="H76" s="77" t="str">
        <x:f>IF('03_Form_Electricite'!$K76="Validé humainement",'03_Form_Electricite'!H76,"")</x:f>
      </x:c>
      <x:c r="I76" s="76" t="str">
        <x:f>IF('03_Form_Electricite'!$K76="Validé humainement",'03_Form_Electricite'!I76,"")</x:f>
      </x:c>
      <x:c r="J76" s="76" t="str">
        <x:f>IF('03_Form_Electricite'!$K76="Validé humainement",'03_Form_Electricite'!J76,"")</x:f>
      </x:c>
      <x:c r="K76" s="76" t="str">
        <x:f>IF('03_Form_Electricite'!$K76="Validé humainement",'03_Form_Electricite'!K76,"")</x:f>
      </x:c>
      <x:c r="L76" s="76" t="str">
        <x:f>IF('03_Form_Electricite'!$K76="Validé humainement",'03_Form_Electricite'!L76,"")</x:f>
      </x:c>
      <x:c r="M76" s="78" t="str">
        <x:f>IF('03_Form_Electricite'!$K76="Validé humainement",'03_Form_Electricite'!M76,"")</x:f>
      </x:c>
      <x:c r="N76" s="76" t="str">
        <x:f>IF('03_Form_Electricite'!$K76="Validé humainement",'03_Form_Electricite'!N76,"")</x:f>
      </x:c>
      <x:c r="O76" s="76" t="str">
        <x:f>IF('03_Form_Electricite'!$K76="Validé humainement",'03_Form_Electricite'!O76,"")</x:f>
      </x:c>
      <x:c r="P76" s="76" t="str">
        <x:f>IF('03_Form_Electricite'!$K76="Validé humainement",'03_Form_Electricite'!P76,"")</x:f>
      </x:c>
    </x:row>
    <x:row r="77">
      <x:c r="A77" s="76" t="str">
        <x:f>IF('03_Form_Electricite'!$K77="Validé humainement",'03_Form_Electricite'!A77,"")</x:f>
      </x:c>
      <x:c r="B77" s="76" t="str">
        <x:f>IF('03_Form_Electricite'!$K77="Validé humainement",'03_Form_Electricite'!B77,"")</x:f>
      </x:c>
      <x:c r="C77" s="76" t="str">
        <x:f>IF('03_Form_Electricite'!$K77="Validé humainement",'03_Form_Electricite'!C77,"")</x:f>
      </x:c>
      <x:c r="D77" s="76" t="str">
        <x:f>IF('03_Form_Electricite'!$K77="Validé humainement",'03_Form_Electricite'!D77,"")</x:f>
      </x:c>
      <x:c r="E77" s="76" t="str">
        <x:f>IF('03_Form_Electricite'!$K77="Validé humainement",'03_Form_Electricite'!E77,"")</x:f>
      </x:c>
      <x:c r="F77" s="81" t="str">
        <x:f>IF('03_Form_Electricite'!$K77="Validé humainement",'03_Form_Electricite'!F77,"")</x:f>
      </x:c>
      <x:c r="G77" s="82" t="str">
        <x:f>IF('03_Form_Electricite'!$K77="Validé humainement",'03_Form_Electricite'!G77,"")</x:f>
      </x:c>
      <x:c r="H77" s="77" t="str">
        <x:f>IF('03_Form_Electricite'!$K77="Validé humainement",'03_Form_Electricite'!H77,"")</x:f>
      </x:c>
      <x:c r="I77" s="76" t="str">
        <x:f>IF('03_Form_Electricite'!$K77="Validé humainement",'03_Form_Electricite'!I77,"")</x:f>
      </x:c>
      <x:c r="J77" s="76" t="str">
        <x:f>IF('03_Form_Electricite'!$K77="Validé humainement",'03_Form_Electricite'!J77,"")</x:f>
      </x:c>
      <x:c r="K77" s="76" t="str">
        <x:f>IF('03_Form_Electricite'!$K77="Validé humainement",'03_Form_Electricite'!K77,"")</x:f>
      </x:c>
      <x:c r="L77" s="76" t="str">
        <x:f>IF('03_Form_Electricite'!$K77="Validé humainement",'03_Form_Electricite'!L77,"")</x:f>
      </x:c>
      <x:c r="M77" s="78" t="str">
        <x:f>IF('03_Form_Electricite'!$K77="Validé humainement",'03_Form_Electricite'!M77,"")</x:f>
      </x:c>
      <x:c r="N77" s="76" t="str">
        <x:f>IF('03_Form_Electricite'!$K77="Validé humainement",'03_Form_Electricite'!N77,"")</x:f>
      </x:c>
      <x:c r="O77" s="76" t="str">
        <x:f>IF('03_Form_Electricite'!$K77="Validé humainement",'03_Form_Electricite'!O77,"")</x:f>
      </x:c>
      <x:c r="P77" s="76" t="str">
        <x:f>IF('03_Form_Electricite'!$K77="Validé humainement",'03_Form_Electricite'!P77,"")</x:f>
      </x:c>
    </x:row>
    <x:row r="78">
      <x:c r="A78" s="76" t="str">
        <x:f>IF('03_Form_Electricite'!$K78="Validé humainement",'03_Form_Electricite'!A78,"")</x:f>
      </x:c>
      <x:c r="B78" s="76" t="str">
        <x:f>IF('03_Form_Electricite'!$K78="Validé humainement",'03_Form_Electricite'!B78,"")</x:f>
      </x:c>
      <x:c r="C78" s="76" t="str">
        <x:f>IF('03_Form_Electricite'!$K78="Validé humainement",'03_Form_Electricite'!C78,"")</x:f>
      </x:c>
      <x:c r="D78" s="76" t="str">
        <x:f>IF('03_Form_Electricite'!$K78="Validé humainement",'03_Form_Electricite'!D78,"")</x:f>
      </x:c>
      <x:c r="E78" s="76" t="str">
        <x:f>IF('03_Form_Electricite'!$K78="Validé humainement",'03_Form_Electricite'!E78,"")</x:f>
      </x:c>
      <x:c r="F78" s="81" t="str">
        <x:f>IF('03_Form_Electricite'!$K78="Validé humainement",'03_Form_Electricite'!F78,"")</x:f>
      </x:c>
      <x:c r="G78" s="82" t="str">
        <x:f>IF('03_Form_Electricite'!$K78="Validé humainement",'03_Form_Electricite'!G78,"")</x:f>
      </x:c>
      <x:c r="H78" s="77" t="str">
        <x:f>IF('03_Form_Electricite'!$K78="Validé humainement",'03_Form_Electricite'!H78,"")</x:f>
      </x:c>
      <x:c r="I78" s="76" t="str">
        <x:f>IF('03_Form_Electricite'!$K78="Validé humainement",'03_Form_Electricite'!I78,"")</x:f>
      </x:c>
      <x:c r="J78" s="76" t="str">
        <x:f>IF('03_Form_Electricite'!$K78="Validé humainement",'03_Form_Electricite'!J78,"")</x:f>
      </x:c>
      <x:c r="K78" s="76" t="str">
        <x:f>IF('03_Form_Electricite'!$K78="Validé humainement",'03_Form_Electricite'!K78,"")</x:f>
      </x:c>
      <x:c r="L78" s="76" t="str">
        <x:f>IF('03_Form_Electricite'!$K78="Validé humainement",'03_Form_Electricite'!L78,"")</x:f>
      </x:c>
      <x:c r="M78" s="78" t="str">
        <x:f>IF('03_Form_Electricite'!$K78="Validé humainement",'03_Form_Electricite'!M78,"")</x:f>
      </x:c>
      <x:c r="N78" s="76" t="str">
        <x:f>IF('03_Form_Electricite'!$K78="Validé humainement",'03_Form_Electricite'!N78,"")</x:f>
      </x:c>
      <x:c r="O78" s="76" t="str">
        <x:f>IF('03_Form_Electricite'!$K78="Validé humainement",'03_Form_Electricite'!O78,"")</x:f>
      </x:c>
      <x:c r="P78" s="76" t="str">
        <x:f>IF('03_Form_Electricite'!$K78="Validé humainement",'03_Form_Electricite'!P78,"")</x:f>
      </x:c>
    </x:row>
    <x:row r="79">
      <x:c r="A79" s="76" t="str">
        <x:f>IF('03_Form_Electricite'!$K79="Validé humainement",'03_Form_Electricite'!A79,"")</x:f>
      </x:c>
      <x:c r="B79" s="76" t="str">
        <x:f>IF('03_Form_Electricite'!$K79="Validé humainement",'03_Form_Electricite'!B79,"")</x:f>
      </x:c>
      <x:c r="C79" s="76" t="str">
        <x:f>IF('03_Form_Electricite'!$K79="Validé humainement",'03_Form_Electricite'!C79,"")</x:f>
      </x:c>
      <x:c r="D79" s="76" t="str">
        <x:f>IF('03_Form_Electricite'!$K79="Validé humainement",'03_Form_Electricite'!D79,"")</x:f>
      </x:c>
      <x:c r="E79" s="76" t="str">
        <x:f>IF('03_Form_Electricite'!$K79="Validé humainement",'03_Form_Electricite'!E79,"")</x:f>
      </x:c>
      <x:c r="F79" s="81" t="str">
        <x:f>IF('03_Form_Electricite'!$K79="Validé humainement",'03_Form_Electricite'!F79,"")</x:f>
      </x:c>
      <x:c r="G79" s="82" t="str">
        <x:f>IF('03_Form_Electricite'!$K79="Validé humainement",'03_Form_Electricite'!G79,"")</x:f>
      </x:c>
      <x:c r="H79" s="77" t="str">
        <x:f>IF('03_Form_Electricite'!$K79="Validé humainement",'03_Form_Electricite'!H79,"")</x:f>
      </x:c>
      <x:c r="I79" s="76" t="str">
        <x:f>IF('03_Form_Electricite'!$K79="Validé humainement",'03_Form_Electricite'!I79,"")</x:f>
      </x:c>
      <x:c r="J79" s="76" t="str">
        <x:f>IF('03_Form_Electricite'!$K79="Validé humainement",'03_Form_Electricite'!J79,"")</x:f>
      </x:c>
      <x:c r="K79" s="76" t="str">
        <x:f>IF('03_Form_Electricite'!$K79="Validé humainement",'03_Form_Electricite'!K79,"")</x:f>
      </x:c>
      <x:c r="L79" s="76" t="str">
        <x:f>IF('03_Form_Electricite'!$K79="Validé humainement",'03_Form_Electricite'!L79,"")</x:f>
      </x:c>
      <x:c r="M79" s="78" t="str">
        <x:f>IF('03_Form_Electricite'!$K79="Validé humainement",'03_Form_Electricite'!M79,"")</x:f>
      </x:c>
      <x:c r="N79" s="76" t="str">
        <x:f>IF('03_Form_Electricite'!$K79="Validé humainement",'03_Form_Electricite'!N79,"")</x:f>
      </x:c>
      <x:c r="O79" s="76" t="str">
        <x:f>IF('03_Form_Electricite'!$K79="Validé humainement",'03_Form_Electricite'!O79,"")</x:f>
      </x:c>
      <x:c r="P79" s="76" t="str">
        <x:f>IF('03_Form_Electricite'!$K79="Validé humainement",'03_Form_Electricite'!P79,"")</x:f>
      </x:c>
    </x:row>
    <x:row r="80">
      <x:c r="A80" s="76" t="str">
        <x:f>IF('03_Form_Electricite'!$K80="Validé humainement",'03_Form_Electricite'!A80,"")</x:f>
      </x:c>
      <x:c r="B80" s="76" t="str">
        <x:f>IF('03_Form_Electricite'!$K80="Validé humainement",'03_Form_Electricite'!B80,"")</x:f>
      </x:c>
      <x:c r="C80" s="76" t="str">
        <x:f>IF('03_Form_Electricite'!$K80="Validé humainement",'03_Form_Electricite'!C80,"")</x:f>
      </x:c>
      <x:c r="D80" s="76" t="str">
        <x:f>IF('03_Form_Electricite'!$K80="Validé humainement",'03_Form_Electricite'!D80,"")</x:f>
      </x:c>
      <x:c r="E80" s="76" t="str">
        <x:f>IF('03_Form_Electricite'!$K80="Validé humainement",'03_Form_Electricite'!E80,"")</x:f>
      </x:c>
      <x:c r="F80" s="81" t="str">
        <x:f>IF('03_Form_Electricite'!$K80="Validé humainement",'03_Form_Electricite'!F80,"")</x:f>
      </x:c>
      <x:c r="G80" s="82" t="str">
        <x:f>IF('03_Form_Electricite'!$K80="Validé humainement",'03_Form_Electricite'!G80,"")</x:f>
      </x:c>
      <x:c r="H80" s="77" t="str">
        <x:f>IF('03_Form_Electricite'!$K80="Validé humainement",'03_Form_Electricite'!H80,"")</x:f>
      </x:c>
      <x:c r="I80" s="76" t="str">
        <x:f>IF('03_Form_Electricite'!$K80="Validé humainement",'03_Form_Electricite'!I80,"")</x:f>
      </x:c>
      <x:c r="J80" s="76" t="str">
        <x:f>IF('03_Form_Electricite'!$K80="Validé humainement",'03_Form_Electricite'!J80,"")</x:f>
      </x:c>
      <x:c r="K80" s="76" t="str">
        <x:f>IF('03_Form_Electricite'!$K80="Validé humainement",'03_Form_Electricite'!K80,"")</x:f>
      </x:c>
      <x:c r="L80" s="76" t="str">
        <x:f>IF('03_Form_Electricite'!$K80="Validé humainement",'03_Form_Electricite'!L80,"")</x:f>
      </x:c>
      <x:c r="M80" s="78" t="str">
        <x:f>IF('03_Form_Electricite'!$K80="Validé humainement",'03_Form_Electricite'!M80,"")</x:f>
      </x:c>
      <x:c r="N80" s="76" t="str">
        <x:f>IF('03_Form_Electricite'!$K80="Validé humainement",'03_Form_Electricite'!N80,"")</x:f>
      </x:c>
      <x:c r="O80" s="76" t="str">
        <x:f>IF('03_Form_Electricite'!$K80="Validé humainement",'03_Form_Electricite'!O80,"")</x:f>
      </x:c>
      <x:c r="P80" s="76" t="str">
        <x:f>IF('03_Form_Electricite'!$K80="Validé humainement",'03_Form_Electricite'!P80,"")</x:f>
      </x:c>
    </x:row>
    <x:row r="81">
      <x:c r="A81" s="76" t="str">
        <x:f>IF('03_Form_Electricite'!$K81="Validé humainement",'03_Form_Electricite'!A81,"")</x:f>
      </x:c>
      <x:c r="B81" s="76" t="str">
        <x:f>IF('03_Form_Electricite'!$K81="Validé humainement",'03_Form_Electricite'!B81,"")</x:f>
      </x:c>
      <x:c r="C81" s="76" t="str">
        <x:f>IF('03_Form_Electricite'!$K81="Validé humainement",'03_Form_Electricite'!C81,"")</x:f>
      </x:c>
      <x:c r="D81" s="76" t="str">
        <x:f>IF('03_Form_Electricite'!$K81="Validé humainement",'03_Form_Electricite'!D81,"")</x:f>
      </x:c>
      <x:c r="E81" s="76" t="str">
        <x:f>IF('03_Form_Electricite'!$K81="Validé humainement",'03_Form_Electricite'!E81,"")</x:f>
      </x:c>
      <x:c r="F81" s="81" t="str">
        <x:f>IF('03_Form_Electricite'!$K81="Validé humainement",'03_Form_Electricite'!F81,"")</x:f>
      </x:c>
      <x:c r="G81" s="82" t="str">
        <x:f>IF('03_Form_Electricite'!$K81="Validé humainement",'03_Form_Electricite'!G81,"")</x:f>
      </x:c>
      <x:c r="H81" s="77" t="str">
        <x:f>IF('03_Form_Electricite'!$K81="Validé humainement",'03_Form_Electricite'!H81,"")</x:f>
      </x:c>
      <x:c r="I81" s="76" t="str">
        <x:f>IF('03_Form_Electricite'!$K81="Validé humainement",'03_Form_Electricite'!I81,"")</x:f>
      </x:c>
      <x:c r="J81" s="76" t="str">
        <x:f>IF('03_Form_Electricite'!$K81="Validé humainement",'03_Form_Electricite'!J81,"")</x:f>
      </x:c>
      <x:c r="K81" s="76" t="str">
        <x:f>IF('03_Form_Electricite'!$K81="Validé humainement",'03_Form_Electricite'!K81,"")</x:f>
      </x:c>
      <x:c r="L81" s="76" t="str">
        <x:f>IF('03_Form_Electricite'!$K81="Validé humainement",'03_Form_Electricite'!L81,"")</x:f>
      </x:c>
      <x:c r="M81" s="78" t="str">
        <x:f>IF('03_Form_Electricite'!$K81="Validé humainement",'03_Form_Electricite'!M81,"")</x:f>
      </x:c>
      <x:c r="N81" s="76" t="str">
        <x:f>IF('03_Form_Electricite'!$K81="Validé humainement",'03_Form_Electricite'!N81,"")</x:f>
      </x:c>
      <x:c r="O81" s="76" t="str">
        <x:f>IF('03_Form_Electricite'!$K81="Validé humainement",'03_Form_Electricite'!O81,"")</x:f>
      </x:c>
      <x:c r="P81" s="76" t="str">
        <x:f>IF('03_Form_Electricite'!$K81="Validé humainement",'03_Form_Electricite'!P81,"")</x:f>
      </x:c>
    </x:row>
    <x:row r="82">
      <x:c r="A82" s="76" t="str">
        <x:f>IF('03_Form_Electricite'!$K82="Validé humainement",'03_Form_Electricite'!A82,"")</x:f>
      </x:c>
      <x:c r="B82" s="76" t="str">
        <x:f>IF('03_Form_Electricite'!$K82="Validé humainement",'03_Form_Electricite'!B82,"")</x:f>
      </x:c>
      <x:c r="C82" s="76" t="str">
        <x:f>IF('03_Form_Electricite'!$K82="Validé humainement",'03_Form_Electricite'!C82,"")</x:f>
      </x:c>
      <x:c r="D82" s="76" t="str">
        <x:f>IF('03_Form_Electricite'!$K82="Validé humainement",'03_Form_Electricite'!D82,"")</x:f>
      </x:c>
      <x:c r="E82" s="76" t="str">
        <x:f>IF('03_Form_Electricite'!$K82="Validé humainement",'03_Form_Electricite'!E82,"")</x:f>
      </x:c>
      <x:c r="F82" s="81" t="str">
        <x:f>IF('03_Form_Electricite'!$K82="Validé humainement",'03_Form_Electricite'!F82,"")</x:f>
      </x:c>
      <x:c r="G82" s="82" t="str">
        <x:f>IF('03_Form_Electricite'!$K82="Validé humainement",'03_Form_Electricite'!G82,"")</x:f>
      </x:c>
      <x:c r="H82" s="77" t="str">
        <x:f>IF('03_Form_Electricite'!$K82="Validé humainement",'03_Form_Electricite'!H82,"")</x:f>
      </x:c>
      <x:c r="I82" s="76" t="str">
        <x:f>IF('03_Form_Electricite'!$K82="Validé humainement",'03_Form_Electricite'!I82,"")</x:f>
      </x:c>
      <x:c r="J82" s="76" t="str">
        <x:f>IF('03_Form_Electricite'!$K82="Validé humainement",'03_Form_Electricite'!J82,"")</x:f>
      </x:c>
      <x:c r="K82" s="76" t="str">
        <x:f>IF('03_Form_Electricite'!$K82="Validé humainement",'03_Form_Electricite'!K82,"")</x:f>
      </x:c>
      <x:c r="L82" s="76" t="str">
        <x:f>IF('03_Form_Electricite'!$K82="Validé humainement",'03_Form_Electricite'!L82,"")</x:f>
      </x:c>
      <x:c r="M82" s="78" t="str">
        <x:f>IF('03_Form_Electricite'!$K82="Validé humainement",'03_Form_Electricite'!M82,"")</x:f>
      </x:c>
      <x:c r="N82" s="76" t="str">
        <x:f>IF('03_Form_Electricite'!$K82="Validé humainement",'03_Form_Electricite'!N82,"")</x:f>
      </x:c>
      <x:c r="O82" s="76" t="str">
        <x:f>IF('03_Form_Electricite'!$K82="Validé humainement",'03_Form_Electricite'!O82,"")</x:f>
      </x:c>
      <x:c r="P82" s="76" t="str">
        <x:f>IF('03_Form_Electricite'!$K82="Validé humainement",'03_Form_Electricite'!P82,"")</x:f>
      </x:c>
    </x:row>
    <x:row r="83">
      <x:c r="A83" s="76" t="str">
        <x:f>IF('03_Form_Electricite'!$K83="Validé humainement",'03_Form_Electricite'!A83,"")</x:f>
      </x:c>
      <x:c r="B83" s="76" t="str">
        <x:f>IF('03_Form_Electricite'!$K83="Validé humainement",'03_Form_Electricite'!B83,"")</x:f>
      </x:c>
      <x:c r="C83" s="76" t="str">
        <x:f>IF('03_Form_Electricite'!$K83="Validé humainement",'03_Form_Electricite'!C83,"")</x:f>
      </x:c>
      <x:c r="D83" s="76" t="str">
        <x:f>IF('03_Form_Electricite'!$K83="Validé humainement",'03_Form_Electricite'!D83,"")</x:f>
      </x:c>
      <x:c r="E83" s="76" t="str">
        <x:f>IF('03_Form_Electricite'!$K83="Validé humainement",'03_Form_Electricite'!E83,"")</x:f>
      </x:c>
      <x:c r="F83" s="81" t="str">
        <x:f>IF('03_Form_Electricite'!$K83="Validé humainement",'03_Form_Electricite'!F83,"")</x:f>
      </x:c>
      <x:c r="G83" s="82" t="str">
        <x:f>IF('03_Form_Electricite'!$K83="Validé humainement",'03_Form_Electricite'!G83,"")</x:f>
      </x:c>
      <x:c r="H83" s="77" t="str">
        <x:f>IF('03_Form_Electricite'!$K83="Validé humainement",'03_Form_Electricite'!H83,"")</x:f>
      </x:c>
      <x:c r="I83" s="76" t="str">
        <x:f>IF('03_Form_Electricite'!$K83="Validé humainement",'03_Form_Electricite'!I83,"")</x:f>
      </x:c>
      <x:c r="J83" s="76" t="str">
        <x:f>IF('03_Form_Electricite'!$K83="Validé humainement",'03_Form_Electricite'!J83,"")</x:f>
      </x:c>
      <x:c r="K83" s="76" t="str">
        <x:f>IF('03_Form_Electricite'!$K83="Validé humainement",'03_Form_Electricite'!K83,"")</x:f>
      </x:c>
      <x:c r="L83" s="76" t="str">
        <x:f>IF('03_Form_Electricite'!$K83="Validé humainement",'03_Form_Electricite'!L83,"")</x:f>
      </x:c>
      <x:c r="M83" s="78" t="str">
        <x:f>IF('03_Form_Electricite'!$K83="Validé humainement",'03_Form_Electricite'!M83,"")</x:f>
      </x:c>
      <x:c r="N83" s="76" t="str">
        <x:f>IF('03_Form_Electricite'!$K83="Validé humainement",'03_Form_Electricite'!N83,"")</x:f>
      </x:c>
      <x:c r="O83" s="76" t="str">
        <x:f>IF('03_Form_Electricite'!$K83="Validé humainement",'03_Form_Electricite'!O83,"")</x:f>
      </x:c>
      <x:c r="P83" s="76" t="str">
        <x:f>IF('03_Form_Electricite'!$K83="Validé humainement",'03_Form_Electricite'!P83,"")</x:f>
      </x:c>
    </x:row>
    <x:row r="84">
      <x:c r="A84" s="76" t="str">
        <x:f>IF('03_Form_Electricite'!$K84="Validé humainement",'03_Form_Electricite'!A84,"")</x:f>
      </x:c>
      <x:c r="B84" s="76" t="str">
        <x:f>IF('03_Form_Electricite'!$K84="Validé humainement",'03_Form_Electricite'!B84,"")</x:f>
      </x:c>
      <x:c r="C84" s="76" t="str">
        <x:f>IF('03_Form_Electricite'!$K84="Validé humainement",'03_Form_Electricite'!C84,"")</x:f>
      </x:c>
      <x:c r="D84" s="76" t="str">
        <x:f>IF('03_Form_Electricite'!$K84="Validé humainement",'03_Form_Electricite'!D84,"")</x:f>
      </x:c>
      <x:c r="E84" s="76" t="str">
        <x:f>IF('03_Form_Electricite'!$K84="Validé humainement",'03_Form_Electricite'!E84,"")</x:f>
      </x:c>
      <x:c r="F84" s="81" t="str">
        <x:f>IF('03_Form_Electricite'!$K84="Validé humainement",'03_Form_Electricite'!F84,"")</x:f>
      </x:c>
      <x:c r="G84" s="82" t="str">
        <x:f>IF('03_Form_Electricite'!$K84="Validé humainement",'03_Form_Electricite'!G84,"")</x:f>
      </x:c>
      <x:c r="H84" s="77" t="str">
        <x:f>IF('03_Form_Electricite'!$K84="Validé humainement",'03_Form_Electricite'!H84,"")</x:f>
      </x:c>
      <x:c r="I84" s="76" t="str">
        <x:f>IF('03_Form_Electricite'!$K84="Validé humainement",'03_Form_Electricite'!I84,"")</x:f>
      </x:c>
      <x:c r="J84" s="76" t="str">
        <x:f>IF('03_Form_Electricite'!$K84="Validé humainement",'03_Form_Electricite'!J84,"")</x:f>
      </x:c>
      <x:c r="K84" s="76" t="str">
        <x:f>IF('03_Form_Electricite'!$K84="Validé humainement",'03_Form_Electricite'!K84,"")</x:f>
      </x:c>
      <x:c r="L84" s="76" t="str">
        <x:f>IF('03_Form_Electricite'!$K84="Validé humainement",'03_Form_Electricite'!L84,"")</x:f>
      </x:c>
      <x:c r="M84" s="78" t="str">
        <x:f>IF('03_Form_Electricite'!$K84="Validé humainement",'03_Form_Electricite'!M84,"")</x:f>
      </x:c>
      <x:c r="N84" s="76" t="str">
        <x:f>IF('03_Form_Electricite'!$K84="Validé humainement",'03_Form_Electricite'!N84,"")</x:f>
      </x:c>
      <x:c r="O84" s="76" t="str">
        <x:f>IF('03_Form_Electricite'!$K84="Validé humainement",'03_Form_Electricite'!O84,"")</x:f>
      </x:c>
      <x:c r="P84" s="76" t="str">
        <x:f>IF('03_Form_Electricite'!$K84="Validé humainement",'03_Form_Electricite'!P84,"")</x:f>
      </x:c>
    </x:row>
    <x:row r="85">
      <x:c r="A85" s="76" t="str">
        <x:f>IF('03_Form_Electricite'!$K85="Validé humainement",'03_Form_Electricite'!A85,"")</x:f>
      </x:c>
      <x:c r="B85" s="76" t="str">
        <x:f>IF('03_Form_Electricite'!$K85="Validé humainement",'03_Form_Electricite'!B85,"")</x:f>
      </x:c>
      <x:c r="C85" s="76" t="str">
        <x:f>IF('03_Form_Electricite'!$K85="Validé humainement",'03_Form_Electricite'!C85,"")</x:f>
      </x:c>
      <x:c r="D85" s="76" t="str">
        <x:f>IF('03_Form_Electricite'!$K85="Validé humainement",'03_Form_Electricite'!D85,"")</x:f>
      </x:c>
      <x:c r="E85" s="76" t="str">
        <x:f>IF('03_Form_Electricite'!$K85="Validé humainement",'03_Form_Electricite'!E85,"")</x:f>
      </x:c>
      <x:c r="F85" s="81" t="str">
        <x:f>IF('03_Form_Electricite'!$K85="Validé humainement",'03_Form_Electricite'!F85,"")</x:f>
      </x:c>
      <x:c r="G85" s="82" t="str">
        <x:f>IF('03_Form_Electricite'!$K85="Validé humainement",'03_Form_Electricite'!G85,"")</x:f>
      </x:c>
      <x:c r="H85" s="77" t="str">
        <x:f>IF('03_Form_Electricite'!$K85="Validé humainement",'03_Form_Electricite'!H85,"")</x:f>
      </x:c>
      <x:c r="I85" s="76" t="str">
        <x:f>IF('03_Form_Electricite'!$K85="Validé humainement",'03_Form_Electricite'!I85,"")</x:f>
      </x:c>
      <x:c r="J85" s="76" t="str">
        <x:f>IF('03_Form_Electricite'!$K85="Validé humainement",'03_Form_Electricite'!J85,"")</x:f>
      </x:c>
      <x:c r="K85" s="76" t="str">
        <x:f>IF('03_Form_Electricite'!$K85="Validé humainement",'03_Form_Electricite'!K85,"")</x:f>
      </x:c>
      <x:c r="L85" s="76" t="str">
        <x:f>IF('03_Form_Electricite'!$K85="Validé humainement",'03_Form_Electricite'!L85,"")</x:f>
      </x:c>
      <x:c r="M85" s="78" t="str">
        <x:f>IF('03_Form_Electricite'!$K85="Validé humainement",'03_Form_Electricite'!M85,"")</x:f>
      </x:c>
      <x:c r="N85" s="76" t="str">
        <x:f>IF('03_Form_Electricite'!$K85="Validé humainement",'03_Form_Electricite'!N85,"")</x:f>
      </x:c>
      <x:c r="O85" s="76" t="str">
        <x:f>IF('03_Form_Electricite'!$K85="Validé humainement",'03_Form_Electricite'!O85,"")</x:f>
      </x:c>
      <x:c r="P85" s="76" t="str">
        <x:f>IF('03_Form_Electricite'!$K85="Validé humainement",'03_Form_Electricite'!P85,"")</x:f>
      </x:c>
    </x:row>
    <x:row r="86">
      <x:c r="A86" s="76" t="str">
        <x:f>IF('03_Form_Electricite'!$K86="Validé humainement",'03_Form_Electricite'!A86,"")</x:f>
      </x:c>
      <x:c r="B86" s="76" t="str">
        <x:f>IF('03_Form_Electricite'!$K86="Validé humainement",'03_Form_Electricite'!B86,"")</x:f>
      </x:c>
      <x:c r="C86" s="76" t="str">
        <x:f>IF('03_Form_Electricite'!$K86="Validé humainement",'03_Form_Electricite'!C86,"")</x:f>
      </x:c>
      <x:c r="D86" s="76" t="str">
        <x:f>IF('03_Form_Electricite'!$K86="Validé humainement",'03_Form_Electricite'!D86,"")</x:f>
      </x:c>
      <x:c r="E86" s="76" t="str">
        <x:f>IF('03_Form_Electricite'!$K86="Validé humainement",'03_Form_Electricite'!E86,"")</x:f>
      </x:c>
      <x:c r="F86" s="81" t="str">
        <x:f>IF('03_Form_Electricite'!$K86="Validé humainement",'03_Form_Electricite'!F86,"")</x:f>
      </x:c>
      <x:c r="G86" s="82" t="str">
        <x:f>IF('03_Form_Electricite'!$K86="Validé humainement",'03_Form_Electricite'!G86,"")</x:f>
      </x:c>
      <x:c r="H86" s="77" t="str">
        <x:f>IF('03_Form_Electricite'!$K86="Validé humainement",'03_Form_Electricite'!H86,"")</x:f>
      </x:c>
      <x:c r="I86" s="76" t="str">
        <x:f>IF('03_Form_Electricite'!$K86="Validé humainement",'03_Form_Electricite'!I86,"")</x:f>
      </x:c>
      <x:c r="J86" s="76" t="str">
        <x:f>IF('03_Form_Electricite'!$K86="Validé humainement",'03_Form_Electricite'!J86,"")</x:f>
      </x:c>
      <x:c r="K86" s="76" t="str">
        <x:f>IF('03_Form_Electricite'!$K86="Validé humainement",'03_Form_Electricite'!K86,"")</x:f>
      </x:c>
      <x:c r="L86" s="76" t="str">
        <x:f>IF('03_Form_Electricite'!$K86="Validé humainement",'03_Form_Electricite'!L86,"")</x:f>
      </x:c>
      <x:c r="M86" s="78" t="str">
        <x:f>IF('03_Form_Electricite'!$K86="Validé humainement",'03_Form_Electricite'!M86,"")</x:f>
      </x:c>
      <x:c r="N86" s="76" t="str">
        <x:f>IF('03_Form_Electricite'!$K86="Validé humainement",'03_Form_Electricite'!N86,"")</x:f>
      </x:c>
      <x:c r="O86" s="76" t="str">
        <x:f>IF('03_Form_Electricite'!$K86="Validé humainement",'03_Form_Electricite'!O86,"")</x:f>
      </x:c>
      <x:c r="P86" s="76" t="str">
        <x:f>IF('03_Form_Electricite'!$K86="Validé humainement",'03_Form_Electricite'!P86,"")</x:f>
      </x:c>
    </x:row>
    <x:row r="87">
      <x:c r="A87" s="76" t="str">
        <x:f>IF('03_Form_Electricite'!$K87="Validé humainement",'03_Form_Electricite'!A87,"")</x:f>
      </x:c>
      <x:c r="B87" s="76" t="str">
        <x:f>IF('03_Form_Electricite'!$K87="Validé humainement",'03_Form_Electricite'!B87,"")</x:f>
      </x:c>
      <x:c r="C87" s="76" t="str">
        <x:f>IF('03_Form_Electricite'!$K87="Validé humainement",'03_Form_Electricite'!C87,"")</x:f>
      </x:c>
      <x:c r="D87" s="76" t="str">
        <x:f>IF('03_Form_Electricite'!$K87="Validé humainement",'03_Form_Electricite'!D87,"")</x:f>
      </x:c>
      <x:c r="E87" s="76" t="str">
        <x:f>IF('03_Form_Electricite'!$K87="Validé humainement",'03_Form_Electricite'!E87,"")</x:f>
      </x:c>
      <x:c r="F87" s="81" t="str">
        <x:f>IF('03_Form_Electricite'!$K87="Validé humainement",'03_Form_Electricite'!F87,"")</x:f>
      </x:c>
      <x:c r="G87" s="82" t="str">
        <x:f>IF('03_Form_Electricite'!$K87="Validé humainement",'03_Form_Electricite'!G87,"")</x:f>
      </x:c>
      <x:c r="H87" s="77" t="str">
        <x:f>IF('03_Form_Electricite'!$K87="Validé humainement",'03_Form_Electricite'!H87,"")</x:f>
      </x:c>
      <x:c r="I87" s="76" t="str">
        <x:f>IF('03_Form_Electricite'!$K87="Validé humainement",'03_Form_Electricite'!I87,"")</x:f>
      </x:c>
      <x:c r="J87" s="76" t="str">
        <x:f>IF('03_Form_Electricite'!$K87="Validé humainement",'03_Form_Electricite'!J87,"")</x:f>
      </x:c>
      <x:c r="K87" s="76" t="str">
        <x:f>IF('03_Form_Electricite'!$K87="Validé humainement",'03_Form_Electricite'!K87,"")</x:f>
      </x:c>
      <x:c r="L87" s="76" t="str">
        <x:f>IF('03_Form_Electricite'!$K87="Validé humainement",'03_Form_Electricite'!L87,"")</x:f>
      </x:c>
      <x:c r="M87" s="78" t="str">
        <x:f>IF('03_Form_Electricite'!$K87="Validé humainement",'03_Form_Electricite'!M87,"")</x:f>
      </x:c>
      <x:c r="N87" s="76" t="str">
        <x:f>IF('03_Form_Electricite'!$K87="Validé humainement",'03_Form_Electricite'!N87,"")</x:f>
      </x:c>
      <x:c r="O87" s="76" t="str">
        <x:f>IF('03_Form_Electricite'!$K87="Validé humainement",'03_Form_Electricite'!O87,"")</x:f>
      </x:c>
      <x:c r="P87" s="76" t="str">
        <x:f>IF('03_Form_Electricite'!$K87="Validé humainement",'03_Form_Electricite'!P87,"")</x:f>
      </x:c>
    </x:row>
    <x:row r="88">
      <x:c r="A88" s="76" t="str">
        <x:f>IF('03_Form_Electricite'!$K88="Validé humainement",'03_Form_Electricite'!A88,"")</x:f>
      </x:c>
      <x:c r="B88" s="76" t="str">
        <x:f>IF('03_Form_Electricite'!$K88="Validé humainement",'03_Form_Electricite'!B88,"")</x:f>
      </x:c>
      <x:c r="C88" s="76" t="str">
        <x:f>IF('03_Form_Electricite'!$K88="Validé humainement",'03_Form_Electricite'!C88,"")</x:f>
      </x:c>
      <x:c r="D88" s="76" t="str">
        <x:f>IF('03_Form_Electricite'!$K88="Validé humainement",'03_Form_Electricite'!D88,"")</x:f>
      </x:c>
      <x:c r="E88" s="76" t="str">
        <x:f>IF('03_Form_Electricite'!$K88="Validé humainement",'03_Form_Electricite'!E88,"")</x:f>
      </x:c>
      <x:c r="F88" s="81" t="str">
        <x:f>IF('03_Form_Electricite'!$K88="Validé humainement",'03_Form_Electricite'!F88,"")</x:f>
      </x:c>
      <x:c r="G88" s="82" t="str">
        <x:f>IF('03_Form_Electricite'!$K88="Validé humainement",'03_Form_Electricite'!G88,"")</x:f>
      </x:c>
      <x:c r="H88" s="77" t="str">
        <x:f>IF('03_Form_Electricite'!$K88="Validé humainement",'03_Form_Electricite'!H88,"")</x:f>
      </x:c>
      <x:c r="I88" s="76" t="str">
        <x:f>IF('03_Form_Electricite'!$K88="Validé humainement",'03_Form_Electricite'!I88,"")</x:f>
      </x:c>
      <x:c r="J88" s="76" t="str">
        <x:f>IF('03_Form_Electricite'!$K88="Validé humainement",'03_Form_Electricite'!J88,"")</x:f>
      </x:c>
      <x:c r="K88" s="76" t="str">
        <x:f>IF('03_Form_Electricite'!$K88="Validé humainement",'03_Form_Electricite'!K88,"")</x:f>
      </x:c>
      <x:c r="L88" s="76" t="str">
        <x:f>IF('03_Form_Electricite'!$K88="Validé humainement",'03_Form_Electricite'!L88,"")</x:f>
      </x:c>
      <x:c r="M88" s="78" t="str">
        <x:f>IF('03_Form_Electricite'!$K88="Validé humainement",'03_Form_Electricite'!M88,"")</x:f>
      </x:c>
      <x:c r="N88" s="76" t="str">
        <x:f>IF('03_Form_Electricite'!$K88="Validé humainement",'03_Form_Electricite'!N88,"")</x:f>
      </x:c>
      <x:c r="O88" s="76" t="str">
        <x:f>IF('03_Form_Electricite'!$K88="Validé humainement",'03_Form_Electricite'!O88,"")</x:f>
      </x:c>
      <x:c r="P88" s="76" t="str">
        <x:f>IF('03_Form_Electricite'!$K88="Validé humainement",'03_Form_Electricite'!P88,"")</x:f>
      </x:c>
    </x:row>
    <x:row r="89">
      <x:c r="A89" s="76" t="str">
        <x:f>IF('03_Form_Electricite'!$K89="Validé humainement",'03_Form_Electricite'!A89,"")</x:f>
      </x:c>
      <x:c r="B89" s="76" t="str">
        <x:f>IF('03_Form_Electricite'!$K89="Validé humainement",'03_Form_Electricite'!B89,"")</x:f>
      </x:c>
      <x:c r="C89" s="76" t="str">
        <x:f>IF('03_Form_Electricite'!$K89="Validé humainement",'03_Form_Electricite'!C89,"")</x:f>
      </x:c>
      <x:c r="D89" s="76" t="str">
        <x:f>IF('03_Form_Electricite'!$K89="Validé humainement",'03_Form_Electricite'!D89,"")</x:f>
      </x:c>
      <x:c r="E89" s="76" t="str">
        <x:f>IF('03_Form_Electricite'!$K89="Validé humainement",'03_Form_Electricite'!E89,"")</x:f>
      </x:c>
      <x:c r="F89" s="81" t="str">
        <x:f>IF('03_Form_Electricite'!$K89="Validé humainement",'03_Form_Electricite'!F89,"")</x:f>
      </x:c>
      <x:c r="G89" s="82" t="str">
        <x:f>IF('03_Form_Electricite'!$K89="Validé humainement",'03_Form_Electricite'!G89,"")</x:f>
      </x:c>
      <x:c r="H89" s="77" t="str">
        <x:f>IF('03_Form_Electricite'!$K89="Validé humainement",'03_Form_Electricite'!H89,"")</x:f>
      </x:c>
      <x:c r="I89" s="76" t="str">
        <x:f>IF('03_Form_Electricite'!$K89="Validé humainement",'03_Form_Electricite'!I89,"")</x:f>
      </x:c>
      <x:c r="J89" s="76" t="str">
        <x:f>IF('03_Form_Electricite'!$K89="Validé humainement",'03_Form_Electricite'!J89,"")</x:f>
      </x:c>
      <x:c r="K89" s="76" t="str">
        <x:f>IF('03_Form_Electricite'!$K89="Validé humainement",'03_Form_Electricite'!K89,"")</x:f>
      </x:c>
      <x:c r="L89" s="76" t="str">
        <x:f>IF('03_Form_Electricite'!$K89="Validé humainement",'03_Form_Electricite'!L89,"")</x:f>
      </x:c>
      <x:c r="M89" s="78" t="str">
        <x:f>IF('03_Form_Electricite'!$K89="Validé humainement",'03_Form_Electricite'!M89,"")</x:f>
      </x:c>
      <x:c r="N89" s="76" t="str">
        <x:f>IF('03_Form_Electricite'!$K89="Validé humainement",'03_Form_Electricite'!N89,"")</x:f>
      </x:c>
      <x:c r="O89" s="76" t="str">
        <x:f>IF('03_Form_Electricite'!$K89="Validé humainement",'03_Form_Electricite'!O89,"")</x:f>
      </x:c>
      <x:c r="P89" s="76" t="str">
        <x:f>IF('03_Form_Electricite'!$K89="Validé humainement",'03_Form_Electricite'!P89,"")</x:f>
      </x:c>
    </x:row>
    <x:row r="90">
      <x:c r="A90" s="76" t="str">
        <x:f>IF('03_Form_Electricite'!$K90="Validé humainement",'03_Form_Electricite'!A90,"")</x:f>
      </x:c>
      <x:c r="B90" s="76" t="str">
        <x:f>IF('03_Form_Electricite'!$K90="Validé humainement",'03_Form_Electricite'!B90,"")</x:f>
      </x:c>
      <x:c r="C90" s="76" t="str">
        <x:f>IF('03_Form_Electricite'!$K90="Validé humainement",'03_Form_Electricite'!C90,"")</x:f>
      </x:c>
      <x:c r="D90" s="76" t="str">
        <x:f>IF('03_Form_Electricite'!$K90="Validé humainement",'03_Form_Electricite'!D90,"")</x:f>
      </x:c>
      <x:c r="E90" s="76" t="str">
        <x:f>IF('03_Form_Electricite'!$K90="Validé humainement",'03_Form_Electricite'!E90,"")</x:f>
      </x:c>
      <x:c r="F90" s="81" t="str">
        <x:f>IF('03_Form_Electricite'!$K90="Validé humainement",'03_Form_Electricite'!F90,"")</x:f>
      </x:c>
      <x:c r="G90" s="82" t="str">
        <x:f>IF('03_Form_Electricite'!$K90="Validé humainement",'03_Form_Electricite'!G90,"")</x:f>
      </x:c>
      <x:c r="H90" s="77" t="str">
        <x:f>IF('03_Form_Electricite'!$K90="Validé humainement",'03_Form_Electricite'!H90,"")</x:f>
      </x:c>
      <x:c r="I90" s="76" t="str">
        <x:f>IF('03_Form_Electricite'!$K90="Validé humainement",'03_Form_Electricite'!I90,"")</x:f>
      </x:c>
      <x:c r="J90" s="76" t="str">
        <x:f>IF('03_Form_Electricite'!$K90="Validé humainement",'03_Form_Electricite'!J90,"")</x:f>
      </x:c>
      <x:c r="K90" s="76" t="str">
        <x:f>IF('03_Form_Electricite'!$K90="Validé humainement",'03_Form_Electricite'!K90,"")</x:f>
      </x:c>
      <x:c r="L90" s="76" t="str">
        <x:f>IF('03_Form_Electricite'!$K90="Validé humainement",'03_Form_Electricite'!L90,"")</x:f>
      </x:c>
      <x:c r="M90" s="78" t="str">
        <x:f>IF('03_Form_Electricite'!$K90="Validé humainement",'03_Form_Electricite'!M90,"")</x:f>
      </x:c>
      <x:c r="N90" s="76" t="str">
        <x:f>IF('03_Form_Electricite'!$K90="Validé humainement",'03_Form_Electricite'!N90,"")</x:f>
      </x:c>
      <x:c r="O90" s="76" t="str">
        <x:f>IF('03_Form_Electricite'!$K90="Validé humainement",'03_Form_Electricite'!O90,"")</x:f>
      </x:c>
      <x:c r="P90" s="76" t="str">
        <x:f>IF('03_Form_Electricite'!$K90="Validé humainement",'03_Form_Electricite'!P90,"")</x:f>
      </x:c>
    </x:row>
    <x:row r="91">
      <x:c r="A91" s="76" t="str">
        <x:f>IF('03_Form_Electricite'!$K91="Validé humainement",'03_Form_Electricite'!A91,"")</x:f>
      </x:c>
      <x:c r="B91" s="76" t="str">
        <x:f>IF('03_Form_Electricite'!$K91="Validé humainement",'03_Form_Electricite'!B91,"")</x:f>
      </x:c>
      <x:c r="C91" s="76" t="str">
        <x:f>IF('03_Form_Electricite'!$K91="Validé humainement",'03_Form_Electricite'!C91,"")</x:f>
      </x:c>
      <x:c r="D91" s="76" t="str">
        <x:f>IF('03_Form_Electricite'!$K91="Validé humainement",'03_Form_Electricite'!D91,"")</x:f>
      </x:c>
      <x:c r="E91" s="76" t="str">
        <x:f>IF('03_Form_Electricite'!$K91="Validé humainement",'03_Form_Electricite'!E91,"")</x:f>
      </x:c>
      <x:c r="F91" s="81" t="str">
        <x:f>IF('03_Form_Electricite'!$K91="Validé humainement",'03_Form_Electricite'!F91,"")</x:f>
      </x:c>
      <x:c r="G91" s="82" t="str">
        <x:f>IF('03_Form_Electricite'!$K91="Validé humainement",'03_Form_Electricite'!G91,"")</x:f>
      </x:c>
      <x:c r="H91" s="77" t="str">
        <x:f>IF('03_Form_Electricite'!$K91="Validé humainement",'03_Form_Electricite'!H91,"")</x:f>
      </x:c>
      <x:c r="I91" s="76" t="str">
        <x:f>IF('03_Form_Electricite'!$K91="Validé humainement",'03_Form_Electricite'!I91,"")</x:f>
      </x:c>
      <x:c r="J91" s="76" t="str">
        <x:f>IF('03_Form_Electricite'!$K91="Validé humainement",'03_Form_Electricite'!J91,"")</x:f>
      </x:c>
      <x:c r="K91" s="76" t="str">
        <x:f>IF('03_Form_Electricite'!$K91="Validé humainement",'03_Form_Electricite'!K91,"")</x:f>
      </x:c>
      <x:c r="L91" s="76" t="str">
        <x:f>IF('03_Form_Electricite'!$K91="Validé humainement",'03_Form_Electricite'!L91,"")</x:f>
      </x:c>
      <x:c r="M91" s="78" t="str">
        <x:f>IF('03_Form_Electricite'!$K91="Validé humainement",'03_Form_Electricite'!M91,"")</x:f>
      </x:c>
      <x:c r="N91" s="76" t="str">
        <x:f>IF('03_Form_Electricite'!$K91="Validé humainement",'03_Form_Electricite'!N91,"")</x:f>
      </x:c>
      <x:c r="O91" s="76" t="str">
        <x:f>IF('03_Form_Electricite'!$K91="Validé humainement",'03_Form_Electricite'!O91,"")</x:f>
      </x:c>
      <x:c r="P91" s="76" t="str">
        <x:f>IF('03_Form_Electricite'!$K91="Validé humainement",'03_Form_Electricite'!P91,"")</x:f>
      </x:c>
    </x:row>
    <x:row r="92">
      <x:c r="A92" s="76" t="str">
        <x:f>IF('03_Form_Electricite'!$K92="Validé humainement",'03_Form_Electricite'!A92,"")</x:f>
      </x:c>
      <x:c r="B92" s="76" t="str">
        <x:f>IF('03_Form_Electricite'!$K92="Validé humainement",'03_Form_Electricite'!B92,"")</x:f>
      </x:c>
      <x:c r="C92" s="76" t="str">
        <x:f>IF('03_Form_Electricite'!$K92="Validé humainement",'03_Form_Electricite'!C92,"")</x:f>
      </x:c>
      <x:c r="D92" s="76" t="str">
        <x:f>IF('03_Form_Electricite'!$K92="Validé humainement",'03_Form_Electricite'!D92,"")</x:f>
      </x:c>
      <x:c r="E92" s="76" t="str">
        <x:f>IF('03_Form_Electricite'!$K92="Validé humainement",'03_Form_Electricite'!E92,"")</x:f>
      </x:c>
      <x:c r="F92" s="81" t="str">
        <x:f>IF('03_Form_Electricite'!$K92="Validé humainement",'03_Form_Electricite'!F92,"")</x:f>
      </x:c>
      <x:c r="G92" s="82" t="str">
        <x:f>IF('03_Form_Electricite'!$K92="Validé humainement",'03_Form_Electricite'!G92,"")</x:f>
      </x:c>
      <x:c r="H92" s="77" t="str">
        <x:f>IF('03_Form_Electricite'!$K92="Validé humainement",'03_Form_Electricite'!H92,"")</x:f>
      </x:c>
      <x:c r="I92" s="76" t="str">
        <x:f>IF('03_Form_Electricite'!$K92="Validé humainement",'03_Form_Electricite'!I92,"")</x:f>
      </x:c>
      <x:c r="J92" s="76" t="str">
        <x:f>IF('03_Form_Electricite'!$K92="Validé humainement",'03_Form_Electricite'!J92,"")</x:f>
      </x:c>
      <x:c r="K92" s="76" t="str">
        <x:f>IF('03_Form_Electricite'!$K92="Validé humainement",'03_Form_Electricite'!K92,"")</x:f>
      </x:c>
      <x:c r="L92" s="76" t="str">
        <x:f>IF('03_Form_Electricite'!$K92="Validé humainement",'03_Form_Electricite'!L92,"")</x:f>
      </x:c>
      <x:c r="M92" s="78" t="str">
        <x:f>IF('03_Form_Electricite'!$K92="Validé humainement",'03_Form_Electricite'!M92,"")</x:f>
      </x:c>
      <x:c r="N92" s="76" t="str">
        <x:f>IF('03_Form_Electricite'!$K92="Validé humainement",'03_Form_Electricite'!N92,"")</x:f>
      </x:c>
      <x:c r="O92" s="76" t="str">
        <x:f>IF('03_Form_Electricite'!$K92="Validé humainement",'03_Form_Electricite'!O92,"")</x:f>
      </x:c>
      <x:c r="P92" s="76" t="str">
        <x:f>IF('03_Form_Electricite'!$K92="Validé humainement",'03_Form_Electricite'!P92,"")</x:f>
      </x:c>
    </x:row>
    <x:row r="93">
      <x:c r="A93" s="76" t="str">
        <x:f>IF('03_Form_Electricite'!$K93="Validé humainement",'03_Form_Electricite'!A93,"")</x:f>
      </x:c>
      <x:c r="B93" s="76" t="str">
        <x:f>IF('03_Form_Electricite'!$K93="Validé humainement",'03_Form_Electricite'!B93,"")</x:f>
      </x:c>
      <x:c r="C93" s="76" t="str">
        <x:f>IF('03_Form_Electricite'!$K93="Validé humainement",'03_Form_Electricite'!C93,"")</x:f>
      </x:c>
      <x:c r="D93" s="76" t="str">
        <x:f>IF('03_Form_Electricite'!$K93="Validé humainement",'03_Form_Electricite'!D93,"")</x:f>
      </x:c>
      <x:c r="E93" s="76" t="str">
        <x:f>IF('03_Form_Electricite'!$K93="Validé humainement",'03_Form_Electricite'!E93,"")</x:f>
      </x:c>
      <x:c r="F93" s="81" t="str">
        <x:f>IF('03_Form_Electricite'!$K93="Validé humainement",'03_Form_Electricite'!F93,"")</x:f>
      </x:c>
      <x:c r="G93" s="82" t="str">
        <x:f>IF('03_Form_Electricite'!$K93="Validé humainement",'03_Form_Electricite'!G93,"")</x:f>
      </x:c>
      <x:c r="H93" s="77" t="str">
        <x:f>IF('03_Form_Electricite'!$K93="Validé humainement",'03_Form_Electricite'!H93,"")</x:f>
      </x:c>
      <x:c r="I93" s="76" t="str">
        <x:f>IF('03_Form_Electricite'!$K93="Validé humainement",'03_Form_Electricite'!I93,"")</x:f>
      </x:c>
      <x:c r="J93" s="76" t="str">
        <x:f>IF('03_Form_Electricite'!$K93="Validé humainement",'03_Form_Electricite'!J93,"")</x:f>
      </x:c>
      <x:c r="K93" s="76" t="str">
        <x:f>IF('03_Form_Electricite'!$K93="Validé humainement",'03_Form_Electricite'!K93,"")</x:f>
      </x:c>
      <x:c r="L93" s="76" t="str">
        <x:f>IF('03_Form_Electricite'!$K93="Validé humainement",'03_Form_Electricite'!L93,"")</x:f>
      </x:c>
      <x:c r="M93" s="78" t="str">
        <x:f>IF('03_Form_Electricite'!$K93="Validé humainement",'03_Form_Electricite'!M93,"")</x:f>
      </x:c>
      <x:c r="N93" s="76" t="str">
        <x:f>IF('03_Form_Electricite'!$K93="Validé humainement",'03_Form_Electricite'!N93,"")</x:f>
      </x:c>
      <x:c r="O93" s="76" t="str">
        <x:f>IF('03_Form_Electricite'!$K93="Validé humainement",'03_Form_Electricite'!O93,"")</x:f>
      </x:c>
      <x:c r="P93" s="76" t="str">
        <x:f>IF('03_Form_Electricite'!$K93="Validé humainement",'03_Form_Electricite'!P93,"")</x:f>
      </x:c>
    </x:row>
    <x:row r="94">
      <x:c r="A94" s="76" t="str">
        <x:f>IF('03_Form_Electricite'!$K94="Validé humainement",'03_Form_Electricite'!A94,"")</x:f>
      </x:c>
      <x:c r="B94" s="76" t="str">
        <x:f>IF('03_Form_Electricite'!$K94="Validé humainement",'03_Form_Electricite'!B94,"")</x:f>
      </x:c>
      <x:c r="C94" s="76" t="str">
        <x:f>IF('03_Form_Electricite'!$K94="Validé humainement",'03_Form_Electricite'!C94,"")</x:f>
      </x:c>
      <x:c r="D94" s="76" t="str">
        <x:f>IF('03_Form_Electricite'!$K94="Validé humainement",'03_Form_Electricite'!D94,"")</x:f>
      </x:c>
      <x:c r="E94" s="76" t="str">
        <x:f>IF('03_Form_Electricite'!$K94="Validé humainement",'03_Form_Electricite'!E94,"")</x:f>
      </x:c>
      <x:c r="F94" s="81" t="str">
        <x:f>IF('03_Form_Electricite'!$K94="Validé humainement",'03_Form_Electricite'!F94,"")</x:f>
      </x:c>
      <x:c r="G94" s="82" t="str">
        <x:f>IF('03_Form_Electricite'!$K94="Validé humainement",'03_Form_Electricite'!G94,"")</x:f>
      </x:c>
      <x:c r="H94" s="77" t="str">
        <x:f>IF('03_Form_Electricite'!$K94="Validé humainement",'03_Form_Electricite'!H94,"")</x:f>
      </x:c>
      <x:c r="I94" s="76" t="str">
        <x:f>IF('03_Form_Electricite'!$K94="Validé humainement",'03_Form_Electricite'!I94,"")</x:f>
      </x:c>
      <x:c r="J94" s="76" t="str">
        <x:f>IF('03_Form_Electricite'!$K94="Validé humainement",'03_Form_Electricite'!J94,"")</x:f>
      </x:c>
      <x:c r="K94" s="76" t="str">
        <x:f>IF('03_Form_Electricite'!$K94="Validé humainement",'03_Form_Electricite'!K94,"")</x:f>
      </x:c>
      <x:c r="L94" s="76" t="str">
        <x:f>IF('03_Form_Electricite'!$K94="Validé humainement",'03_Form_Electricite'!L94,"")</x:f>
      </x:c>
      <x:c r="M94" s="78" t="str">
        <x:f>IF('03_Form_Electricite'!$K94="Validé humainement",'03_Form_Electricite'!M94,"")</x:f>
      </x:c>
      <x:c r="N94" s="76" t="str">
        <x:f>IF('03_Form_Electricite'!$K94="Validé humainement",'03_Form_Electricite'!N94,"")</x:f>
      </x:c>
      <x:c r="O94" s="76" t="str">
        <x:f>IF('03_Form_Electricite'!$K94="Validé humainement",'03_Form_Electricite'!O94,"")</x:f>
      </x:c>
      <x:c r="P94" s="76" t="str">
        <x:f>IF('03_Form_Electricite'!$K94="Validé humainement",'03_Form_Electricite'!P94,"")</x:f>
      </x:c>
    </x:row>
    <x:row r="95">
      <x:c r="A95" s="76" t="str">
        <x:f>IF('03_Form_Electricite'!$K95="Validé humainement",'03_Form_Electricite'!A95,"")</x:f>
      </x:c>
      <x:c r="B95" s="76" t="str">
        <x:f>IF('03_Form_Electricite'!$K95="Validé humainement",'03_Form_Electricite'!B95,"")</x:f>
      </x:c>
      <x:c r="C95" s="76" t="str">
        <x:f>IF('03_Form_Electricite'!$K95="Validé humainement",'03_Form_Electricite'!C95,"")</x:f>
      </x:c>
      <x:c r="D95" s="76" t="str">
        <x:f>IF('03_Form_Electricite'!$K95="Validé humainement",'03_Form_Electricite'!D95,"")</x:f>
      </x:c>
      <x:c r="E95" s="76" t="str">
        <x:f>IF('03_Form_Electricite'!$K95="Validé humainement",'03_Form_Electricite'!E95,"")</x:f>
      </x:c>
      <x:c r="F95" s="81" t="str">
        <x:f>IF('03_Form_Electricite'!$K95="Validé humainement",'03_Form_Electricite'!F95,"")</x:f>
      </x:c>
      <x:c r="G95" s="82" t="str">
        <x:f>IF('03_Form_Electricite'!$K95="Validé humainement",'03_Form_Electricite'!G95,"")</x:f>
      </x:c>
      <x:c r="H95" s="77" t="str">
        <x:f>IF('03_Form_Electricite'!$K95="Validé humainement",'03_Form_Electricite'!H95,"")</x:f>
      </x:c>
      <x:c r="I95" s="76" t="str">
        <x:f>IF('03_Form_Electricite'!$K95="Validé humainement",'03_Form_Electricite'!I95,"")</x:f>
      </x:c>
      <x:c r="J95" s="76" t="str">
        <x:f>IF('03_Form_Electricite'!$K95="Validé humainement",'03_Form_Electricite'!J95,"")</x:f>
      </x:c>
      <x:c r="K95" s="76" t="str">
        <x:f>IF('03_Form_Electricite'!$K95="Validé humainement",'03_Form_Electricite'!K95,"")</x:f>
      </x:c>
      <x:c r="L95" s="76" t="str">
        <x:f>IF('03_Form_Electricite'!$K95="Validé humainement",'03_Form_Electricite'!L95,"")</x:f>
      </x:c>
      <x:c r="M95" s="78" t="str">
        <x:f>IF('03_Form_Electricite'!$K95="Validé humainement",'03_Form_Electricite'!M95,"")</x:f>
      </x:c>
      <x:c r="N95" s="76" t="str">
        <x:f>IF('03_Form_Electricite'!$K95="Validé humainement",'03_Form_Electricite'!N95,"")</x:f>
      </x:c>
      <x:c r="O95" s="76" t="str">
        <x:f>IF('03_Form_Electricite'!$K95="Validé humainement",'03_Form_Electricite'!O95,"")</x:f>
      </x:c>
      <x:c r="P95" s="76" t="str">
        <x:f>IF('03_Form_Electricite'!$K95="Validé humainement",'03_Form_Electricite'!P95,"")</x:f>
      </x:c>
    </x:row>
    <x:row r="96">
      <x:c r="A96" s="76" t="str">
        <x:f>IF('03_Form_Electricite'!$K96="Validé humainement",'03_Form_Electricite'!A96,"")</x:f>
      </x:c>
      <x:c r="B96" s="76" t="str">
        <x:f>IF('03_Form_Electricite'!$K96="Validé humainement",'03_Form_Electricite'!B96,"")</x:f>
      </x:c>
      <x:c r="C96" s="76" t="str">
        <x:f>IF('03_Form_Electricite'!$K96="Validé humainement",'03_Form_Electricite'!C96,"")</x:f>
      </x:c>
      <x:c r="D96" s="76" t="str">
        <x:f>IF('03_Form_Electricite'!$K96="Validé humainement",'03_Form_Electricite'!D96,"")</x:f>
      </x:c>
      <x:c r="E96" s="76" t="str">
        <x:f>IF('03_Form_Electricite'!$K96="Validé humainement",'03_Form_Electricite'!E96,"")</x:f>
      </x:c>
      <x:c r="F96" s="81" t="str">
        <x:f>IF('03_Form_Electricite'!$K96="Validé humainement",'03_Form_Electricite'!F96,"")</x:f>
      </x:c>
      <x:c r="G96" s="82" t="str">
        <x:f>IF('03_Form_Electricite'!$K96="Validé humainement",'03_Form_Electricite'!G96,"")</x:f>
      </x:c>
      <x:c r="H96" s="77" t="str">
        <x:f>IF('03_Form_Electricite'!$K96="Validé humainement",'03_Form_Electricite'!H96,"")</x:f>
      </x:c>
      <x:c r="I96" s="76" t="str">
        <x:f>IF('03_Form_Electricite'!$K96="Validé humainement",'03_Form_Electricite'!I96,"")</x:f>
      </x:c>
      <x:c r="J96" s="76" t="str">
        <x:f>IF('03_Form_Electricite'!$K96="Validé humainement",'03_Form_Electricite'!J96,"")</x:f>
      </x:c>
      <x:c r="K96" s="76" t="str">
        <x:f>IF('03_Form_Electricite'!$K96="Validé humainement",'03_Form_Electricite'!K96,"")</x:f>
      </x:c>
      <x:c r="L96" s="76" t="str">
        <x:f>IF('03_Form_Electricite'!$K96="Validé humainement",'03_Form_Electricite'!L96,"")</x:f>
      </x:c>
      <x:c r="M96" s="78" t="str">
        <x:f>IF('03_Form_Electricite'!$K96="Validé humainement",'03_Form_Electricite'!M96,"")</x:f>
      </x:c>
      <x:c r="N96" s="76" t="str">
        <x:f>IF('03_Form_Electricite'!$K96="Validé humainement",'03_Form_Electricite'!N96,"")</x:f>
      </x:c>
      <x:c r="O96" s="76" t="str">
        <x:f>IF('03_Form_Electricite'!$K96="Validé humainement",'03_Form_Electricite'!O96,"")</x:f>
      </x:c>
      <x:c r="P96" s="76" t="str">
        <x:f>IF('03_Form_Electricite'!$K96="Validé humainement",'03_Form_Electricite'!P96,"")</x:f>
      </x:c>
    </x:row>
    <x:row r="97">
      <x:c r="A97" s="76" t="str">
        <x:f>IF('03_Form_Electricite'!$K97="Validé humainement",'03_Form_Electricite'!A97,"")</x:f>
      </x:c>
      <x:c r="B97" s="76" t="str">
        <x:f>IF('03_Form_Electricite'!$K97="Validé humainement",'03_Form_Electricite'!B97,"")</x:f>
      </x:c>
      <x:c r="C97" s="76" t="str">
        <x:f>IF('03_Form_Electricite'!$K97="Validé humainement",'03_Form_Electricite'!C97,"")</x:f>
      </x:c>
      <x:c r="D97" s="76" t="str">
        <x:f>IF('03_Form_Electricite'!$K97="Validé humainement",'03_Form_Electricite'!D97,"")</x:f>
      </x:c>
      <x:c r="E97" s="76" t="str">
        <x:f>IF('03_Form_Electricite'!$K97="Validé humainement",'03_Form_Electricite'!E97,"")</x:f>
      </x:c>
      <x:c r="F97" s="81" t="str">
        <x:f>IF('03_Form_Electricite'!$K97="Validé humainement",'03_Form_Electricite'!F97,"")</x:f>
      </x:c>
      <x:c r="G97" s="82" t="str">
        <x:f>IF('03_Form_Electricite'!$K97="Validé humainement",'03_Form_Electricite'!G97,"")</x:f>
      </x:c>
      <x:c r="H97" s="77" t="str">
        <x:f>IF('03_Form_Electricite'!$K97="Validé humainement",'03_Form_Electricite'!H97,"")</x:f>
      </x:c>
      <x:c r="I97" s="76" t="str">
        <x:f>IF('03_Form_Electricite'!$K97="Validé humainement",'03_Form_Electricite'!I97,"")</x:f>
      </x:c>
      <x:c r="J97" s="76" t="str">
        <x:f>IF('03_Form_Electricite'!$K97="Validé humainement",'03_Form_Electricite'!J97,"")</x:f>
      </x:c>
      <x:c r="K97" s="76" t="str">
        <x:f>IF('03_Form_Electricite'!$K97="Validé humainement",'03_Form_Electricite'!K97,"")</x:f>
      </x:c>
      <x:c r="L97" s="76" t="str">
        <x:f>IF('03_Form_Electricite'!$K97="Validé humainement",'03_Form_Electricite'!L97,"")</x:f>
      </x:c>
      <x:c r="M97" s="78" t="str">
        <x:f>IF('03_Form_Electricite'!$K97="Validé humainement",'03_Form_Electricite'!M97,"")</x:f>
      </x:c>
      <x:c r="N97" s="76" t="str">
        <x:f>IF('03_Form_Electricite'!$K97="Validé humainement",'03_Form_Electricite'!N97,"")</x:f>
      </x:c>
      <x:c r="O97" s="76" t="str">
        <x:f>IF('03_Form_Electricite'!$K97="Validé humainement",'03_Form_Electricite'!O97,"")</x:f>
      </x:c>
      <x:c r="P97" s="76" t="str">
        <x:f>IF('03_Form_Electricite'!$K97="Validé humainement",'03_Form_Electricite'!P97,"")</x:f>
      </x:c>
    </x:row>
    <x:row r="98">
      <x:c r="A98" s="76" t="str">
        <x:f>IF('03_Form_Electricite'!$K98="Validé humainement",'03_Form_Electricite'!A98,"")</x:f>
      </x:c>
      <x:c r="B98" s="76" t="str">
        <x:f>IF('03_Form_Electricite'!$K98="Validé humainement",'03_Form_Electricite'!B98,"")</x:f>
      </x:c>
      <x:c r="C98" s="76" t="str">
        <x:f>IF('03_Form_Electricite'!$K98="Validé humainement",'03_Form_Electricite'!C98,"")</x:f>
      </x:c>
      <x:c r="D98" s="76" t="str">
        <x:f>IF('03_Form_Electricite'!$K98="Validé humainement",'03_Form_Electricite'!D98,"")</x:f>
      </x:c>
      <x:c r="E98" s="76" t="str">
        <x:f>IF('03_Form_Electricite'!$K98="Validé humainement",'03_Form_Electricite'!E98,"")</x:f>
      </x:c>
      <x:c r="F98" s="81" t="str">
        <x:f>IF('03_Form_Electricite'!$K98="Validé humainement",'03_Form_Electricite'!F98,"")</x:f>
      </x:c>
      <x:c r="G98" s="82" t="str">
        <x:f>IF('03_Form_Electricite'!$K98="Validé humainement",'03_Form_Electricite'!G98,"")</x:f>
      </x:c>
      <x:c r="H98" s="77" t="str">
        <x:f>IF('03_Form_Electricite'!$K98="Validé humainement",'03_Form_Electricite'!H98,"")</x:f>
      </x:c>
      <x:c r="I98" s="76" t="str">
        <x:f>IF('03_Form_Electricite'!$K98="Validé humainement",'03_Form_Electricite'!I98,"")</x:f>
      </x:c>
      <x:c r="J98" s="76" t="str">
        <x:f>IF('03_Form_Electricite'!$K98="Validé humainement",'03_Form_Electricite'!J98,"")</x:f>
      </x:c>
      <x:c r="K98" s="76" t="str">
        <x:f>IF('03_Form_Electricite'!$K98="Validé humainement",'03_Form_Electricite'!K98,"")</x:f>
      </x:c>
      <x:c r="L98" s="76" t="str">
        <x:f>IF('03_Form_Electricite'!$K98="Validé humainement",'03_Form_Electricite'!L98,"")</x:f>
      </x:c>
      <x:c r="M98" s="78" t="str">
        <x:f>IF('03_Form_Electricite'!$K98="Validé humainement",'03_Form_Electricite'!M98,"")</x:f>
      </x:c>
      <x:c r="N98" s="76" t="str">
        <x:f>IF('03_Form_Electricite'!$K98="Validé humainement",'03_Form_Electricite'!N98,"")</x:f>
      </x:c>
      <x:c r="O98" s="76" t="str">
        <x:f>IF('03_Form_Electricite'!$K98="Validé humainement",'03_Form_Electricite'!O98,"")</x:f>
      </x:c>
      <x:c r="P98" s="76" t="str">
        <x:f>IF('03_Form_Electricite'!$K98="Validé humainement",'03_Form_Electricite'!P98,"")</x:f>
      </x:c>
    </x:row>
    <x:row r="99">
      <x:c r="A99" s="76" t="str">
        <x:f>IF('03_Form_Electricite'!$K99="Validé humainement",'03_Form_Electricite'!A99,"")</x:f>
      </x:c>
      <x:c r="B99" s="76" t="str">
        <x:f>IF('03_Form_Electricite'!$K99="Validé humainement",'03_Form_Electricite'!B99,"")</x:f>
      </x:c>
      <x:c r="C99" s="76" t="str">
        <x:f>IF('03_Form_Electricite'!$K99="Validé humainement",'03_Form_Electricite'!C99,"")</x:f>
      </x:c>
      <x:c r="D99" s="76" t="str">
        <x:f>IF('03_Form_Electricite'!$K99="Validé humainement",'03_Form_Electricite'!D99,"")</x:f>
      </x:c>
      <x:c r="E99" s="76" t="str">
        <x:f>IF('03_Form_Electricite'!$K99="Validé humainement",'03_Form_Electricite'!E99,"")</x:f>
      </x:c>
      <x:c r="F99" s="81" t="str">
        <x:f>IF('03_Form_Electricite'!$K99="Validé humainement",'03_Form_Electricite'!F99,"")</x:f>
      </x:c>
      <x:c r="G99" s="82" t="str">
        <x:f>IF('03_Form_Electricite'!$K99="Validé humainement",'03_Form_Electricite'!G99,"")</x:f>
      </x:c>
      <x:c r="H99" s="77" t="str">
        <x:f>IF('03_Form_Electricite'!$K99="Validé humainement",'03_Form_Electricite'!H99,"")</x:f>
      </x:c>
      <x:c r="I99" s="76" t="str">
        <x:f>IF('03_Form_Electricite'!$K99="Validé humainement",'03_Form_Electricite'!I99,"")</x:f>
      </x:c>
      <x:c r="J99" s="76" t="str">
        <x:f>IF('03_Form_Electricite'!$K99="Validé humainement",'03_Form_Electricite'!J99,"")</x:f>
      </x:c>
      <x:c r="K99" s="76" t="str">
        <x:f>IF('03_Form_Electricite'!$K99="Validé humainement",'03_Form_Electricite'!K99,"")</x:f>
      </x:c>
      <x:c r="L99" s="76" t="str">
        <x:f>IF('03_Form_Electricite'!$K99="Validé humainement",'03_Form_Electricite'!L99,"")</x:f>
      </x:c>
      <x:c r="M99" s="78" t="str">
        <x:f>IF('03_Form_Electricite'!$K99="Validé humainement",'03_Form_Electricite'!M99,"")</x:f>
      </x:c>
      <x:c r="N99" s="76" t="str">
        <x:f>IF('03_Form_Electricite'!$K99="Validé humainement",'03_Form_Electricite'!N99,"")</x:f>
      </x:c>
      <x:c r="O99" s="76" t="str">
        <x:f>IF('03_Form_Electricite'!$K99="Validé humainement",'03_Form_Electricite'!O99,"")</x:f>
      </x:c>
      <x:c r="P99" s="76" t="str">
        <x:f>IF('03_Form_Electricite'!$K99="Validé humainement",'03_Form_Electricite'!P99,"")</x:f>
      </x:c>
    </x:row>
    <x:row r="100">
      <x:c r="A100" s="76" t="str">
        <x:f>IF('03_Form_Electricite'!$K100="Validé humainement",'03_Form_Electricite'!A100,"")</x:f>
      </x:c>
      <x:c r="B100" s="76" t="str">
        <x:f>IF('03_Form_Electricite'!$K100="Validé humainement",'03_Form_Electricite'!B100,"")</x:f>
      </x:c>
      <x:c r="C100" s="76" t="str">
        <x:f>IF('03_Form_Electricite'!$K100="Validé humainement",'03_Form_Electricite'!C100,"")</x:f>
      </x:c>
      <x:c r="D100" s="76" t="str">
        <x:f>IF('03_Form_Electricite'!$K100="Validé humainement",'03_Form_Electricite'!D100,"")</x:f>
      </x:c>
      <x:c r="E100" s="76" t="str">
        <x:f>IF('03_Form_Electricite'!$K100="Validé humainement",'03_Form_Electricite'!E100,"")</x:f>
      </x:c>
      <x:c r="F100" s="81" t="str">
        <x:f>IF('03_Form_Electricite'!$K100="Validé humainement",'03_Form_Electricite'!F100,"")</x:f>
      </x:c>
      <x:c r="G100" s="82" t="str">
        <x:f>IF('03_Form_Electricite'!$K100="Validé humainement",'03_Form_Electricite'!G100,"")</x:f>
      </x:c>
      <x:c r="H100" s="77" t="str">
        <x:f>IF('03_Form_Electricite'!$K100="Validé humainement",'03_Form_Electricite'!H100,"")</x:f>
      </x:c>
      <x:c r="I100" s="76" t="str">
        <x:f>IF('03_Form_Electricite'!$K100="Validé humainement",'03_Form_Electricite'!I100,"")</x:f>
      </x:c>
      <x:c r="J100" s="76" t="str">
        <x:f>IF('03_Form_Electricite'!$K100="Validé humainement",'03_Form_Electricite'!J100,"")</x:f>
      </x:c>
      <x:c r="K100" s="76" t="str">
        <x:f>IF('03_Form_Electricite'!$K100="Validé humainement",'03_Form_Electricite'!K100,"")</x:f>
      </x:c>
      <x:c r="L100" s="76" t="str">
        <x:f>IF('03_Form_Electricite'!$K100="Validé humainement",'03_Form_Electricite'!L100,"")</x:f>
      </x:c>
      <x:c r="M100" s="78" t="str">
        <x:f>IF('03_Form_Electricite'!$K100="Validé humainement",'03_Form_Electricite'!M100,"")</x:f>
      </x:c>
      <x:c r="N100" s="76" t="str">
        <x:f>IF('03_Form_Electricite'!$K100="Validé humainement",'03_Form_Electricite'!N100,"")</x:f>
      </x:c>
      <x:c r="O100" s="76" t="str">
        <x:f>IF('03_Form_Electricite'!$K100="Validé humainement",'03_Form_Electricite'!O100,"")</x:f>
      </x:c>
      <x:c r="P100" s="76" t="str">
        <x:f>IF('03_Form_Electricite'!$K100="Validé humainement",'03_Form_Electricite'!P100,"")</x:f>
      </x:c>
    </x:row>
    <x:row r="101">
      <x:c r="A101" s="76" t="str">
        <x:f>IF('03_Form_Electricite'!$K101="Validé humainement",'03_Form_Electricite'!A101,"")</x:f>
      </x:c>
      <x:c r="B101" s="76" t="str">
        <x:f>IF('03_Form_Electricite'!$K101="Validé humainement",'03_Form_Electricite'!B101,"")</x:f>
      </x:c>
      <x:c r="C101" s="76" t="str">
        <x:f>IF('03_Form_Electricite'!$K101="Validé humainement",'03_Form_Electricite'!C101,"")</x:f>
      </x:c>
      <x:c r="D101" s="76" t="str">
        <x:f>IF('03_Form_Electricite'!$K101="Validé humainement",'03_Form_Electricite'!D101,"")</x:f>
      </x:c>
      <x:c r="E101" s="76" t="str">
        <x:f>IF('03_Form_Electricite'!$K101="Validé humainement",'03_Form_Electricite'!E101,"")</x:f>
      </x:c>
      <x:c r="F101" s="81" t="str">
        <x:f>IF('03_Form_Electricite'!$K101="Validé humainement",'03_Form_Electricite'!F101,"")</x:f>
      </x:c>
      <x:c r="G101" s="82" t="str">
        <x:f>IF('03_Form_Electricite'!$K101="Validé humainement",'03_Form_Electricite'!G101,"")</x:f>
      </x:c>
      <x:c r="H101" s="77" t="str">
        <x:f>IF('03_Form_Electricite'!$K101="Validé humainement",'03_Form_Electricite'!H101,"")</x:f>
      </x:c>
      <x:c r="I101" s="76" t="str">
        <x:f>IF('03_Form_Electricite'!$K101="Validé humainement",'03_Form_Electricite'!I101,"")</x:f>
      </x:c>
      <x:c r="J101" s="76" t="str">
        <x:f>IF('03_Form_Electricite'!$K101="Validé humainement",'03_Form_Electricite'!J101,"")</x:f>
      </x:c>
      <x:c r="K101" s="76" t="str">
        <x:f>IF('03_Form_Electricite'!$K101="Validé humainement",'03_Form_Electricite'!K101,"")</x:f>
      </x:c>
      <x:c r="L101" s="76" t="str">
        <x:f>IF('03_Form_Electricite'!$K101="Validé humainement",'03_Form_Electricite'!L101,"")</x:f>
      </x:c>
      <x:c r="M101" s="78" t="str">
        <x:f>IF('03_Form_Electricite'!$K101="Validé humainement",'03_Form_Electricite'!M101,"")</x:f>
      </x:c>
      <x:c r="N101" s="76" t="str">
        <x:f>IF('03_Form_Electricite'!$K101="Validé humainement",'03_Form_Electricite'!N101,"")</x:f>
      </x:c>
      <x:c r="O101" s="76" t="str">
        <x:f>IF('03_Form_Electricite'!$K101="Validé humainement",'03_Form_Electricite'!O101,"")</x:f>
      </x:c>
      <x:c r="P101" s="76" t="str">
        <x:f>IF('03_Form_Electricite'!$K101="Validé humainement",'03_Form_Electricite'!P101,"")</x:f>
      </x:c>
    </x:row>
    <x:row r="102">
      <x:c r="A102" s="76" t="str">
        <x:f>IF('03_Form_Electricite'!$K102="Validé humainement",'03_Form_Electricite'!A102,"")</x:f>
      </x:c>
      <x:c r="B102" s="76" t="str">
        <x:f>IF('03_Form_Electricite'!$K102="Validé humainement",'03_Form_Electricite'!B102,"")</x:f>
      </x:c>
      <x:c r="C102" s="76" t="str">
        <x:f>IF('03_Form_Electricite'!$K102="Validé humainement",'03_Form_Electricite'!C102,"")</x:f>
      </x:c>
      <x:c r="D102" s="76" t="str">
        <x:f>IF('03_Form_Electricite'!$K102="Validé humainement",'03_Form_Electricite'!D102,"")</x:f>
      </x:c>
      <x:c r="E102" s="76" t="str">
        <x:f>IF('03_Form_Electricite'!$K102="Validé humainement",'03_Form_Electricite'!E102,"")</x:f>
      </x:c>
      <x:c r="F102" s="81" t="str">
        <x:f>IF('03_Form_Electricite'!$K102="Validé humainement",'03_Form_Electricite'!F102,"")</x:f>
      </x:c>
      <x:c r="G102" s="82" t="str">
        <x:f>IF('03_Form_Electricite'!$K102="Validé humainement",'03_Form_Electricite'!G102,"")</x:f>
      </x:c>
      <x:c r="H102" s="77" t="str">
        <x:f>IF('03_Form_Electricite'!$K102="Validé humainement",'03_Form_Electricite'!H102,"")</x:f>
      </x:c>
      <x:c r="I102" s="76" t="str">
        <x:f>IF('03_Form_Electricite'!$K102="Validé humainement",'03_Form_Electricite'!I102,"")</x:f>
      </x:c>
      <x:c r="J102" s="76" t="str">
        <x:f>IF('03_Form_Electricite'!$K102="Validé humainement",'03_Form_Electricite'!J102,"")</x:f>
      </x:c>
      <x:c r="K102" s="76" t="str">
        <x:f>IF('03_Form_Electricite'!$K102="Validé humainement",'03_Form_Electricite'!K102,"")</x:f>
      </x:c>
      <x:c r="L102" s="76" t="str">
        <x:f>IF('03_Form_Electricite'!$K102="Validé humainement",'03_Form_Electricite'!L102,"")</x:f>
      </x:c>
      <x:c r="M102" s="78" t="str">
        <x:f>IF('03_Form_Electricite'!$K102="Validé humainement",'03_Form_Electricite'!M102,"")</x:f>
      </x:c>
      <x:c r="N102" s="76" t="str">
        <x:f>IF('03_Form_Electricite'!$K102="Validé humainement",'03_Form_Electricite'!N102,"")</x:f>
      </x:c>
      <x:c r="O102" s="76" t="str">
        <x:f>IF('03_Form_Electricite'!$K102="Validé humainement",'03_Form_Electricite'!O102,"")</x:f>
      </x:c>
      <x:c r="P102" s="76" t="str">
        <x:f>IF('03_Form_Electricite'!$K102="Validé humainement",'03_Form_Electricite'!P102,"")</x:f>
      </x:c>
    </x:row>
    <x:row r="103">
      <x:c r="A103" s="76" t="str">
        <x:f>IF('03_Form_Electricite'!$K103="Validé humainement",'03_Form_Electricite'!A103,"")</x:f>
      </x:c>
      <x:c r="B103" s="76" t="str">
        <x:f>IF('03_Form_Electricite'!$K103="Validé humainement",'03_Form_Electricite'!B103,"")</x:f>
      </x:c>
      <x:c r="C103" s="76" t="str">
        <x:f>IF('03_Form_Electricite'!$K103="Validé humainement",'03_Form_Electricite'!C103,"")</x:f>
      </x:c>
      <x:c r="D103" s="76" t="str">
        <x:f>IF('03_Form_Electricite'!$K103="Validé humainement",'03_Form_Electricite'!D103,"")</x:f>
      </x:c>
      <x:c r="E103" s="76" t="str">
        <x:f>IF('03_Form_Electricite'!$K103="Validé humainement",'03_Form_Electricite'!E103,"")</x:f>
      </x:c>
      <x:c r="F103" s="81" t="str">
        <x:f>IF('03_Form_Electricite'!$K103="Validé humainement",'03_Form_Electricite'!F103,"")</x:f>
      </x:c>
      <x:c r="G103" s="82" t="str">
        <x:f>IF('03_Form_Electricite'!$K103="Validé humainement",'03_Form_Electricite'!G103,"")</x:f>
      </x:c>
      <x:c r="H103" s="77" t="str">
        <x:f>IF('03_Form_Electricite'!$K103="Validé humainement",'03_Form_Electricite'!H103,"")</x:f>
      </x:c>
      <x:c r="I103" s="76" t="str">
        <x:f>IF('03_Form_Electricite'!$K103="Validé humainement",'03_Form_Electricite'!I103,"")</x:f>
      </x:c>
      <x:c r="J103" s="76" t="str">
        <x:f>IF('03_Form_Electricite'!$K103="Validé humainement",'03_Form_Electricite'!J103,"")</x:f>
      </x:c>
      <x:c r="K103" s="76" t="str">
        <x:f>IF('03_Form_Electricite'!$K103="Validé humainement",'03_Form_Electricite'!K103,"")</x:f>
      </x:c>
      <x:c r="L103" s="76" t="str">
        <x:f>IF('03_Form_Electricite'!$K103="Validé humainement",'03_Form_Electricite'!L103,"")</x:f>
      </x:c>
      <x:c r="M103" s="78" t="str">
        <x:f>IF('03_Form_Electricite'!$K103="Validé humainement",'03_Form_Electricite'!M103,"")</x:f>
      </x:c>
      <x:c r="N103" s="76" t="str">
        <x:f>IF('03_Form_Electricite'!$K103="Validé humainement",'03_Form_Electricite'!N103,"")</x:f>
      </x:c>
      <x:c r="O103" s="76" t="str">
        <x:f>IF('03_Form_Electricite'!$K103="Validé humainement",'03_Form_Electricite'!O103,"")</x:f>
      </x:c>
      <x:c r="P103" s="76" t="str">
        <x:f>IF('03_Form_Electricite'!$K103="Validé humainement",'03_Form_Electricite'!P103,"")</x:f>
      </x:c>
    </x:row>
    <x:row r="104">
      <x:c r="A104" s="76" t="str">
        <x:f>IF('03_Form_Electricite'!$K104="Validé humainement",'03_Form_Electricite'!A104,"")</x:f>
      </x:c>
      <x:c r="B104" s="76" t="str">
        <x:f>IF('03_Form_Electricite'!$K104="Validé humainement",'03_Form_Electricite'!B104,"")</x:f>
      </x:c>
      <x:c r="C104" s="76" t="str">
        <x:f>IF('03_Form_Electricite'!$K104="Validé humainement",'03_Form_Electricite'!C104,"")</x:f>
      </x:c>
      <x:c r="D104" s="76" t="str">
        <x:f>IF('03_Form_Electricite'!$K104="Validé humainement",'03_Form_Electricite'!D104,"")</x:f>
      </x:c>
      <x:c r="E104" s="76" t="str">
        <x:f>IF('03_Form_Electricite'!$K104="Validé humainement",'03_Form_Electricite'!E104,"")</x:f>
      </x:c>
      <x:c r="F104" s="81" t="str">
        <x:f>IF('03_Form_Electricite'!$K104="Validé humainement",'03_Form_Electricite'!F104,"")</x:f>
      </x:c>
      <x:c r="G104" s="82" t="str">
        <x:f>IF('03_Form_Electricite'!$K104="Validé humainement",'03_Form_Electricite'!G104,"")</x:f>
      </x:c>
      <x:c r="H104" s="77" t="str">
        <x:f>IF('03_Form_Electricite'!$K104="Validé humainement",'03_Form_Electricite'!H104,"")</x:f>
      </x:c>
      <x:c r="I104" s="76" t="str">
        <x:f>IF('03_Form_Electricite'!$K104="Validé humainement",'03_Form_Electricite'!I104,"")</x:f>
      </x:c>
      <x:c r="J104" s="76" t="str">
        <x:f>IF('03_Form_Electricite'!$K104="Validé humainement",'03_Form_Electricite'!J104,"")</x:f>
      </x:c>
      <x:c r="K104" s="76" t="str">
        <x:f>IF('03_Form_Electricite'!$K104="Validé humainement",'03_Form_Electricite'!K104,"")</x:f>
      </x:c>
      <x:c r="L104" s="76" t="str">
        <x:f>IF('03_Form_Electricite'!$K104="Validé humainement",'03_Form_Electricite'!L104,"")</x:f>
      </x:c>
      <x:c r="M104" s="78" t="str">
        <x:f>IF('03_Form_Electricite'!$K104="Validé humainement",'03_Form_Electricite'!M104,"")</x:f>
      </x:c>
      <x:c r="N104" s="76" t="str">
        <x:f>IF('03_Form_Electricite'!$K104="Validé humainement",'03_Form_Electricite'!N104,"")</x:f>
      </x:c>
      <x:c r="O104" s="76" t="str">
        <x:f>IF('03_Form_Electricite'!$K104="Validé humainement",'03_Form_Electricite'!O104,"")</x:f>
      </x:c>
      <x:c r="P104" s="76" t="str">
        <x:f>IF('03_Form_Electricite'!$K104="Validé humainement",'03_Form_Electricite'!P104,"")</x:f>
      </x:c>
    </x:row>
  </x:sheetData>
  <x:mergeCells>
    <x:mergeCell ref="A1:P1"/>
    <x:mergeCell ref="A2:P2"/>
  </x:mergeCells>
  <x:pageMargins left="0.7" right="0.7" top="0.75" bottom="0.75" header="0.3" footer="0.3"/>
  <x:tableParts count="1">
    <x:tablePart xmlns:r="http://schemas.openxmlformats.org/officeDocument/2006/relationships" r:id="R2f88b4caddf64811"/>
  </x:tableParts>
</x:worksheet>
</file>

<file path=xl/worksheets/sheet57.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7.5" hidden="0" customWidth="1"/>
    <x:col min="7" max="7" width="17.5" hidden="0" customWidth="1"/>
    <x:col min="8" max="8" width="18.1299991607666" hidden="0" customWidth="1"/>
    <x:col min="9" max="9" width="20.6299991607666" hidden="0" customWidth="1"/>
    <x:col min="10" max="10" width="11.880000114440918" hidden="0" customWidth="1"/>
    <x:col min="11" max="11" width="22.5" hidden="0" customWidth="1"/>
    <x:col min="12" max="12" width="26.25" hidden="0" customWidth="1"/>
    <x:col min="13" max="13" width="18.1299991607666" hidden="0" customWidth="1"/>
    <x:col min="14" max="14" width="31.25" hidden="0" customWidth="1"/>
    <x:col min="15" max="15" width="20" hidden="0" customWidth="1"/>
    <x:col min="16" max="16" width="15" hidden="0" customWidth="1"/>
    <x:col min="17" max="17" width="18.75" hidden="0" customWidth="1"/>
    <x:col min="18" max="18" width="23.75" hidden="0" customWidth="1"/>
    <x:col min="19" max="19" width="15" hidden="0" customWidth="1"/>
  </x:cols>
  <x:sheetData>
    <x:row r="1" ht="25.5" customHeight="1">
      <x:c r="A1" s="68" t="str">
        <x:v>Base validée - déchets</x:v>
      </x:c>
      <x:c r="B1" s="68"/>
      <x:c r="C1" s="68"/>
      <x:c r="D1" s="68"/>
      <x:c r="E1" s="68"/>
      <x:c r="F1" s="68"/>
      <x:c r="G1" s="68"/>
      <x:c r="H1" s="68"/>
      <x:c r="I1" s="68"/>
      <x:c r="J1" s="68"/>
      <x:c r="K1" s="68"/>
      <x:c r="L1" s="68"/>
      <x:c r="M1" s="68"/>
      <x:c r="N1" s="68"/>
      <x:c r="O1" s="68"/>
      <x:c r="P1" s="68"/>
      <x:c r="Q1" s="68"/>
      <x:c r="R1" s="68"/>
      <x:c r="S1" s="68"/>
    </x:row>
    <x:row r="2" ht="33" customHeight="1">
      <x:c r="A2" s="71" t="str">
        <x:v>Cette base est alimentée automatiquement depuis 04_Form_Dechets. Seules les lignes avec le statut "Validé humainement" sont reprises.</x:v>
      </x:c>
      <x:c r="B2" s="71"/>
      <x:c r="C2" s="71"/>
      <x:c r="D2" s="71"/>
      <x:c r="E2" s="71"/>
      <x:c r="F2" s="71"/>
      <x:c r="G2" s="71"/>
      <x:c r="H2" s="71"/>
      <x:c r="I2" s="71"/>
      <x:c r="J2" s="71"/>
      <x:c r="K2" s="71"/>
      <x:c r="L2" s="71"/>
      <x:c r="M2" s="71"/>
      <x:c r="N2" s="71"/>
      <x:c r="O2" s="71"/>
      <x:c r="P2" s="71"/>
      <x:c r="Q2" s="71"/>
      <x:c r="R2" s="71"/>
      <x:c r="S2" s="71"/>
    </x:row>
    <x:row r="4">
      <x:c r="A4" s="87" t="str">
        <x:v>ID_Saisie</x:v>
      </x:c>
      <x:c r="B4" s="87" t="str">
        <x:v>Année</x:v>
      </x:c>
      <x:c r="C4" s="87" t="str">
        <x:v>Mois</x:v>
      </x:c>
      <x:c r="D4" s="87" t="str">
        <x:v>Zone</x:v>
      </x:c>
      <x:c r="E4" s="87" t="str">
        <x:v>Type de déchets</x:v>
      </x:c>
      <x:c r="F4" s="87" t="str">
        <x:v>Quantité collectée</x:v>
      </x:c>
      <x:c r="G4" s="87" t="str">
        <x:v>Quantité recyclée</x:v>
      </x:c>
      <x:c r="H4" s="87" t="str">
        <x:v>Quantité compostée</x:v>
      </x:c>
      <x:c r="I4" s="87" t="str">
        <x:v>Quantité mise en décharge</x:v>
      </x:c>
      <x:c r="J4" s="87" t="str">
        <x:v>Unité</x:v>
      </x:c>
      <x:c r="K4" s="87" t="str">
        <x:v>Institution source</x:v>
      </x:c>
      <x:c r="L4" s="87" t="str">
        <x:v>Document source</x:v>
      </x:c>
      <x:c r="M4" s="87" t="str">
        <x:v>Émissions estimées</x:v>
      </x:c>
      <x:c r="N4" s="87" t="str">
        <x:v>Observations</x:v>
      </x:c>
      <x:c r="O4" s="87" t="str">
        <x:v>Statut validation</x:v>
      </x:c>
      <x:c r="P4" s="87" t="str">
        <x:v>Date de saisie</x:v>
      </x:c>
      <x:c r="Q4" s="87" t="str">
        <x:v>Responsable</x:v>
      </x:c>
      <x:c r="R4" s="87" t="str">
        <x:v>Alerte_QC</x:v>
      </x:c>
      <x:c r="S4" s="87" t="str">
        <x:v>Alimente_Rapports</x:v>
      </x:c>
    </x:row>
    <x:row r="5">
      <x:c r="A5" s="76" t="str">
        <x:f>IF('04_Form_Dechets'!$O5="Validé humainement",'04_Form_Dechets'!A5,"")</x:f>
      </x:c>
      <x:c r="B5" s="76" t="str">
        <x:f>IF('04_Form_Dechets'!$O5="Validé humainement",'04_Form_Dechets'!B5,"")</x:f>
      </x:c>
      <x:c r="C5" s="76" t="str">
        <x:f>IF('04_Form_Dechets'!$O5="Validé humainement",'04_Form_Dechets'!C5,"")</x:f>
      </x:c>
      <x:c r="D5" s="76" t="str">
        <x:f>IF('04_Form_Dechets'!$O5="Validé humainement",'04_Form_Dechets'!D5,"")</x:f>
      </x:c>
      <x:c r="E5" s="76" t="str">
        <x:f>IF('04_Form_Dechets'!$O5="Validé humainement",'04_Form_Dechets'!E5,"")</x:f>
      </x:c>
      <x:c r="F5" s="77" t="str">
        <x:f>IF('04_Form_Dechets'!$O5="Validé humainement",'04_Form_Dechets'!F5,"")</x:f>
      </x:c>
      <x:c r="G5" s="77" t="str">
        <x:f>IF('04_Form_Dechets'!$O5="Validé humainement",'04_Form_Dechets'!G5,"")</x:f>
      </x:c>
      <x:c r="H5" s="77" t="str">
        <x:f>IF('04_Form_Dechets'!$O5="Validé humainement",'04_Form_Dechets'!H5,"")</x:f>
      </x:c>
      <x:c r="I5" s="77" t="str">
        <x:f>IF('04_Form_Dechets'!$O5="Validé humainement",'04_Form_Dechets'!I5,"")</x:f>
      </x:c>
      <x:c r="J5" s="76" t="str">
        <x:f>IF('04_Form_Dechets'!$O5="Validé humainement",'04_Form_Dechets'!J5,"")</x:f>
      </x:c>
      <x:c r="K5" s="76" t="str">
        <x:f>IF('04_Form_Dechets'!$O5="Validé humainement",'04_Form_Dechets'!K5,"")</x:f>
      </x:c>
      <x:c r="L5" s="76" t="str">
        <x:f>IF('04_Form_Dechets'!$O5="Validé humainement",'04_Form_Dechets'!L5,"")</x:f>
      </x:c>
      <x:c r="M5" s="77" t="str">
        <x:f>IF('04_Form_Dechets'!$O5="Validé humainement",'04_Form_Dechets'!M5,"")</x:f>
      </x:c>
      <x:c r="N5" s="76" t="str">
        <x:f>IF('04_Form_Dechets'!$O5="Validé humainement",'04_Form_Dechets'!N5,"")</x:f>
      </x:c>
      <x:c r="O5" s="76" t="str">
        <x:f>IF('04_Form_Dechets'!$O5="Validé humainement",'04_Form_Dechets'!O5,"")</x:f>
      </x:c>
      <x:c r="P5" s="78" t="str">
        <x:f>IF('04_Form_Dechets'!$O5="Validé humainement",'04_Form_Dechets'!P5,"")</x:f>
      </x:c>
      <x:c r="Q5" s="76" t="str">
        <x:f>IF('04_Form_Dechets'!$O5="Validé humainement",'04_Form_Dechets'!Q5,"")</x:f>
      </x:c>
      <x:c r="R5" s="76" t="str">
        <x:f>IF('04_Form_Dechets'!$O5="Validé humainement",'04_Form_Dechets'!R5,"")</x:f>
      </x:c>
      <x:c r="S5" s="76" t="str">
        <x:f>IF('04_Form_Dechets'!$O5="Validé humainement",'04_Form_Dechets'!S5,"")</x:f>
      </x:c>
    </x:row>
    <x:row r="6">
      <x:c r="A6" s="76" t="str">
        <x:f>IF('04_Form_Dechets'!$O6="Validé humainement",'04_Form_Dechets'!A6,"")</x:f>
      </x:c>
      <x:c r="B6" s="76" t="str">
        <x:f>IF('04_Form_Dechets'!$O6="Validé humainement",'04_Form_Dechets'!B6,"")</x:f>
      </x:c>
      <x:c r="C6" s="76" t="str">
        <x:f>IF('04_Form_Dechets'!$O6="Validé humainement",'04_Form_Dechets'!C6,"")</x:f>
      </x:c>
      <x:c r="D6" s="76" t="str">
        <x:f>IF('04_Form_Dechets'!$O6="Validé humainement",'04_Form_Dechets'!D6,"")</x:f>
      </x:c>
      <x:c r="E6" s="76" t="str">
        <x:f>IF('04_Form_Dechets'!$O6="Validé humainement",'04_Form_Dechets'!E6,"")</x:f>
      </x:c>
      <x:c r="F6" s="77" t="str">
        <x:f>IF('04_Form_Dechets'!$O6="Validé humainement",'04_Form_Dechets'!F6,"")</x:f>
      </x:c>
      <x:c r="G6" s="77" t="str">
        <x:f>IF('04_Form_Dechets'!$O6="Validé humainement",'04_Form_Dechets'!G6,"")</x:f>
      </x:c>
      <x:c r="H6" s="77" t="str">
        <x:f>IF('04_Form_Dechets'!$O6="Validé humainement",'04_Form_Dechets'!H6,"")</x:f>
      </x:c>
      <x:c r="I6" s="77" t="str">
        <x:f>IF('04_Form_Dechets'!$O6="Validé humainement",'04_Form_Dechets'!I6,"")</x:f>
      </x:c>
      <x:c r="J6" s="76" t="str">
        <x:f>IF('04_Form_Dechets'!$O6="Validé humainement",'04_Form_Dechets'!J6,"")</x:f>
      </x:c>
      <x:c r="K6" s="76" t="str">
        <x:f>IF('04_Form_Dechets'!$O6="Validé humainement",'04_Form_Dechets'!K6,"")</x:f>
      </x:c>
      <x:c r="L6" s="76" t="str">
        <x:f>IF('04_Form_Dechets'!$O6="Validé humainement",'04_Form_Dechets'!L6,"")</x:f>
      </x:c>
      <x:c r="M6" s="77" t="str">
        <x:f>IF('04_Form_Dechets'!$O6="Validé humainement",'04_Form_Dechets'!M6,"")</x:f>
      </x:c>
      <x:c r="N6" s="76" t="str">
        <x:f>IF('04_Form_Dechets'!$O6="Validé humainement",'04_Form_Dechets'!N6,"")</x:f>
      </x:c>
      <x:c r="O6" s="76" t="str">
        <x:f>IF('04_Form_Dechets'!$O6="Validé humainement",'04_Form_Dechets'!O6,"")</x:f>
      </x:c>
      <x:c r="P6" s="78" t="str">
        <x:f>IF('04_Form_Dechets'!$O6="Validé humainement",'04_Form_Dechets'!P6,"")</x:f>
      </x:c>
      <x:c r="Q6" s="76" t="str">
        <x:f>IF('04_Form_Dechets'!$O6="Validé humainement",'04_Form_Dechets'!Q6,"")</x:f>
      </x:c>
      <x:c r="R6" s="76" t="str">
        <x:f>IF('04_Form_Dechets'!$O6="Validé humainement",'04_Form_Dechets'!R6,"")</x:f>
      </x:c>
      <x:c r="S6" s="76" t="str">
        <x:f>IF('04_Form_Dechets'!$O6="Validé humainement",'04_Form_Dechets'!S6,"")</x:f>
      </x:c>
    </x:row>
    <x:row r="7">
      <x:c r="A7" s="76" t="str">
        <x:f>IF('04_Form_Dechets'!$O7="Validé humainement",'04_Form_Dechets'!A7,"")</x:f>
      </x:c>
      <x:c r="B7" s="76" t="str">
        <x:f>IF('04_Form_Dechets'!$O7="Validé humainement",'04_Form_Dechets'!B7,"")</x:f>
      </x:c>
      <x:c r="C7" s="76" t="str">
        <x:f>IF('04_Form_Dechets'!$O7="Validé humainement",'04_Form_Dechets'!C7,"")</x:f>
      </x:c>
      <x:c r="D7" s="76" t="str">
        <x:f>IF('04_Form_Dechets'!$O7="Validé humainement",'04_Form_Dechets'!D7,"")</x:f>
      </x:c>
      <x:c r="E7" s="76" t="str">
        <x:f>IF('04_Form_Dechets'!$O7="Validé humainement",'04_Form_Dechets'!E7,"")</x:f>
      </x:c>
      <x:c r="F7" s="77" t="str">
        <x:f>IF('04_Form_Dechets'!$O7="Validé humainement",'04_Form_Dechets'!F7,"")</x:f>
      </x:c>
      <x:c r="G7" s="77" t="str">
        <x:f>IF('04_Form_Dechets'!$O7="Validé humainement",'04_Form_Dechets'!G7,"")</x:f>
      </x:c>
      <x:c r="H7" s="77" t="str">
        <x:f>IF('04_Form_Dechets'!$O7="Validé humainement",'04_Form_Dechets'!H7,"")</x:f>
      </x:c>
      <x:c r="I7" s="77" t="str">
        <x:f>IF('04_Form_Dechets'!$O7="Validé humainement",'04_Form_Dechets'!I7,"")</x:f>
      </x:c>
      <x:c r="J7" s="76" t="str">
        <x:f>IF('04_Form_Dechets'!$O7="Validé humainement",'04_Form_Dechets'!J7,"")</x:f>
      </x:c>
      <x:c r="K7" s="76" t="str">
        <x:f>IF('04_Form_Dechets'!$O7="Validé humainement",'04_Form_Dechets'!K7,"")</x:f>
      </x:c>
      <x:c r="L7" s="76" t="str">
        <x:f>IF('04_Form_Dechets'!$O7="Validé humainement",'04_Form_Dechets'!L7,"")</x:f>
      </x:c>
      <x:c r="M7" s="77" t="str">
        <x:f>IF('04_Form_Dechets'!$O7="Validé humainement",'04_Form_Dechets'!M7,"")</x:f>
      </x:c>
      <x:c r="N7" s="76" t="str">
        <x:f>IF('04_Form_Dechets'!$O7="Validé humainement",'04_Form_Dechets'!N7,"")</x:f>
      </x:c>
      <x:c r="O7" s="76" t="str">
        <x:f>IF('04_Form_Dechets'!$O7="Validé humainement",'04_Form_Dechets'!O7,"")</x:f>
      </x:c>
      <x:c r="P7" s="78" t="str">
        <x:f>IF('04_Form_Dechets'!$O7="Validé humainement",'04_Form_Dechets'!P7,"")</x:f>
      </x:c>
      <x:c r="Q7" s="76" t="str">
        <x:f>IF('04_Form_Dechets'!$O7="Validé humainement",'04_Form_Dechets'!Q7,"")</x:f>
      </x:c>
      <x:c r="R7" s="76" t="str">
        <x:f>IF('04_Form_Dechets'!$O7="Validé humainement",'04_Form_Dechets'!R7,"")</x:f>
      </x:c>
      <x:c r="S7" s="76" t="str">
        <x:f>IF('04_Form_Dechets'!$O7="Validé humainement",'04_Form_Dechets'!S7,"")</x:f>
      </x:c>
    </x:row>
    <x:row r="8">
      <x:c r="A8" s="76" t="str">
        <x:f>IF('04_Form_Dechets'!$O8="Validé humainement",'04_Form_Dechets'!A8,"")</x:f>
      </x:c>
      <x:c r="B8" s="76" t="str">
        <x:f>IF('04_Form_Dechets'!$O8="Validé humainement",'04_Form_Dechets'!B8,"")</x:f>
      </x:c>
      <x:c r="C8" s="76" t="str">
        <x:f>IF('04_Form_Dechets'!$O8="Validé humainement",'04_Form_Dechets'!C8,"")</x:f>
      </x:c>
      <x:c r="D8" s="76" t="str">
        <x:f>IF('04_Form_Dechets'!$O8="Validé humainement",'04_Form_Dechets'!D8,"")</x:f>
      </x:c>
      <x:c r="E8" s="76" t="str">
        <x:f>IF('04_Form_Dechets'!$O8="Validé humainement",'04_Form_Dechets'!E8,"")</x:f>
      </x:c>
      <x:c r="F8" s="77" t="str">
        <x:f>IF('04_Form_Dechets'!$O8="Validé humainement",'04_Form_Dechets'!F8,"")</x:f>
      </x:c>
      <x:c r="G8" s="77" t="str">
        <x:f>IF('04_Form_Dechets'!$O8="Validé humainement",'04_Form_Dechets'!G8,"")</x:f>
      </x:c>
      <x:c r="H8" s="77" t="str">
        <x:f>IF('04_Form_Dechets'!$O8="Validé humainement",'04_Form_Dechets'!H8,"")</x:f>
      </x:c>
      <x:c r="I8" s="77" t="str">
        <x:f>IF('04_Form_Dechets'!$O8="Validé humainement",'04_Form_Dechets'!I8,"")</x:f>
      </x:c>
      <x:c r="J8" s="76" t="str">
        <x:f>IF('04_Form_Dechets'!$O8="Validé humainement",'04_Form_Dechets'!J8,"")</x:f>
      </x:c>
      <x:c r="K8" s="76" t="str">
        <x:f>IF('04_Form_Dechets'!$O8="Validé humainement",'04_Form_Dechets'!K8,"")</x:f>
      </x:c>
      <x:c r="L8" s="76" t="str">
        <x:f>IF('04_Form_Dechets'!$O8="Validé humainement",'04_Form_Dechets'!L8,"")</x:f>
      </x:c>
      <x:c r="M8" s="77" t="str">
        <x:f>IF('04_Form_Dechets'!$O8="Validé humainement",'04_Form_Dechets'!M8,"")</x:f>
      </x:c>
      <x:c r="N8" s="76" t="str">
        <x:f>IF('04_Form_Dechets'!$O8="Validé humainement",'04_Form_Dechets'!N8,"")</x:f>
      </x:c>
      <x:c r="O8" s="76" t="str">
        <x:f>IF('04_Form_Dechets'!$O8="Validé humainement",'04_Form_Dechets'!O8,"")</x:f>
      </x:c>
      <x:c r="P8" s="78" t="str">
        <x:f>IF('04_Form_Dechets'!$O8="Validé humainement",'04_Form_Dechets'!P8,"")</x:f>
      </x:c>
      <x:c r="Q8" s="76" t="str">
        <x:f>IF('04_Form_Dechets'!$O8="Validé humainement",'04_Form_Dechets'!Q8,"")</x:f>
      </x:c>
      <x:c r="R8" s="76" t="str">
        <x:f>IF('04_Form_Dechets'!$O8="Validé humainement",'04_Form_Dechets'!R8,"")</x:f>
      </x:c>
      <x:c r="S8" s="76" t="str">
        <x:f>IF('04_Form_Dechets'!$O8="Validé humainement",'04_Form_Dechets'!S8,"")</x:f>
      </x:c>
    </x:row>
    <x:row r="9">
      <x:c r="A9" s="76" t="str">
        <x:f>IF('04_Form_Dechets'!$O9="Validé humainement",'04_Form_Dechets'!A9,"")</x:f>
      </x:c>
      <x:c r="B9" s="76" t="str">
        <x:f>IF('04_Form_Dechets'!$O9="Validé humainement",'04_Form_Dechets'!B9,"")</x:f>
      </x:c>
      <x:c r="C9" s="76" t="str">
        <x:f>IF('04_Form_Dechets'!$O9="Validé humainement",'04_Form_Dechets'!C9,"")</x:f>
      </x:c>
      <x:c r="D9" s="76" t="str">
        <x:f>IF('04_Form_Dechets'!$O9="Validé humainement",'04_Form_Dechets'!D9,"")</x:f>
      </x:c>
      <x:c r="E9" s="76" t="str">
        <x:f>IF('04_Form_Dechets'!$O9="Validé humainement",'04_Form_Dechets'!E9,"")</x:f>
      </x:c>
      <x:c r="F9" s="77" t="str">
        <x:f>IF('04_Form_Dechets'!$O9="Validé humainement",'04_Form_Dechets'!F9,"")</x:f>
      </x:c>
      <x:c r="G9" s="77" t="str">
        <x:f>IF('04_Form_Dechets'!$O9="Validé humainement",'04_Form_Dechets'!G9,"")</x:f>
      </x:c>
      <x:c r="H9" s="77" t="str">
        <x:f>IF('04_Form_Dechets'!$O9="Validé humainement",'04_Form_Dechets'!H9,"")</x:f>
      </x:c>
      <x:c r="I9" s="77" t="str">
        <x:f>IF('04_Form_Dechets'!$O9="Validé humainement",'04_Form_Dechets'!I9,"")</x:f>
      </x:c>
      <x:c r="J9" s="76" t="str">
        <x:f>IF('04_Form_Dechets'!$O9="Validé humainement",'04_Form_Dechets'!J9,"")</x:f>
      </x:c>
      <x:c r="K9" s="76" t="str">
        <x:f>IF('04_Form_Dechets'!$O9="Validé humainement",'04_Form_Dechets'!K9,"")</x:f>
      </x:c>
      <x:c r="L9" s="76" t="str">
        <x:f>IF('04_Form_Dechets'!$O9="Validé humainement",'04_Form_Dechets'!L9,"")</x:f>
      </x:c>
      <x:c r="M9" s="77" t="str">
        <x:f>IF('04_Form_Dechets'!$O9="Validé humainement",'04_Form_Dechets'!M9,"")</x:f>
      </x:c>
      <x:c r="N9" s="76" t="str">
        <x:f>IF('04_Form_Dechets'!$O9="Validé humainement",'04_Form_Dechets'!N9,"")</x:f>
      </x:c>
      <x:c r="O9" s="76" t="str">
        <x:f>IF('04_Form_Dechets'!$O9="Validé humainement",'04_Form_Dechets'!O9,"")</x:f>
      </x:c>
      <x:c r="P9" s="78" t="str">
        <x:f>IF('04_Form_Dechets'!$O9="Validé humainement",'04_Form_Dechets'!P9,"")</x:f>
      </x:c>
      <x:c r="Q9" s="76" t="str">
        <x:f>IF('04_Form_Dechets'!$O9="Validé humainement",'04_Form_Dechets'!Q9,"")</x:f>
      </x:c>
      <x:c r="R9" s="76" t="str">
        <x:f>IF('04_Form_Dechets'!$O9="Validé humainement",'04_Form_Dechets'!R9,"")</x:f>
      </x:c>
      <x:c r="S9" s="76" t="str">
        <x:f>IF('04_Form_Dechets'!$O9="Validé humainement",'04_Form_Dechets'!S9,"")</x:f>
      </x:c>
    </x:row>
    <x:row r="10">
      <x:c r="A10" s="76" t="str">
        <x:f>IF('04_Form_Dechets'!$O10="Validé humainement",'04_Form_Dechets'!A10,"")</x:f>
      </x:c>
      <x:c r="B10" s="76" t="str">
        <x:f>IF('04_Form_Dechets'!$O10="Validé humainement",'04_Form_Dechets'!B10,"")</x:f>
      </x:c>
      <x:c r="C10" s="76" t="str">
        <x:f>IF('04_Form_Dechets'!$O10="Validé humainement",'04_Form_Dechets'!C10,"")</x:f>
      </x:c>
      <x:c r="D10" s="76" t="str">
        <x:f>IF('04_Form_Dechets'!$O10="Validé humainement",'04_Form_Dechets'!D10,"")</x:f>
      </x:c>
      <x:c r="E10" s="76" t="str">
        <x:f>IF('04_Form_Dechets'!$O10="Validé humainement",'04_Form_Dechets'!E10,"")</x:f>
      </x:c>
      <x:c r="F10" s="77" t="str">
        <x:f>IF('04_Form_Dechets'!$O10="Validé humainement",'04_Form_Dechets'!F10,"")</x:f>
      </x:c>
      <x:c r="G10" s="77" t="str">
        <x:f>IF('04_Form_Dechets'!$O10="Validé humainement",'04_Form_Dechets'!G10,"")</x:f>
      </x:c>
      <x:c r="H10" s="77" t="str">
        <x:f>IF('04_Form_Dechets'!$O10="Validé humainement",'04_Form_Dechets'!H10,"")</x:f>
      </x:c>
      <x:c r="I10" s="77" t="str">
        <x:f>IF('04_Form_Dechets'!$O10="Validé humainement",'04_Form_Dechets'!I10,"")</x:f>
      </x:c>
      <x:c r="J10" s="76" t="str">
        <x:f>IF('04_Form_Dechets'!$O10="Validé humainement",'04_Form_Dechets'!J10,"")</x:f>
      </x:c>
      <x:c r="K10" s="76" t="str">
        <x:f>IF('04_Form_Dechets'!$O10="Validé humainement",'04_Form_Dechets'!K10,"")</x:f>
      </x:c>
      <x:c r="L10" s="76" t="str">
        <x:f>IF('04_Form_Dechets'!$O10="Validé humainement",'04_Form_Dechets'!L10,"")</x:f>
      </x:c>
      <x:c r="M10" s="77" t="str">
        <x:f>IF('04_Form_Dechets'!$O10="Validé humainement",'04_Form_Dechets'!M10,"")</x:f>
      </x:c>
      <x:c r="N10" s="76" t="str">
        <x:f>IF('04_Form_Dechets'!$O10="Validé humainement",'04_Form_Dechets'!N10,"")</x:f>
      </x:c>
      <x:c r="O10" s="76" t="str">
        <x:f>IF('04_Form_Dechets'!$O10="Validé humainement",'04_Form_Dechets'!O10,"")</x:f>
      </x:c>
      <x:c r="P10" s="78" t="str">
        <x:f>IF('04_Form_Dechets'!$O10="Validé humainement",'04_Form_Dechets'!P10,"")</x:f>
      </x:c>
      <x:c r="Q10" s="76" t="str">
        <x:f>IF('04_Form_Dechets'!$O10="Validé humainement",'04_Form_Dechets'!Q10,"")</x:f>
      </x:c>
      <x:c r="R10" s="76" t="str">
        <x:f>IF('04_Form_Dechets'!$O10="Validé humainement",'04_Form_Dechets'!R10,"")</x:f>
      </x:c>
      <x:c r="S10" s="76" t="str">
        <x:f>IF('04_Form_Dechets'!$O10="Validé humainement",'04_Form_Dechets'!S10,"")</x:f>
      </x:c>
    </x:row>
    <x:row r="11">
      <x:c r="A11" s="76" t="str">
        <x:f>IF('04_Form_Dechets'!$O11="Validé humainement",'04_Form_Dechets'!A11,"")</x:f>
      </x:c>
      <x:c r="B11" s="76" t="str">
        <x:f>IF('04_Form_Dechets'!$O11="Validé humainement",'04_Form_Dechets'!B11,"")</x:f>
      </x:c>
      <x:c r="C11" s="76" t="str">
        <x:f>IF('04_Form_Dechets'!$O11="Validé humainement",'04_Form_Dechets'!C11,"")</x:f>
      </x:c>
      <x:c r="D11" s="76" t="str">
        <x:f>IF('04_Form_Dechets'!$O11="Validé humainement",'04_Form_Dechets'!D11,"")</x:f>
      </x:c>
      <x:c r="E11" s="76" t="str">
        <x:f>IF('04_Form_Dechets'!$O11="Validé humainement",'04_Form_Dechets'!E11,"")</x:f>
      </x:c>
      <x:c r="F11" s="77" t="str">
        <x:f>IF('04_Form_Dechets'!$O11="Validé humainement",'04_Form_Dechets'!F11,"")</x:f>
      </x:c>
      <x:c r="G11" s="77" t="str">
        <x:f>IF('04_Form_Dechets'!$O11="Validé humainement",'04_Form_Dechets'!G11,"")</x:f>
      </x:c>
      <x:c r="H11" s="77" t="str">
        <x:f>IF('04_Form_Dechets'!$O11="Validé humainement",'04_Form_Dechets'!H11,"")</x:f>
      </x:c>
      <x:c r="I11" s="77" t="str">
        <x:f>IF('04_Form_Dechets'!$O11="Validé humainement",'04_Form_Dechets'!I11,"")</x:f>
      </x:c>
      <x:c r="J11" s="76" t="str">
        <x:f>IF('04_Form_Dechets'!$O11="Validé humainement",'04_Form_Dechets'!J11,"")</x:f>
      </x:c>
      <x:c r="K11" s="76" t="str">
        <x:f>IF('04_Form_Dechets'!$O11="Validé humainement",'04_Form_Dechets'!K11,"")</x:f>
      </x:c>
      <x:c r="L11" s="76" t="str">
        <x:f>IF('04_Form_Dechets'!$O11="Validé humainement",'04_Form_Dechets'!L11,"")</x:f>
      </x:c>
      <x:c r="M11" s="77" t="str">
        <x:f>IF('04_Form_Dechets'!$O11="Validé humainement",'04_Form_Dechets'!M11,"")</x:f>
      </x:c>
      <x:c r="N11" s="76" t="str">
        <x:f>IF('04_Form_Dechets'!$O11="Validé humainement",'04_Form_Dechets'!N11,"")</x:f>
      </x:c>
      <x:c r="O11" s="76" t="str">
        <x:f>IF('04_Form_Dechets'!$O11="Validé humainement",'04_Form_Dechets'!O11,"")</x:f>
      </x:c>
      <x:c r="P11" s="78" t="str">
        <x:f>IF('04_Form_Dechets'!$O11="Validé humainement",'04_Form_Dechets'!P11,"")</x:f>
      </x:c>
      <x:c r="Q11" s="76" t="str">
        <x:f>IF('04_Form_Dechets'!$O11="Validé humainement",'04_Form_Dechets'!Q11,"")</x:f>
      </x:c>
      <x:c r="R11" s="76" t="str">
        <x:f>IF('04_Form_Dechets'!$O11="Validé humainement",'04_Form_Dechets'!R11,"")</x:f>
      </x:c>
      <x:c r="S11" s="76" t="str">
        <x:f>IF('04_Form_Dechets'!$O11="Validé humainement",'04_Form_Dechets'!S11,"")</x:f>
      </x:c>
    </x:row>
    <x:row r="12">
      <x:c r="A12" s="76" t="str">
        <x:f>IF('04_Form_Dechets'!$O12="Validé humainement",'04_Form_Dechets'!A12,"")</x:f>
      </x:c>
      <x:c r="B12" s="76" t="str">
        <x:f>IF('04_Form_Dechets'!$O12="Validé humainement",'04_Form_Dechets'!B12,"")</x:f>
      </x:c>
      <x:c r="C12" s="76" t="str">
        <x:f>IF('04_Form_Dechets'!$O12="Validé humainement",'04_Form_Dechets'!C12,"")</x:f>
      </x:c>
      <x:c r="D12" s="76" t="str">
        <x:f>IF('04_Form_Dechets'!$O12="Validé humainement",'04_Form_Dechets'!D12,"")</x:f>
      </x:c>
      <x:c r="E12" s="76" t="str">
        <x:f>IF('04_Form_Dechets'!$O12="Validé humainement",'04_Form_Dechets'!E12,"")</x:f>
      </x:c>
      <x:c r="F12" s="77" t="str">
        <x:f>IF('04_Form_Dechets'!$O12="Validé humainement",'04_Form_Dechets'!F12,"")</x:f>
      </x:c>
      <x:c r="G12" s="77" t="str">
        <x:f>IF('04_Form_Dechets'!$O12="Validé humainement",'04_Form_Dechets'!G12,"")</x:f>
      </x:c>
      <x:c r="H12" s="77" t="str">
        <x:f>IF('04_Form_Dechets'!$O12="Validé humainement",'04_Form_Dechets'!H12,"")</x:f>
      </x:c>
      <x:c r="I12" s="77" t="str">
        <x:f>IF('04_Form_Dechets'!$O12="Validé humainement",'04_Form_Dechets'!I12,"")</x:f>
      </x:c>
      <x:c r="J12" s="76" t="str">
        <x:f>IF('04_Form_Dechets'!$O12="Validé humainement",'04_Form_Dechets'!J12,"")</x:f>
      </x:c>
      <x:c r="K12" s="76" t="str">
        <x:f>IF('04_Form_Dechets'!$O12="Validé humainement",'04_Form_Dechets'!K12,"")</x:f>
      </x:c>
      <x:c r="L12" s="76" t="str">
        <x:f>IF('04_Form_Dechets'!$O12="Validé humainement",'04_Form_Dechets'!L12,"")</x:f>
      </x:c>
      <x:c r="M12" s="77" t="str">
        <x:f>IF('04_Form_Dechets'!$O12="Validé humainement",'04_Form_Dechets'!M12,"")</x:f>
      </x:c>
      <x:c r="N12" s="76" t="str">
        <x:f>IF('04_Form_Dechets'!$O12="Validé humainement",'04_Form_Dechets'!N12,"")</x:f>
      </x:c>
      <x:c r="O12" s="76" t="str">
        <x:f>IF('04_Form_Dechets'!$O12="Validé humainement",'04_Form_Dechets'!O12,"")</x:f>
      </x:c>
      <x:c r="P12" s="78" t="str">
        <x:f>IF('04_Form_Dechets'!$O12="Validé humainement",'04_Form_Dechets'!P12,"")</x:f>
      </x:c>
      <x:c r="Q12" s="76" t="str">
        <x:f>IF('04_Form_Dechets'!$O12="Validé humainement",'04_Form_Dechets'!Q12,"")</x:f>
      </x:c>
      <x:c r="R12" s="76" t="str">
        <x:f>IF('04_Form_Dechets'!$O12="Validé humainement",'04_Form_Dechets'!R12,"")</x:f>
      </x:c>
      <x:c r="S12" s="76" t="str">
        <x:f>IF('04_Form_Dechets'!$O12="Validé humainement",'04_Form_Dechets'!S12,"")</x:f>
      </x:c>
    </x:row>
    <x:row r="13">
      <x:c r="A13" s="76" t="str">
        <x:f>IF('04_Form_Dechets'!$O13="Validé humainement",'04_Form_Dechets'!A13,"")</x:f>
      </x:c>
      <x:c r="B13" s="76" t="str">
        <x:f>IF('04_Form_Dechets'!$O13="Validé humainement",'04_Form_Dechets'!B13,"")</x:f>
      </x:c>
      <x:c r="C13" s="76" t="str">
        <x:f>IF('04_Form_Dechets'!$O13="Validé humainement",'04_Form_Dechets'!C13,"")</x:f>
      </x:c>
      <x:c r="D13" s="76" t="str">
        <x:f>IF('04_Form_Dechets'!$O13="Validé humainement",'04_Form_Dechets'!D13,"")</x:f>
      </x:c>
      <x:c r="E13" s="76" t="str">
        <x:f>IF('04_Form_Dechets'!$O13="Validé humainement",'04_Form_Dechets'!E13,"")</x:f>
      </x:c>
      <x:c r="F13" s="77" t="str">
        <x:f>IF('04_Form_Dechets'!$O13="Validé humainement",'04_Form_Dechets'!F13,"")</x:f>
      </x:c>
      <x:c r="G13" s="77" t="str">
        <x:f>IF('04_Form_Dechets'!$O13="Validé humainement",'04_Form_Dechets'!G13,"")</x:f>
      </x:c>
      <x:c r="H13" s="77" t="str">
        <x:f>IF('04_Form_Dechets'!$O13="Validé humainement",'04_Form_Dechets'!H13,"")</x:f>
      </x:c>
      <x:c r="I13" s="77" t="str">
        <x:f>IF('04_Form_Dechets'!$O13="Validé humainement",'04_Form_Dechets'!I13,"")</x:f>
      </x:c>
      <x:c r="J13" s="76" t="str">
        <x:f>IF('04_Form_Dechets'!$O13="Validé humainement",'04_Form_Dechets'!J13,"")</x:f>
      </x:c>
      <x:c r="K13" s="76" t="str">
        <x:f>IF('04_Form_Dechets'!$O13="Validé humainement",'04_Form_Dechets'!K13,"")</x:f>
      </x:c>
      <x:c r="L13" s="76" t="str">
        <x:f>IF('04_Form_Dechets'!$O13="Validé humainement",'04_Form_Dechets'!L13,"")</x:f>
      </x:c>
      <x:c r="M13" s="77" t="str">
        <x:f>IF('04_Form_Dechets'!$O13="Validé humainement",'04_Form_Dechets'!M13,"")</x:f>
      </x:c>
      <x:c r="N13" s="76" t="str">
        <x:f>IF('04_Form_Dechets'!$O13="Validé humainement",'04_Form_Dechets'!N13,"")</x:f>
      </x:c>
      <x:c r="O13" s="76" t="str">
        <x:f>IF('04_Form_Dechets'!$O13="Validé humainement",'04_Form_Dechets'!O13,"")</x:f>
      </x:c>
      <x:c r="P13" s="78" t="str">
        <x:f>IF('04_Form_Dechets'!$O13="Validé humainement",'04_Form_Dechets'!P13,"")</x:f>
      </x:c>
      <x:c r="Q13" s="76" t="str">
        <x:f>IF('04_Form_Dechets'!$O13="Validé humainement",'04_Form_Dechets'!Q13,"")</x:f>
      </x:c>
      <x:c r="R13" s="76" t="str">
        <x:f>IF('04_Form_Dechets'!$O13="Validé humainement",'04_Form_Dechets'!R13,"")</x:f>
      </x:c>
      <x:c r="S13" s="76" t="str">
        <x:f>IF('04_Form_Dechets'!$O13="Validé humainement",'04_Form_Dechets'!S13,"")</x:f>
      </x:c>
    </x:row>
    <x:row r="14">
      <x:c r="A14" s="76" t="str">
        <x:f>IF('04_Form_Dechets'!$O14="Validé humainement",'04_Form_Dechets'!A14,"")</x:f>
      </x:c>
      <x:c r="B14" s="76" t="str">
        <x:f>IF('04_Form_Dechets'!$O14="Validé humainement",'04_Form_Dechets'!B14,"")</x:f>
      </x:c>
      <x:c r="C14" s="76" t="str">
        <x:f>IF('04_Form_Dechets'!$O14="Validé humainement",'04_Form_Dechets'!C14,"")</x:f>
      </x:c>
      <x:c r="D14" s="76" t="str">
        <x:f>IF('04_Form_Dechets'!$O14="Validé humainement",'04_Form_Dechets'!D14,"")</x:f>
      </x:c>
      <x:c r="E14" s="76" t="str">
        <x:f>IF('04_Form_Dechets'!$O14="Validé humainement",'04_Form_Dechets'!E14,"")</x:f>
      </x:c>
      <x:c r="F14" s="77" t="str">
        <x:f>IF('04_Form_Dechets'!$O14="Validé humainement",'04_Form_Dechets'!F14,"")</x:f>
      </x:c>
      <x:c r="G14" s="77" t="str">
        <x:f>IF('04_Form_Dechets'!$O14="Validé humainement",'04_Form_Dechets'!G14,"")</x:f>
      </x:c>
      <x:c r="H14" s="77" t="str">
        <x:f>IF('04_Form_Dechets'!$O14="Validé humainement",'04_Form_Dechets'!H14,"")</x:f>
      </x:c>
      <x:c r="I14" s="77" t="str">
        <x:f>IF('04_Form_Dechets'!$O14="Validé humainement",'04_Form_Dechets'!I14,"")</x:f>
      </x:c>
      <x:c r="J14" s="76" t="str">
        <x:f>IF('04_Form_Dechets'!$O14="Validé humainement",'04_Form_Dechets'!J14,"")</x:f>
      </x:c>
      <x:c r="K14" s="76" t="str">
        <x:f>IF('04_Form_Dechets'!$O14="Validé humainement",'04_Form_Dechets'!K14,"")</x:f>
      </x:c>
      <x:c r="L14" s="76" t="str">
        <x:f>IF('04_Form_Dechets'!$O14="Validé humainement",'04_Form_Dechets'!L14,"")</x:f>
      </x:c>
      <x:c r="M14" s="77" t="str">
        <x:f>IF('04_Form_Dechets'!$O14="Validé humainement",'04_Form_Dechets'!M14,"")</x:f>
      </x:c>
      <x:c r="N14" s="76" t="str">
        <x:f>IF('04_Form_Dechets'!$O14="Validé humainement",'04_Form_Dechets'!N14,"")</x:f>
      </x:c>
      <x:c r="O14" s="76" t="str">
        <x:f>IF('04_Form_Dechets'!$O14="Validé humainement",'04_Form_Dechets'!O14,"")</x:f>
      </x:c>
      <x:c r="P14" s="78" t="str">
        <x:f>IF('04_Form_Dechets'!$O14="Validé humainement",'04_Form_Dechets'!P14,"")</x:f>
      </x:c>
      <x:c r="Q14" s="76" t="str">
        <x:f>IF('04_Form_Dechets'!$O14="Validé humainement",'04_Form_Dechets'!Q14,"")</x:f>
      </x:c>
      <x:c r="R14" s="76" t="str">
        <x:f>IF('04_Form_Dechets'!$O14="Validé humainement",'04_Form_Dechets'!R14,"")</x:f>
      </x:c>
      <x:c r="S14" s="76" t="str">
        <x:f>IF('04_Form_Dechets'!$O14="Validé humainement",'04_Form_Dechets'!S14,"")</x:f>
      </x:c>
    </x:row>
    <x:row r="15">
      <x:c r="A15" s="76" t="str">
        <x:f>IF('04_Form_Dechets'!$O15="Validé humainement",'04_Form_Dechets'!A15,"")</x:f>
      </x:c>
      <x:c r="B15" s="76" t="str">
        <x:f>IF('04_Form_Dechets'!$O15="Validé humainement",'04_Form_Dechets'!B15,"")</x:f>
      </x:c>
      <x:c r="C15" s="76" t="str">
        <x:f>IF('04_Form_Dechets'!$O15="Validé humainement",'04_Form_Dechets'!C15,"")</x:f>
      </x:c>
      <x:c r="D15" s="76" t="str">
        <x:f>IF('04_Form_Dechets'!$O15="Validé humainement",'04_Form_Dechets'!D15,"")</x:f>
      </x:c>
      <x:c r="E15" s="76" t="str">
        <x:f>IF('04_Form_Dechets'!$O15="Validé humainement",'04_Form_Dechets'!E15,"")</x:f>
      </x:c>
      <x:c r="F15" s="77" t="str">
        <x:f>IF('04_Form_Dechets'!$O15="Validé humainement",'04_Form_Dechets'!F15,"")</x:f>
      </x:c>
      <x:c r="G15" s="77" t="str">
        <x:f>IF('04_Form_Dechets'!$O15="Validé humainement",'04_Form_Dechets'!G15,"")</x:f>
      </x:c>
      <x:c r="H15" s="77" t="str">
        <x:f>IF('04_Form_Dechets'!$O15="Validé humainement",'04_Form_Dechets'!H15,"")</x:f>
      </x:c>
      <x:c r="I15" s="77" t="str">
        <x:f>IF('04_Form_Dechets'!$O15="Validé humainement",'04_Form_Dechets'!I15,"")</x:f>
      </x:c>
      <x:c r="J15" s="76" t="str">
        <x:f>IF('04_Form_Dechets'!$O15="Validé humainement",'04_Form_Dechets'!J15,"")</x:f>
      </x:c>
      <x:c r="K15" s="76" t="str">
        <x:f>IF('04_Form_Dechets'!$O15="Validé humainement",'04_Form_Dechets'!K15,"")</x:f>
      </x:c>
      <x:c r="L15" s="76" t="str">
        <x:f>IF('04_Form_Dechets'!$O15="Validé humainement",'04_Form_Dechets'!L15,"")</x:f>
      </x:c>
      <x:c r="M15" s="77" t="str">
        <x:f>IF('04_Form_Dechets'!$O15="Validé humainement",'04_Form_Dechets'!M15,"")</x:f>
      </x:c>
      <x:c r="N15" s="76" t="str">
        <x:f>IF('04_Form_Dechets'!$O15="Validé humainement",'04_Form_Dechets'!N15,"")</x:f>
      </x:c>
      <x:c r="O15" s="76" t="str">
        <x:f>IF('04_Form_Dechets'!$O15="Validé humainement",'04_Form_Dechets'!O15,"")</x:f>
      </x:c>
      <x:c r="P15" s="78" t="str">
        <x:f>IF('04_Form_Dechets'!$O15="Validé humainement",'04_Form_Dechets'!P15,"")</x:f>
      </x:c>
      <x:c r="Q15" s="76" t="str">
        <x:f>IF('04_Form_Dechets'!$O15="Validé humainement",'04_Form_Dechets'!Q15,"")</x:f>
      </x:c>
      <x:c r="R15" s="76" t="str">
        <x:f>IF('04_Form_Dechets'!$O15="Validé humainement",'04_Form_Dechets'!R15,"")</x:f>
      </x:c>
      <x:c r="S15" s="76" t="str">
        <x:f>IF('04_Form_Dechets'!$O15="Validé humainement",'04_Form_Dechets'!S15,"")</x:f>
      </x:c>
    </x:row>
    <x:row r="16">
      <x:c r="A16" s="76" t="str">
        <x:f>IF('04_Form_Dechets'!$O16="Validé humainement",'04_Form_Dechets'!A16,"")</x:f>
      </x:c>
      <x:c r="B16" s="76" t="str">
        <x:f>IF('04_Form_Dechets'!$O16="Validé humainement",'04_Form_Dechets'!B16,"")</x:f>
      </x:c>
      <x:c r="C16" s="76" t="str">
        <x:f>IF('04_Form_Dechets'!$O16="Validé humainement",'04_Form_Dechets'!C16,"")</x:f>
      </x:c>
      <x:c r="D16" s="76" t="str">
        <x:f>IF('04_Form_Dechets'!$O16="Validé humainement",'04_Form_Dechets'!D16,"")</x:f>
      </x:c>
      <x:c r="E16" s="76" t="str">
        <x:f>IF('04_Form_Dechets'!$O16="Validé humainement",'04_Form_Dechets'!E16,"")</x:f>
      </x:c>
      <x:c r="F16" s="77" t="str">
        <x:f>IF('04_Form_Dechets'!$O16="Validé humainement",'04_Form_Dechets'!F16,"")</x:f>
      </x:c>
      <x:c r="G16" s="77" t="str">
        <x:f>IF('04_Form_Dechets'!$O16="Validé humainement",'04_Form_Dechets'!G16,"")</x:f>
      </x:c>
      <x:c r="H16" s="77" t="str">
        <x:f>IF('04_Form_Dechets'!$O16="Validé humainement",'04_Form_Dechets'!H16,"")</x:f>
      </x:c>
      <x:c r="I16" s="77" t="str">
        <x:f>IF('04_Form_Dechets'!$O16="Validé humainement",'04_Form_Dechets'!I16,"")</x:f>
      </x:c>
      <x:c r="J16" s="76" t="str">
        <x:f>IF('04_Form_Dechets'!$O16="Validé humainement",'04_Form_Dechets'!J16,"")</x:f>
      </x:c>
      <x:c r="K16" s="76" t="str">
        <x:f>IF('04_Form_Dechets'!$O16="Validé humainement",'04_Form_Dechets'!K16,"")</x:f>
      </x:c>
      <x:c r="L16" s="76" t="str">
        <x:f>IF('04_Form_Dechets'!$O16="Validé humainement",'04_Form_Dechets'!L16,"")</x:f>
      </x:c>
      <x:c r="M16" s="77" t="str">
        <x:f>IF('04_Form_Dechets'!$O16="Validé humainement",'04_Form_Dechets'!M16,"")</x:f>
      </x:c>
      <x:c r="N16" s="76" t="str">
        <x:f>IF('04_Form_Dechets'!$O16="Validé humainement",'04_Form_Dechets'!N16,"")</x:f>
      </x:c>
      <x:c r="O16" s="76" t="str">
        <x:f>IF('04_Form_Dechets'!$O16="Validé humainement",'04_Form_Dechets'!O16,"")</x:f>
      </x:c>
      <x:c r="P16" s="78" t="str">
        <x:f>IF('04_Form_Dechets'!$O16="Validé humainement",'04_Form_Dechets'!P16,"")</x:f>
      </x:c>
      <x:c r="Q16" s="76" t="str">
        <x:f>IF('04_Form_Dechets'!$O16="Validé humainement",'04_Form_Dechets'!Q16,"")</x:f>
      </x:c>
      <x:c r="R16" s="76" t="str">
        <x:f>IF('04_Form_Dechets'!$O16="Validé humainement",'04_Form_Dechets'!R16,"")</x:f>
      </x:c>
      <x:c r="S16" s="76" t="str">
        <x:f>IF('04_Form_Dechets'!$O16="Validé humainement",'04_Form_Dechets'!S16,"")</x:f>
      </x:c>
    </x:row>
    <x:row r="17">
      <x:c r="A17" s="76" t="str">
        <x:f>IF('04_Form_Dechets'!$O17="Validé humainement",'04_Form_Dechets'!A17,"")</x:f>
      </x:c>
      <x:c r="B17" s="76" t="str">
        <x:f>IF('04_Form_Dechets'!$O17="Validé humainement",'04_Form_Dechets'!B17,"")</x:f>
      </x:c>
      <x:c r="C17" s="76" t="str">
        <x:f>IF('04_Form_Dechets'!$O17="Validé humainement",'04_Form_Dechets'!C17,"")</x:f>
      </x:c>
      <x:c r="D17" s="76" t="str">
        <x:f>IF('04_Form_Dechets'!$O17="Validé humainement",'04_Form_Dechets'!D17,"")</x:f>
      </x:c>
      <x:c r="E17" s="76" t="str">
        <x:f>IF('04_Form_Dechets'!$O17="Validé humainement",'04_Form_Dechets'!E17,"")</x:f>
      </x:c>
      <x:c r="F17" s="77" t="str">
        <x:f>IF('04_Form_Dechets'!$O17="Validé humainement",'04_Form_Dechets'!F17,"")</x:f>
      </x:c>
      <x:c r="G17" s="77" t="str">
        <x:f>IF('04_Form_Dechets'!$O17="Validé humainement",'04_Form_Dechets'!G17,"")</x:f>
      </x:c>
      <x:c r="H17" s="77" t="str">
        <x:f>IF('04_Form_Dechets'!$O17="Validé humainement",'04_Form_Dechets'!H17,"")</x:f>
      </x:c>
      <x:c r="I17" s="77" t="str">
        <x:f>IF('04_Form_Dechets'!$O17="Validé humainement",'04_Form_Dechets'!I17,"")</x:f>
      </x:c>
      <x:c r="J17" s="76" t="str">
        <x:f>IF('04_Form_Dechets'!$O17="Validé humainement",'04_Form_Dechets'!J17,"")</x:f>
      </x:c>
      <x:c r="K17" s="76" t="str">
        <x:f>IF('04_Form_Dechets'!$O17="Validé humainement",'04_Form_Dechets'!K17,"")</x:f>
      </x:c>
      <x:c r="L17" s="76" t="str">
        <x:f>IF('04_Form_Dechets'!$O17="Validé humainement",'04_Form_Dechets'!L17,"")</x:f>
      </x:c>
      <x:c r="M17" s="77" t="str">
        <x:f>IF('04_Form_Dechets'!$O17="Validé humainement",'04_Form_Dechets'!M17,"")</x:f>
      </x:c>
      <x:c r="N17" s="76" t="str">
        <x:f>IF('04_Form_Dechets'!$O17="Validé humainement",'04_Form_Dechets'!N17,"")</x:f>
      </x:c>
      <x:c r="O17" s="76" t="str">
        <x:f>IF('04_Form_Dechets'!$O17="Validé humainement",'04_Form_Dechets'!O17,"")</x:f>
      </x:c>
      <x:c r="P17" s="78" t="str">
        <x:f>IF('04_Form_Dechets'!$O17="Validé humainement",'04_Form_Dechets'!P17,"")</x:f>
      </x:c>
      <x:c r="Q17" s="76" t="str">
        <x:f>IF('04_Form_Dechets'!$O17="Validé humainement",'04_Form_Dechets'!Q17,"")</x:f>
      </x:c>
      <x:c r="R17" s="76" t="str">
        <x:f>IF('04_Form_Dechets'!$O17="Validé humainement",'04_Form_Dechets'!R17,"")</x:f>
      </x:c>
      <x:c r="S17" s="76" t="str">
        <x:f>IF('04_Form_Dechets'!$O17="Validé humainement",'04_Form_Dechets'!S17,"")</x:f>
      </x:c>
    </x:row>
    <x:row r="18">
      <x:c r="A18" s="76" t="str">
        <x:f>IF('04_Form_Dechets'!$O18="Validé humainement",'04_Form_Dechets'!A18,"")</x:f>
      </x:c>
      <x:c r="B18" s="76" t="str">
        <x:f>IF('04_Form_Dechets'!$O18="Validé humainement",'04_Form_Dechets'!B18,"")</x:f>
      </x:c>
      <x:c r="C18" s="76" t="str">
        <x:f>IF('04_Form_Dechets'!$O18="Validé humainement",'04_Form_Dechets'!C18,"")</x:f>
      </x:c>
      <x:c r="D18" s="76" t="str">
        <x:f>IF('04_Form_Dechets'!$O18="Validé humainement",'04_Form_Dechets'!D18,"")</x:f>
      </x:c>
      <x:c r="E18" s="76" t="str">
        <x:f>IF('04_Form_Dechets'!$O18="Validé humainement",'04_Form_Dechets'!E18,"")</x:f>
      </x:c>
      <x:c r="F18" s="77" t="str">
        <x:f>IF('04_Form_Dechets'!$O18="Validé humainement",'04_Form_Dechets'!F18,"")</x:f>
      </x:c>
      <x:c r="G18" s="77" t="str">
        <x:f>IF('04_Form_Dechets'!$O18="Validé humainement",'04_Form_Dechets'!G18,"")</x:f>
      </x:c>
      <x:c r="H18" s="77" t="str">
        <x:f>IF('04_Form_Dechets'!$O18="Validé humainement",'04_Form_Dechets'!H18,"")</x:f>
      </x:c>
      <x:c r="I18" s="77" t="str">
        <x:f>IF('04_Form_Dechets'!$O18="Validé humainement",'04_Form_Dechets'!I18,"")</x:f>
      </x:c>
      <x:c r="J18" s="76" t="str">
        <x:f>IF('04_Form_Dechets'!$O18="Validé humainement",'04_Form_Dechets'!J18,"")</x:f>
      </x:c>
      <x:c r="K18" s="76" t="str">
        <x:f>IF('04_Form_Dechets'!$O18="Validé humainement",'04_Form_Dechets'!K18,"")</x:f>
      </x:c>
      <x:c r="L18" s="76" t="str">
        <x:f>IF('04_Form_Dechets'!$O18="Validé humainement",'04_Form_Dechets'!L18,"")</x:f>
      </x:c>
      <x:c r="M18" s="77" t="str">
        <x:f>IF('04_Form_Dechets'!$O18="Validé humainement",'04_Form_Dechets'!M18,"")</x:f>
      </x:c>
      <x:c r="N18" s="76" t="str">
        <x:f>IF('04_Form_Dechets'!$O18="Validé humainement",'04_Form_Dechets'!N18,"")</x:f>
      </x:c>
      <x:c r="O18" s="76" t="str">
        <x:f>IF('04_Form_Dechets'!$O18="Validé humainement",'04_Form_Dechets'!O18,"")</x:f>
      </x:c>
      <x:c r="P18" s="78" t="str">
        <x:f>IF('04_Form_Dechets'!$O18="Validé humainement",'04_Form_Dechets'!P18,"")</x:f>
      </x:c>
      <x:c r="Q18" s="76" t="str">
        <x:f>IF('04_Form_Dechets'!$O18="Validé humainement",'04_Form_Dechets'!Q18,"")</x:f>
      </x:c>
      <x:c r="R18" s="76" t="str">
        <x:f>IF('04_Form_Dechets'!$O18="Validé humainement",'04_Form_Dechets'!R18,"")</x:f>
      </x:c>
      <x:c r="S18" s="76" t="str">
        <x:f>IF('04_Form_Dechets'!$O18="Validé humainement",'04_Form_Dechets'!S18,"")</x:f>
      </x:c>
    </x:row>
    <x:row r="19">
      <x:c r="A19" s="76" t="str">
        <x:f>IF('04_Form_Dechets'!$O19="Validé humainement",'04_Form_Dechets'!A19,"")</x:f>
      </x:c>
      <x:c r="B19" s="76" t="str">
        <x:f>IF('04_Form_Dechets'!$O19="Validé humainement",'04_Form_Dechets'!B19,"")</x:f>
      </x:c>
      <x:c r="C19" s="76" t="str">
        <x:f>IF('04_Form_Dechets'!$O19="Validé humainement",'04_Form_Dechets'!C19,"")</x:f>
      </x:c>
      <x:c r="D19" s="76" t="str">
        <x:f>IF('04_Form_Dechets'!$O19="Validé humainement",'04_Form_Dechets'!D19,"")</x:f>
      </x:c>
      <x:c r="E19" s="76" t="str">
        <x:f>IF('04_Form_Dechets'!$O19="Validé humainement",'04_Form_Dechets'!E19,"")</x:f>
      </x:c>
      <x:c r="F19" s="77" t="str">
        <x:f>IF('04_Form_Dechets'!$O19="Validé humainement",'04_Form_Dechets'!F19,"")</x:f>
      </x:c>
      <x:c r="G19" s="77" t="str">
        <x:f>IF('04_Form_Dechets'!$O19="Validé humainement",'04_Form_Dechets'!G19,"")</x:f>
      </x:c>
      <x:c r="H19" s="77" t="str">
        <x:f>IF('04_Form_Dechets'!$O19="Validé humainement",'04_Form_Dechets'!H19,"")</x:f>
      </x:c>
      <x:c r="I19" s="77" t="str">
        <x:f>IF('04_Form_Dechets'!$O19="Validé humainement",'04_Form_Dechets'!I19,"")</x:f>
      </x:c>
      <x:c r="J19" s="76" t="str">
        <x:f>IF('04_Form_Dechets'!$O19="Validé humainement",'04_Form_Dechets'!J19,"")</x:f>
      </x:c>
      <x:c r="K19" s="76" t="str">
        <x:f>IF('04_Form_Dechets'!$O19="Validé humainement",'04_Form_Dechets'!K19,"")</x:f>
      </x:c>
      <x:c r="L19" s="76" t="str">
        <x:f>IF('04_Form_Dechets'!$O19="Validé humainement",'04_Form_Dechets'!L19,"")</x:f>
      </x:c>
      <x:c r="M19" s="77" t="str">
        <x:f>IF('04_Form_Dechets'!$O19="Validé humainement",'04_Form_Dechets'!M19,"")</x:f>
      </x:c>
      <x:c r="N19" s="76" t="str">
        <x:f>IF('04_Form_Dechets'!$O19="Validé humainement",'04_Form_Dechets'!N19,"")</x:f>
      </x:c>
      <x:c r="O19" s="76" t="str">
        <x:f>IF('04_Form_Dechets'!$O19="Validé humainement",'04_Form_Dechets'!O19,"")</x:f>
      </x:c>
      <x:c r="P19" s="78" t="str">
        <x:f>IF('04_Form_Dechets'!$O19="Validé humainement",'04_Form_Dechets'!P19,"")</x:f>
      </x:c>
      <x:c r="Q19" s="76" t="str">
        <x:f>IF('04_Form_Dechets'!$O19="Validé humainement",'04_Form_Dechets'!Q19,"")</x:f>
      </x:c>
      <x:c r="R19" s="76" t="str">
        <x:f>IF('04_Form_Dechets'!$O19="Validé humainement",'04_Form_Dechets'!R19,"")</x:f>
      </x:c>
      <x:c r="S19" s="76" t="str">
        <x:f>IF('04_Form_Dechets'!$O19="Validé humainement",'04_Form_Dechets'!S19,"")</x:f>
      </x:c>
    </x:row>
    <x:row r="20">
      <x:c r="A20" s="76" t="str">
        <x:f>IF('04_Form_Dechets'!$O20="Validé humainement",'04_Form_Dechets'!A20,"")</x:f>
      </x:c>
      <x:c r="B20" s="76" t="str">
        <x:f>IF('04_Form_Dechets'!$O20="Validé humainement",'04_Form_Dechets'!B20,"")</x:f>
      </x:c>
      <x:c r="C20" s="76" t="str">
        <x:f>IF('04_Form_Dechets'!$O20="Validé humainement",'04_Form_Dechets'!C20,"")</x:f>
      </x:c>
      <x:c r="D20" s="76" t="str">
        <x:f>IF('04_Form_Dechets'!$O20="Validé humainement",'04_Form_Dechets'!D20,"")</x:f>
      </x:c>
      <x:c r="E20" s="76" t="str">
        <x:f>IF('04_Form_Dechets'!$O20="Validé humainement",'04_Form_Dechets'!E20,"")</x:f>
      </x:c>
      <x:c r="F20" s="77" t="str">
        <x:f>IF('04_Form_Dechets'!$O20="Validé humainement",'04_Form_Dechets'!F20,"")</x:f>
      </x:c>
      <x:c r="G20" s="77" t="str">
        <x:f>IF('04_Form_Dechets'!$O20="Validé humainement",'04_Form_Dechets'!G20,"")</x:f>
      </x:c>
      <x:c r="H20" s="77" t="str">
        <x:f>IF('04_Form_Dechets'!$O20="Validé humainement",'04_Form_Dechets'!H20,"")</x:f>
      </x:c>
      <x:c r="I20" s="77" t="str">
        <x:f>IF('04_Form_Dechets'!$O20="Validé humainement",'04_Form_Dechets'!I20,"")</x:f>
      </x:c>
      <x:c r="J20" s="76" t="str">
        <x:f>IF('04_Form_Dechets'!$O20="Validé humainement",'04_Form_Dechets'!J20,"")</x:f>
      </x:c>
      <x:c r="K20" s="76" t="str">
        <x:f>IF('04_Form_Dechets'!$O20="Validé humainement",'04_Form_Dechets'!K20,"")</x:f>
      </x:c>
      <x:c r="L20" s="76" t="str">
        <x:f>IF('04_Form_Dechets'!$O20="Validé humainement",'04_Form_Dechets'!L20,"")</x:f>
      </x:c>
      <x:c r="M20" s="77" t="str">
        <x:f>IF('04_Form_Dechets'!$O20="Validé humainement",'04_Form_Dechets'!M20,"")</x:f>
      </x:c>
      <x:c r="N20" s="76" t="str">
        <x:f>IF('04_Form_Dechets'!$O20="Validé humainement",'04_Form_Dechets'!N20,"")</x:f>
      </x:c>
      <x:c r="O20" s="76" t="str">
        <x:f>IF('04_Form_Dechets'!$O20="Validé humainement",'04_Form_Dechets'!O20,"")</x:f>
      </x:c>
      <x:c r="P20" s="78" t="str">
        <x:f>IF('04_Form_Dechets'!$O20="Validé humainement",'04_Form_Dechets'!P20,"")</x:f>
      </x:c>
      <x:c r="Q20" s="76" t="str">
        <x:f>IF('04_Form_Dechets'!$O20="Validé humainement",'04_Form_Dechets'!Q20,"")</x:f>
      </x:c>
      <x:c r="R20" s="76" t="str">
        <x:f>IF('04_Form_Dechets'!$O20="Validé humainement",'04_Form_Dechets'!R20,"")</x:f>
      </x:c>
      <x:c r="S20" s="76" t="str">
        <x:f>IF('04_Form_Dechets'!$O20="Validé humainement",'04_Form_Dechets'!S20,"")</x:f>
      </x:c>
    </x:row>
    <x:row r="21">
      <x:c r="A21" s="76" t="str">
        <x:f>IF('04_Form_Dechets'!$O21="Validé humainement",'04_Form_Dechets'!A21,"")</x:f>
      </x:c>
      <x:c r="B21" s="76" t="str">
        <x:f>IF('04_Form_Dechets'!$O21="Validé humainement",'04_Form_Dechets'!B21,"")</x:f>
      </x:c>
      <x:c r="C21" s="76" t="str">
        <x:f>IF('04_Form_Dechets'!$O21="Validé humainement",'04_Form_Dechets'!C21,"")</x:f>
      </x:c>
      <x:c r="D21" s="76" t="str">
        <x:f>IF('04_Form_Dechets'!$O21="Validé humainement",'04_Form_Dechets'!D21,"")</x:f>
      </x:c>
      <x:c r="E21" s="76" t="str">
        <x:f>IF('04_Form_Dechets'!$O21="Validé humainement",'04_Form_Dechets'!E21,"")</x:f>
      </x:c>
      <x:c r="F21" s="77" t="str">
        <x:f>IF('04_Form_Dechets'!$O21="Validé humainement",'04_Form_Dechets'!F21,"")</x:f>
      </x:c>
      <x:c r="G21" s="77" t="str">
        <x:f>IF('04_Form_Dechets'!$O21="Validé humainement",'04_Form_Dechets'!G21,"")</x:f>
      </x:c>
      <x:c r="H21" s="77" t="str">
        <x:f>IF('04_Form_Dechets'!$O21="Validé humainement",'04_Form_Dechets'!H21,"")</x:f>
      </x:c>
      <x:c r="I21" s="77" t="str">
        <x:f>IF('04_Form_Dechets'!$O21="Validé humainement",'04_Form_Dechets'!I21,"")</x:f>
      </x:c>
      <x:c r="J21" s="76" t="str">
        <x:f>IF('04_Form_Dechets'!$O21="Validé humainement",'04_Form_Dechets'!J21,"")</x:f>
      </x:c>
      <x:c r="K21" s="76" t="str">
        <x:f>IF('04_Form_Dechets'!$O21="Validé humainement",'04_Form_Dechets'!K21,"")</x:f>
      </x:c>
      <x:c r="L21" s="76" t="str">
        <x:f>IF('04_Form_Dechets'!$O21="Validé humainement",'04_Form_Dechets'!L21,"")</x:f>
      </x:c>
      <x:c r="M21" s="77" t="str">
        <x:f>IF('04_Form_Dechets'!$O21="Validé humainement",'04_Form_Dechets'!M21,"")</x:f>
      </x:c>
      <x:c r="N21" s="76" t="str">
        <x:f>IF('04_Form_Dechets'!$O21="Validé humainement",'04_Form_Dechets'!N21,"")</x:f>
      </x:c>
      <x:c r="O21" s="76" t="str">
        <x:f>IF('04_Form_Dechets'!$O21="Validé humainement",'04_Form_Dechets'!O21,"")</x:f>
      </x:c>
      <x:c r="P21" s="78" t="str">
        <x:f>IF('04_Form_Dechets'!$O21="Validé humainement",'04_Form_Dechets'!P21,"")</x:f>
      </x:c>
      <x:c r="Q21" s="76" t="str">
        <x:f>IF('04_Form_Dechets'!$O21="Validé humainement",'04_Form_Dechets'!Q21,"")</x:f>
      </x:c>
      <x:c r="R21" s="76" t="str">
        <x:f>IF('04_Form_Dechets'!$O21="Validé humainement",'04_Form_Dechets'!R21,"")</x:f>
      </x:c>
      <x:c r="S21" s="76" t="str">
        <x:f>IF('04_Form_Dechets'!$O21="Validé humainement",'04_Form_Dechets'!S21,"")</x:f>
      </x:c>
    </x:row>
    <x:row r="22">
      <x:c r="A22" s="76" t="str">
        <x:f>IF('04_Form_Dechets'!$O22="Validé humainement",'04_Form_Dechets'!A22,"")</x:f>
      </x:c>
      <x:c r="B22" s="76" t="str">
        <x:f>IF('04_Form_Dechets'!$O22="Validé humainement",'04_Form_Dechets'!B22,"")</x:f>
      </x:c>
      <x:c r="C22" s="76" t="str">
        <x:f>IF('04_Form_Dechets'!$O22="Validé humainement",'04_Form_Dechets'!C22,"")</x:f>
      </x:c>
      <x:c r="D22" s="76" t="str">
        <x:f>IF('04_Form_Dechets'!$O22="Validé humainement",'04_Form_Dechets'!D22,"")</x:f>
      </x:c>
      <x:c r="E22" s="76" t="str">
        <x:f>IF('04_Form_Dechets'!$O22="Validé humainement",'04_Form_Dechets'!E22,"")</x:f>
      </x:c>
      <x:c r="F22" s="77" t="str">
        <x:f>IF('04_Form_Dechets'!$O22="Validé humainement",'04_Form_Dechets'!F22,"")</x:f>
      </x:c>
      <x:c r="G22" s="77" t="str">
        <x:f>IF('04_Form_Dechets'!$O22="Validé humainement",'04_Form_Dechets'!G22,"")</x:f>
      </x:c>
      <x:c r="H22" s="77" t="str">
        <x:f>IF('04_Form_Dechets'!$O22="Validé humainement",'04_Form_Dechets'!H22,"")</x:f>
      </x:c>
      <x:c r="I22" s="77" t="str">
        <x:f>IF('04_Form_Dechets'!$O22="Validé humainement",'04_Form_Dechets'!I22,"")</x:f>
      </x:c>
      <x:c r="J22" s="76" t="str">
        <x:f>IF('04_Form_Dechets'!$O22="Validé humainement",'04_Form_Dechets'!J22,"")</x:f>
      </x:c>
      <x:c r="K22" s="76" t="str">
        <x:f>IF('04_Form_Dechets'!$O22="Validé humainement",'04_Form_Dechets'!K22,"")</x:f>
      </x:c>
      <x:c r="L22" s="76" t="str">
        <x:f>IF('04_Form_Dechets'!$O22="Validé humainement",'04_Form_Dechets'!L22,"")</x:f>
      </x:c>
      <x:c r="M22" s="77" t="str">
        <x:f>IF('04_Form_Dechets'!$O22="Validé humainement",'04_Form_Dechets'!M22,"")</x:f>
      </x:c>
      <x:c r="N22" s="76" t="str">
        <x:f>IF('04_Form_Dechets'!$O22="Validé humainement",'04_Form_Dechets'!N22,"")</x:f>
      </x:c>
      <x:c r="O22" s="76" t="str">
        <x:f>IF('04_Form_Dechets'!$O22="Validé humainement",'04_Form_Dechets'!O22,"")</x:f>
      </x:c>
      <x:c r="P22" s="78" t="str">
        <x:f>IF('04_Form_Dechets'!$O22="Validé humainement",'04_Form_Dechets'!P22,"")</x:f>
      </x:c>
      <x:c r="Q22" s="76" t="str">
        <x:f>IF('04_Form_Dechets'!$O22="Validé humainement",'04_Form_Dechets'!Q22,"")</x:f>
      </x:c>
      <x:c r="R22" s="76" t="str">
        <x:f>IF('04_Form_Dechets'!$O22="Validé humainement",'04_Form_Dechets'!R22,"")</x:f>
      </x:c>
      <x:c r="S22" s="76" t="str">
        <x:f>IF('04_Form_Dechets'!$O22="Validé humainement",'04_Form_Dechets'!S22,"")</x:f>
      </x:c>
    </x:row>
    <x:row r="23">
      <x:c r="A23" s="76" t="str">
        <x:f>IF('04_Form_Dechets'!$O23="Validé humainement",'04_Form_Dechets'!A23,"")</x:f>
      </x:c>
      <x:c r="B23" s="76" t="str">
        <x:f>IF('04_Form_Dechets'!$O23="Validé humainement",'04_Form_Dechets'!B23,"")</x:f>
      </x:c>
      <x:c r="C23" s="76" t="str">
        <x:f>IF('04_Form_Dechets'!$O23="Validé humainement",'04_Form_Dechets'!C23,"")</x:f>
      </x:c>
      <x:c r="D23" s="76" t="str">
        <x:f>IF('04_Form_Dechets'!$O23="Validé humainement",'04_Form_Dechets'!D23,"")</x:f>
      </x:c>
      <x:c r="E23" s="76" t="str">
        <x:f>IF('04_Form_Dechets'!$O23="Validé humainement",'04_Form_Dechets'!E23,"")</x:f>
      </x:c>
      <x:c r="F23" s="77" t="str">
        <x:f>IF('04_Form_Dechets'!$O23="Validé humainement",'04_Form_Dechets'!F23,"")</x:f>
      </x:c>
      <x:c r="G23" s="77" t="str">
        <x:f>IF('04_Form_Dechets'!$O23="Validé humainement",'04_Form_Dechets'!G23,"")</x:f>
      </x:c>
      <x:c r="H23" s="77" t="str">
        <x:f>IF('04_Form_Dechets'!$O23="Validé humainement",'04_Form_Dechets'!H23,"")</x:f>
      </x:c>
      <x:c r="I23" s="77" t="str">
        <x:f>IF('04_Form_Dechets'!$O23="Validé humainement",'04_Form_Dechets'!I23,"")</x:f>
      </x:c>
      <x:c r="J23" s="76" t="str">
        <x:f>IF('04_Form_Dechets'!$O23="Validé humainement",'04_Form_Dechets'!J23,"")</x:f>
      </x:c>
      <x:c r="K23" s="76" t="str">
        <x:f>IF('04_Form_Dechets'!$O23="Validé humainement",'04_Form_Dechets'!K23,"")</x:f>
      </x:c>
      <x:c r="L23" s="76" t="str">
        <x:f>IF('04_Form_Dechets'!$O23="Validé humainement",'04_Form_Dechets'!L23,"")</x:f>
      </x:c>
      <x:c r="M23" s="77" t="str">
        <x:f>IF('04_Form_Dechets'!$O23="Validé humainement",'04_Form_Dechets'!M23,"")</x:f>
      </x:c>
      <x:c r="N23" s="76" t="str">
        <x:f>IF('04_Form_Dechets'!$O23="Validé humainement",'04_Form_Dechets'!N23,"")</x:f>
      </x:c>
      <x:c r="O23" s="76" t="str">
        <x:f>IF('04_Form_Dechets'!$O23="Validé humainement",'04_Form_Dechets'!O23,"")</x:f>
      </x:c>
      <x:c r="P23" s="78" t="str">
        <x:f>IF('04_Form_Dechets'!$O23="Validé humainement",'04_Form_Dechets'!P23,"")</x:f>
      </x:c>
      <x:c r="Q23" s="76" t="str">
        <x:f>IF('04_Form_Dechets'!$O23="Validé humainement",'04_Form_Dechets'!Q23,"")</x:f>
      </x:c>
      <x:c r="R23" s="76" t="str">
        <x:f>IF('04_Form_Dechets'!$O23="Validé humainement",'04_Form_Dechets'!R23,"")</x:f>
      </x:c>
      <x:c r="S23" s="76" t="str">
        <x:f>IF('04_Form_Dechets'!$O23="Validé humainement",'04_Form_Dechets'!S23,"")</x:f>
      </x:c>
    </x:row>
    <x:row r="24">
      <x:c r="A24" s="76" t="str">
        <x:f>IF('04_Form_Dechets'!$O24="Validé humainement",'04_Form_Dechets'!A24,"")</x:f>
      </x:c>
      <x:c r="B24" s="76" t="str">
        <x:f>IF('04_Form_Dechets'!$O24="Validé humainement",'04_Form_Dechets'!B24,"")</x:f>
      </x:c>
      <x:c r="C24" s="76" t="str">
        <x:f>IF('04_Form_Dechets'!$O24="Validé humainement",'04_Form_Dechets'!C24,"")</x:f>
      </x:c>
      <x:c r="D24" s="76" t="str">
        <x:f>IF('04_Form_Dechets'!$O24="Validé humainement",'04_Form_Dechets'!D24,"")</x:f>
      </x:c>
      <x:c r="E24" s="76" t="str">
        <x:f>IF('04_Form_Dechets'!$O24="Validé humainement",'04_Form_Dechets'!E24,"")</x:f>
      </x:c>
      <x:c r="F24" s="77" t="str">
        <x:f>IF('04_Form_Dechets'!$O24="Validé humainement",'04_Form_Dechets'!F24,"")</x:f>
      </x:c>
      <x:c r="G24" s="77" t="str">
        <x:f>IF('04_Form_Dechets'!$O24="Validé humainement",'04_Form_Dechets'!G24,"")</x:f>
      </x:c>
      <x:c r="H24" s="77" t="str">
        <x:f>IF('04_Form_Dechets'!$O24="Validé humainement",'04_Form_Dechets'!H24,"")</x:f>
      </x:c>
      <x:c r="I24" s="77" t="str">
        <x:f>IF('04_Form_Dechets'!$O24="Validé humainement",'04_Form_Dechets'!I24,"")</x:f>
      </x:c>
      <x:c r="J24" s="76" t="str">
        <x:f>IF('04_Form_Dechets'!$O24="Validé humainement",'04_Form_Dechets'!J24,"")</x:f>
      </x:c>
      <x:c r="K24" s="76" t="str">
        <x:f>IF('04_Form_Dechets'!$O24="Validé humainement",'04_Form_Dechets'!K24,"")</x:f>
      </x:c>
      <x:c r="L24" s="76" t="str">
        <x:f>IF('04_Form_Dechets'!$O24="Validé humainement",'04_Form_Dechets'!L24,"")</x:f>
      </x:c>
      <x:c r="M24" s="77" t="str">
        <x:f>IF('04_Form_Dechets'!$O24="Validé humainement",'04_Form_Dechets'!M24,"")</x:f>
      </x:c>
      <x:c r="N24" s="76" t="str">
        <x:f>IF('04_Form_Dechets'!$O24="Validé humainement",'04_Form_Dechets'!N24,"")</x:f>
      </x:c>
      <x:c r="O24" s="76" t="str">
        <x:f>IF('04_Form_Dechets'!$O24="Validé humainement",'04_Form_Dechets'!O24,"")</x:f>
      </x:c>
      <x:c r="P24" s="78" t="str">
        <x:f>IF('04_Form_Dechets'!$O24="Validé humainement",'04_Form_Dechets'!P24,"")</x:f>
      </x:c>
      <x:c r="Q24" s="76" t="str">
        <x:f>IF('04_Form_Dechets'!$O24="Validé humainement",'04_Form_Dechets'!Q24,"")</x:f>
      </x:c>
      <x:c r="R24" s="76" t="str">
        <x:f>IF('04_Form_Dechets'!$O24="Validé humainement",'04_Form_Dechets'!R24,"")</x:f>
      </x:c>
      <x:c r="S24" s="76" t="str">
        <x:f>IF('04_Form_Dechets'!$O24="Validé humainement",'04_Form_Dechets'!S24,"")</x:f>
      </x:c>
    </x:row>
    <x:row r="25">
      <x:c r="A25" s="76" t="str">
        <x:f>IF('04_Form_Dechets'!$O25="Validé humainement",'04_Form_Dechets'!A25,"")</x:f>
      </x:c>
      <x:c r="B25" s="76" t="str">
        <x:f>IF('04_Form_Dechets'!$O25="Validé humainement",'04_Form_Dechets'!B25,"")</x:f>
      </x:c>
      <x:c r="C25" s="76" t="str">
        <x:f>IF('04_Form_Dechets'!$O25="Validé humainement",'04_Form_Dechets'!C25,"")</x:f>
      </x:c>
      <x:c r="D25" s="76" t="str">
        <x:f>IF('04_Form_Dechets'!$O25="Validé humainement",'04_Form_Dechets'!D25,"")</x:f>
      </x:c>
      <x:c r="E25" s="76" t="str">
        <x:f>IF('04_Form_Dechets'!$O25="Validé humainement",'04_Form_Dechets'!E25,"")</x:f>
      </x:c>
      <x:c r="F25" s="77" t="str">
        <x:f>IF('04_Form_Dechets'!$O25="Validé humainement",'04_Form_Dechets'!F25,"")</x:f>
      </x:c>
      <x:c r="G25" s="77" t="str">
        <x:f>IF('04_Form_Dechets'!$O25="Validé humainement",'04_Form_Dechets'!G25,"")</x:f>
      </x:c>
      <x:c r="H25" s="77" t="str">
        <x:f>IF('04_Form_Dechets'!$O25="Validé humainement",'04_Form_Dechets'!H25,"")</x:f>
      </x:c>
      <x:c r="I25" s="77" t="str">
        <x:f>IF('04_Form_Dechets'!$O25="Validé humainement",'04_Form_Dechets'!I25,"")</x:f>
      </x:c>
      <x:c r="J25" s="76" t="str">
        <x:f>IF('04_Form_Dechets'!$O25="Validé humainement",'04_Form_Dechets'!J25,"")</x:f>
      </x:c>
      <x:c r="K25" s="76" t="str">
        <x:f>IF('04_Form_Dechets'!$O25="Validé humainement",'04_Form_Dechets'!K25,"")</x:f>
      </x:c>
      <x:c r="L25" s="76" t="str">
        <x:f>IF('04_Form_Dechets'!$O25="Validé humainement",'04_Form_Dechets'!L25,"")</x:f>
      </x:c>
      <x:c r="M25" s="77" t="str">
        <x:f>IF('04_Form_Dechets'!$O25="Validé humainement",'04_Form_Dechets'!M25,"")</x:f>
      </x:c>
      <x:c r="N25" s="76" t="str">
        <x:f>IF('04_Form_Dechets'!$O25="Validé humainement",'04_Form_Dechets'!N25,"")</x:f>
      </x:c>
      <x:c r="O25" s="76" t="str">
        <x:f>IF('04_Form_Dechets'!$O25="Validé humainement",'04_Form_Dechets'!O25,"")</x:f>
      </x:c>
      <x:c r="P25" s="78" t="str">
        <x:f>IF('04_Form_Dechets'!$O25="Validé humainement",'04_Form_Dechets'!P25,"")</x:f>
      </x:c>
      <x:c r="Q25" s="76" t="str">
        <x:f>IF('04_Form_Dechets'!$O25="Validé humainement",'04_Form_Dechets'!Q25,"")</x:f>
      </x:c>
      <x:c r="R25" s="76" t="str">
        <x:f>IF('04_Form_Dechets'!$O25="Validé humainement",'04_Form_Dechets'!R25,"")</x:f>
      </x:c>
      <x:c r="S25" s="76" t="str">
        <x:f>IF('04_Form_Dechets'!$O25="Validé humainement",'04_Form_Dechets'!S25,"")</x:f>
      </x:c>
    </x:row>
    <x:row r="26">
      <x:c r="A26" s="76" t="str">
        <x:f>IF('04_Form_Dechets'!$O26="Validé humainement",'04_Form_Dechets'!A26,"")</x:f>
      </x:c>
      <x:c r="B26" s="76" t="str">
        <x:f>IF('04_Form_Dechets'!$O26="Validé humainement",'04_Form_Dechets'!B26,"")</x:f>
      </x:c>
      <x:c r="C26" s="76" t="str">
        <x:f>IF('04_Form_Dechets'!$O26="Validé humainement",'04_Form_Dechets'!C26,"")</x:f>
      </x:c>
      <x:c r="D26" s="76" t="str">
        <x:f>IF('04_Form_Dechets'!$O26="Validé humainement",'04_Form_Dechets'!D26,"")</x:f>
      </x:c>
      <x:c r="E26" s="76" t="str">
        <x:f>IF('04_Form_Dechets'!$O26="Validé humainement",'04_Form_Dechets'!E26,"")</x:f>
      </x:c>
      <x:c r="F26" s="77" t="str">
        <x:f>IF('04_Form_Dechets'!$O26="Validé humainement",'04_Form_Dechets'!F26,"")</x:f>
      </x:c>
      <x:c r="G26" s="77" t="str">
        <x:f>IF('04_Form_Dechets'!$O26="Validé humainement",'04_Form_Dechets'!G26,"")</x:f>
      </x:c>
      <x:c r="H26" s="77" t="str">
        <x:f>IF('04_Form_Dechets'!$O26="Validé humainement",'04_Form_Dechets'!H26,"")</x:f>
      </x:c>
      <x:c r="I26" s="77" t="str">
        <x:f>IF('04_Form_Dechets'!$O26="Validé humainement",'04_Form_Dechets'!I26,"")</x:f>
      </x:c>
      <x:c r="J26" s="76" t="str">
        <x:f>IF('04_Form_Dechets'!$O26="Validé humainement",'04_Form_Dechets'!J26,"")</x:f>
      </x:c>
      <x:c r="K26" s="76" t="str">
        <x:f>IF('04_Form_Dechets'!$O26="Validé humainement",'04_Form_Dechets'!K26,"")</x:f>
      </x:c>
      <x:c r="L26" s="76" t="str">
        <x:f>IF('04_Form_Dechets'!$O26="Validé humainement",'04_Form_Dechets'!L26,"")</x:f>
      </x:c>
      <x:c r="M26" s="77" t="str">
        <x:f>IF('04_Form_Dechets'!$O26="Validé humainement",'04_Form_Dechets'!M26,"")</x:f>
      </x:c>
      <x:c r="N26" s="76" t="str">
        <x:f>IF('04_Form_Dechets'!$O26="Validé humainement",'04_Form_Dechets'!N26,"")</x:f>
      </x:c>
      <x:c r="O26" s="76" t="str">
        <x:f>IF('04_Form_Dechets'!$O26="Validé humainement",'04_Form_Dechets'!O26,"")</x:f>
      </x:c>
      <x:c r="P26" s="78" t="str">
        <x:f>IF('04_Form_Dechets'!$O26="Validé humainement",'04_Form_Dechets'!P26,"")</x:f>
      </x:c>
      <x:c r="Q26" s="76" t="str">
        <x:f>IF('04_Form_Dechets'!$O26="Validé humainement",'04_Form_Dechets'!Q26,"")</x:f>
      </x:c>
      <x:c r="R26" s="76" t="str">
        <x:f>IF('04_Form_Dechets'!$O26="Validé humainement",'04_Form_Dechets'!R26,"")</x:f>
      </x:c>
      <x:c r="S26" s="76" t="str">
        <x:f>IF('04_Form_Dechets'!$O26="Validé humainement",'04_Form_Dechets'!S26,"")</x:f>
      </x:c>
    </x:row>
    <x:row r="27">
      <x:c r="A27" s="76" t="str">
        <x:f>IF('04_Form_Dechets'!$O27="Validé humainement",'04_Form_Dechets'!A27,"")</x:f>
      </x:c>
      <x:c r="B27" s="76" t="str">
        <x:f>IF('04_Form_Dechets'!$O27="Validé humainement",'04_Form_Dechets'!B27,"")</x:f>
      </x:c>
      <x:c r="C27" s="76" t="str">
        <x:f>IF('04_Form_Dechets'!$O27="Validé humainement",'04_Form_Dechets'!C27,"")</x:f>
      </x:c>
      <x:c r="D27" s="76" t="str">
        <x:f>IF('04_Form_Dechets'!$O27="Validé humainement",'04_Form_Dechets'!D27,"")</x:f>
      </x:c>
      <x:c r="E27" s="76" t="str">
        <x:f>IF('04_Form_Dechets'!$O27="Validé humainement",'04_Form_Dechets'!E27,"")</x:f>
      </x:c>
      <x:c r="F27" s="77" t="str">
        <x:f>IF('04_Form_Dechets'!$O27="Validé humainement",'04_Form_Dechets'!F27,"")</x:f>
      </x:c>
      <x:c r="G27" s="77" t="str">
        <x:f>IF('04_Form_Dechets'!$O27="Validé humainement",'04_Form_Dechets'!G27,"")</x:f>
      </x:c>
      <x:c r="H27" s="77" t="str">
        <x:f>IF('04_Form_Dechets'!$O27="Validé humainement",'04_Form_Dechets'!H27,"")</x:f>
      </x:c>
      <x:c r="I27" s="77" t="str">
        <x:f>IF('04_Form_Dechets'!$O27="Validé humainement",'04_Form_Dechets'!I27,"")</x:f>
      </x:c>
      <x:c r="J27" s="76" t="str">
        <x:f>IF('04_Form_Dechets'!$O27="Validé humainement",'04_Form_Dechets'!J27,"")</x:f>
      </x:c>
      <x:c r="K27" s="76" t="str">
        <x:f>IF('04_Form_Dechets'!$O27="Validé humainement",'04_Form_Dechets'!K27,"")</x:f>
      </x:c>
      <x:c r="L27" s="76" t="str">
        <x:f>IF('04_Form_Dechets'!$O27="Validé humainement",'04_Form_Dechets'!L27,"")</x:f>
      </x:c>
      <x:c r="M27" s="77" t="str">
        <x:f>IF('04_Form_Dechets'!$O27="Validé humainement",'04_Form_Dechets'!M27,"")</x:f>
      </x:c>
      <x:c r="N27" s="76" t="str">
        <x:f>IF('04_Form_Dechets'!$O27="Validé humainement",'04_Form_Dechets'!N27,"")</x:f>
      </x:c>
      <x:c r="O27" s="76" t="str">
        <x:f>IF('04_Form_Dechets'!$O27="Validé humainement",'04_Form_Dechets'!O27,"")</x:f>
      </x:c>
      <x:c r="P27" s="78" t="str">
        <x:f>IF('04_Form_Dechets'!$O27="Validé humainement",'04_Form_Dechets'!P27,"")</x:f>
      </x:c>
      <x:c r="Q27" s="76" t="str">
        <x:f>IF('04_Form_Dechets'!$O27="Validé humainement",'04_Form_Dechets'!Q27,"")</x:f>
      </x:c>
      <x:c r="R27" s="76" t="str">
        <x:f>IF('04_Form_Dechets'!$O27="Validé humainement",'04_Form_Dechets'!R27,"")</x:f>
      </x:c>
      <x:c r="S27" s="76" t="str">
        <x:f>IF('04_Form_Dechets'!$O27="Validé humainement",'04_Form_Dechets'!S27,"")</x:f>
      </x:c>
    </x:row>
    <x:row r="28">
      <x:c r="A28" s="76" t="str">
        <x:f>IF('04_Form_Dechets'!$O28="Validé humainement",'04_Form_Dechets'!A28,"")</x:f>
      </x:c>
      <x:c r="B28" s="76" t="str">
        <x:f>IF('04_Form_Dechets'!$O28="Validé humainement",'04_Form_Dechets'!B28,"")</x:f>
      </x:c>
      <x:c r="C28" s="76" t="str">
        <x:f>IF('04_Form_Dechets'!$O28="Validé humainement",'04_Form_Dechets'!C28,"")</x:f>
      </x:c>
      <x:c r="D28" s="76" t="str">
        <x:f>IF('04_Form_Dechets'!$O28="Validé humainement",'04_Form_Dechets'!D28,"")</x:f>
      </x:c>
      <x:c r="E28" s="76" t="str">
        <x:f>IF('04_Form_Dechets'!$O28="Validé humainement",'04_Form_Dechets'!E28,"")</x:f>
      </x:c>
      <x:c r="F28" s="77" t="str">
        <x:f>IF('04_Form_Dechets'!$O28="Validé humainement",'04_Form_Dechets'!F28,"")</x:f>
      </x:c>
      <x:c r="G28" s="77" t="str">
        <x:f>IF('04_Form_Dechets'!$O28="Validé humainement",'04_Form_Dechets'!G28,"")</x:f>
      </x:c>
      <x:c r="H28" s="77" t="str">
        <x:f>IF('04_Form_Dechets'!$O28="Validé humainement",'04_Form_Dechets'!H28,"")</x:f>
      </x:c>
      <x:c r="I28" s="77" t="str">
        <x:f>IF('04_Form_Dechets'!$O28="Validé humainement",'04_Form_Dechets'!I28,"")</x:f>
      </x:c>
      <x:c r="J28" s="76" t="str">
        <x:f>IF('04_Form_Dechets'!$O28="Validé humainement",'04_Form_Dechets'!J28,"")</x:f>
      </x:c>
      <x:c r="K28" s="76" t="str">
        <x:f>IF('04_Form_Dechets'!$O28="Validé humainement",'04_Form_Dechets'!K28,"")</x:f>
      </x:c>
      <x:c r="L28" s="76" t="str">
        <x:f>IF('04_Form_Dechets'!$O28="Validé humainement",'04_Form_Dechets'!L28,"")</x:f>
      </x:c>
      <x:c r="M28" s="77" t="str">
        <x:f>IF('04_Form_Dechets'!$O28="Validé humainement",'04_Form_Dechets'!M28,"")</x:f>
      </x:c>
      <x:c r="N28" s="76" t="str">
        <x:f>IF('04_Form_Dechets'!$O28="Validé humainement",'04_Form_Dechets'!N28,"")</x:f>
      </x:c>
      <x:c r="O28" s="76" t="str">
        <x:f>IF('04_Form_Dechets'!$O28="Validé humainement",'04_Form_Dechets'!O28,"")</x:f>
      </x:c>
      <x:c r="P28" s="78" t="str">
        <x:f>IF('04_Form_Dechets'!$O28="Validé humainement",'04_Form_Dechets'!P28,"")</x:f>
      </x:c>
      <x:c r="Q28" s="76" t="str">
        <x:f>IF('04_Form_Dechets'!$O28="Validé humainement",'04_Form_Dechets'!Q28,"")</x:f>
      </x:c>
      <x:c r="R28" s="76" t="str">
        <x:f>IF('04_Form_Dechets'!$O28="Validé humainement",'04_Form_Dechets'!R28,"")</x:f>
      </x:c>
      <x:c r="S28" s="76" t="str">
        <x:f>IF('04_Form_Dechets'!$O28="Validé humainement",'04_Form_Dechets'!S28,"")</x:f>
      </x:c>
    </x:row>
    <x:row r="29">
      <x:c r="A29" s="76" t="str">
        <x:f>IF('04_Form_Dechets'!$O29="Validé humainement",'04_Form_Dechets'!A29,"")</x:f>
      </x:c>
      <x:c r="B29" s="76" t="str">
        <x:f>IF('04_Form_Dechets'!$O29="Validé humainement",'04_Form_Dechets'!B29,"")</x:f>
      </x:c>
      <x:c r="C29" s="76" t="str">
        <x:f>IF('04_Form_Dechets'!$O29="Validé humainement",'04_Form_Dechets'!C29,"")</x:f>
      </x:c>
      <x:c r="D29" s="76" t="str">
        <x:f>IF('04_Form_Dechets'!$O29="Validé humainement",'04_Form_Dechets'!D29,"")</x:f>
      </x:c>
      <x:c r="E29" s="76" t="str">
        <x:f>IF('04_Form_Dechets'!$O29="Validé humainement",'04_Form_Dechets'!E29,"")</x:f>
      </x:c>
      <x:c r="F29" s="77" t="str">
        <x:f>IF('04_Form_Dechets'!$O29="Validé humainement",'04_Form_Dechets'!F29,"")</x:f>
      </x:c>
      <x:c r="G29" s="77" t="str">
        <x:f>IF('04_Form_Dechets'!$O29="Validé humainement",'04_Form_Dechets'!G29,"")</x:f>
      </x:c>
      <x:c r="H29" s="77" t="str">
        <x:f>IF('04_Form_Dechets'!$O29="Validé humainement",'04_Form_Dechets'!H29,"")</x:f>
      </x:c>
      <x:c r="I29" s="77" t="str">
        <x:f>IF('04_Form_Dechets'!$O29="Validé humainement",'04_Form_Dechets'!I29,"")</x:f>
      </x:c>
      <x:c r="J29" s="76" t="str">
        <x:f>IF('04_Form_Dechets'!$O29="Validé humainement",'04_Form_Dechets'!J29,"")</x:f>
      </x:c>
      <x:c r="K29" s="76" t="str">
        <x:f>IF('04_Form_Dechets'!$O29="Validé humainement",'04_Form_Dechets'!K29,"")</x:f>
      </x:c>
      <x:c r="L29" s="76" t="str">
        <x:f>IF('04_Form_Dechets'!$O29="Validé humainement",'04_Form_Dechets'!L29,"")</x:f>
      </x:c>
      <x:c r="M29" s="77" t="str">
        <x:f>IF('04_Form_Dechets'!$O29="Validé humainement",'04_Form_Dechets'!M29,"")</x:f>
      </x:c>
      <x:c r="N29" s="76" t="str">
        <x:f>IF('04_Form_Dechets'!$O29="Validé humainement",'04_Form_Dechets'!N29,"")</x:f>
      </x:c>
      <x:c r="O29" s="76" t="str">
        <x:f>IF('04_Form_Dechets'!$O29="Validé humainement",'04_Form_Dechets'!O29,"")</x:f>
      </x:c>
      <x:c r="P29" s="78" t="str">
        <x:f>IF('04_Form_Dechets'!$O29="Validé humainement",'04_Form_Dechets'!P29,"")</x:f>
      </x:c>
      <x:c r="Q29" s="76" t="str">
        <x:f>IF('04_Form_Dechets'!$O29="Validé humainement",'04_Form_Dechets'!Q29,"")</x:f>
      </x:c>
      <x:c r="R29" s="76" t="str">
        <x:f>IF('04_Form_Dechets'!$O29="Validé humainement",'04_Form_Dechets'!R29,"")</x:f>
      </x:c>
      <x:c r="S29" s="76" t="str">
        <x:f>IF('04_Form_Dechets'!$O29="Validé humainement",'04_Form_Dechets'!S29,"")</x:f>
      </x:c>
    </x:row>
    <x:row r="30">
      <x:c r="A30" s="76" t="str">
        <x:f>IF('04_Form_Dechets'!$O30="Validé humainement",'04_Form_Dechets'!A30,"")</x:f>
      </x:c>
      <x:c r="B30" s="76" t="str">
        <x:f>IF('04_Form_Dechets'!$O30="Validé humainement",'04_Form_Dechets'!B30,"")</x:f>
      </x:c>
      <x:c r="C30" s="76" t="str">
        <x:f>IF('04_Form_Dechets'!$O30="Validé humainement",'04_Form_Dechets'!C30,"")</x:f>
      </x:c>
      <x:c r="D30" s="76" t="str">
        <x:f>IF('04_Form_Dechets'!$O30="Validé humainement",'04_Form_Dechets'!D30,"")</x:f>
      </x:c>
      <x:c r="E30" s="76" t="str">
        <x:f>IF('04_Form_Dechets'!$O30="Validé humainement",'04_Form_Dechets'!E30,"")</x:f>
      </x:c>
      <x:c r="F30" s="77" t="str">
        <x:f>IF('04_Form_Dechets'!$O30="Validé humainement",'04_Form_Dechets'!F30,"")</x:f>
      </x:c>
      <x:c r="G30" s="77" t="str">
        <x:f>IF('04_Form_Dechets'!$O30="Validé humainement",'04_Form_Dechets'!G30,"")</x:f>
      </x:c>
      <x:c r="H30" s="77" t="str">
        <x:f>IF('04_Form_Dechets'!$O30="Validé humainement",'04_Form_Dechets'!H30,"")</x:f>
      </x:c>
      <x:c r="I30" s="77" t="str">
        <x:f>IF('04_Form_Dechets'!$O30="Validé humainement",'04_Form_Dechets'!I30,"")</x:f>
      </x:c>
      <x:c r="J30" s="76" t="str">
        <x:f>IF('04_Form_Dechets'!$O30="Validé humainement",'04_Form_Dechets'!J30,"")</x:f>
      </x:c>
      <x:c r="K30" s="76" t="str">
        <x:f>IF('04_Form_Dechets'!$O30="Validé humainement",'04_Form_Dechets'!K30,"")</x:f>
      </x:c>
      <x:c r="L30" s="76" t="str">
        <x:f>IF('04_Form_Dechets'!$O30="Validé humainement",'04_Form_Dechets'!L30,"")</x:f>
      </x:c>
      <x:c r="M30" s="77" t="str">
        <x:f>IF('04_Form_Dechets'!$O30="Validé humainement",'04_Form_Dechets'!M30,"")</x:f>
      </x:c>
      <x:c r="N30" s="76" t="str">
        <x:f>IF('04_Form_Dechets'!$O30="Validé humainement",'04_Form_Dechets'!N30,"")</x:f>
      </x:c>
      <x:c r="O30" s="76" t="str">
        <x:f>IF('04_Form_Dechets'!$O30="Validé humainement",'04_Form_Dechets'!O30,"")</x:f>
      </x:c>
      <x:c r="P30" s="78" t="str">
        <x:f>IF('04_Form_Dechets'!$O30="Validé humainement",'04_Form_Dechets'!P30,"")</x:f>
      </x:c>
      <x:c r="Q30" s="76" t="str">
        <x:f>IF('04_Form_Dechets'!$O30="Validé humainement",'04_Form_Dechets'!Q30,"")</x:f>
      </x:c>
      <x:c r="R30" s="76" t="str">
        <x:f>IF('04_Form_Dechets'!$O30="Validé humainement",'04_Form_Dechets'!R30,"")</x:f>
      </x:c>
      <x:c r="S30" s="76" t="str">
        <x:f>IF('04_Form_Dechets'!$O30="Validé humainement",'04_Form_Dechets'!S30,"")</x:f>
      </x:c>
    </x:row>
    <x:row r="31">
      <x:c r="A31" s="76" t="str">
        <x:f>IF('04_Form_Dechets'!$O31="Validé humainement",'04_Form_Dechets'!A31,"")</x:f>
      </x:c>
      <x:c r="B31" s="76" t="str">
        <x:f>IF('04_Form_Dechets'!$O31="Validé humainement",'04_Form_Dechets'!B31,"")</x:f>
      </x:c>
      <x:c r="C31" s="76" t="str">
        <x:f>IF('04_Form_Dechets'!$O31="Validé humainement",'04_Form_Dechets'!C31,"")</x:f>
      </x:c>
      <x:c r="D31" s="76" t="str">
        <x:f>IF('04_Form_Dechets'!$O31="Validé humainement",'04_Form_Dechets'!D31,"")</x:f>
      </x:c>
      <x:c r="E31" s="76" t="str">
        <x:f>IF('04_Form_Dechets'!$O31="Validé humainement",'04_Form_Dechets'!E31,"")</x:f>
      </x:c>
      <x:c r="F31" s="77" t="str">
        <x:f>IF('04_Form_Dechets'!$O31="Validé humainement",'04_Form_Dechets'!F31,"")</x:f>
      </x:c>
      <x:c r="G31" s="77" t="str">
        <x:f>IF('04_Form_Dechets'!$O31="Validé humainement",'04_Form_Dechets'!G31,"")</x:f>
      </x:c>
      <x:c r="H31" s="77" t="str">
        <x:f>IF('04_Form_Dechets'!$O31="Validé humainement",'04_Form_Dechets'!H31,"")</x:f>
      </x:c>
      <x:c r="I31" s="77" t="str">
        <x:f>IF('04_Form_Dechets'!$O31="Validé humainement",'04_Form_Dechets'!I31,"")</x:f>
      </x:c>
      <x:c r="J31" s="76" t="str">
        <x:f>IF('04_Form_Dechets'!$O31="Validé humainement",'04_Form_Dechets'!J31,"")</x:f>
      </x:c>
      <x:c r="K31" s="76" t="str">
        <x:f>IF('04_Form_Dechets'!$O31="Validé humainement",'04_Form_Dechets'!K31,"")</x:f>
      </x:c>
      <x:c r="L31" s="76" t="str">
        <x:f>IF('04_Form_Dechets'!$O31="Validé humainement",'04_Form_Dechets'!L31,"")</x:f>
      </x:c>
      <x:c r="M31" s="77" t="str">
        <x:f>IF('04_Form_Dechets'!$O31="Validé humainement",'04_Form_Dechets'!M31,"")</x:f>
      </x:c>
      <x:c r="N31" s="76" t="str">
        <x:f>IF('04_Form_Dechets'!$O31="Validé humainement",'04_Form_Dechets'!N31,"")</x:f>
      </x:c>
      <x:c r="O31" s="76" t="str">
        <x:f>IF('04_Form_Dechets'!$O31="Validé humainement",'04_Form_Dechets'!O31,"")</x:f>
      </x:c>
      <x:c r="P31" s="78" t="str">
        <x:f>IF('04_Form_Dechets'!$O31="Validé humainement",'04_Form_Dechets'!P31,"")</x:f>
      </x:c>
      <x:c r="Q31" s="76" t="str">
        <x:f>IF('04_Form_Dechets'!$O31="Validé humainement",'04_Form_Dechets'!Q31,"")</x:f>
      </x:c>
      <x:c r="R31" s="76" t="str">
        <x:f>IF('04_Form_Dechets'!$O31="Validé humainement",'04_Form_Dechets'!R31,"")</x:f>
      </x:c>
      <x:c r="S31" s="76" t="str">
        <x:f>IF('04_Form_Dechets'!$O31="Validé humainement",'04_Form_Dechets'!S31,"")</x:f>
      </x:c>
    </x:row>
    <x:row r="32">
      <x:c r="A32" s="76" t="str">
        <x:f>IF('04_Form_Dechets'!$O32="Validé humainement",'04_Form_Dechets'!A32,"")</x:f>
      </x:c>
      <x:c r="B32" s="76" t="str">
        <x:f>IF('04_Form_Dechets'!$O32="Validé humainement",'04_Form_Dechets'!B32,"")</x:f>
      </x:c>
      <x:c r="C32" s="76" t="str">
        <x:f>IF('04_Form_Dechets'!$O32="Validé humainement",'04_Form_Dechets'!C32,"")</x:f>
      </x:c>
      <x:c r="D32" s="76" t="str">
        <x:f>IF('04_Form_Dechets'!$O32="Validé humainement",'04_Form_Dechets'!D32,"")</x:f>
      </x:c>
      <x:c r="E32" s="76" t="str">
        <x:f>IF('04_Form_Dechets'!$O32="Validé humainement",'04_Form_Dechets'!E32,"")</x:f>
      </x:c>
      <x:c r="F32" s="77" t="str">
        <x:f>IF('04_Form_Dechets'!$O32="Validé humainement",'04_Form_Dechets'!F32,"")</x:f>
      </x:c>
      <x:c r="G32" s="77" t="str">
        <x:f>IF('04_Form_Dechets'!$O32="Validé humainement",'04_Form_Dechets'!G32,"")</x:f>
      </x:c>
      <x:c r="H32" s="77" t="str">
        <x:f>IF('04_Form_Dechets'!$O32="Validé humainement",'04_Form_Dechets'!H32,"")</x:f>
      </x:c>
      <x:c r="I32" s="77" t="str">
        <x:f>IF('04_Form_Dechets'!$O32="Validé humainement",'04_Form_Dechets'!I32,"")</x:f>
      </x:c>
      <x:c r="J32" s="76" t="str">
        <x:f>IF('04_Form_Dechets'!$O32="Validé humainement",'04_Form_Dechets'!J32,"")</x:f>
      </x:c>
      <x:c r="K32" s="76" t="str">
        <x:f>IF('04_Form_Dechets'!$O32="Validé humainement",'04_Form_Dechets'!K32,"")</x:f>
      </x:c>
      <x:c r="L32" s="76" t="str">
        <x:f>IF('04_Form_Dechets'!$O32="Validé humainement",'04_Form_Dechets'!L32,"")</x:f>
      </x:c>
      <x:c r="M32" s="77" t="str">
        <x:f>IF('04_Form_Dechets'!$O32="Validé humainement",'04_Form_Dechets'!M32,"")</x:f>
      </x:c>
      <x:c r="N32" s="76" t="str">
        <x:f>IF('04_Form_Dechets'!$O32="Validé humainement",'04_Form_Dechets'!N32,"")</x:f>
      </x:c>
      <x:c r="O32" s="76" t="str">
        <x:f>IF('04_Form_Dechets'!$O32="Validé humainement",'04_Form_Dechets'!O32,"")</x:f>
      </x:c>
      <x:c r="P32" s="78" t="str">
        <x:f>IF('04_Form_Dechets'!$O32="Validé humainement",'04_Form_Dechets'!P32,"")</x:f>
      </x:c>
      <x:c r="Q32" s="76" t="str">
        <x:f>IF('04_Form_Dechets'!$O32="Validé humainement",'04_Form_Dechets'!Q32,"")</x:f>
      </x:c>
      <x:c r="R32" s="76" t="str">
        <x:f>IF('04_Form_Dechets'!$O32="Validé humainement",'04_Form_Dechets'!R32,"")</x:f>
      </x:c>
      <x:c r="S32" s="76" t="str">
        <x:f>IF('04_Form_Dechets'!$O32="Validé humainement",'04_Form_Dechets'!S32,"")</x:f>
      </x:c>
    </x:row>
    <x:row r="33">
      <x:c r="A33" s="76" t="str">
        <x:f>IF('04_Form_Dechets'!$O33="Validé humainement",'04_Form_Dechets'!A33,"")</x:f>
      </x:c>
      <x:c r="B33" s="76" t="str">
        <x:f>IF('04_Form_Dechets'!$O33="Validé humainement",'04_Form_Dechets'!B33,"")</x:f>
      </x:c>
      <x:c r="C33" s="76" t="str">
        <x:f>IF('04_Form_Dechets'!$O33="Validé humainement",'04_Form_Dechets'!C33,"")</x:f>
      </x:c>
      <x:c r="D33" s="76" t="str">
        <x:f>IF('04_Form_Dechets'!$O33="Validé humainement",'04_Form_Dechets'!D33,"")</x:f>
      </x:c>
      <x:c r="E33" s="76" t="str">
        <x:f>IF('04_Form_Dechets'!$O33="Validé humainement",'04_Form_Dechets'!E33,"")</x:f>
      </x:c>
      <x:c r="F33" s="77" t="str">
        <x:f>IF('04_Form_Dechets'!$O33="Validé humainement",'04_Form_Dechets'!F33,"")</x:f>
      </x:c>
      <x:c r="G33" s="77" t="str">
        <x:f>IF('04_Form_Dechets'!$O33="Validé humainement",'04_Form_Dechets'!G33,"")</x:f>
      </x:c>
      <x:c r="H33" s="77" t="str">
        <x:f>IF('04_Form_Dechets'!$O33="Validé humainement",'04_Form_Dechets'!H33,"")</x:f>
      </x:c>
      <x:c r="I33" s="77" t="str">
        <x:f>IF('04_Form_Dechets'!$O33="Validé humainement",'04_Form_Dechets'!I33,"")</x:f>
      </x:c>
      <x:c r="J33" s="76" t="str">
        <x:f>IF('04_Form_Dechets'!$O33="Validé humainement",'04_Form_Dechets'!J33,"")</x:f>
      </x:c>
      <x:c r="K33" s="76" t="str">
        <x:f>IF('04_Form_Dechets'!$O33="Validé humainement",'04_Form_Dechets'!K33,"")</x:f>
      </x:c>
      <x:c r="L33" s="76" t="str">
        <x:f>IF('04_Form_Dechets'!$O33="Validé humainement",'04_Form_Dechets'!L33,"")</x:f>
      </x:c>
      <x:c r="M33" s="77" t="str">
        <x:f>IF('04_Form_Dechets'!$O33="Validé humainement",'04_Form_Dechets'!M33,"")</x:f>
      </x:c>
      <x:c r="N33" s="76" t="str">
        <x:f>IF('04_Form_Dechets'!$O33="Validé humainement",'04_Form_Dechets'!N33,"")</x:f>
      </x:c>
      <x:c r="O33" s="76" t="str">
        <x:f>IF('04_Form_Dechets'!$O33="Validé humainement",'04_Form_Dechets'!O33,"")</x:f>
      </x:c>
      <x:c r="P33" s="78" t="str">
        <x:f>IF('04_Form_Dechets'!$O33="Validé humainement",'04_Form_Dechets'!P33,"")</x:f>
      </x:c>
      <x:c r="Q33" s="76" t="str">
        <x:f>IF('04_Form_Dechets'!$O33="Validé humainement",'04_Form_Dechets'!Q33,"")</x:f>
      </x:c>
      <x:c r="R33" s="76" t="str">
        <x:f>IF('04_Form_Dechets'!$O33="Validé humainement",'04_Form_Dechets'!R33,"")</x:f>
      </x:c>
      <x:c r="S33" s="76" t="str">
        <x:f>IF('04_Form_Dechets'!$O33="Validé humainement",'04_Form_Dechets'!S33,"")</x:f>
      </x:c>
    </x:row>
    <x:row r="34">
      <x:c r="A34" s="76" t="str">
        <x:f>IF('04_Form_Dechets'!$O34="Validé humainement",'04_Form_Dechets'!A34,"")</x:f>
      </x:c>
      <x:c r="B34" s="76" t="str">
        <x:f>IF('04_Form_Dechets'!$O34="Validé humainement",'04_Form_Dechets'!B34,"")</x:f>
      </x:c>
      <x:c r="C34" s="76" t="str">
        <x:f>IF('04_Form_Dechets'!$O34="Validé humainement",'04_Form_Dechets'!C34,"")</x:f>
      </x:c>
      <x:c r="D34" s="76" t="str">
        <x:f>IF('04_Form_Dechets'!$O34="Validé humainement",'04_Form_Dechets'!D34,"")</x:f>
      </x:c>
      <x:c r="E34" s="76" t="str">
        <x:f>IF('04_Form_Dechets'!$O34="Validé humainement",'04_Form_Dechets'!E34,"")</x:f>
      </x:c>
      <x:c r="F34" s="77" t="str">
        <x:f>IF('04_Form_Dechets'!$O34="Validé humainement",'04_Form_Dechets'!F34,"")</x:f>
      </x:c>
      <x:c r="G34" s="77" t="str">
        <x:f>IF('04_Form_Dechets'!$O34="Validé humainement",'04_Form_Dechets'!G34,"")</x:f>
      </x:c>
      <x:c r="H34" s="77" t="str">
        <x:f>IF('04_Form_Dechets'!$O34="Validé humainement",'04_Form_Dechets'!H34,"")</x:f>
      </x:c>
      <x:c r="I34" s="77" t="str">
        <x:f>IF('04_Form_Dechets'!$O34="Validé humainement",'04_Form_Dechets'!I34,"")</x:f>
      </x:c>
      <x:c r="J34" s="76" t="str">
        <x:f>IF('04_Form_Dechets'!$O34="Validé humainement",'04_Form_Dechets'!J34,"")</x:f>
      </x:c>
      <x:c r="K34" s="76" t="str">
        <x:f>IF('04_Form_Dechets'!$O34="Validé humainement",'04_Form_Dechets'!K34,"")</x:f>
      </x:c>
      <x:c r="L34" s="76" t="str">
        <x:f>IF('04_Form_Dechets'!$O34="Validé humainement",'04_Form_Dechets'!L34,"")</x:f>
      </x:c>
      <x:c r="M34" s="77" t="str">
        <x:f>IF('04_Form_Dechets'!$O34="Validé humainement",'04_Form_Dechets'!M34,"")</x:f>
      </x:c>
      <x:c r="N34" s="76" t="str">
        <x:f>IF('04_Form_Dechets'!$O34="Validé humainement",'04_Form_Dechets'!N34,"")</x:f>
      </x:c>
      <x:c r="O34" s="76" t="str">
        <x:f>IF('04_Form_Dechets'!$O34="Validé humainement",'04_Form_Dechets'!O34,"")</x:f>
      </x:c>
      <x:c r="P34" s="78" t="str">
        <x:f>IF('04_Form_Dechets'!$O34="Validé humainement",'04_Form_Dechets'!P34,"")</x:f>
      </x:c>
      <x:c r="Q34" s="76" t="str">
        <x:f>IF('04_Form_Dechets'!$O34="Validé humainement",'04_Form_Dechets'!Q34,"")</x:f>
      </x:c>
      <x:c r="R34" s="76" t="str">
        <x:f>IF('04_Form_Dechets'!$O34="Validé humainement",'04_Form_Dechets'!R34,"")</x:f>
      </x:c>
      <x:c r="S34" s="76" t="str">
        <x:f>IF('04_Form_Dechets'!$O34="Validé humainement",'04_Form_Dechets'!S34,"")</x:f>
      </x:c>
    </x:row>
    <x:row r="35">
      <x:c r="A35" s="76" t="str">
        <x:f>IF('04_Form_Dechets'!$O35="Validé humainement",'04_Form_Dechets'!A35,"")</x:f>
      </x:c>
      <x:c r="B35" s="76" t="str">
        <x:f>IF('04_Form_Dechets'!$O35="Validé humainement",'04_Form_Dechets'!B35,"")</x:f>
      </x:c>
      <x:c r="C35" s="76" t="str">
        <x:f>IF('04_Form_Dechets'!$O35="Validé humainement",'04_Form_Dechets'!C35,"")</x:f>
      </x:c>
      <x:c r="D35" s="76" t="str">
        <x:f>IF('04_Form_Dechets'!$O35="Validé humainement",'04_Form_Dechets'!D35,"")</x:f>
      </x:c>
      <x:c r="E35" s="76" t="str">
        <x:f>IF('04_Form_Dechets'!$O35="Validé humainement",'04_Form_Dechets'!E35,"")</x:f>
      </x:c>
      <x:c r="F35" s="77" t="str">
        <x:f>IF('04_Form_Dechets'!$O35="Validé humainement",'04_Form_Dechets'!F35,"")</x:f>
      </x:c>
      <x:c r="G35" s="77" t="str">
        <x:f>IF('04_Form_Dechets'!$O35="Validé humainement",'04_Form_Dechets'!G35,"")</x:f>
      </x:c>
      <x:c r="H35" s="77" t="str">
        <x:f>IF('04_Form_Dechets'!$O35="Validé humainement",'04_Form_Dechets'!H35,"")</x:f>
      </x:c>
      <x:c r="I35" s="77" t="str">
        <x:f>IF('04_Form_Dechets'!$O35="Validé humainement",'04_Form_Dechets'!I35,"")</x:f>
      </x:c>
      <x:c r="J35" s="76" t="str">
        <x:f>IF('04_Form_Dechets'!$O35="Validé humainement",'04_Form_Dechets'!J35,"")</x:f>
      </x:c>
      <x:c r="K35" s="76" t="str">
        <x:f>IF('04_Form_Dechets'!$O35="Validé humainement",'04_Form_Dechets'!K35,"")</x:f>
      </x:c>
      <x:c r="L35" s="76" t="str">
        <x:f>IF('04_Form_Dechets'!$O35="Validé humainement",'04_Form_Dechets'!L35,"")</x:f>
      </x:c>
      <x:c r="M35" s="77" t="str">
        <x:f>IF('04_Form_Dechets'!$O35="Validé humainement",'04_Form_Dechets'!M35,"")</x:f>
      </x:c>
      <x:c r="N35" s="76" t="str">
        <x:f>IF('04_Form_Dechets'!$O35="Validé humainement",'04_Form_Dechets'!N35,"")</x:f>
      </x:c>
      <x:c r="O35" s="76" t="str">
        <x:f>IF('04_Form_Dechets'!$O35="Validé humainement",'04_Form_Dechets'!O35,"")</x:f>
      </x:c>
      <x:c r="P35" s="78" t="str">
        <x:f>IF('04_Form_Dechets'!$O35="Validé humainement",'04_Form_Dechets'!P35,"")</x:f>
      </x:c>
      <x:c r="Q35" s="76" t="str">
        <x:f>IF('04_Form_Dechets'!$O35="Validé humainement",'04_Form_Dechets'!Q35,"")</x:f>
      </x:c>
      <x:c r="R35" s="76" t="str">
        <x:f>IF('04_Form_Dechets'!$O35="Validé humainement",'04_Form_Dechets'!R35,"")</x:f>
      </x:c>
      <x:c r="S35" s="76" t="str">
        <x:f>IF('04_Form_Dechets'!$O35="Validé humainement",'04_Form_Dechets'!S35,"")</x:f>
      </x:c>
    </x:row>
    <x:row r="36">
      <x:c r="A36" s="76" t="str">
        <x:f>IF('04_Form_Dechets'!$O36="Validé humainement",'04_Form_Dechets'!A36,"")</x:f>
      </x:c>
      <x:c r="B36" s="76" t="str">
        <x:f>IF('04_Form_Dechets'!$O36="Validé humainement",'04_Form_Dechets'!B36,"")</x:f>
      </x:c>
      <x:c r="C36" s="76" t="str">
        <x:f>IF('04_Form_Dechets'!$O36="Validé humainement",'04_Form_Dechets'!C36,"")</x:f>
      </x:c>
      <x:c r="D36" s="76" t="str">
        <x:f>IF('04_Form_Dechets'!$O36="Validé humainement",'04_Form_Dechets'!D36,"")</x:f>
      </x:c>
      <x:c r="E36" s="76" t="str">
        <x:f>IF('04_Form_Dechets'!$O36="Validé humainement",'04_Form_Dechets'!E36,"")</x:f>
      </x:c>
      <x:c r="F36" s="77" t="str">
        <x:f>IF('04_Form_Dechets'!$O36="Validé humainement",'04_Form_Dechets'!F36,"")</x:f>
      </x:c>
      <x:c r="G36" s="77" t="str">
        <x:f>IF('04_Form_Dechets'!$O36="Validé humainement",'04_Form_Dechets'!G36,"")</x:f>
      </x:c>
      <x:c r="H36" s="77" t="str">
        <x:f>IF('04_Form_Dechets'!$O36="Validé humainement",'04_Form_Dechets'!H36,"")</x:f>
      </x:c>
      <x:c r="I36" s="77" t="str">
        <x:f>IF('04_Form_Dechets'!$O36="Validé humainement",'04_Form_Dechets'!I36,"")</x:f>
      </x:c>
      <x:c r="J36" s="76" t="str">
        <x:f>IF('04_Form_Dechets'!$O36="Validé humainement",'04_Form_Dechets'!J36,"")</x:f>
      </x:c>
      <x:c r="K36" s="76" t="str">
        <x:f>IF('04_Form_Dechets'!$O36="Validé humainement",'04_Form_Dechets'!K36,"")</x:f>
      </x:c>
      <x:c r="L36" s="76" t="str">
        <x:f>IF('04_Form_Dechets'!$O36="Validé humainement",'04_Form_Dechets'!L36,"")</x:f>
      </x:c>
      <x:c r="M36" s="77" t="str">
        <x:f>IF('04_Form_Dechets'!$O36="Validé humainement",'04_Form_Dechets'!M36,"")</x:f>
      </x:c>
      <x:c r="N36" s="76" t="str">
        <x:f>IF('04_Form_Dechets'!$O36="Validé humainement",'04_Form_Dechets'!N36,"")</x:f>
      </x:c>
      <x:c r="O36" s="76" t="str">
        <x:f>IF('04_Form_Dechets'!$O36="Validé humainement",'04_Form_Dechets'!O36,"")</x:f>
      </x:c>
      <x:c r="P36" s="78" t="str">
        <x:f>IF('04_Form_Dechets'!$O36="Validé humainement",'04_Form_Dechets'!P36,"")</x:f>
      </x:c>
      <x:c r="Q36" s="76" t="str">
        <x:f>IF('04_Form_Dechets'!$O36="Validé humainement",'04_Form_Dechets'!Q36,"")</x:f>
      </x:c>
      <x:c r="R36" s="76" t="str">
        <x:f>IF('04_Form_Dechets'!$O36="Validé humainement",'04_Form_Dechets'!R36,"")</x:f>
      </x:c>
      <x:c r="S36" s="76" t="str">
        <x:f>IF('04_Form_Dechets'!$O36="Validé humainement",'04_Form_Dechets'!S36,"")</x:f>
      </x:c>
    </x:row>
    <x:row r="37">
      <x:c r="A37" s="76" t="str">
        <x:f>IF('04_Form_Dechets'!$O37="Validé humainement",'04_Form_Dechets'!A37,"")</x:f>
      </x:c>
      <x:c r="B37" s="76" t="str">
        <x:f>IF('04_Form_Dechets'!$O37="Validé humainement",'04_Form_Dechets'!B37,"")</x:f>
      </x:c>
      <x:c r="C37" s="76" t="str">
        <x:f>IF('04_Form_Dechets'!$O37="Validé humainement",'04_Form_Dechets'!C37,"")</x:f>
      </x:c>
      <x:c r="D37" s="76" t="str">
        <x:f>IF('04_Form_Dechets'!$O37="Validé humainement",'04_Form_Dechets'!D37,"")</x:f>
      </x:c>
      <x:c r="E37" s="76" t="str">
        <x:f>IF('04_Form_Dechets'!$O37="Validé humainement",'04_Form_Dechets'!E37,"")</x:f>
      </x:c>
      <x:c r="F37" s="77" t="str">
        <x:f>IF('04_Form_Dechets'!$O37="Validé humainement",'04_Form_Dechets'!F37,"")</x:f>
      </x:c>
      <x:c r="G37" s="77" t="str">
        <x:f>IF('04_Form_Dechets'!$O37="Validé humainement",'04_Form_Dechets'!G37,"")</x:f>
      </x:c>
      <x:c r="H37" s="77" t="str">
        <x:f>IF('04_Form_Dechets'!$O37="Validé humainement",'04_Form_Dechets'!H37,"")</x:f>
      </x:c>
      <x:c r="I37" s="77" t="str">
        <x:f>IF('04_Form_Dechets'!$O37="Validé humainement",'04_Form_Dechets'!I37,"")</x:f>
      </x:c>
      <x:c r="J37" s="76" t="str">
        <x:f>IF('04_Form_Dechets'!$O37="Validé humainement",'04_Form_Dechets'!J37,"")</x:f>
      </x:c>
      <x:c r="K37" s="76" t="str">
        <x:f>IF('04_Form_Dechets'!$O37="Validé humainement",'04_Form_Dechets'!K37,"")</x:f>
      </x:c>
      <x:c r="L37" s="76" t="str">
        <x:f>IF('04_Form_Dechets'!$O37="Validé humainement",'04_Form_Dechets'!L37,"")</x:f>
      </x:c>
      <x:c r="M37" s="77" t="str">
        <x:f>IF('04_Form_Dechets'!$O37="Validé humainement",'04_Form_Dechets'!M37,"")</x:f>
      </x:c>
      <x:c r="N37" s="76" t="str">
        <x:f>IF('04_Form_Dechets'!$O37="Validé humainement",'04_Form_Dechets'!N37,"")</x:f>
      </x:c>
      <x:c r="O37" s="76" t="str">
        <x:f>IF('04_Form_Dechets'!$O37="Validé humainement",'04_Form_Dechets'!O37,"")</x:f>
      </x:c>
      <x:c r="P37" s="78" t="str">
        <x:f>IF('04_Form_Dechets'!$O37="Validé humainement",'04_Form_Dechets'!P37,"")</x:f>
      </x:c>
      <x:c r="Q37" s="76" t="str">
        <x:f>IF('04_Form_Dechets'!$O37="Validé humainement",'04_Form_Dechets'!Q37,"")</x:f>
      </x:c>
      <x:c r="R37" s="76" t="str">
        <x:f>IF('04_Form_Dechets'!$O37="Validé humainement",'04_Form_Dechets'!R37,"")</x:f>
      </x:c>
      <x:c r="S37" s="76" t="str">
        <x:f>IF('04_Form_Dechets'!$O37="Validé humainement",'04_Form_Dechets'!S37,"")</x:f>
      </x:c>
    </x:row>
    <x:row r="38">
      <x:c r="A38" s="76" t="str">
        <x:f>IF('04_Form_Dechets'!$O38="Validé humainement",'04_Form_Dechets'!A38,"")</x:f>
      </x:c>
      <x:c r="B38" s="76" t="str">
        <x:f>IF('04_Form_Dechets'!$O38="Validé humainement",'04_Form_Dechets'!B38,"")</x:f>
      </x:c>
      <x:c r="C38" s="76" t="str">
        <x:f>IF('04_Form_Dechets'!$O38="Validé humainement",'04_Form_Dechets'!C38,"")</x:f>
      </x:c>
      <x:c r="D38" s="76" t="str">
        <x:f>IF('04_Form_Dechets'!$O38="Validé humainement",'04_Form_Dechets'!D38,"")</x:f>
      </x:c>
      <x:c r="E38" s="76" t="str">
        <x:f>IF('04_Form_Dechets'!$O38="Validé humainement",'04_Form_Dechets'!E38,"")</x:f>
      </x:c>
      <x:c r="F38" s="77" t="str">
        <x:f>IF('04_Form_Dechets'!$O38="Validé humainement",'04_Form_Dechets'!F38,"")</x:f>
      </x:c>
      <x:c r="G38" s="77" t="str">
        <x:f>IF('04_Form_Dechets'!$O38="Validé humainement",'04_Form_Dechets'!G38,"")</x:f>
      </x:c>
      <x:c r="H38" s="77" t="str">
        <x:f>IF('04_Form_Dechets'!$O38="Validé humainement",'04_Form_Dechets'!H38,"")</x:f>
      </x:c>
      <x:c r="I38" s="77" t="str">
        <x:f>IF('04_Form_Dechets'!$O38="Validé humainement",'04_Form_Dechets'!I38,"")</x:f>
      </x:c>
      <x:c r="J38" s="76" t="str">
        <x:f>IF('04_Form_Dechets'!$O38="Validé humainement",'04_Form_Dechets'!J38,"")</x:f>
      </x:c>
      <x:c r="K38" s="76" t="str">
        <x:f>IF('04_Form_Dechets'!$O38="Validé humainement",'04_Form_Dechets'!K38,"")</x:f>
      </x:c>
      <x:c r="L38" s="76" t="str">
        <x:f>IF('04_Form_Dechets'!$O38="Validé humainement",'04_Form_Dechets'!L38,"")</x:f>
      </x:c>
      <x:c r="M38" s="77" t="str">
        <x:f>IF('04_Form_Dechets'!$O38="Validé humainement",'04_Form_Dechets'!M38,"")</x:f>
      </x:c>
      <x:c r="N38" s="76" t="str">
        <x:f>IF('04_Form_Dechets'!$O38="Validé humainement",'04_Form_Dechets'!N38,"")</x:f>
      </x:c>
      <x:c r="O38" s="76" t="str">
        <x:f>IF('04_Form_Dechets'!$O38="Validé humainement",'04_Form_Dechets'!O38,"")</x:f>
      </x:c>
      <x:c r="P38" s="78" t="str">
        <x:f>IF('04_Form_Dechets'!$O38="Validé humainement",'04_Form_Dechets'!P38,"")</x:f>
      </x:c>
      <x:c r="Q38" s="76" t="str">
        <x:f>IF('04_Form_Dechets'!$O38="Validé humainement",'04_Form_Dechets'!Q38,"")</x:f>
      </x:c>
      <x:c r="R38" s="76" t="str">
        <x:f>IF('04_Form_Dechets'!$O38="Validé humainement",'04_Form_Dechets'!R38,"")</x:f>
      </x:c>
      <x:c r="S38" s="76" t="str">
        <x:f>IF('04_Form_Dechets'!$O38="Validé humainement",'04_Form_Dechets'!S38,"")</x:f>
      </x:c>
    </x:row>
    <x:row r="39">
      <x:c r="A39" s="76" t="str">
        <x:f>IF('04_Form_Dechets'!$O39="Validé humainement",'04_Form_Dechets'!A39,"")</x:f>
      </x:c>
      <x:c r="B39" s="76" t="str">
        <x:f>IF('04_Form_Dechets'!$O39="Validé humainement",'04_Form_Dechets'!B39,"")</x:f>
      </x:c>
      <x:c r="C39" s="76" t="str">
        <x:f>IF('04_Form_Dechets'!$O39="Validé humainement",'04_Form_Dechets'!C39,"")</x:f>
      </x:c>
      <x:c r="D39" s="76" t="str">
        <x:f>IF('04_Form_Dechets'!$O39="Validé humainement",'04_Form_Dechets'!D39,"")</x:f>
      </x:c>
      <x:c r="E39" s="76" t="str">
        <x:f>IF('04_Form_Dechets'!$O39="Validé humainement",'04_Form_Dechets'!E39,"")</x:f>
      </x:c>
      <x:c r="F39" s="77" t="str">
        <x:f>IF('04_Form_Dechets'!$O39="Validé humainement",'04_Form_Dechets'!F39,"")</x:f>
      </x:c>
      <x:c r="G39" s="77" t="str">
        <x:f>IF('04_Form_Dechets'!$O39="Validé humainement",'04_Form_Dechets'!G39,"")</x:f>
      </x:c>
      <x:c r="H39" s="77" t="str">
        <x:f>IF('04_Form_Dechets'!$O39="Validé humainement",'04_Form_Dechets'!H39,"")</x:f>
      </x:c>
      <x:c r="I39" s="77" t="str">
        <x:f>IF('04_Form_Dechets'!$O39="Validé humainement",'04_Form_Dechets'!I39,"")</x:f>
      </x:c>
      <x:c r="J39" s="76" t="str">
        <x:f>IF('04_Form_Dechets'!$O39="Validé humainement",'04_Form_Dechets'!J39,"")</x:f>
      </x:c>
      <x:c r="K39" s="76" t="str">
        <x:f>IF('04_Form_Dechets'!$O39="Validé humainement",'04_Form_Dechets'!K39,"")</x:f>
      </x:c>
      <x:c r="L39" s="76" t="str">
        <x:f>IF('04_Form_Dechets'!$O39="Validé humainement",'04_Form_Dechets'!L39,"")</x:f>
      </x:c>
      <x:c r="M39" s="77" t="str">
        <x:f>IF('04_Form_Dechets'!$O39="Validé humainement",'04_Form_Dechets'!M39,"")</x:f>
      </x:c>
      <x:c r="N39" s="76" t="str">
        <x:f>IF('04_Form_Dechets'!$O39="Validé humainement",'04_Form_Dechets'!N39,"")</x:f>
      </x:c>
      <x:c r="O39" s="76" t="str">
        <x:f>IF('04_Form_Dechets'!$O39="Validé humainement",'04_Form_Dechets'!O39,"")</x:f>
      </x:c>
      <x:c r="P39" s="78" t="str">
        <x:f>IF('04_Form_Dechets'!$O39="Validé humainement",'04_Form_Dechets'!P39,"")</x:f>
      </x:c>
      <x:c r="Q39" s="76" t="str">
        <x:f>IF('04_Form_Dechets'!$O39="Validé humainement",'04_Form_Dechets'!Q39,"")</x:f>
      </x:c>
      <x:c r="R39" s="76" t="str">
        <x:f>IF('04_Form_Dechets'!$O39="Validé humainement",'04_Form_Dechets'!R39,"")</x:f>
      </x:c>
      <x:c r="S39" s="76" t="str">
        <x:f>IF('04_Form_Dechets'!$O39="Validé humainement",'04_Form_Dechets'!S39,"")</x:f>
      </x:c>
    </x:row>
    <x:row r="40">
      <x:c r="A40" s="76" t="str">
        <x:f>IF('04_Form_Dechets'!$O40="Validé humainement",'04_Form_Dechets'!A40,"")</x:f>
      </x:c>
      <x:c r="B40" s="76" t="str">
        <x:f>IF('04_Form_Dechets'!$O40="Validé humainement",'04_Form_Dechets'!B40,"")</x:f>
      </x:c>
      <x:c r="C40" s="76" t="str">
        <x:f>IF('04_Form_Dechets'!$O40="Validé humainement",'04_Form_Dechets'!C40,"")</x:f>
      </x:c>
      <x:c r="D40" s="76" t="str">
        <x:f>IF('04_Form_Dechets'!$O40="Validé humainement",'04_Form_Dechets'!D40,"")</x:f>
      </x:c>
      <x:c r="E40" s="76" t="str">
        <x:f>IF('04_Form_Dechets'!$O40="Validé humainement",'04_Form_Dechets'!E40,"")</x:f>
      </x:c>
      <x:c r="F40" s="77" t="str">
        <x:f>IF('04_Form_Dechets'!$O40="Validé humainement",'04_Form_Dechets'!F40,"")</x:f>
      </x:c>
      <x:c r="G40" s="77" t="str">
        <x:f>IF('04_Form_Dechets'!$O40="Validé humainement",'04_Form_Dechets'!G40,"")</x:f>
      </x:c>
      <x:c r="H40" s="77" t="str">
        <x:f>IF('04_Form_Dechets'!$O40="Validé humainement",'04_Form_Dechets'!H40,"")</x:f>
      </x:c>
      <x:c r="I40" s="77" t="str">
        <x:f>IF('04_Form_Dechets'!$O40="Validé humainement",'04_Form_Dechets'!I40,"")</x:f>
      </x:c>
      <x:c r="J40" s="76" t="str">
        <x:f>IF('04_Form_Dechets'!$O40="Validé humainement",'04_Form_Dechets'!J40,"")</x:f>
      </x:c>
      <x:c r="K40" s="76" t="str">
        <x:f>IF('04_Form_Dechets'!$O40="Validé humainement",'04_Form_Dechets'!K40,"")</x:f>
      </x:c>
      <x:c r="L40" s="76" t="str">
        <x:f>IF('04_Form_Dechets'!$O40="Validé humainement",'04_Form_Dechets'!L40,"")</x:f>
      </x:c>
      <x:c r="M40" s="77" t="str">
        <x:f>IF('04_Form_Dechets'!$O40="Validé humainement",'04_Form_Dechets'!M40,"")</x:f>
      </x:c>
      <x:c r="N40" s="76" t="str">
        <x:f>IF('04_Form_Dechets'!$O40="Validé humainement",'04_Form_Dechets'!N40,"")</x:f>
      </x:c>
      <x:c r="O40" s="76" t="str">
        <x:f>IF('04_Form_Dechets'!$O40="Validé humainement",'04_Form_Dechets'!O40,"")</x:f>
      </x:c>
      <x:c r="P40" s="78" t="str">
        <x:f>IF('04_Form_Dechets'!$O40="Validé humainement",'04_Form_Dechets'!P40,"")</x:f>
      </x:c>
      <x:c r="Q40" s="76" t="str">
        <x:f>IF('04_Form_Dechets'!$O40="Validé humainement",'04_Form_Dechets'!Q40,"")</x:f>
      </x:c>
      <x:c r="R40" s="76" t="str">
        <x:f>IF('04_Form_Dechets'!$O40="Validé humainement",'04_Form_Dechets'!R40,"")</x:f>
      </x:c>
      <x:c r="S40" s="76" t="str">
        <x:f>IF('04_Form_Dechets'!$O40="Validé humainement",'04_Form_Dechets'!S40,"")</x:f>
      </x:c>
    </x:row>
    <x:row r="41">
      <x:c r="A41" s="76" t="str">
        <x:f>IF('04_Form_Dechets'!$O41="Validé humainement",'04_Form_Dechets'!A41,"")</x:f>
      </x:c>
      <x:c r="B41" s="76" t="str">
        <x:f>IF('04_Form_Dechets'!$O41="Validé humainement",'04_Form_Dechets'!B41,"")</x:f>
      </x:c>
      <x:c r="C41" s="76" t="str">
        <x:f>IF('04_Form_Dechets'!$O41="Validé humainement",'04_Form_Dechets'!C41,"")</x:f>
      </x:c>
      <x:c r="D41" s="76" t="str">
        <x:f>IF('04_Form_Dechets'!$O41="Validé humainement",'04_Form_Dechets'!D41,"")</x:f>
      </x:c>
      <x:c r="E41" s="76" t="str">
        <x:f>IF('04_Form_Dechets'!$O41="Validé humainement",'04_Form_Dechets'!E41,"")</x:f>
      </x:c>
      <x:c r="F41" s="77" t="str">
        <x:f>IF('04_Form_Dechets'!$O41="Validé humainement",'04_Form_Dechets'!F41,"")</x:f>
      </x:c>
      <x:c r="G41" s="77" t="str">
        <x:f>IF('04_Form_Dechets'!$O41="Validé humainement",'04_Form_Dechets'!G41,"")</x:f>
      </x:c>
      <x:c r="H41" s="77" t="str">
        <x:f>IF('04_Form_Dechets'!$O41="Validé humainement",'04_Form_Dechets'!H41,"")</x:f>
      </x:c>
      <x:c r="I41" s="77" t="str">
        <x:f>IF('04_Form_Dechets'!$O41="Validé humainement",'04_Form_Dechets'!I41,"")</x:f>
      </x:c>
      <x:c r="J41" s="76" t="str">
        <x:f>IF('04_Form_Dechets'!$O41="Validé humainement",'04_Form_Dechets'!J41,"")</x:f>
      </x:c>
      <x:c r="K41" s="76" t="str">
        <x:f>IF('04_Form_Dechets'!$O41="Validé humainement",'04_Form_Dechets'!K41,"")</x:f>
      </x:c>
      <x:c r="L41" s="76" t="str">
        <x:f>IF('04_Form_Dechets'!$O41="Validé humainement",'04_Form_Dechets'!L41,"")</x:f>
      </x:c>
      <x:c r="M41" s="77" t="str">
        <x:f>IF('04_Form_Dechets'!$O41="Validé humainement",'04_Form_Dechets'!M41,"")</x:f>
      </x:c>
      <x:c r="N41" s="76" t="str">
        <x:f>IF('04_Form_Dechets'!$O41="Validé humainement",'04_Form_Dechets'!N41,"")</x:f>
      </x:c>
      <x:c r="O41" s="76" t="str">
        <x:f>IF('04_Form_Dechets'!$O41="Validé humainement",'04_Form_Dechets'!O41,"")</x:f>
      </x:c>
      <x:c r="P41" s="78" t="str">
        <x:f>IF('04_Form_Dechets'!$O41="Validé humainement",'04_Form_Dechets'!P41,"")</x:f>
      </x:c>
      <x:c r="Q41" s="76" t="str">
        <x:f>IF('04_Form_Dechets'!$O41="Validé humainement",'04_Form_Dechets'!Q41,"")</x:f>
      </x:c>
      <x:c r="R41" s="76" t="str">
        <x:f>IF('04_Form_Dechets'!$O41="Validé humainement",'04_Form_Dechets'!R41,"")</x:f>
      </x:c>
      <x:c r="S41" s="76" t="str">
        <x:f>IF('04_Form_Dechets'!$O41="Validé humainement",'04_Form_Dechets'!S41,"")</x:f>
      </x:c>
    </x:row>
    <x:row r="42">
      <x:c r="A42" s="76" t="str">
        <x:f>IF('04_Form_Dechets'!$O42="Validé humainement",'04_Form_Dechets'!A42,"")</x:f>
      </x:c>
      <x:c r="B42" s="76" t="str">
        <x:f>IF('04_Form_Dechets'!$O42="Validé humainement",'04_Form_Dechets'!B42,"")</x:f>
      </x:c>
      <x:c r="C42" s="76" t="str">
        <x:f>IF('04_Form_Dechets'!$O42="Validé humainement",'04_Form_Dechets'!C42,"")</x:f>
      </x:c>
      <x:c r="D42" s="76" t="str">
        <x:f>IF('04_Form_Dechets'!$O42="Validé humainement",'04_Form_Dechets'!D42,"")</x:f>
      </x:c>
      <x:c r="E42" s="76" t="str">
        <x:f>IF('04_Form_Dechets'!$O42="Validé humainement",'04_Form_Dechets'!E42,"")</x:f>
      </x:c>
      <x:c r="F42" s="77" t="str">
        <x:f>IF('04_Form_Dechets'!$O42="Validé humainement",'04_Form_Dechets'!F42,"")</x:f>
      </x:c>
      <x:c r="G42" s="77" t="str">
        <x:f>IF('04_Form_Dechets'!$O42="Validé humainement",'04_Form_Dechets'!G42,"")</x:f>
      </x:c>
      <x:c r="H42" s="77" t="str">
        <x:f>IF('04_Form_Dechets'!$O42="Validé humainement",'04_Form_Dechets'!H42,"")</x:f>
      </x:c>
      <x:c r="I42" s="77" t="str">
        <x:f>IF('04_Form_Dechets'!$O42="Validé humainement",'04_Form_Dechets'!I42,"")</x:f>
      </x:c>
      <x:c r="J42" s="76" t="str">
        <x:f>IF('04_Form_Dechets'!$O42="Validé humainement",'04_Form_Dechets'!J42,"")</x:f>
      </x:c>
      <x:c r="K42" s="76" t="str">
        <x:f>IF('04_Form_Dechets'!$O42="Validé humainement",'04_Form_Dechets'!K42,"")</x:f>
      </x:c>
      <x:c r="L42" s="76" t="str">
        <x:f>IF('04_Form_Dechets'!$O42="Validé humainement",'04_Form_Dechets'!L42,"")</x:f>
      </x:c>
      <x:c r="M42" s="77" t="str">
        <x:f>IF('04_Form_Dechets'!$O42="Validé humainement",'04_Form_Dechets'!M42,"")</x:f>
      </x:c>
      <x:c r="N42" s="76" t="str">
        <x:f>IF('04_Form_Dechets'!$O42="Validé humainement",'04_Form_Dechets'!N42,"")</x:f>
      </x:c>
      <x:c r="O42" s="76" t="str">
        <x:f>IF('04_Form_Dechets'!$O42="Validé humainement",'04_Form_Dechets'!O42,"")</x:f>
      </x:c>
      <x:c r="P42" s="78" t="str">
        <x:f>IF('04_Form_Dechets'!$O42="Validé humainement",'04_Form_Dechets'!P42,"")</x:f>
      </x:c>
      <x:c r="Q42" s="76" t="str">
        <x:f>IF('04_Form_Dechets'!$O42="Validé humainement",'04_Form_Dechets'!Q42,"")</x:f>
      </x:c>
      <x:c r="R42" s="76" t="str">
        <x:f>IF('04_Form_Dechets'!$O42="Validé humainement",'04_Form_Dechets'!R42,"")</x:f>
      </x:c>
      <x:c r="S42" s="76" t="str">
        <x:f>IF('04_Form_Dechets'!$O42="Validé humainement",'04_Form_Dechets'!S42,"")</x:f>
      </x:c>
    </x:row>
    <x:row r="43">
      <x:c r="A43" s="76" t="str">
        <x:f>IF('04_Form_Dechets'!$O43="Validé humainement",'04_Form_Dechets'!A43,"")</x:f>
      </x:c>
      <x:c r="B43" s="76" t="str">
        <x:f>IF('04_Form_Dechets'!$O43="Validé humainement",'04_Form_Dechets'!B43,"")</x:f>
      </x:c>
      <x:c r="C43" s="76" t="str">
        <x:f>IF('04_Form_Dechets'!$O43="Validé humainement",'04_Form_Dechets'!C43,"")</x:f>
      </x:c>
      <x:c r="D43" s="76" t="str">
        <x:f>IF('04_Form_Dechets'!$O43="Validé humainement",'04_Form_Dechets'!D43,"")</x:f>
      </x:c>
      <x:c r="E43" s="76" t="str">
        <x:f>IF('04_Form_Dechets'!$O43="Validé humainement",'04_Form_Dechets'!E43,"")</x:f>
      </x:c>
      <x:c r="F43" s="77" t="str">
        <x:f>IF('04_Form_Dechets'!$O43="Validé humainement",'04_Form_Dechets'!F43,"")</x:f>
      </x:c>
      <x:c r="G43" s="77" t="str">
        <x:f>IF('04_Form_Dechets'!$O43="Validé humainement",'04_Form_Dechets'!G43,"")</x:f>
      </x:c>
      <x:c r="H43" s="77" t="str">
        <x:f>IF('04_Form_Dechets'!$O43="Validé humainement",'04_Form_Dechets'!H43,"")</x:f>
      </x:c>
      <x:c r="I43" s="77" t="str">
        <x:f>IF('04_Form_Dechets'!$O43="Validé humainement",'04_Form_Dechets'!I43,"")</x:f>
      </x:c>
      <x:c r="J43" s="76" t="str">
        <x:f>IF('04_Form_Dechets'!$O43="Validé humainement",'04_Form_Dechets'!J43,"")</x:f>
      </x:c>
      <x:c r="K43" s="76" t="str">
        <x:f>IF('04_Form_Dechets'!$O43="Validé humainement",'04_Form_Dechets'!K43,"")</x:f>
      </x:c>
      <x:c r="L43" s="76" t="str">
        <x:f>IF('04_Form_Dechets'!$O43="Validé humainement",'04_Form_Dechets'!L43,"")</x:f>
      </x:c>
      <x:c r="M43" s="77" t="str">
        <x:f>IF('04_Form_Dechets'!$O43="Validé humainement",'04_Form_Dechets'!M43,"")</x:f>
      </x:c>
      <x:c r="N43" s="76" t="str">
        <x:f>IF('04_Form_Dechets'!$O43="Validé humainement",'04_Form_Dechets'!N43,"")</x:f>
      </x:c>
      <x:c r="O43" s="76" t="str">
        <x:f>IF('04_Form_Dechets'!$O43="Validé humainement",'04_Form_Dechets'!O43,"")</x:f>
      </x:c>
      <x:c r="P43" s="78" t="str">
        <x:f>IF('04_Form_Dechets'!$O43="Validé humainement",'04_Form_Dechets'!P43,"")</x:f>
      </x:c>
      <x:c r="Q43" s="76" t="str">
        <x:f>IF('04_Form_Dechets'!$O43="Validé humainement",'04_Form_Dechets'!Q43,"")</x:f>
      </x:c>
      <x:c r="R43" s="76" t="str">
        <x:f>IF('04_Form_Dechets'!$O43="Validé humainement",'04_Form_Dechets'!R43,"")</x:f>
      </x:c>
      <x:c r="S43" s="76" t="str">
        <x:f>IF('04_Form_Dechets'!$O43="Validé humainement",'04_Form_Dechets'!S43,"")</x:f>
      </x:c>
    </x:row>
    <x:row r="44">
      <x:c r="A44" s="76" t="str">
        <x:f>IF('04_Form_Dechets'!$O44="Validé humainement",'04_Form_Dechets'!A44,"")</x:f>
      </x:c>
      <x:c r="B44" s="76" t="str">
        <x:f>IF('04_Form_Dechets'!$O44="Validé humainement",'04_Form_Dechets'!B44,"")</x:f>
      </x:c>
      <x:c r="C44" s="76" t="str">
        <x:f>IF('04_Form_Dechets'!$O44="Validé humainement",'04_Form_Dechets'!C44,"")</x:f>
      </x:c>
      <x:c r="D44" s="76" t="str">
        <x:f>IF('04_Form_Dechets'!$O44="Validé humainement",'04_Form_Dechets'!D44,"")</x:f>
      </x:c>
      <x:c r="E44" s="76" t="str">
        <x:f>IF('04_Form_Dechets'!$O44="Validé humainement",'04_Form_Dechets'!E44,"")</x:f>
      </x:c>
      <x:c r="F44" s="77" t="str">
        <x:f>IF('04_Form_Dechets'!$O44="Validé humainement",'04_Form_Dechets'!F44,"")</x:f>
      </x:c>
      <x:c r="G44" s="77" t="str">
        <x:f>IF('04_Form_Dechets'!$O44="Validé humainement",'04_Form_Dechets'!G44,"")</x:f>
      </x:c>
      <x:c r="H44" s="77" t="str">
        <x:f>IF('04_Form_Dechets'!$O44="Validé humainement",'04_Form_Dechets'!H44,"")</x:f>
      </x:c>
      <x:c r="I44" s="77" t="str">
        <x:f>IF('04_Form_Dechets'!$O44="Validé humainement",'04_Form_Dechets'!I44,"")</x:f>
      </x:c>
      <x:c r="J44" s="76" t="str">
        <x:f>IF('04_Form_Dechets'!$O44="Validé humainement",'04_Form_Dechets'!J44,"")</x:f>
      </x:c>
      <x:c r="K44" s="76" t="str">
        <x:f>IF('04_Form_Dechets'!$O44="Validé humainement",'04_Form_Dechets'!K44,"")</x:f>
      </x:c>
      <x:c r="L44" s="76" t="str">
        <x:f>IF('04_Form_Dechets'!$O44="Validé humainement",'04_Form_Dechets'!L44,"")</x:f>
      </x:c>
      <x:c r="M44" s="77" t="str">
        <x:f>IF('04_Form_Dechets'!$O44="Validé humainement",'04_Form_Dechets'!M44,"")</x:f>
      </x:c>
      <x:c r="N44" s="76" t="str">
        <x:f>IF('04_Form_Dechets'!$O44="Validé humainement",'04_Form_Dechets'!N44,"")</x:f>
      </x:c>
      <x:c r="O44" s="76" t="str">
        <x:f>IF('04_Form_Dechets'!$O44="Validé humainement",'04_Form_Dechets'!O44,"")</x:f>
      </x:c>
      <x:c r="P44" s="78" t="str">
        <x:f>IF('04_Form_Dechets'!$O44="Validé humainement",'04_Form_Dechets'!P44,"")</x:f>
      </x:c>
      <x:c r="Q44" s="76" t="str">
        <x:f>IF('04_Form_Dechets'!$O44="Validé humainement",'04_Form_Dechets'!Q44,"")</x:f>
      </x:c>
      <x:c r="R44" s="76" t="str">
        <x:f>IF('04_Form_Dechets'!$O44="Validé humainement",'04_Form_Dechets'!R44,"")</x:f>
      </x:c>
      <x:c r="S44" s="76" t="str">
        <x:f>IF('04_Form_Dechets'!$O44="Validé humainement",'04_Form_Dechets'!S44,"")</x:f>
      </x:c>
    </x:row>
    <x:row r="45">
      <x:c r="A45" s="76" t="str">
        <x:f>IF('04_Form_Dechets'!$O45="Validé humainement",'04_Form_Dechets'!A45,"")</x:f>
      </x:c>
      <x:c r="B45" s="76" t="str">
        <x:f>IF('04_Form_Dechets'!$O45="Validé humainement",'04_Form_Dechets'!B45,"")</x:f>
      </x:c>
      <x:c r="C45" s="76" t="str">
        <x:f>IF('04_Form_Dechets'!$O45="Validé humainement",'04_Form_Dechets'!C45,"")</x:f>
      </x:c>
      <x:c r="D45" s="76" t="str">
        <x:f>IF('04_Form_Dechets'!$O45="Validé humainement",'04_Form_Dechets'!D45,"")</x:f>
      </x:c>
      <x:c r="E45" s="76" t="str">
        <x:f>IF('04_Form_Dechets'!$O45="Validé humainement",'04_Form_Dechets'!E45,"")</x:f>
      </x:c>
      <x:c r="F45" s="77" t="str">
        <x:f>IF('04_Form_Dechets'!$O45="Validé humainement",'04_Form_Dechets'!F45,"")</x:f>
      </x:c>
      <x:c r="G45" s="77" t="str">
        <x:f>IF('04_Form_Dechets'!$O45="Validé humainement",'04_Form_Dechets'!G45,"")</x:f>
      </x:c>
      <x:c r="H45" s="77" t="str">
        <x:f>IF('04_Form_Dechets'!$O45="Validé humainement",'04_Form_Dechets'!H45,"")</x:f>
      </x:c>
      <x:c r="I45" s="77" t="str">
        <x:f>IF('04_Form_Dechets'!$O45="Validé humainement",'04_Form_Dechets'!I45,"")</x:f>
      </x:c>
      <x:c r="J45" s="76" t="str">
        <x:f>IF('04_Form_Dechets'!$O45="Validé humainement",'04_Form_Dechets'!J45,"")</x:f>
      </x:c>
      <x:c r="K45" s="76" t="str">
        <x:f>IF('04_Form_Dechets'!$O45="Validé humainement",'04_Form_Dechets'!K45,"")</x:f>
      </x:c>
      <x:c r="L45" s="76" t="str">
        <x:f>IF('04_Form_Dechets'!$O45="Validé humainement",'04_Form_Dechets'!L45,"")</x:f>
      </x:c>
      <x:c r="M45" s="77" t="str">
        <x:f>IF('04_Form_Dechets'!$O45="Validé humainement",'04_Form_Dechets'!M45,"")</x:f>
      </x:c>
      <x:c r="N45" s="76" t="str">
        <x:f>IF('04_Form_Dechets'!$O45="Validé humainement",'04_Form_Dechets'!N45,"")</x:f>
      </x:c>
      <x:c r="O45" s="76" t="str">
        <x:f>IF('04_Form_Dechets'!$O45="Validé humainement",'04_Form_Dechets'!O45,"")</x:f>
      </x:c>
      <x:c r="P45" s="78" t="str">
        <x:f>IF('04_Form_Dechets'!$O45="Validé humainement",'04_Form_Dechets'!P45,"")</x:f>
      </x:c>
      <x:c r="Q45" s="76" t="str">
        <x:f>IF('04_Form_Dechets'!$O45="Validé humainement",'04_Form_Dechets'!Q45,"")</x:f>
      </x:c>
      <x:c r="R45" s="76" t="str">
        <x:f>IF('04_Form_Dechets'!$O45="Validé humainement",'04_Form_Dechets'!R45,"")</x:f>
      </x:c>
      <x:c r="S45" s="76" t="str">
        <x:f>IF('04_Form_Dechets'!$O45="Validé humainement",'04_Form_Dechets'!S45,"")</x:f>
      </x:c>
    </x:row>
    <x:row r="46">
      <x:c r="A46" s="76" t="str">
        <x:f>IF('04_Form_Dechets'!$O46="Validé humainement",'04_Form_Dechets'!A46,"")</x:f>
      </x:c>
      <x:c r="B46" s="76" t="str">
        <x:f>IF('04_Form_Dechets'!$O46="Validé humainement",'04_Form_Dechets'!B46,"")</x:f>
      </x:c>
      <x:c r="C46" s="76" t="str">
        <x:f>IF('04_Form_Dechets'!$O46="Validé humainement",'04_Form_Dechets'!C46,"")</x:f>
      </x:c>
      <x:c r="D46" s="76" t="str">
        <x:f>IF('04_Form_Dechets'!$O46="Validé humainement",'04_Form_Dechets'!D46,"")</x:f>
      </x:c>
      <x:c r="E46" s="76" t="str">
        <x:f>IF('04_Form_Dechets'!$O46="Validé humainement",'04_Form_Dechets'!E46,"")</x:f>
      </x:c>
      <x:c r="F46" s="77" t="str">
        <x:f>IF('04_Form_Dechets'!$O46="Validé humainement",'04_Form_Dechets'!F46,"")</x:f>
      </x:c>
      <x:c r="G46" s="77" t="str">
        <x:f>IF('04_Form_Dechets'!$O46="Validé humainement",'04_Form_Dechets'!G46,"")</x:f>
      </x:c>
      <x:c r="H46" s="77" t="str">
        <x:f>IF('04_Form_Dechets'!$O46="Validé humainement",'04_Form_Dechets'!H46,"")</x:f>
      </x:c>
      <x:c r="I46" s="77" t="str">
        <x:f>IF('04_Form_Dechets'!$O46="Validé humainement",'04_Form_Dechets'!I46,"")</x:f>
      </x:c>
      <x:c r="J46" s="76" t="str">
        <x:f>IF('04_Form_Dechets'!$O46="Validé humainement",'04_Form_Dechets'!J46,"")</x:f>
      </x:c>
      <x:c r="K46" s="76" t="str">
        <x:f>IF('04_Form_Dechets'!$O46="Validé humainement",'04_Form_Dechets'!K46,"")</x:f>
      </x:c>
      <x:c r="L46" s="76" t="str">
        <x:f>IF('04_Form_Dechets'!$O46="Validé humainement",'04_Form_Dechets'!L46,"")</x:f>
      </x:c>
      <x:c r="M46" s="77" t="str">
        <x:f>IF('04_Form_Dechets'!$O46="Validé humainement",'04_Form_Dechets'!M46,"")</x:f>
      </x:c>
      <x:c r="N46" s="76" t="str">
        <x:f>IF('04_Form_Dechets'!$O46="Validé humainement",'04_Form_Dechets'!N46,"")</x:f>
      </x:c>
      <x:c r="O46" s="76" t="str">
        <x:f>IF('04_Form_Dechets'!$O46="Validé humainement",'04_Form_Dechets'!O46,"")</x:f>
      </x:c>
      <x:c r="P46" s="78" t="str">
        <x:f>IF('04_Form_Dechets'!$O46="Validé humainement",'04_Form_Dechets'!P46,"")</x:f>
      </x:c>
      <x:c r="Q46" s="76" t="str">
        <x:f>IF('04_Form_Dechets'!$O46="Validé humainement",'04_Form_Dechets'!Q46,"")</x:f>
      </x:c>
      <x:c r="R46" s="76" t="str">
        <x:f>IF('04_Form_Dechets'!$O46="Validé humainement",'04_Form_Dechets'!R46,"")</x:f>
      </x:c>
      <x:c r="S46" s="76" t="str">
        <x:f>IF('04_Form_Dechets'!$O46="Validé humainement",'04_Form_Dechets'!S46,"")</x:f>
      </x:c>
    </x:row>
    <x:row r="47">
      <x:c r="A47" s="76" t="str">
        <x:f>IF('04_Form_Dechets'!$O47="Validé humainement",'04_Form_Dechets'!A47,"")</x:f>
      </x:c>
      <x:c r="B47" s="76" t="str">
        <x:f>IF('04_Form_Dechets'!$O47="Validé humainement",'04_Form_Dechets'!B47,"")</x:f>
      </x:c>
      <x:c r="C47" s="76" t="str">
        <x:f>IF('04_Form_Dechets'!$O47="Validé humainement",'04_Form_Dechets'!C47,"")</x:f>
      </x:c>
      <x:c r="D47" s="76" t="str">
        <x:f>IF('04_Form_Dechets'!$O47="Validé humainement",'04_Form_Dechets'!D47,"")</x:f>
      </x:c>
      <x:c r="E47" s="76" t="str">
        <x:f>IF('04_Form_Dechets'!$O47="Validé humainement",'04_Form_Dechets'!E47,"")</x:f>
      </x:c>
      <x:c r="F47" s="77" t="str">
        <x:f>IF('04_Form_Dechets'!$O47="Validé humainement",'04_Form_Dechets'!F47,"")</x:f>
      </x:c>
      <x:c r="G47" s="77" t="str">
        <x:f>IF('04_Form_Dechets'!$O47="Validé humainement",'04_Form_Dechets'!G47,"")</x:f>
      </x:c>
      <x:c r="H47" s="77" t="str">
        <x:f>IF('04_Form_Dechets'!$O47="Validé humainement",'04_Form_Dechets'!H47,"")</x:f>
      </x:c>
      <x:c r="I47" s="77" t="str">
        <x:f>IF('04_Form_Dechets'!$O47="Validé humainement",'04_Form_Dechets'!I47,"")</x:f>
      </x:c>
      <x:c r="J47" s="76" t="str">
        <x:f>IF('04_Form_Dechets'!$O47="Validé humainement",'04_Form_Dechets'!J47,"")</x:f>
      </x:c>
      <x:c r="K47" s="76" t="str">
        <x:f>IF('04_Form_Dechets'!$O47="Validé humainement",'04_Form_Dechets'!K47,"")</x:f>
      </x:c>
      <x:c r="L47" s="76" t="str">
        <x:f>IF('04_Form_Dechets'!$O47="Validé humainement",'04_Form_Dechets'!L47,"")</x:f>
      </x:c>
      <x:c r="M47" s="77" t="str">
        <x:f>IF('04_Form_Dechets'!$O47="Validé humainement",'04_Form_Dechets'!M47,"")</x:f>
      </x:c>
      <x:c r="N47" s="76" t="str">
        <x:f>IF('04_Form_Dechets'!$O47="Validé humainement",'04_Form_Dechets'!N47,"")</x:f>
      </x:c>
      <x:c r="O47" s="76" t="str">
        <x:f>IF('04_Form_Dechets'!$O47="Validé humainement",'04_Form_Dechets'!O47,"")</x:f>
      </x:c>
      <x:c r="P47" s="78" t="str">
        <x:f>IF('04_Form_Dechets'!$O47="Validé humainement",'04_Form_Dechets'!P47,"")</x:f>
      </x:c>
      <x:c r="Q47" s="76" t="str">
        <x:f>IF('04_Form_Dechets'!$O47="Validé humainement",'04_Form_Dechets'!Q47,"")</x:f>
      </x:c>
      <x:c r="R47" s="76" t="str">
        <x:f>IF('04_Form_Dechets'!$O47="Validé humainement",'04_Form_Dechets'!R47,"")</x:f>
      </x:c>
      <x:c r="S47" s="76" t="str">
        <x:f>IF('04_Form_Dechets'!$O47="Validé humainement",'04_Form_Dechets'!S47,"")</x:f>
      </x:c>
    </x:row>
    <x:row r="48">
      <x:c r="A48" s="76" t="str">
        <x:f>IF('04_Form_Dechets'!$O48="Validé humainement",'04_Form_Dechets'!A48,"")</x:f>
      </x:c>
      <x:c r="B48" s="76" t="str">
        <x:f>IF('04_Form_Dechets'!$O48="Validé humainement",'04_Form_Dechets'!B48,"")</x:f>
      </x:c>
      <x:c r="C48" s="76" t="str">
        <x:f>IF('04_Form_Dechets'!$O48="Validé humainement",'04_Form_Dechets'!C48,"")</x:f>
      </x:c>
      <x:c r="D48" s="76" t="str">
        <x:f>IF('04_Form_Dechets'!$O48="Validé humainement",'04_Form_Dechets'!D48,"")</x:f>
      </x:c>
      <x:c r="E48" s="76" t="str">
        <x:f>IF('04_Form_Dechets'!$O48="Validé humainement",'04_Form_Dechets'!E48,"")</x:f>
      </x:c>
      <x:c r="F48" s="77" t="str">
        <x:f>IF('04_Form_Dechets'!$O48="Validé humainement",'04_Form_Dechets'!F48,"")</x:f>
      </x:c>
      <x:c r="G48" s="77" t="str">
        <x:f>IF('04_Form_Dechets'!$O48="Validé humainement",'04_Form_Dechets'!G48,"")</x:f>
      </x:c>
      <x:c r="H48" s="77" t="str">
        <x:f>IF('04_Form_Dechets'!$O48="Validé humainement",'04_Form_Dechets'!H48,"")</x:f>
      </x:c>
      <x:c r="I48" s="77" t="str">
        <x:f>IF('04_Form_Dechets'!$O48="Validé humainement",'04_Form_Dechets'!I48,"")</x:f>
      </x:c>
      <x:c r="J48" s="76" t="str">
        <x:f>IF('04_Form_Dechets'!$O48="Validé humainement",'04_Form_Dechets'!J48,"")</x:f>
      </x:c>
      <x:c r="K48" s="76" t="str">
        <x:f>IF('04_Form_Dechets'!$O48="Validé humainement",'04_Form_Dechets'!K48,"")</x:f>
      </x:c>
      <x:c r="L48" s="76" t="str">
        <x:f>IF('04_Form_Dechets'!$O48="Validé humainement",'04_Form_Dechets'!L48,"")</x:f>
      </x:c>
      <x:c r="M48" s="77" t="str">
        <x:f>IF('04_Form_Dechets'!$O48="Validé humainement",'04_Form_Dechets'!M48,"")</x:f>
      </x:c>
      <x:c r="N48" s="76" t="str">
        <x:f>IF('04_Form_Dechets'!$O48="Validé humainement",'04_Form_Dechets'!N48,"")</x:f>
      </x:c>
      <x:c r="O48" s="76" t="str">
        <x:f>IF('04_Form_Dechets'!$O48="Validé humainement",'04_Form_Dechets'!O48,"")</x:f>
      </x:c>
      <x:c r="P48" s="78" t="str">
        <x:f>IF('04_Form_Dechets'!$O48="Validé humainement",'04_Form_Dechets'!P48,"")</x:f>
      </x:c>
      <x:c r="Q48" s="76" t="str">
        <x:f>IF('04_Form_Dechets'!$O48="Validé humainement",'04_Form_Dechets'!Q48,"")</x:f>
      </x:c>
      <x:c r="R48" s="76" t="str">
        <x:f>IF('04_Form_Dechets'!$O48="Validé humainement",'04_Form_Dechets'!R48,"")</x:f>
      </x:c>
      <x:c r="S48" s="76" t="str">
        <x:f>IF('04_Form_Dechets'!$O48="Validé humainement",'04_Form_Dechets'!S48,"")</x:f>
      </x:c>
    </x:row>
    <x:row r="49">
      <x:c r="A49" s="76" t="str">
        <x:f>IF('04_Form_Dechets'!$O49="Validé humainement",'04_Form_Dechets'!A49,"")</x:f>
      </x:c>
      <x:c r="B49" s="76" t="str">
        <x:f>IF('04_Form_Dechets'!$O49="Validé humainement",'04_Form_Dechets'!B49,"")</x:f>
      </x:c>
      <x:c r="C49" s="76" t="str">
        <x:f>IF('04_Form_Dechets'!$O49="Validé humainement",'04_Form_Dechets'!C49,"")</x:f>
      </x:c>
      <x:c r="D49" s="76" t="str">
        <x:f>IF('04_Form_Dechets'!$O49="Validé humainement",'04_Form_Dechets'!D49,"")</x:f>
      </x:c>
      <x:c r="E49" s="76" t="str">
        <x:f>IF('04_Form_Dechets'!$O49="Validé humainement",'04_Form_Dechets'!E49,"")</x:f>
      </x:c>
      <x:c r="F49" s="77" t="str">
        <x:f>IF('04_Form_Dechets'!$O49="Validé humainement",'04_Form_Dechets'!F49,"")</x:f>
      </x:c>
      <x:c r="G49" s="77" t="str">
        <x:f>IF('04_Form_Dechets'!$O49="Validé humainement",'04_Form_Dechets'!G49,"")</x:f>
      </x:c>
      <x:c r="H49" s="77" t="str">
        <x:f>IF('04_Form_Dechets'!$O49="Validé humainement",'04_Form_Dechets'!H49,"")</x:f>
      </x:c>
      <x:c r="I49" s="77" t="str">
        <x:f>IF('04_Form_Dechets'!$O49="Validé humainement",'04_Form_Dechets'!I49,"")</x:f>
      </x:c>
      <x:c r="J49" s="76" t="str">
        <x:f>IF('04_Form_Dechets'!$O49="Validé humainement",'04_Form_Dechets'!J49,"")</x:f>
      </x:c>
      <x:c r="K49" s="76" t="str">
        <x:f>IF('04_Form_Dechets'!$O49="Validé humainement",'04_Form_Dechets'!K49,"")</x:f>
      </x:c>
      <x:c r="L49" s="76" t="str">
        <x:f>IF('04_Form_Dechets'!$O49="Validé humainement",'04_Form_Dechets'!L49,"")</x:f>
      </x:c>
      <x:c r="M49" s="77" t="str">
        <x:f>IF('04_Form_Dechets'!$O49="Validé humainement",'04_Form_Dechets'!M49,"")</x:f>
      </x:c>
      <x:c r="N49" s="76" t="str">
        <x:f>IF('04_Form_Dechets'!$O49="Validé humainement",'04_Form_Dechets'!N49,"")</x:f>
      </x:c>
      <x:c r="O49" s="76" t="str">
        <x:f>IF('04_Form_Dechets'!$O49="Validé humainement",'04_Form_Dechets'!O49,"")</x:f>
      </x:c>
      <x:c r="P49" s="78" t="str">
        <x:f>IF('04_Form_Dechets'!$O49="Validé humainement",'04_Form_Dechets'!P49,"")</x:f>
      </x:c>
      <x:c r="Q49" s="76" t="str">
        <x:f>IF('04_Form_Dechets'!$O49="Validé humainement",'04_Form_Dechets'!Q49,"")</x:f>
      </x:c>
      <x:c r="R49" s="76" t="str">
        <x:f>IF('04_Form_Dechets'!$O49="Validé humainement",'04_Form_Dechets'!R49,"")</x:f>
      </x:c>
      <x:c r="S49" s="76" t="str">
        <x:f>IF('04_Form_Dechets'!$O49="Validé humainement",'04_Form_Dechets'!S49,"")</x:f>
      </x:c>
    </x:row>
    <x:row r="50">
      <x:c r="A50" s="76" t="str">
        <x:f>IF('04_Form_Dechets'!$O50="Validé humainement",'04_Form_Dechets'!A50,"")</x:f>
      </x:c>
      <x:c r="B50" s="76" t="str">
        <x:f>IF('04_Form_Dechets'!$O50="Validé humainement",'04_Form_Dechets'!B50,"")</x:f>
      </x:c>
      <x:c r="C50" s="76" t="str">
        <x:f>IF('04_Form_Dechets'!$O50="Validé humainement",'04_Form_Dechets'!C50,"")</x:f>
      </x:c>
      <x:c r="D50" s="76" t="str">
        <x:f>IF('04_Form_Dechets'!$O50="Validé humainement",'04_Form_Dechets'!D50,"")</x:f>
      </x:c>
      <x:c r="E50" s="76" t="str">
        <x:f>IF('04_Form_Dechets'!$O50="Validé humainement",'04_Form_Dechets'!E50,"")</x:f>
      </x:c>
      <x:c r="F50" s="77" t="str">
        <x:f>IF('04_Form_Dechets'!$O50="Validé humainement",'04_Form_Dechets'!F50,"")</x:f>
      </x:c>
      <x:c r="G50" s="77" t="str">
        <x:f>IF('04_Form_Dechets'!$O50="Validé humainement",'04_Form_Dechets'!G50,"")</x:f>
      </x:c>
      <x:c r="H50" s="77" t="str">
        <x:f>IF('04_Form_Dechets'!$O50="Validé humainement",'04_Form_Dechets'!H50,"")</x:f>
      </x:c>
      <x:c r="I50" s="77" t="str">
        <x:f>IF('04_Form_Dechets'!$O50="Validé humainement",'04_Form_Dechets'!I50,"")</x:f>
      </x:c>
      <x:c r="J50" s="76" t="str">
        <x:f>IF('04_Form_Dechets'!$O50="Validé humainement",'04_Form_Dechets'!J50,"")</x:f>
      </x:c>
      <x:c r="K50" s="76" t="str">
        <x:f>IF('04_Form_Dechets'!$O50="Validé humainement",'04_Form_Dechets'!K50,"")</x:f>
      </x:c>
      <x:c r="L50" s="76" t="str">
        <x:f>IF('04_Form_Dechets'!$O50="Validé humainement",'04_Form_Dechets'!L50,"")</x:f>
      </x:c>
      <x:c r="M50" s="77" t="str">
        <x:f>IF('04_Form_Dechets'!$O50="Validé humainement",'04_Form_Dechets'!M50,"")</x:f>
      </x:c>
      <x:c r="N50" s="76" t="str">
        <x:f>IF('04_Form_Dechets'!$O50="Validé humainement",'04_Form_Dechets'!N50,"")</x:f>
      </x:c>
      <x:c r="O50" s="76" t="str">
        <x:f>IF('04_Form_Dechets'!$O50="Validé humainement",'04_Form_Dechets'!O50,"")</x:f>
      </x:c>
      <x:c r="P50" s="78" t="str">
        <x:f>IF('04_Form_Dechets'!$O50="Validé humainement",'04_Form_Dechets'!P50,"")</x:f>
      </x:c>
      <x:c r="Q50" s="76" t="str">
        <x:f>IF('04_Form_Dechets'!$O50="Validé humainement",'04_Form_Dechets'!Q50,"")</x:f>
      </x:c>
      <x:c r="R50" s="76" t="str">
        <x:f>IF('04_Form_Dechets'!$O50="Validé humainement",'04_Form_Dechets'!R50,"")</x:f>
      </x:c>
      <x:c r="S50" s="76" t="str">
        <x:f>IF('04_Form_Dechets'!$O50="Validé humainement",'04_Form_Dechets'!S50,"")</x:f>
      </x:c>
    </x:row>
    <x:row r="51">
      <x:c r="A51" s="76" t="str">
        <x:f>IF('04_Form_Dechets'!$O51="Validé humainement",'04_Form_Dechets'!A51,"")</x:f>
      </x:c>
      <x:c r="B51" s="76" t="str">
        <x:f>IF('04_Form_Dechets'!$O51="Validé humainement",'04_Form_Dechets'!B51,"")</x:f>
      </x:c>
      <x:c r="C51" s="76" t="str">
        <x:f>IF('04_Form_Dechets'!$O51="Validé humainement",'04_Form_Dechets'!C51,"")</x:f>
      </x:c>
      <x:c r="D51" s="76" t="str">
        <x:f>IF('04_Form_Dechets'!$O51="Validé humainement",'04_Form_Dechets'!D51,"")</x:f>
      </x:c>
      <x:c r="E51" s="76" t="str">
        <x:f>IF('04_Form_Dechets'!$O51="Validé humainement",'04_Form_Dechets'!E51,"")</x:f>
      </x:c>
      <x:c r="F51" s="77" t="str">
        <x:f>IF('04_Form_Dechets'!$O51="Validé humainement",'04_Form_Dechets'!F51,"")</x:f>
      </x:c>
      <x:c r="G51" s="77" t="str">
        <x:f>IF('04_Form_Dechets'!$O51="Validé humainement",'04_Form_Dechets'!G51,"")</x:f>
      </x:c>
      <x:c r="H51" s="77" t="str">
        <x:f>IF('04_Form_Dechets'!$O51="Validé humainement",'04_Form_Dechets'!H51,"")</x:f>
      </x:c>
      <x:c r="I51" s="77" t="str">
        <x:f>IF('04_Form_Dechets'!$O51="Validé humainement",'04_Form_Dechets'!I51,"")</x:f>
      </x:c>
      <x:c r="J51" s="76" t="str">
        <x:f>IF('04_Form_Dechets'!$O51="Validé humainement",'04_Form_Dechets'!J51,"")</x:f>
      </x:c>
      <x:c r="K51" s="76" t="str">
        <x:f>IF('04_Form_Dechets'!$O51="Validé humainement",'04_Form_Dechets'!K51,"")</x:f>
      </x:c>
      <x:c r="L51" s="76" t="str">
        <x:f>IF('04_Form_Dechets'!$O51="Validé humainement",'04_Form_Dechets'!L51,"")</x:f>
      </x:c>
      <x:c r="M51" s="77" t="str">
        <x:f>IF('04_Form_Dechets'!$O51="Validé humainement",'04_Form_Dechets'!M51,"")</x:f>
      </x:c>
      <x:c r="N51" s="76" t="str">
        <x:f>IF('04_Form_Dechets'!$O51="Validé humainement",'04_Form_Dechets'!N51,"")</x:f>
      </x:c>
      <x:c r="O51" s="76" t="str">
        <x:f>IF('04_Form_Dechets'!$O51="Validé humainement",'04_Form_Dechets'!O51,"")</x:f>
      </x:c>
      <x:c r="P51" s="78" t="str">
        <x:f>IF('04_Form_Dechets'!$O51="Validé humainement",'04_Form_Dechets'!P51,"")</x:f>
      </x:c>
      <x:c r="Q51" s="76" t="str">
        <x:f>IF('04_Form_Dechets'!$O51="Validé humainement",'04_Form_Dechets'!Q51,"")</x:f>
      </x:c>
      <x:c r="R51" s="76" t="str">
        <x:f>IF('04_Form_Dechets'!$O51="Validé humainement",'04_Form_Dechets'!R51,"")</x:f>
      </x:c>
      <x:c r="S51" s="76" t="str">
        <x:f>IF('04_Form_Dechets'!$O51="Validé humainement",'04_Form_Dechets'!S51,"")</x:f>
      </x:c>
    </x:row>
    <x:row r="52">
      <x:c r="A52" s="76" t="str">
        <x:f>IF('04_Form_Dechets'!$O52="Validé humainement",'04_Form_Dechets'!A52,"")</x:f>
      </x:c>
      <x:c r="B52" s="76" t="str">
        <x:f>IF('04_Form_Dechets'!$O52="Validé humainement",'04_Form_Dechets'!B52,"")</x:f>
      </x:c>
      <x:c r="C52" s="76" t="str">
        <x:f>IF('04_Form_Dechets'!$O52="Validé humainement",'04_Form_Dechets'!C52,"")</x:f>
      </x:c>
      <x:c r="D52" s="76" t="str">
        <x:f>IF('04_Form_Dechets'!$O52="Validé humainement",'04_Form_Dechets'!D52,"")</x:f>
      </x:c>
      <x:c r="E52" s="76" t="str">
        <x:f>IF('04_Form_Dechets'!$O52="Validé humainement",'04_Form_Dechets'!E52,"")</x:f>
      </x:c>
      <x:c r="F52" s="77" t="str">
        <x:f>IF('04_Form_Dechets'!$O52="Validé humainement",'04_Form_Dechets'!F52,"")</x:f>
      </x:c>
      <x:c r="G52" s="77" t="str">
        <x:f>IF('04_Form_Dechets'!$O52="Validé humainement",'04_Form_Dechets'!G52,"")</x:f>
      </x:c>
      <x:c r="H52" s="77" t="str">
        <x:f>IF('04_Form_Dechets'!$O52="Validé humainement",'04_Form_Dechets'!H52,"")</x:f>
      </x:c>
      <x:c r="I52" s="77" t="str">
        <x:f>IF('04_Form_Dechets'!$O52="Validé humainement",'04_Form_Dechets'!I52,"")</x:f>
      </x:c>
      <x:c r="J52" s="76" t="str">
        <x:f>IF('04_Form_Dechets'!$O52="Validé humainement",'04_Form_Dechets'!J52,"")</x:f>
      </x:c>
      <x:c r="K52" s="76" t="str">
        <x:f>IF('04_Form_Dechets'!$O52="Validé humainement",'04_Form_Dechets'!K52,"")</x:f>
      </x:c>
      <x:c r="L52" s="76" t="str">
        <x:f>IF('04_Form_Dechets'!$O52="Validé humainement",'04_Form_Dechets'!L52,"")</x:f>
      </x:c>
      <x:c r="M52" s="77" t="str">
        <x:f>IF('04_Form_Dechets'!$O52="Validé humainement",'04_Form_Dechets'!M52,"")</x:f>
      </x:c>
      <x:c r="N52" s="76" t="str">
        <x:f>IF('04_Form_Dechets'!$O52="Validé humainement",'04_Form_Dechets'!N52,"")</x:f>
      </x:c>
      <x:c r="O52" s="76" t="str">
        <x:f>IF('04_Form_Dechets'!$O52="Validé humainement",'04_Form_Dechets'!O52,"")</x:f>
      </x:c>
      <x:c r="P52" s="78" t="str">
        <x:f>IF('04_Form_Dechets'!$O52="Validé humainement",'04_Form_Dechets'!P52,"")</x:f>
      </x:c>
      <x:c r="Q52" s="76" t="str">
        <x:f>IF('04_Form_Dechets'!$O52="Validé humainement",'04_Form_Dechets'!Q52,"")</x:f>
      </x:c>
      <x:c r="R52" s="76" t="str">
        <x:f>IF('04_Form_Dechets'!$O52="Validé humainement",'04_Form_Dechets'!R52,"")</x:f>
      </x:c>
      <x:c r="S52" s="76" t="str">
        <x:f>IF('04_Form_Dechets'!$O52="Validé humainement",'04_Form_Dechets'!S52,"")</x:f>
      </x:c>
    </x:row>
    <x:row r="53">
      <x:c r="A53" s="76" t="str">
        <x:f>IF('04_Form_Dechets'!$O53="Validé humainement",'04_Form_Dechets'!A53,"")</x:f>
      </x:c>
      <x:c r="B53" s="76" t="str">
        <x:f>IF('04_Form_Dechets'!$O53="Validé humainement",'04_Form_Dechets'!B53,"")</x:f>
      </x:c>
      <x:c r="C53" s="76" t="str">
        <x:f>IF('04_Form_Dechets'!$O53="Validé humainement",'04_Form_Dechets'!C53,"")</x:f>
      </x:c>
      <x:c r="D53" s="76" t="str">
        <x:f>IF('04_Form_Dechets'!$O53="Validé humainement",'04_Form_Dechets'!D53,"")</x:f>
      </x:c>
      <x:c r="E53" s="76" t="str">
        <x:f>IF('04_Form_Dechets'!$O53="Validé humainement",'04_Form_Dechets'!E53,"")</x:f>
      </x:c>
      <x:c r="F53" s="77" t="str">
        <x:f>IF('04_Form_Dechets'!$O53="Validé humainement",'04_Form_Dechets'!F53,"")</x:f>
      </x:c>
      <x:c r="G53" s="77" t="str">
        <x:f>IF('04_Form_Dechets'!$O53="Validé humainement",'04_Form_Dechets'!G53,"")</x:f>
      </x:c>
      <x:c r="H53" s="77" t="str">
        <x:f>IF('04_Form_Dechets'!$O53="Validé humainement",'04_Form_Dechets'!H53,"")</x:f>
      </x:c>
      <x:c r="I53" s="77" t="str">
        <x:f>IF('04_Form_Dechets'!$O53="Validé humainement",'04_Form_Dechets'!I53,"")</x:f>
      </x:c>
      <x:c r="J53" s="76" t="str">
        <x:f>IF('04_Form_Dechets'!$O53="Validé humainement",'04_Form_Dechets'!J53,"")</x:f>
      </x:c>
      <x:c r="K53" s="76" t="str">
        <x:f>IF('04_Form_Dechets'!$O53="Validé humainement",'04_Form_Dechets'!K53,"")</x:f>
      </x:c>
      <x:c r="L53" s="76" t="str">
        <x:f>IF('04_Form_Dechets'!$O53="Validé humainement",'04_Form_Dechets'!L53,"")</x:f>
      </x:c>
      <x:c r="M53" s="77" t="str">
        <x:f>IF('04_Form_Dechets'!$O53="Validé humainement",'04_Form_Dechets'!M53,"")</x:f>
      </x:c>
      <x:c r="N53" s="76" t="str">
        <x:f>IF('04_Form_Dechets'!$O53="Validé humainement",'04_Form_Dechets'!N53,"")</x:f>
      </x:c>
      <x:c r="O53" s="76" t="str">
        <x:f>IF('04_Form_Dechets'!$O53="Validé humainement",'04_Form_Dechets'!O53,"")</x:f>
      </x:c>
      <x:c r="P53" s="78" t="str">
        <x:f>IF('04_Form_Dechets'!$O53="Validé humainement",'04_Form_Dechets'!P53,"")</x:f>
      </x:c>
      <x:c r="Q53" s="76" t="str">
        <x:f>IF('04_Form_Dechets'!$O53="Validé humainement",'04_Form_Dechets'!Q53,"")</x:f>
      </x:c>
      <x:c r="R53" s="76" t="str">
        <x:f>IF('04_Form_Dechets'!$O53="Validé humainement",'04_Form_Dechets'!R53,"")</x:f>
      </x:c>
      <x:c r="S53" s="76" t="str">
        <x:f>IF('04_Form_Dechets'!$O53="Validé humainement",'04_Form_Dechets'!S53,"")</x:f>
      </x:c>
    </x:row>
    <x:row r="54">
      <x:c r="A54" s="76" t="str">
        <x:f>IF('04_Form_Dechets'!$O54="Validé humainement",'04_Form_Dechets'!A54,"")</x:f>
      </x:c>
      <x:c r="B54" s="76" t="str">
        <x:f>IF('04_Form_Dechets'!$O54="Validé humainement",'04_Form_Dechets'!B54,"")</x:f>
      </x:c>
      <x:c r="C54" s="76" t="str">
        <x:f>IF('04_Form_Dechets'!$O54="Validé humainement",'04_Form_Dechets'!C54,"")</x:f>
      </x:c>
      <x:c r="D54" s="76" t="str">
        <x:f>IF('04_Form_Dechets'!$O54="Validé humainement",'04_Form_Dechets'!D54,"")</x:f>
      </x:c>
      <x:c r="E54" s="76" t="str">
        <x:f>IF('04_Form_Dechets'!$O54="Validé humainement",'04_Form_Dechets'!E54,"")</x:f>
      </x:c>
      <x:c r="F54" s="77" t="str">
        <x:f>IF('04_Form_Dechets'!$O54="Validé humainement",'04_Form_Dechets'!F54,"")</x:f>
      </x:c>
      <x:c r="G54" s="77" t="str">
        <x:f>IF('04_Form_Dechets'!$O54="Validé humainement",'04_Form_Dechets'!G54,"")</x:f>
      </x:c>
      <x:c r="H54" s="77" t="str">
        <x:f>IF('04_Form_Dechets'!$O54="Validé humainement",'04_Form_Dechets'!H54,"")</x:f>
      </x:c>
      <x:c r="I54" s="77" t="str">
        <x:f>IF('04_Form_Dechets'!$O54="Validé humainement",'04_Form_Dechets'!I54,"")</x:f>
      </x:c>
      <x:c r="J54" s="76" t="str">
        <x:f>IF('04_Form_Dechets'!$O54="Validé humainement",'04_Form_Dechets'!J54,"")</x:f>
      </x:c>
      <x:c r="K54" s="76" t="str">
        <x:f>IF('04_Form_Dechets'!$O54="Validé humainement",'04_Form_Dechets'!K54,"")</x:f>
      </x:c>
      <x:c r="L54" s="76" t="str">
        <x:f>IF('04_Form_Dechets'!$O54="Validé humainement",'04_Form_Dechets'!L54,"")</x:f>
      </x:c>
      <x:c r="M54" s="77" t="str">
        <x:f>IF('04_Form_Dechets'!$O54="Validé humainement",'04_Form_Dechets'!M54,"")</x:f>
      </x:c>
      <x:c r="N54" s="76" t="str">
        <x:f>IF('04_Form_Dechets'!$O54="Validé humainement",'04_Form_Dechets'!N54,"")</x:f>
      </x:c>
      <x:c r="O54" s="76" t="str">
        <x:f>IF('04_Form_Dechets'!$O54="Validé humainement",'04_Form_Dechets'!O54,"")</x:f>
      </x:c>
      <x:c r="P54" s="78" t="str">
        <x:f>IF('04_Form_Dechets'!$O54="Validé humainement",'04_Form_Dechets'!P54,"")</x:f>
      </x:c>
      <x:c r="Q54" s="76" t="str">
        <x:f>IF('04_Form_Dechets'!$O54="Validé humainement",'04_Form_Dechets'!Q54,"")</x:f>
      </x:c>
      <x:c r="R54" s="76" t="str">
        <x:f>IF('04_Form_Dechets'!$O54="Validé humainement",'04_Form_Dechets'!R54,"")</x:f>
      </x:c>
      <x:c r="S54" s="76" t="str">
        <x:f>IF('04_Form_Dechets'!$O54="Validé humainement",'04_Form_Dechets'!S54,"")</x:f>
      </x:c>
    </x:row>
    <x:row r="55">
      <x:c r="A55" s="76" t="str">
        <x:f>IF('04_Form_Dechets'!$O55="Validé humainement",'04_Form_Dechets'!A55,"")</x:f>
      </x:c>
      <x:c r="B55" s="76" t="str">
        <x:f>IF('04_Form_Dechets'!$O55="Validé humainement",'04_Form_Dechets'!B55,"")</x:f>
      </x:c>
      <x:c r="C55" s="76" t="str">
        <x:f>IF('04_Form_Dechets'!$O55="Validé humainement",'04_Form_Dechets'!C55,"")</x:f>
      </x:c>
      <x:c r="D55" s="76" t="str">
        <x:f>IF('04_Form_Dechets'!$O55="Validé humainement",'04_Form_Dechets'!D55,"")</x:f>
      </x:c>
      <x:c r="E55" s="76" t="str">
        <x:f>IF('04_Form_Dechets'!$O55="Validé humainement",'04_Form_Dechets'!E55,"")</x:f>
      </x:c>
      <x:c r="F55" s="77" t="str">
        <x:f>IF('04_Form_Dechets'!$O55="Validé humainement",'04_Form_Dechets'!F55,"")</x:f>
      </x:c>
      <x:c r="G55" s="77" t="str">
        <x:f>IF('04_Form_Dechets'!$O55="Validé humainement",'04_Form_Dechets'!G55,"")</x:f>
      </x:c>
      <x:c r="H55" s="77" t="str">
        <x:f>IF('04_Form_Dechets'!$O55="Validé humainement",'04_Form_Dechets'!H55,"")</x:f>
      </x:c>
      <x:c r="I55" s="77" t="str">
        <x:f>IF('04_Form_Dechets'!$O55="Validé humainement",'04_Form_Dechets'!I55,"")</x:f>
      </x:c>
      <x:c r="J55" s="76" t="str">
        <x:f>IF('04_Form_Dechets'!$O55="Validé humainement",'04_Form_Dechets'!J55,"")</x:f>
      </x:c>
      <x:c r="K55" s="76" t="str">
        <x:f>IF('04_Form_Dechets'!$O55="Validé humainement",'04_Form_Dechets'!K55,"")</x:f>
      </x:c>
      <x:c r="L55" s="76" t="str">
        <x:f>IF('04_Form_Dechets'!$O55="Validé humainement",'04_Form_Dechets'!L55,"")</x:f>
      </x:c>
      <x:c r="M55" s="77" t="str">
        <x:f>IF('04_Form_Dechets'!$O55="Validé humainement",'04_Form_Dechets'!M55,"")</x:f>
      </x:c>
      <x:c r="N55" s="76" t="str">
        <x:f>IF('04_Form_Dechets'!$O55="Validé humainement",'04_Form_Dechets'!N55,"")</x:f>
      </x:c>
      <x:c r="O55" s="76" t="str">
        <x:f>IF('04_Form_Dechets'!$O55="Validé humainement",'04_Form_Dechets'!O55,"")</x:f>
      </x:c>
      <x:c r="P55" s="78" t="str">
        <x:f>IF('04_Form_Dechets'!$O55="Validé humainement",'04_Form_Dechets'!P55,"")</x:f>
      </x:c>
      <x:c r="Q55" s="76" t="str">
        <x:f>IF('04_Form_Dechets'!$O55="Validé humainement",'04_Form_Dechets'!Q55,"")</x:f>
      </x:c>
      <x:c r="R55" s="76" t="str">
        <x:f>IF('04_Form_Dechets'!$O55="Validé humainement",'04_Form_Dechets'!R55,"")</x:f>
      </x:c>
      <x:c r="S55" s="76" t="str">
        <x:f>IF('04_Form_Dechets'!$O55="Validé humainement",'04_Form_Dechets'!S55,"")</x:f>
      </x:c>
    </x:row>
    <x:row r="56">
      <x:c r="A56" s="76" t="str">
        <x:f>IF('04_Form_Dechets'!$O56="Validé humainement",'04_Form_Dechets'!A56,"")</x:f>
      </x:c>
      <x:c r="B56" s="76" t="str">
        <x:f>IF('04_Form_Dechets'!$O56="Validé humainement",'04_Form_Dechets'!B56,"")</x:f>
      </x:c>
      <x:c r="C56" s="76" t="str">
        <x:f>IF('04_Form_Dechets'!$O56="Validé humainement",'04_Form_Dechets'!C56,"")</x:f>
      </x:c>
      <x:c r="D56" s="76" t="str">
        <x:f>IF('04_Form_Dechets'!$O56="Validé humainement",'04_Form_Dechets'!D56,"")</x:f>
      </x:c>
      <x:c r="E56" s="76" t="str">
        <x:f>IF('04_Form_Dechets'!$O56="Validé humainement",'04_Form_Dechets'!E56,"")</x:f>
      </x:c>
      <x:c r="F56" s="77" t="str">
        <x:f>IF('04_Form_Dechets'!$O56="Validé humainement",'04_Form_Dechets'!F56,"")</x:f>
      </x:c>
      <x:c r="G56" s="77" t="str">
        <x:f>IF('04_Form_Dechets'!$O56="Validé humainement",'04_Form_Dechets'!G56,"")</x:f>
      </x:c>
      <x:c r="H56" s="77" t="str">
        <x:f>IF('04_Form_Dechets'!$O56="Validé humainement",'04_Form_Dechets'!H56,"")</x:f>
      </x:c>
      <x:c r="I56" s="77" t="str">
        <x:f>IF('04_Form_Dechets'!$O56="Validé humainement",'04_Form_Dechets'!I56,"")</x:f>
      </x:c>
      <x:c r="J56" s="76" t="str">
        <x:f>IF('04_Form_Dechets'!$O56="Validé humainement",'04_Form_Dechets'!J56,"")</x:f>
      </x:c>
      <x:c r="K56" s="76" t="str">
        <x:f>IF('04_Form_Dechets'!$O56="Validé humainement",'04_Form_Dechets'!K56,"")</x:f>
      </x:c>
      <x:c r="L56" s="76" t="str">
        <x:f>IF('04_Form_Dechets'!$O56="Validé humainement",'04_Form_Dechets'!L56,"")</x:f>
      </x:c>
      <x:c r="M56" s="77" t="str">
        <x:f>IF('04_Form_Dechets'!$O56="Validé humainement",'04_Form_Dechets'!M56,"")</x:f>
      </x:c>
      <x:c r="N56" s="76" t="str">
        <x:f>IF('04_Form_Dechets'!$O56="Validé humainement",'04_Form_Dechets'!N56,"")</x:f>
      </x:c>
      <x:c r="O56" s="76" t="str">
        <x:f>IF('04_Form_Dechets'!$O56="Validé humainement",'04_Form_Dechets'!O56,"")</x:f>
      </x:c>
      <x:c r="P56" s="78" t="str">
        <x:f>IF('04_Form_Dechets'!$O56="Validé humainement",'04_Form_Dechets'!P56,"")</x:f>
      </x:c>
      <x:c r="Q56" s="76" t="str">
        <x:f>IF('04_Form_Dechets'!$O56="Validé humainement",'04_Form_Dechets'!Q56,"")</x:f>
      </x:c>
      <x:c r="R56" s="76" t="str">
        <x:f>IF('04_Form_Dechets'!$O56="Validé humainement",'04_Form_Dechets'!R56,"")</x:f>
      </x:c>
      <x:c r="S56" s="76" t="str">
        <x:f>IF('04_Form_Dechets'!$O56="Validé humainement",'04_Form_Dechets'!S56,"")</x:f>
      </x:c>
    </x:row>
    <x:row r="57">
      <x:c r="A57" s="76" t="str">
        <x:f>IF('04_Form_Dechets'!$O57="Validé humainement",'04_Form_Dechets'!A57,"")</x:f>
      </x:c>
      <x:c r="B57" s="76" t="str">
        <x:f>IF('04_Form_Dechets'!$O57="Validé humainement",'04_Form_Dechets'!B57,"")</x:f>
      </x:c>
      <x:c r="C57" s="76" t="str">
        <x:f>IF('04_Form_Dechets'!$O57="Validé humainement",'04_Form_Dechets'!C57,"")</x:f>
      </x:c>
      <x:c r="D57" s="76" t="str">
        <x:f>IF('04_Form_Dechets'!$O57="Validé humainement",'04_Form_Dechets'!D57,"")</x:f>
      </x:c>
      <x:c r="E57" s="76" t="str">
        <x:f>IF('04_Form_Dechets'!$O57="Validé humainement",'04_Form_Dechets'!E57,"")</x:f>
      </x:c>
      <x:c r="F57" s="77" t="str">
        <x:f>IF('04_Form_Dechets'!$O57="Validé humainement",'04_Form_Dechets'!F57,"")</x:f>
      </x:c>
      <x:c r="G57" s="77" t="str">
        <x:f>IF('04_Form_Dechets'!$O57="Validé humainement",'04_Form_Dechets'!G57,"")</x:f>
      </x:c>
      <x:c r="H57" s="77" t="str">
        <x:f>IF('04_Form_Dechets'!$O57="Validé humainement",'04_Form_Dechets'!H57,"")</x:f>
      </x:c>
      <x:c r="I57" s="77" t="str">
        <x:f>IF('04_Form_Dechets'!$O57="Validé humainement",'04_Form_Dechets'!I57,"")</x:f>
      </x:c>
      <x:c r="J57" s="76" t="str">
        <x:f>IF('04_Form_Dechets'!$O57="Validé humainement",'04_Form_Dechets'!J57,"")</x:f>
      </x:c>
      <x:c r="K57" s="76" t="str">
        <x:f>IF('04_Form_Dechets'!$O57="Validé humainement",'04_Form_Dechets'!K57,"")</x:f>
      </x:c>
      <x:c r="L57" s="76" t="str">
        <x:f>IF('04_Form_Dechets'!$O57="Validé humainement",'04_Form_Dechets'!L57,"")</x:f>
      </x:c>
      <x:c r="M57" s="77" t="str">
        <x:f>IF('04_Form_Dechets'!$O57="Validé humainement",'04_Form_Dechets'!M57,"")</x:f>
      </x:c>
      <x:c r="N57" s="76" t="str">
        <x:f>IF('04_Form_Dechets'!$O57="Validé humainement",'04_Form_Dechets'!N57,"")</x:f>
      </x:c>
      <x:c r="O57" s="76" t="str">
        <x:f>IF('04_Form_Dechets'!$O57="Validé humainement",'04_Form_Dechets'!O57,"")</x:f>
      </x:c>
      <x:c r="P57" s="78" t="str">
        <x:f>IF('04_Form_Dechets'!$O57="Validé humainement",'04_Form_Dechets'!P57,"")</x:f>
      </x:c>
      <x:c r="Q57" s="76" t="str">
        <x:f>IF('04_Form_Dechets'!$O57="Validé humainement",'04_Form_Dechets'!Q57,"")</x:f>
      </x:c>
      <x:c r="R57" s="76" t="str">
        <x:f>IF('04_Form_Dechets'!$O57="Validé humainement",'04_Form_Dechets'!R57,"")</x:f>
      </x:c>
      <x:c r="S57" s="76" t="str">
        <x:f>IF('04_Form_Dechets'!$O57="Validé humainement",'04_Form_Dechets'!S57,"")</x:f>
      </x:c>
    </x:row>
    <x:row r="58">
      <x:c r="A58" s="76" t="str">
        <x:f>IF('04_Form_Dechets'!$O58="Validé humainement",'04_Form_Dechets'!A58,"")</x:f>
      </x:c>
      <x:c r="B58" s="76" t="str">
        <x:f>IF('04_Form_Dechets'!$O58="Validé humainement",'04_Form_Dechets'!B58,"")</x:f>
      </x:c>
      <x:c r="C58" s="76" t="str">
        <x:f>IF('04_Form_Dechets'!$O58="Validé humainement",'04_Form_Dechets'!C58,"")</x:f>
      </x:c>
      <x:c r="D58" s="76" t="str">
        <x:f>IF('04_Form_Dechets'!$O58="Validé humainement",'04_Form_Dechets'!D58,"")</x:f>
      </x:c>
      <x:c r="E58" s="76" t="str">
        <x:f>IF('04_Form_Dechets'!$O58="Validé humainement",'04_Form_Dechets'!E58,"")</x:f>
      </x:c>
      <x:c r="F58" s="77" t="str">
        <x:f>IF('04_Form_Dechets'!$O58="Validé humainement",'04_Form_Dechets'!F58,"")</x:f>
      </x:c>
      <x:c r="G58" s="77" t="str">
        <x:f>IF('04_Form_Dechets'!$O58="Validé humainement",'04_Form_Dechets'!G58,"")</x:f>
      </x:c>
      <x:c r="H58" s="77" t="str">
        <x:f>IF('04_Form_Dechets'!$O58="Validé humainement",'04_Form_Dechets'!H58,"")</x:f>
      </x:c>
      <x:c r="I58" s="77" t="str">
        <x:f>IF('04_Form_Dechets'!$O58="Validé humainement",'04_Form_Dechets'!I58,"")</x:f>
      </x:c>
      <x:c r="J58" s="76" t="str">
        <x:f>IF('04_Form_Dechets'!$O58="Validé humainement",'04_Form_Dechets'!J58,"")</x:f>
      </x:c>
      <x:c r="K58" s="76" t="str">
        <x:f>IF('04_Form_Dechets'!$O58="Validé humainement",'04_Form_Dechets'!K58,"")</x:f>
      </x:c>
      <x:c r="L58" s="76" t="str">
        <x:f>IF('04_Form_Dechets'!$O58="Validé humainement",'04_Form_Dechets'!L58,"")</x:f>
      </x:c>
      <x:c r="M58" s="77" t="str">
        <x:f>IF('04_Form_Dechets'!$O58="Validé humainement",'04_Form_Dechets'!M58,"")</x:f>
      </x:c>
      <x:c r="N58" s="76" t="str">
        <x:f>IF('04_Form_Dechets'!$O58="Validé humainement",'04_Form_Dechets'!N58,"")</x:f>
      </x:c>
      <x:c r="O58" s="76" t="str">
        <x:f>IF('04_Form_Dechets'!$O58="Validé humainement",'04_Form_Dechets'!O58,"")</x:f>
      </x:c>
      <x:c r="P58" s="78" t="str">
        <x:f>IF('04_Form_Dechets'!$O58="Validé humainement",'04_Form_Dechets'!P58,"")</x:f>
      </x:c>
      <x:c r="Q58" s="76" t="str">
        <x:f>IF('04_Form_Dechets'!$O58="Validé humainement",'04_Form_Dechets'!Q58,"")</x:f>
      </x:c>
      <x:c r="R58" s="76" t="str">
        <x:f>IF('04_Form_Dechets'!$O58="Validé humainement",'04_Form_Dechets'!R58,"")</x:f>
      </x:c>
      <x:c r="S58" s="76" t="str">
        <x:f>IF('04_Form_Dechets'!$O58="Validé humainement",'04_Form_Dechets'!S58,"")</x:f>
      </x:c>
    </x:row>
    <x:row r="59">
      <x:c r="A59" s="76" t="str">
        <x:f>IF('04_Form_Dechets'!$O59="Validé humainement",'04_Form_Dechets'!A59,"")</x:f>
      </x:c>
      <x:c r="B59" s="76" t="str">
        <x:f>IF('04_Form_Dechets'!$O59="Validé humainement",'04_Form_Dechets'!B59,"")</x:f>
      </x:c>
      <x:c r="C59" s="76" t="str">
        <x:f>IF('04_Form_Dechets'!$O59="Validé humainement",'04_Form_Dechets'!C59,"")</x:f>
      </x:c>
      <x:c r="D59" s="76" t="str">
        <x:f>IF('04_Form_Dechets'!$O59="Validé humainement",'04_Form_Dechets'!D59,"")</x:f>
      </x:c>
      <x:c r="E59" s="76" t="str">
        <x:f>IF('04_Form_Dechets'!$O59="Validé humainement",'04_Form_Dechets'!E59,"")</x:f>
      </x:c>
      <x:c r="F59" s="77" t="str">
        <x:f>IF('04_Form_Dechets'!$O59="Validé humainement",'04_Form_Dechets'!F59,"")</x:f>
      </x:c>
      <x:c r="G59" s="77" t="str">
        <x:f>IF('04_Form_Dechets'!$O59="Validé humainement",'04_Form_Dechets'!G59,"")</x:f>
      </x:c>
      <x:c r="H59" s="77" t="str">
        <x:f>IF('04_Form_Dechets'!$O59="Validé humainement",'04_Form_Dechets'!H59,"")</x:f>
      </x:c>
      <x:c r="I59" s="77" t="str">
        <x:f>IF('04_Form_Dechets'!$O59="Validé humainement",'04_Form_Dechets'!I59,"")</x:f>
      </x:c>
      <x:c r="J59" s="76" t="str">
        <x:f>IF('04_Form_Dechets'!$O59="Validé humainement",'04_Form_Dechets'!J59,"")</x:f>
      </x:c>
      <x:c r="K59" s="76" t="str">
        <x:f>IF('04_Form_Dechets'!$O59="Validé humainement",'04_Form_Dechets'!K59,"")</x:f>
      </x:c>
      <x:c r="L59" s="76" t="str">
        <x:f>IF('04_Form_Dechets'!$O59="Validé humainement",'04_Form_Dechets'!L59,"")</x:f>
      </x:c>
      <x:c r="M59" s="77" t="str">
        <x:f>IF('04_Form_Dechets'!$O59="Validé humainement",'04_Form_Dechets'!M59,"")</x:f>
      </x:c>
      <x:c r="N59" s="76" t="str">
        <x:f>IF('04_Form_Dechets'!$O59="Validé humainement",'04_Form_Dechets'!N59,"")</x:f>
      </x:c>
      <x:c r="O59" s="76" t="str">
        <x:f>IF('04_Form_Dechets'!$O59="Validé humainement",'04_Form_Dechets'!O59,"")</x:f>
      </x:c>
      <x:c r="P59" s="78" t="str">
        <x:f>IF('04_Form_Dechets'!$O59="Validé humainement",'04_Form_Dechets'!P59,"")</x:f>
      </x:c>
      <x:c r="Q59" s="76" t="str">
        <x:f>IF('04_Form_Dechets'!$O59="Validé humainement",'04_Form_Dechets'!Q59,"")</x:f>
      </x:c>
      <x:c r="R59" s="76" t="str">
        <x:f>IF('04_Form_Dechets'!$O59="Validé humainement",'04_Form_Dechets'!R59,"")</x:f>
      </x:c>
      <x:c r="S59" s="76" t="str">
        <x:f>IF('04_Form_Dechets'!$O59="Validé humainement",'04_Form_Dechets'!S59,"")</x:f>
      </x:c>
    </x:row>
    <x:row r="60">
      <x:c r="A60" s="76" t="str">
        <x:f>IF('04_Form_Dechets'!$O60="Validé humainement",'04_Form_Dechets'!A60,"")</x:f>
      </x:c>
      <x:c r="B60" s="76" t="str">
        <x:f>IF('04_Form_Dechets'!$O60="Validé humainement",'04_Form_Dechets'!B60,"")</x:f>
      </x:c>
      <x:c r="C60" s="76" t="str">
        <x:f>IF('04_Form_Dechets'!$O60="Validé humainement",'04_Form_Dechets'!C60,"")</x:f>
      </x:c>
      <x:c r="D60" s="76" t="str">
        <x:f>IF('04_Form_Dechets'!$O60="Validé humainement",'04_Form_Dechets'!D60,"")</x:f>
      </x:c>
      <x:c r="E60" s="76" t="str">
        <x:f>IF('04_Form_Dechets'!$O60="Validé humainement",'04_Form_Dechets'!E60,"")</x:f>
      </x:c>
      <x:c r="F60" s="77" t="str">
        <x:f>IF('04_Form_Dechets'!$O60="Validé humainement",'04_Form_Dechets'!F60,"")</x:f>
      </x:c>
      <x:c r="G60" s="77" t="str">
        <x:f>IF('04_Form_Dechets'!$O60="Validé humainement",'04_Form_Dechets'!G60,"")</x:f>
      </x:c>
      <x:c r="H60" s="77" t="str">
        <x:f>IF('04_Form_Dechets'!$O60="Validé humainement",'04_Form_Dechets'!H60,"")</x:f>
      </x:c>
      <x:c r="I60" s="77" t="str">
        <x:f>IF('04_Form_Dechets'!$O60="Validé humainement",'04_Form_Dechets'!I60,"")</x:f>
      </x:c>
      <x:c r="J60" s="76" t="str">
        <x:f>IF('04_Form_Dechets'!$O60="Validé humainement",'04_Form_Dechets'!J60,"")</x:f>
      </x:c>
      <x:c r="K60" s="76" t="str">
        <x:f>IF('04_Form_Dechets'!$O60="Validé humainement",'04_Form_Dechets'!K60,"")</x:f>
      </x:c>
      <x:c r="L60" s="76" t="str">
        <x:f>IF('04_Form_Dechets'!$O60="Validé humainement",'04_Form_Dechets'!L60,"")</x:f>
      </x:c>
      <x:c r="M60" s="77" t="str">
        <x:f>IF('04_Form_Dechets'!$O60="Validé humainement",'04_Form_Dechets'!M60,"")</x:f>
      </x:c>
      <x:c r="N60" s="76" t="str">
        <x:f>IF('04_Form_Dechets'!$O60="Validé humainement",'04_Form_Dechets'!N60,"")</x:f>
      </x:c>
      <x:c r="O60" s="76" t="str">
        <x:f>IF('04_Form_Dechets'!$O60="Validé humainement",'04_Form_Dechets'!O60,"")</x:f>
      </x:c>
      <x:c r="P60" s="78" t="str">
        <x:f>IF('04_Form_Dechets'!$O60="Validé humainement",'04_Form_Dechets'!P60,"")</x:f>
      </x:c>
      <x:c r="Q60" s="76" t="str">
        <x:f>IF('04_Form_Dechets'!$O60="Validé humainement",'04_Form_Dechets'!Q60,"")</x:f>
      </x:c>
      <x:c r="R60" s="76" t="str">
        <x:f>IF('04_Form_Dechets'!$O60="Validé humainement",'04_Form_Dechets'!R60,"")</x:f>
      </x:c>
      <x:c r="S60" s="76" t="str">
        <x:f>IF('04_Form_Dechets'!$O60="Validé humainement",'04_Form_Dechets'!S60,"")</x:f>
      </x:c>
    </x:row>
    <x:row r="61">
      <x:c r="A61" s="76" t="str">
        <x:f>IF('04_Form_Dechets'!$O61="Validé humainement",'04_Form_Dechets'!A61,"")</x:f>
      </x:c>
      <x:c r="B61" s="76" t="str">
        <x:f>IF('04_Form_Dechets'!$O61="Validé humainement",'04_Form_Dechets'!B61,"")</x:f>
      </x:c>
      <x:c r="C61" s="76" t="str">
        <x:f>IF('04_Form_Dechets'!$O61="Validé humainement",'04_Form_Dechets'!C61,"")</x:f>
      </x:c>
      <x:c r="D61" s="76" t="str">
        <x:f>IF('04_Form_Dechets'!$O61="Validé humainement",'04_Form_Dechets'!D61,"")</x:f>
      </x:c>
      <x:c r="E61" s="76" t="str">
        <x:f>IF('04_Form_Dechets'!$O61="Validé humainement",'04_Form_Dechets'!E61,"")</x:f>
      </x:c>
      <x:c r="F61" s="77" t="str">
        <x:f>IF('04_Form_Dechets'!$O61="Validé humainement",'04_Form_Dechets'!F61,"")</x:f>
      </x:c>
      <x:c r="G61" s="77" t="str">
        <x:f>IF('04_Form_Dechets'!$O61="Validé humainement",'04_Form_Dechets'!G61,"")</x:f>
      </x:c>
      <x:c r="H61" s="77" t="str">
        <x:f>IF('04_Form_Dechets'!$O61="Validé humainement",'04_Form_Dechets'!H61,"")</x:f>
      </x:c>
      <x:c r="I61" s="77" t="str">
        <x:f>IF('04_Form_Dechets'!$O61="Validé humainement",'04_Form_Dechets'!I61,"")</x:f>
      </x:c>
      <x:c r="J61" s="76" t="str">
        <x:f>IF('04_Form_Dechets'!$O61="Validé humainement",'04_Form_Dechets'!J61,"")</x:f>
      </x:c>
      <x:c r="K61" s="76" t="str">
        <x:f>IF('04_Form_Dechets'!$O61="Validé humainement",'04_Form_Dechets'!K61,"")</x:f>
      </x:c>
      <x:c r="L61" s="76" t="str">
        <x:f>IF('04_Form_Dechets'!$O61="Validé humainement",'04_Form_Dechets'!L61,"")</x:f>
      </x:c>
      <x:c r="M61" s="77" t="str">
        <x:f>IF('04_Form_Dechets'!$O61="Validé humainement",'04_Form_Dechets'!M61,"")</x:f>
      </x:c>
      <x:c r="N61" s="76" t="str">
        <x:f>IF('04_Form_Dechets'!$O61="Validé humainement",'04_Form_Dechets'!N61,"")</x:f>
      </x:c>
      <x:c r="O61" s="76" t="str">
        <x:f>IF('04_Form_Dechets'!$O61="Validé humainement",'04_Form_Dechets'!O61,"")</x:f>
      </x:c>
      <x:c r="P61" s="78" t="str">
        <x:f>IF('04_Form_Dechets'!$O61="Validé humainement",'04_Form_Dechets'!P61,"")</x:f>
      </x:c>
      <x:c r="Q61" s="76" t="str">
        <x:f>IF('04_Form_Dechets'!$O61="Validé humainement",'04_Form_Dechets'!Q61,"")</x:f>
      </x:c>
      <x:c r="R61" s="76" t="str">
        <x:f>IF('04_Form_Dechets'!$O61="Validé humainement",'04_Form_Dechets'!R61,"")</x:f>
      </x:c>
      <x:c r="S61" s="76" t="str">
        <x:f>IF('04_Form_Dechets'!$O61="Validé humainement",'04_Form_Dechets'!S61,"")</x:f>
      </x:c>
    </x:row>
    <x:row r="62">
      <x:c r="A62" s="76" t="str">
        <x:f>IF('04_Form_Dechets'!$O62="Validé humainement",'04_Form_Dechets'!A62,"")</x:f>
      </x:c>
      <x:c r="B62" s="76" t="str">
        <x:f>IF('04_Form_Dechets'!$O62="Validé humainement",'04_Form_Dechets'!B62,"")</x:f>
      </x:c>
      <x:c r="C62" s="76" t="str">
        <x:f>IF('04_Form_Dechets'!$O62="Validé humainement",'04_Form_Dechets'!C62,"")</x:f>
      </x:c>
      <x:c r="D62" s="76" t="str">
        <x:f>IF('04_Form_Dechets'!$O62="Validé humainement",'04_Form_Dechets'!D62,"")</x:f>
      </x:c>
      <x:c r="E62" s="76" t="str">
        <x:f>IF('04_Form_Dechets'!$O62="Validé humainement",'04_Form_Dechets'!E62,"")</x:f>
      </x:c>
      <x:c r="F62" s="77" t="str">
        <x:f>IF('04_Form_Dechets'!$O62="Validé humainement",'04_Form_Dechets'!F62,"")</x:f>
      </x:c>
      <x:c r="G62" s="77" t="str">
        <x:f>IF('04_Form_Dechets'!$O62="Validé humainement",'04_Form_Dechets'!G62,"")</x:f>
      </x:c>
      <x:c r="H62" s="77" t="str">
        <x:f>IF('04_Form_Dechets'!$O62="Validé humainement",'04_Form_Dechets'!H62,"")</x:f>
      </x:c>
      <x:c r="I62" s="77" t="str">
        <x:f>IF('04_Form_Dechets'!$O62="Validé humainement",'04_Form_Dechets'!I62,"")</x:f>
      </x:c>
      <x:c r="J62" s="76" t="str">
        <x:f>IF('04_Form_Dechets'!$O62="Validé humainement",'04_Form_Dechets'!J62,"")</x:f>
      </x:c>
      <x:c r="K62" s="76" t="str">
        <x:f>IF('04_Form_Dechets'!$O62="Validé humainement",'04_Form_Dechets'!K62,"")</x:f>
      </x:c>
      <x:c r="L62" s="76" t="str">
        <x:f>IF('04_Form_Dechets'!$O62="Validé humainement",'04_Form_Dechets'!L62,"")</x:f>
      </x:c>
      <x:c r="M62" s="77" t="str">
        <x:f>IF('04_Form_Dechets'!$O62="Validé humainement",'04_Form_Dechets'!M62,"")</x:f>
      </x:c>
      <x:c r="N62" s="76" t="str">
        <x:f>IF('04_Form_Dechets'!$O62="Validé humainement",'04_Form_Dechets'!N62,"")</x:f>
      </x:c>
      <x:c r="O62" s="76" t="str">
        <x:f>IF('04_Form_Dechets'!$O62="Validé humainement",'04_Form_Dechets'!O62,"")</x:f>
      </x:c>
      <x:c r="P62" s="78" t="str">
        <x:f>IF('04_Form_Dechets'!$O62="Validé humainement",'04_Form_Dechets'!P62,"")</x:f>
      </x:c>
      <x:c r="Q62" s="76" t="str">
        <x:f>IF('04_Form_Dechets'!$O62="Validé humainement",'04_Form_Dechets'!Q62,"")</x:f>
      </x:c>
      <x:c r="R62" s="76" t="str">
        <x:f>IF('04_Form_Dechets'!$O62="Validé humainement",'04_Form_Dechets'!R62,"")</x:f>
      </x:c>
      <x:c r="S62" s="76" t="str">
        <x:f>IF('04_Form_Dechets'!$O62="Validé humainement",'04_Form_Dechets'!S62,"")</x:f>
      </x:c>
    </x:row>
    <x:row r="63">
      <x:c r="A63" s="76" t="str">
        <x:f>IF('04_Form_Dechets'!$O63="Validé humainement",'04_Form_Dechets'!A63,"")</x:f>
      </x:c>
      <x:c r="B63" s="76" t="str">
        <x:f>IF('04_Form_Dechets'!$O63="Validé humainement",'04_Form_Dechets'!B63,"")</x:f>
      </x:c>
      <x:c r="C63" s="76" t="str">
        <x:f>IF('04_Form_Dechets'!$O63="Validé humainement",'04_Form_Dechets'!C63,"")</x:f>
      </x:c>
      <x:c r="D63" s="76" t="str">
        <x:f>IF('04_Form_Dechets'!$O63="Validé humainement",'04_Form_Dechets'!D63,"")</x:f>
      </x:c>
      <x:c r="E63" s="76" t="str">
        <x:f>IF('04_Form_Dechets'!$O63="Validé humainement",'04_Form_Dechets'!E63,"")</x:f>
      </x:c>
      <x:c r="F63" s="77" t="str">
        <x:f>IF('04_Form_Dechets'!$O63="Validé humainement",'04_Form_Dechets'!F63,"")</x:f>
      </x:c>
      <x:c r="G63" s="77" t="str">
        <x:f>IF('04_Form_Dechets'!$O63="Validé humainement",'04_Form_Dechets'!G63,"")</x:f>
      </x:c>
      <x:c r="H63" s="77" t="str">
        <x:f>IF('04_Form_Dechets'!$O63="Validé humainement",'04_Form_Dechets'!H63,"")</x:f>
      </x:c>
      <x:c r="I63" s="77" t="str">
        <x:f>IF('04_Form_Dechets'!$O63="Validé humainement",'04_Form_Dechets'!I63,"")</x:f>
      </x:c>
      <x:c r="J63" s="76" t="str">
        <x:f>IF('04_Form_Dechets'!$O63="Validé humainement",'04_Form_Dechets'!J63,"")</x:f>
      </x:c>
      <x:c r="K63" s="76" t="str">
        <x:f>IF('04_Form_Dechets'!$O63="Validé humainement",'04_Form_Dechets'!K63,"")</x:f>
      </x:c>
      <x:c r="L63" s="76" t="str">
        <x:f>IF('04_Form_Dechets'!$O63="Validé humainement",'04_Form_Dechets'!L63,"")</x:f>
      </x:c>
      <x:c r="M63" s="77" t="str">
        <x:f>IF('04_Form_Dechets'!$O63="Validé humainement",'04_Form_Dechets'!M63,"")</x:f>
      </x:c>
      <x:c r="N63" s="76" t="str">
        <x:f>IF('04_Form_Dechets'!$O63="Validé humainement",'04_Form_Dechets'!N63,"")</x:f>
      </x:c>
      <x:c r="O63" s="76" t="str">
        <x:f>IF('04_Form_Dechets'!$O63="Validé humainement",'04_Form_Dechets'!O63,"")</x:f>
      </x:c>
      <x:c r="P63" s="78" t="str">
        <x:f>IF('04_Form_Dechets'!$O63="Validé humainement",'04_Form_Dechets'!P63,"")</x:f>
      </x:c>
      <x:c r="Q63" s="76" t="str">
        <x:f>IF('04_Form_Dechets'!$O63="Validé humainement",'04_Form_Dechets'!Q63,"")</x:f>
      </x:c>
      <x:c r="R63" s="76" t="str">
        <x:f>IF('04_Form_Dechets'!$O63="Validé humainement",'04_Form_Dechets'!R63,"")</x:f>
      </x:c>
      <x:c r="S63" s="76" t="str">
        <x:f>IF('04_Form_Dechets'!$O63="Validé humainement",'04_Form_Dechets'!S63,"")</x:f>
      </x:c>
    </x:row>
    <x:row r="64">
      <x:c r="A64" s="76" t="str">
        <x:f>IF('04_Form_Dechets'!$O64="Validé humainement",'04_Form_Dechets'!A64,"")</x:f>
      </x:c>
      <x:c r="B64" s="76" t="str">
        <x:f>IF('04_Form_Dechets'!$O64="Validé humainement",'04_Form_Dechets'!B64,"")</x:f>
      </x:c>
      <x:c r="C64" s="76" t="str">
        <x:f>IF('04_Form_Dechets'!$O64="Validé humainement",'04_Form_Dechets'!C64,"")</x:f>
      </x:c>
      <x:c r="D64" s="76" t="str">
        <x:f>IF('04_Form_Dechets'!$O64="Validé humainement",'04_Form_Dechets'!D64,"")</x:f>
      </x:c>
      <x:c r="E64" s="76" t="str">
        <x:f>IF('04_Form_Dechets'!$O64="Validé humainement",'04_Form_Dechets'!E64,"")</x:f>
      </x:c>
      <x:c r="F64" s="77" t="str">
        <x:f>IF('04_Form_Dechets'!$O64="Validé humainement",'04_Form_Dechets'!F64,"")</x:f>
      </x:c>
      <x:c r="G64" s="77" t="str">
        <x:f>IF('04_Form_Dechets'!$O64="Validé humainement",'04_Form_Dechets'!G64,"")</x:f>
      </x:c>
      <x:c r="H64" s="77" t="str">
        <x:f>IF('04_Form_Dechets'!$O64="Validé humainement",'04_Form_Dechets'!H64,"")</x:f>
      </x:c>
      <x:c r="I64" s="77" t="str">
        <x:f>IF('04_Form_Dechets'!$O64="Validé humainement",'04_Form_Dechets'!I64,"")</x:f>
      </x:c>
      <x:c r="J64" s="76" t="str">
        <x:f>IF('04_Form_Dechets'!$O64="Validé humainement",'04_Form_Dechets'!J64,"")</x:f>
      </x:c>
      <x:c r="K64" s="76" t="str">
        <x:f>IF('04_Form_Dechets'!$O64="Validé humainement",'04_Form_Dechets'!K64,"")</x:f>
      </x:c>
      <x:c r="L64" s="76" t="str">
        <x:f>IF('04_Form_Dechets'!$O64="Validé humainement",'04_Form_Dechets'!L64,"")</x:f>
      </x:c>
      <x:c r="M64" s="77" t="str">
        <x:f>IF('04_Form_Dechets'!$O64="Validé humainement",'04_Form_Dechets'!M64,"")</x:f>
      </x:c>
      <x:c r="N64" s="76" t="str">
        <x:f>IF('04_Form_Dechets'!$O64="Validé humainement",'04_Form_Dechets'!N64,"")</x:f>
      </x:c>
      <x:c r="O64" s="76" t="str">
        <x:f>IF('04_Form_Dechets'!$O64="Validé humainement",'04_Form_Dechets'!O64,"")</x:f>
      </x:c>
      <x:c r="P64" s="78" t="str">
        <x:f>IF('04_Form_Dechets'!$O64="Validé humainement",'04_Form_Dechets'!P64,"")</x:f>
      </x:c>
      <x:c r="Q64" s="76" t="str">
        <x:f>IF('04_Form_Dechets'!$O64="Validé humainement",'04_Form_Dechets'!Q64,"")</x:f>
      </x:c>
      <x:c r="R64" s="76" t="str">
        <x:f>IF('04_Form_Dechets'!$O64="Validé humainement",'04_Form_Dechets'!R64,"")</x:f>
      </x:c>
      <x:c r="S64" s="76" t="str">
        <x:f>IF('04_Form_Dechets'!$O64="Validé humainement",'04_Form_Dechets'!S64,"")</x:f>
      </x:c>
    </x:row>
    <x:row r="65">
      <x:c r="A65" s="76" t="str">
        <x:f>IF('04_Form_Dechets'!$O65="Validé humainement",'04_Form_Dechets'!A65,"")</x:f>
      </x:c>
      <x:c r="B65" s="76" t="str">
        <x:f>IF('04_Form_Dechets'!$O65="Validé humainement",'04_Form_Dechets'!B65,"")</x:f>
      </x:c>
      <x:c r="C65" s="76" t="str">
        <x:f>IF('04_Form_Dechets'!$O65="Validé humainement",'04_Form_Dechets'!C65,"")</x:f>
      </x:c>
      <x:c r="D65" s="76" t="str">
        <x:f>IF('04_Form_Dechets'!$O65="Validé humainement",'04_Form_Dechets'!D65,"")</x:f>
      </x:c>
      <x:c r="E65" s="76" t="str">
        <x:f>IF('04_Form_Dechets'!$O65="Validé humainement",'04_Form_Dechets'!E65,"")</x:f>
      </x:c>
      <x:c r="F65" s="77" t="str">
        <x:f>IF('04_Form_Dechets'!$O65="Validé humainement",'04_Form_Dechets'!F65,"")</x:f>
      </x:c>
      <x:c r="G65" s="77" t="str">
        <x:f>IF('04_Form_Dechets'!$O65="Validé humainement",'04_Form_Dechets'!G65,"")</x:f>
      </x:c>
      <x:c r="H65" s="77" t="str">
        <x:f>IF('04_Form_Dechets'!$O65="Validé humainement",'04_Form_Dechets'!H65,"")</x:f>
      </x:c>
      <x:c r="I65" s="77" t="str">
        <x:f>IF('04_Form_Dechets'!$O65="Validé humainement",'04_Form_Dechets'!I65,"")</x:f>
      </x:c>
      <x:c r="J65" s="76" t="str">
        <x:f>IF('04_Form_Dechets'!$O65="Validé humainement",'04_Form_Dechets'!J65,"")</x:f>
      </x:c>
      <x:c r="K65" s="76" t="str">
        <x:f>IF('04_Form_Dechets'!$O65="Validé humainement",'04_Form_Dechets'!K65,"")</x:f>
      </x:c>
      <x:c r="L65" s="76" t="str">
        <x:f>IF('04_Form_Dechets'!$O65="Validé humainement",'04_Form_Dechets'!L65,"")</x:f>
      </x:c>
      <x:c r="M65" s="77" t="str">
        <x:f>IF('04_Form_Dechets'!$O65="Validé humainement",'04_Form_Dechets'!M65,"")</x:f>
      </x:c>
      <x:c r="N65" s="76" t="str">
        <x:f>IF('04_Form_Dechets'!$O65="Validé humainement",'04_Form_Dechets'!N65,"")</x:f>
      </x:c>
      <x:c r="O65" s="76" t="str">
        <x:f>IF('04_Form_Dechets'!$O65="Validé humainement",'04_Form_Dechets'!O65,"")</x:f>
      </x:c>
      <x:c r="P65" s="78" t="str">
        <x:f>IF('04_Form_Dechets'!$O65="Validé humainement",'04_Form_Dechets'!P65,"")</x:f>
      </x:c>
      <x:c r="Q65" s="76" t="str">
        <x:f>IF('04_Form_Dechets'!$O65="Validé humainement",'04_Form_Dechets'!Q65,"")</x:f>
      </x:c>
      <x:c r="R65" s="76" t="str">
        <x:f>IF('04_Form_Dechets'!$O65="Validé humainement",'04_Form_Dechets'!R65,"")</x:f>
      </x:c>
      <x:c r="S65" s="76" t="str">
        <x:f>IF('04_Form_Dechets'!$O65="Validé humainement",'04_Form_Dechets'!S65,"")</x:f>
      </x:c>
    </x:row>
    <x:row r="66">
      <x:c r="A66" s="76" t="str">
        <x:f>IF('04_Form_Dechets'!$O66="Validé humainement",'04_Form_Dechets'!A66,"")</x:f>
      </x:c>
      <x:c r="B66" s="76" t="str">
        <x:f>IF('04_Form_Dechets'!$O66="Validé humainement",'04_Form_Dechets'!B66,"")</x:f>
      </x:c>
      <x:c r="C66" s="76" t="str">
        <x:f>IF('04_Form_Dechets'!$O66="Validé humainement",'04_Form_Dechets'!C66,"")</x:f>
      </x:c>
      <x:c r="D66" s="76" t="str">
        <x:f>IF('04_Form_Dechets'!$O66="Validé humainement",'04_Form_Dechets'!D66,"")</x:f>
      </x:c>
      <x:c r="E66" s="76" t="str">
        <x:f>IF('04_Form_Dechets'!$O66="Validé humainement",'04_Form_Dechets'!E66,"")</x:f>
      </x:c>
      <x:c r="F66" s="77" t="str">
        <x:f>IF('04_Form_Dechets'!$O66="Validé humainement",'04_Form_Dechets'!F66,"")</x:f>
      </x:c>
      <x:c r="G66" s="77" t="str">
        <x:f>IF('04_Form_Dechets'!$O66="Validé humainement",'04_Form_Dechets'!G66,"")</x:f>
      </x:c>
      <x:c r="H66" s="77" t="str">
        <x:f>IF('04_Form_Dechets'!$O66="Validé humainement",'04_Form_Dechets'!H66,"")</x:f>
      </x:c>
      <x:c r="I66" s="77" t="str">
        <x:f>IF('04_Form_Dechets'!$O66="Validé humainement",'04_Form_Dechets'!I66,"")</x:f>
      </x:c>
      <x:c r="J66" s="76" t="str">
        <x:f>IF('04_Form_Dechets'!$O66="Validé humainement",'04_Form_Dechets'!J66,"")</x:f>
      </x:c>
      <x:c r="K66" s="76" t="str">
        <x:f>IF('04_Form_Dechets'!$O66="Validé humainement",'04_Form_Dechets'!K66,"")</x:f>
      </x:c>
      <x:c r="L66" s="76" t="str">
        <x:f>IF('04_Form_Dechets'!$O66="Validé humainement",'04_Form_Dechets'!L66,"")</x:f>
      </x:c>
      <x:c r="M66" s="77" t="str">
        <x:f>IF('04_Form_Dechets'!$O66="Validé humainement",'04_Form_Dechets'!M66,"")</x:f>
      </x:c>
      <x:c r="N66" s="76" t="str">
        <x:f>IF('04_Form_Dechets'!$O66="Validé humainement",'04_Form_Dechets'!N66,"")</x:f>
      </x:c>
      <x:c r="O66" s="76" t="str">
        <x:f>IF('04_Form_Dechets'!$O66="Validé humainement",'04_Form_Dechets'!O66,"")</x:f>
      </x:c>
      <x:c r="P66" s="78" t="str">
        <x:f>IF('04_Form_Dechets'!$O66="Validé humainement",'04_Form_Dechets'!P66,"")</x:f>
      </x:c>
      <x:c r="Q66" s="76" t="str">
        <x:f>IF('04_Form_Dechets'!$O66="Validé humainement",'04_Form_Dechets'!Q66,"")</x:f>
      </x:c>
      <x:c r="R66" s="76" t="str">
        <x:f>IF('04_Form_Dechets'!$O66="Validé humainement",'04_Form_Dechets'!R66,"")</x:f>
      </x:c>
      <x:c r="S66" s="76" t="str">
        <x:f>IF('04_Form_Dechets'!$O66="Validé humainement",'04_Form_Dechets'!S66,"")</x:f>
      </x:c>
    </x:row>
    <x:row r="67">
      <x:c r="A67" s="76" t="str">
        <x:f>IF('04_Form_Dechets'!$O67="Validé humainement",'04_Form_Dechets'!A67,"")</x:f>
      </x:c>
      <x:c r="B67" s="76" t="str">
        <x:f>IF('04_Form_Dechets'!$O67="Validé humainement",'04_Form_Dechets'!B67,"")</x:f>
      </x:c>
      <x:c r="C67" s="76" t="str">
        <x:f>IF('04_Form_Dechets'!$O67="Validé humainement",'04_Form_Dechets'!C67,"")</x:f>
      </x:c>
      <x:c r="D67" s="76" t="str">
        <x:f>IF('04_Form_Dechets'!$O67="Validé humainement",'04_Form_Dechets'!D67,"")</x:f>
      </x:c>
      <x:c r="E67" s="76" t="str">
        <x:f>IF('04_Form_Dechets'!$O67="Validé humainement",'04_Form_Dechets'!E67,"")</x:f>
      </x:c>
      <x:c r="F67" s="77" t="str">
        <x:f>IF('04_Form_Dechets'!$O67="Validé humainement",'04_Form_Dechets'!F67,"")</x:f>
      </x:c>
      <x:c r="G67" s="77" t="str">
        <x:f>IF('04_Form_Dechets'!$O67="Validé humainement",'04_Form_Dechets'!G67,"")</x:f>
      </x:c>
      <x:c r="H67" s="77" t="str">
        <x:f>IF('04_Form_Dechets'!$O67="Validé humainement",'04_Form_Dechets'!H67,"")</x:f>
      </x:c>
      <x:c r="I67" s="77" t="str">
        <x:f>IF('04_Form_Dechets'!$O67="Validé humainement",'04_Form_Dechets'!I67,"")</x:f>
      </x:c>
      <x:c r="J67" s="76" t="str">
        <x:f>IF('04_Form_Dechets'!$O67="Validé humainement",'04_Form_Dechets'!J67,"")</x:f>
      </x:c>
      <x:c r="K67" s="76" t="str">
        <x:f>IF('04_Form_Dechets'!$O67="Validé humainement",'04_Form_Dechets'!K67,"")</x:f>
      </x:c>
      <x:c r="L67" s="76" t="str">
        <x:f>IF('04_Form_Dechets'!$O67="Validé humainement",'04_Form_Dechets'!L67,"")</x:f>
      </x:c>
      <x:c r="M67" s="77" t="str">
        <x:f>IF('04_Form_Dechets'!$O67="Validé humainement",'04_Form_Dechets'!M67,"")</x:f>
      </x:c>
      <x:c r="N67" s="76" t="str">
        <x:f>IF('04_Form_Dechets'!$O67="Validé humainement",'04_Form_Dechets'!N67,"")</x:f>
      </x:c>
      <x:c r="O67" s="76" t="str">
        <x:f>IF('04_Form_Dechets'!$O67="Validé humainement",'04_Form_Dechets'!O67,"")</x:f>
      </x:c>
      <x:c r="P67" s="78" t="str">
        <x:f>IF('04_Form_Dechets'!$O67="Validé humainement",'04_Form_Dechets'!P67,"")</x:f>
      </x:c>
      <x:c r="Q67" s="76" t="str">
        <x:f>IF('04_Form_Dechets'!$O67="Validé humainement",'04_Form_Dechets'!Q67,"")</x:f>
      </x:c>
      <x:c r="R67" s="76" t="str">
        <x:f>IF('04_Form_Dechets'!$O67="Validé humainement",'04_Form_Dechets'!R67,"")</x:f>
      </x:c>
      <x:c r="S67" s="76" t="str">
        <x:f>IF('04_Form_Dechets'!$O67="Validé humainement",'04_Form_Dechets'!S67,"")</x:f>
      </x:c>
    </x:row>
    <x:row r="68">
      <x:c r="A68" s="76" t="str">
        <x:f>IF('04_Form_Dechets'!$O68="Validé humainement",'04_Form_Dechets'!A68,"")</x:f>
      </x:c>
      <x:c r="B68" s="76" t="str">
        <x:f>IF('04_Form_Dechets'!$O68="Validé humainement",'04_Form_Dechets'!B68,"")</x:f>
      </x:c>
      <x:c r="C68" s="76" t="str">
        <x:f>IF('04_Form_Dechets'!$O68="Validé humainement",'04_Form_Dechets'!C68,"")</x:f>
      </x:c>
      <x:c r="D68" s="76" t="str">
        <x:f>IF('04_Form_Dechets'!$O68="Validé humainement",'04_Form_Dechets'!D68,"")</x:f>
      </x:c>
      <x:c r="E68" s="76" t="str">
        <x:f>IF('04_Form_Dechets'!$O68="Validé humainement",'04_Form_Dechets'!E68,"")</x:f>
      </x:c>
      <x:c r="F68" s="77" t="str">
        <x:f>IF('04_Form_Dechets'!$O68="Validé humainement",'04_Form_Dechets'!F68,"")</x:f>
      </x:c>
      <x:c r="G68" s="77" t="str">
        <x:f>IF('04_Form_Dechets'!$O68="Validé humainement",'04_Form_Dechets'!G68,"")</x:f>
      </x:c>
      <x:c r="H68" s="77" t="str">
        <x:f>IF('04_Form_Dechets'!$O68="Validé humainement",'04_Form_Dechets'!H68,"")</x:f>
      </x:c>
      <x:c r="I68" s="77" t="str">
        <x:f>IF('04_Form_Dechets'!$O68="Validé humainement",'04_Form_Dechets'!I68,"")</x:f>
      </x:c>
      <x:c r="J68" s="76" t="str">
        <x:f>IF('04_Form_Dechets'!$O68="Validé humainement",'04_Form_Dechets'!J68,"")</x:f>
      </x:c>
      <x:c r="K68" s="76" t="str">
        <x:f>IF('04_Form_Dechets'!$O68="Validé humainement",'04_Form_Dechets'!K68,"")</x:f>
      </x:c>
      <x:c r="L68" s="76" t="str">
        <x:f>IF('04_Form_Dechets'!$O68="Validé humainement",'04_Form_Dechets'!L68,"")</x:f>
      </x:c>
      <x:c r="M68" s="77" t="str">
        <x:f>IF('04_Form_Dechets'!$O68="Validé humainement",'04_Form_Dechets'!M68,"")</x:f>
      </x:c>
      <x:c r="N68" s="76" t="str">
        <x:f>IF('04_Form_Dechets'!$O68="Validé humainement",'04_Form_Dechets'!N68,"")</x:f>
      </x:c>
      <x:c r="O68" s="76" t="str">
        <x:f>IF('04_Form_Dechets'!$O68="Validé humainement",'04_Form_Dechets'!O68,"")</x:f>
      </x:c>
      <x:c r="P68" s="78" t="str">
        <x:f>IF('04_Form_Dechets'!$O68="Validé humainement",'04_Form_Dechets'!P68,"")</x:f>
      </x:c>
      <x:c r="Q68" s="76" t="str">
        <x:f>IF('04_Form_Dechets'!$O68="Validé humainement",'04_Form_Dechets'!Q68,"")</x:f>
      </x:c>
      <x:c r="R68" s="76" t="str">
        <x:f>IF('04_Form_Dechets'!$O68="Validé humainement",'04_Form_Dechets'!R68,"")</x:f>
      </x:c>
      <x:c r="S68" s="76" t="str">
        <x:f>IF('04_Form_Dechets'!$O68="Validé humainement",'04_Form_Dechets'!S68,"")</x:f>
      </x:c>
    </x:row>
    <x:row r="69">
      <x:c r="A69" s="76" t="str">
        <x:f>IF('04_Form_Dechets'!$O69="Validé humainement",'04_Form_Dechets'!A69,"")</x:f>
      </x:c>
      <x:c r="B69" s="76" t="str">
        <x:f>IF('04_Form_Dechets'!$O69="Validé humainement",'04_Form_Dechets'!B69,"")</x:f>
      </x:c>
      <x:c r="C69" s="76" t="str">
        <x:f>IF('04_Form_Dechets'!$O69="Validé humainement",'04_Form_Dechets'!C69,"")</x:f>
      </x:c>
      <x:c r="D69" s="76" t="str">
        <x:f>IF('04_Form_Dechets'!$O69="Validé humainement",'04_Form_Dechets'!D69,"")</x:f>
      </x:c>
      <x:c r="E69" s="76" t="str">
        <x:f>IF('04_Form_Dechets'!$O69="Validé humainement",'04_Form_Dechets'!E69,"")</x:f>
      </x:c>
      <x:c r="F69" s="77" t="str">
        <x:f>IF('04_Form_Dechets'!$O69="Validé humainement",'04_Form_Dechets'!F69,"")</x:f>
      </x:c>
      <x:c r="G69" s="77" t="str">
        <x:f>IF('04_Form_Dechets'!$O69="Validé humainement",'04_Form_Dechets'!G69,"")</x:f>
      </x:c>
      <x:c r="H69" s="77" t="str">
        <x:f>IF('04_Form_Dechets'!$O69="Validé humainement",'04_Form_Dechets'!H69,"")</x:f>
      </x:c>
      <x:c r="I69" s="77" t="str">
        <x:f>IF('04_Form_Dechets'!$O69="Validé humainement",'04_Form_Dechets'!I69,"")</x:f>
      </x:c>
      <x:c r="J69" s="76" t="str">
        <x:f>IF('04_Form_Dechets'!$O69="Validé humainement",'04_Form_Dechets'!J69,"")</x:f>
      </x:c>
      <x:c r="K69" s="76" t="str">
        <x:f>IF('04_Form_Dechets'!$O69="Validé humainement",'04_Form_Dechets'!K69,"")</x:f>
      </x:c>
      <x:c r="L69" s="76" t="str">
        <x:f>IF('04_Form_Dechets'!$O69="Validé humainement",'04_Form_Dechets'!L69,"")</x:f>
      </x:c>
      <x:c r="M69" s="77" t="str">
        <x:f>IF('04_Form_Dechets'!$O69="Validé humainement",'04_Form_Dechets'!M69,"")</x:f>
      </x:c>
      <x:c r="N69" s="76" t="str">
        <x:f>IF('04_Form_Dechets'!$O69="Validé humainement",'04_Form_Dechets'!N69,"")</x:f>
      </x:c>
      <x:c r="O69" s="76" t="str">
        <x:f>IF('04_Form_Dechets'!$O69="Validé humainement",'04_Form_Dechets'!O69,"")</x:f>
      </x:c>
      <x:c r="P69" s="78" t="str">
        <x:f>IF('04_Form_Dechets'!$O69="Validé humainement",'04_Form_Dechets'!P69,"")</x:f>
      </x:c>
      <x:c r="Q69" s="76" t="str">
        <x:f>IF('04_Form_Dechets'!$O69="Validé humainement",'04_Form_Dechets'!Q69,"")</x:f>
      </x:c>
      <x:c r="R69" s="76" t="str">
        <x:f>IF('04_Form_Dechets'!$O69="Validé humainement",'04_Form_Dechets'!R69,"")</x:f>
      </x:c>
      <x:c r="S69" s="76" t="str">
        <x:f>IF('04_Form_Dechets'!$O69="Validé humainement",'04_Form_Dechets'!S69,"")</x:f>
      </x:c>
    </x:row>
    <x:row r="70">
      <x:c r="A70" s="76" t="str">
        <x:f>IF('04_Form_Dechets'!$O70="Validé humainement",'04_Form_Dechets'!A70,"")</x:f>
      </x:c>
      <x:c r="B70" s="76" t="str">
        <x:f>IF('04_Form_Dechets'!$O70="Validé humainement",'04_Form_Dechets'!B70,"")</x:f>
      </x:c>
      <x:c r="C70" s="76" t="str">
        <x:f>IF('04_Form_Dechets'!$O70="Validé humainement",'04_Form_Dechets'!C70,"")</x:f>
      </x:c>
      <x:c r="D70" s="76" t="str">
        <x:f>IF('04_Form_Dechets'!$O70="Validé humainement",'04_Form_Dechets'!D70,"")</x:f>
      </x:c>
      <x:c r="E70" s="76" t="str">
        <x:f>IF('04_Form_Dechets'!$O70="Validé humainement",'04_Form_Dechets'!E70,"")</x:f>
      </x:c>
      <x:c r="F70" s="77" t="str">
        <x:f>IF('04_Form_Dechets'!$O70="Validé humainement",'04_Form_Dechets'!F70,"")</x:f>
      </x:c>
      <x:c r="G70" s="77" t="str">
        <x:f>IF('04_Form_Dechets'!$O70="Validé humainement",'04_Form_Dechets'!G70,"")</x:f>
      </x:c>
      <x:c r="H70" s="77" t="str">
        <x:f>IF('04_Form_Dechets'!$O70="Validé humainement",'04_Form_Dechets'!H70,"")</x:f>
      </x:c>
      <x:c r="I70" s="77" t="str">
        <x:f>IF('04_Form_Dechets'!$O70="Validé humainement",'04_Form_Dechets'!I70,"")</x:f>
      </x:c>
      <x:c r="J70" s="76" t="str">
        <x:f>IF('04_Form_Dechets'!$O70="Validé humainement",'04_Form_Dechets'!J70,"")</x:f>
      </x:c>
      <x:c r="K70" s="76" t="str">
        <x:f>IF('04_Form_Dechets'!$O70="Validé humainement",'04_Form_Dechets'!K70,"")</x:f>
      </x:c>
      <x:c r="L70" s="76" t="str">
        <x:f>IF('04_Form_Dechets'!$O70="Validé humainement",'04_Form_Dechets'!L70,"")</x:f>
      </x:c>
      <x:c r="M70" s="77" t="str">
        <x:f>IF('04_Form_Dechets'!$O70="Validé humainement",'04_Form_Dechets'!M70,"")</x:f>
      </x:c>
      <x:c r="N70" s="76" t="str">
        <x:f>IF('04_Form_Dechets'!$O70="Validé humainement",'04_Form_Dechets'!N70,"")</x:f>
      </x:c>
      <x:c r="O70" s="76" t="str">
        <x:f>IF('04_Form_Dechets'!$O70="Validé humainement",'04_Form_Dechets'!O70,"")</x:f>
      </x:c>
      <x:c r="P70" s="78" t="str">
        <x:f>IF('04_Form_Dechets'!$O70="Validé humainement",'04_Form_Dechets'!P70,"")</x:f>
      </x:c>
      <x:c r="Q70" s="76" t="str">
        <x:f>IF('04_Form_Dechets'!$O70="Validé humainement",'04_Form_Dechets'!Q70,"")</x:f>
      </x:c>
      <x:c r="R70" s="76" t="str">
        <x:f>IF('04_Form_Dechets'!$O70="Validé humainement",'04_Form_Dechets'!R70,"")</x:f>
      </x:c>
      <x:c r="S70" s="76" t="str">
        <x:f>IF('04_Form_Dechets'!$O70="Validé humainement",'04_Form_Dechets'!S70,"")</x:f>
      </x:c>
    </x:row>
    <x:row r="71">
      <x:c r="A71" s="76" t="str">
        <x:f>IF('04_Form_Dechets'!$O71="Validé humainement",'04_Form_Dechets'!A71,"")</x:f>
      </x:c>
      <x:c r="B71" s="76" t="str">
        <x:f>IF('04_Form_Dechets'!$O71="Validé humainement",'04_Form_Dechets'!B71,"")</x:f>
      </x:c>
      <x:c r="C71" s="76" t="str">
        <x:f>IF('04_Form_Dechets'!$O71="Validé humainement",'04_Form_Dechets'!C71,"")</x:f>
      </x:c>
      <x:c r="D71" s="76" t="str">
        <x:f>IF('04_Form_Dechets'!$O71="Validé humainement",'04_Form_Dechets'!D71,"")</x:f>
      </x:c>
      <x:c r="E71" s="76" t="str">
        <x:f>IF('04_Form_Dechets'!$O71="Validé humainement",'04_Form_Dechets'!E71,"")</x:f>
      </x:c>
      <x:c r="F71" s="77" t="str">
        <x:f>IF('04_Form_Dechets'!$O71="Validé humainement",'04_Form_Dechets'!F71,"")</x:f>
      </x:c>
      <x:c r="G71" s="77" t="str">
        <x:f>IF('04_Form_Dechets'!$O71="Validé humainement",'04_Form_Dechets'!G71,"")</x:f>
      </x:c>
      <x:c r="H71" s="77" t="str">
        <x:f>IF('04_Form_Dechets'!$O71="Validé humainement",'04_Form_Dechets'!H71,"")</x:f>
      </x:c>
      <x:c r="I71" s="77" t="str">
        <x:f>IF('04_Form_Dechets'!$O71="Validé humainement",'04_Form_Dechets'!I71,"")</x:f>
      </x:c>
      <x:c r="J71" s="76" t="str">
        <x:f>IF('04_Form_Dechets'!$O71="Validé humainement",'04_Form_Dechets'!J71,"")</x:f>
      </x:c>
      <x:c r="K71" s="76" t="str">
        <x:f>IF('04_Form_Dechets'!$O71="Validé humainement",'04_Form_Dechets'!K71,"")</x:f>
      </x:c>
      <x:c r="L71" s="76" t="str">
        <x:f>IF('04_Form_Dechets'!$O71="Validé humainement",'04_Form_Dechets'!L71,"")</x:f>
      </x:c>
      <x:c r="M71" s="77" t="str">
        <x:f>IF('04_Form_Dechets'!$O71="Validé humainement",'04_Form_Dechets'!M71,"")</x:f>
      </x:c>
      <x:c r="N71" s="76" t="str">
        <x:f>IF('04_Form_Dechets'!$O71="Validé humainement",'04_Form_Dechets'!N71,"")</x:f>
      </x:c>
      <x:c r="O71" s="76" t="str">
        <x:f>IF('04_Form_Dechets'!$O71="Validé humainement",'04_Form_Dechets'!O71,"")</x:f>
      </x:c>
      <x:c r="P71" s="78" t="str">
        <x:f>IF('04_Form_Dechets'!$O71="Validé humainement",'04_Form_Dechets'!P71,"")</x:f>
      </x:c>
      <x:c r="Q71" s="76" t="str">
        <x:f>IF('04_Form_Dechets'!$O71="Validé humainement",'04_Form_Dechets'!Q71,"")</x:f>
      </x:c>
      <x:c r="R71" s="76" t="str">
        <x:f>IF('04_Form_Dechets'!$O71="Validé humainement",'04_Form_Dechets'!R71,"")</x:f>
      </x:c>
      <x:c r="S71" s="76" t="str">
        <x:f>IF('04_Form_Dechets'!$O71="Validé humainement",'04_Form_Dechets'!S71,"")</x:f>
      </x:c>
    </x:row>
    <x:row r="72">
      <x:c r="A72" s="76" t="str">
        <x:f>IF('04_Form_Dechets'!$O72="Validé humainement",'04_Form_Dechets'!A72,"")</x:f>
      </x:c>
      <x:c r="B72" s="76" t="str">
        <x:f>IF('04_Form_Dechets'!$O72="Validé humainement",'04_Form_Dechets'!B72,"")</x:f>
      </x:c>
      <x:c r="C72" s="76" t="str">
        <x:f>IF('04_Form_Dechets'!$O72="Validé humainement",'04_Form_Dechets'!C72,"")</x:f>
      </x:c>
      <x:c r="D72" s="76" t="str">
        <x:f>IF('04_Form_Dechets'!$O72="Validé humainement",'04_Form_Dechets'!D72,"")</x:f>
      </x:c>
      <x:c r="E72" s="76" t="str">
        <x:f>IF('04_Form_Dechets'!$O72="Validé humainement",'04_Form_Dechets'!E72,"")</x:f>
      </x:c>
      <x:c r="F72" s="77" t="str">
        <x:f>IF('04_Form_Dechets'!$O72="Validé humainement",'04_Form_Dechets'!F72,"")</x:f>
      </x:c>
      <x:c r="G72" s="77" t="str">
        <x:f>IF('04_Form_Dechets'!$O72="Validé humainement",'04_Form_Dechets'!G72,"")</x:f>
      </x:c>
      <x:c r="H72" s="77" t="str">
        <x:f>IF('04_Form_Dechets'!$O72="Validé humainement",'04_Form_Dechets'!H72,"")</x:f>
      </x:c>
      <x:c r="I72" s="77" t="str">
        <x:f>IF('04_Form_Dechets'!$O72="Validé humainement",'04_Form_Dechets'!I72,"")</x:f>
      </x:c>
      <x:c r="J72" s="76" t="str">
        <x:f>IF('04_Form_Dechets'!$O72="Validé humainement",'04_Form_Dechets'!J72,"")</x:f>
      </x:c>
      <x:c r="K72" s="76" t="str">
        <x:f>IF('04_Form_Dechets'!$O72="Validé humainement",'04_Form_Dechets'!K72,"")</x:f>
      </x:c>
      <x:c r="L72" s="76" t="str">
        <x:f>IF('04_Form_Dechets'!$O72="Validé humainement",'04_Form_Dechets'!L72,"")</x:f>
      </x:c>
      <x:c r="M72" s="77" t="str">
        <x:f>IF('04_Form_Dechets'!$O72="Validé humainement",'04_Form_Dechets'!M72,"")</x:f>
      </x:c>
      <x:c r="N72" s="76" t="str">
        <x:f>IF('04_Form_Dechets'!$O72="Validé humainement",'04_Form_Dechets'!N72,"")</x:f>
      </x:c>
      <x:c r="O72" s="76" t="str">
        <x:f>IF('04_Form_Dechets'!$O72="Validé humainement",'04_Form_Dechets'!O72,"")</x:f>
      </x:c>
      <x:c r="P72" s="78" t="str">
        <x:f>IF('04_Form_Dechets'!$O72="Validé humainement",'04_Form_Dechets'!P72,"")</x:f>
      </x:c>
      <x:c r="Q72" s="76" t="str">
        <x:f>IF('04_Form_Dechets'!$O72="Validé humainement",'04_Form_Dechets'!Q72,"")</x:f>
      </x:c>
      <x:c r="R72" s="76" t="str">
        <x:f>IF('04_Form_Dechets'!$O72="Validé humainement",'04_Form_Dechets'!R72,"")</x:f>
      </x:c>
      <x:c r="S72" s="76" t="str">
        <x:f>IF('04_Form_Dechets'!$O72="Validé humainement",'04_Form_Dechets'!S72,"")</x:f>
      </x:c>
    </x:row>
    <x:row r="73">
      <x:c r="A73" s="76" t="str">
        <x:f>IF('04_Form_Dechets'!$O73="Validé humainement",'04_Form_Dechets'!A73,"")</x:f>
      </x:c>
      <x:c r="B73" s="76" t="str">
        <x:f>IF('04_Form_Dechets'!$O73="Validé humainement",'04_Form_Dechets'!B73,"")</x:f>
      </x:c>
      <x:c r="C73" s="76" t="str">
        <x:f>IF('04_Form_Dechets'!$O73="Validé humainement",'04_Form_Dechets'!C73,"")</x:f>
      </x:c>
      <x:c r="D73" s="76" t="str">
        <x:f>IF('04_Form_Dechets'!$O73="Validé humainement",'04_Form_Dechets'!D73,"")</x:f>
      </x:c>
      <x:c r="E73" s="76" t="str">
        <x:f>IF('04_Form_Dechets'!$O73="Validé humainement",'04_Form_Dechets'!E73,"")</x:f>
      </x:c>
      <x:c r="F73" s="77" t="str">
        <x:f>IF('04_Form_Dechets'!$O73="Validé humainement",'04_Form_Dechets'!F73,"")</x:f>
      </x:c>
      <x:c r="G73" s="77" t="str">
        <x:f>IF('04_Form_Dechets'!$O73="Validé humainement",'04_Form_Dechets'!G73,"")</x:f>
      </x:c>
      <x:c r="H73" s="77" t="str">
        <x:f>IF('04_Form_Dechets'!$O73="Validé humainement",'04_Form_Dechets'!H73,"")</x:f>
      </x:c>
      <x:c r="I73" s="77" t="str">
        <x:f>IF('04_Form_Dechets'!$O73="Validé humainement",'04_Form_Dechets'!I73,"")</x:f>
      </x:c>
      <x:c r="J73" s="76" t="str">
        <x:f>IF('04_Form_Dechets'!$O73="Validé humainement",'04_Form_Dechets'!J73,"")</x:f>
      </x:c>
      <x:c r="K73" s="76" t="str">
        <x:f>IF('04_Form_Dechets'!$O73="Validé humainement",'04_Form_Dechets'!K73,"")</x:f>
      </x:c>
      <x:c r="L73" s="76" t="str">
        <x:f>IF('04_Form_Dechets'!$O73="Validé humainement",'04_Form_Dechets'!L73,"")</x:f>
      </x:c>
      <x:c r="M73" s="77" t="str">
        <x:f>IF('04_Form_Dechets'!$O73="Validé humainement",'04_Form_Dechets'!M73,"")</x:f>
      </x:c>
      <x:c r="N73" s="76" t="str">
        <x:f>IF('04_Form_Dechets'!$O73="Validé humainement",'04_Form_Dechets'!N73,"")</x:f>
      </x:c>
      <x:c r="O73" s="76" t="str">
        <x:f>IF('04_Form_Dechets'!$O73="Validé humainement",'04_Form_Dechets'!O73,"")</x:f>
      </x:c>
      <x:c r="P73" s="78" t="str">
        <x:f>IF('04_Form_Dechets'!$O73="Validé humainement",'04_Form_Dechets'!P73,"")</x:f>
      </x:c>
      <x:c r="Q73" s="76" t="str">
        <x:f>IF('04_Form_Dechets'!$O73="Validé humainement",'04_Form_Dechets'!Q73,"")</x:f>
      </x:c>
      <x:c r="R73" s="76" t="str">
        <x:f>IF('04_Form_Dechets'!$O73="Validé humainement",'04_Form_Dechets'!R73,"")</x:f>
      </x:c>
      <x:c r="S73" s="76" t="str">
        <x:f>IF('04_Form_Dechets'!$O73="Validé humainement",'04_Form_Dechets'!S73,"")</x:f>
      </x:c>
    </x:row>
    <x:row r="74">
      <x:c r="A74" s="76" t="str">
        <x:f>IF('04_Form_Dechets'!$O74="Validé humainement",'04_Form_Dechets'!A74,"")</x:f>
      </x:c>
      <x:c r="B74" s="76" t="str">
        <x:f>IF('04_Form_Dechets'!$O74="Validé humainement",'04_Form_Dechets'!B74,"")</x:f>
      </x:c>
      <x:c r="C74" s="76" t="str">
        <x:f>IF('04_Form_Dechets'!$O74="Validé humainement",'04_Form_Dechets'!C74,"")</x:f>
      </x:c>
      <x:c r="D74" s="76" t="str">
        <x:f>IF('04_Form_Dechets'!$O74="Validé humainement",'04_Form_Dechets'!D74,"")</x:f>
      </x:c>
      <x:c r="E74" s="76" t="str">
        <x:f>IF('04_Form_Dechets'!$O74="Validé humainement",'04_Form_Dechets'!E74,"")</x:f>
      </x:c>
      <x:c r="F74" s="77" t="str">
        <x:f>IF('04_Form_Dechets'!$O74="Validé humainement",'04_Form_Dechets'!F74,"")</x:f>
      </x:c>
      <x:c r="G74" s="77" t="str">
        <x:f>IF('04_Form_Dechets'!$O74="Validé humainement",'04_Form_Dechets'!G74,"")</x:f>
      </x:c>
      <x:c r="H74" s="77" t="str">
        <x:f>IF('04_Form_Dechets'!$O74="Validé humainement",'04_Form_Dechets'!H74,"")</x:f>
      </x:c>
      <x:c r="I74" s="77" t="str">
        <x:f>IF('04_Form_Dechets'!$O74="Validé humainement",'04_Form_Dechets'!I74,"")</x:f>
      </x:c>
      <x:c r="J74" s="76" t="str">
        <x:f>IF('04_Form_Dechets'!$O74="Validé humainement",'04_Form_Dechets'!J74,"")</x:f>
      </x:c>
      <x:c r="K74" s="76" t="str">
        <x:f>IF('04_Form_Dechets'!$O74="Validé humainement",'04_Form_Dechets'!K74,"")</x:f>
      </x:c>
      <x:c r="L74" s="76" t="str">
        <x:f>IF('04_Form_Dechets'!$O74="Validé humainement",'04_Form_Dechets'!L74,"")</x:f>
      </x:c>
      <x:c r="M74" s="77" t="str">
        <x:f>IF('04_Form_Dechets'!$O74="Validé humainement",'04_Form_Dechets'!M74,"")</x:f>
      </x:c>
      <x:c r="N74" s="76" t="str">
        <x:f>IF('04_Form_Dechets'!$O74="Validé humainement",'04_Form_Dechets'!N74,"")</x:f>
      </x:c>
      <x:c r="O74" s="76" t="str">
        <x:f>IF('04_Form_Dechets'!$O74="Validé humainement",'04_Form_Dechets'!O74,"")</x:f>
      </x:c>
      <x:c r="P74" s="78" t="str">
        <x:f>IF('04_Form_Dechets'!$O74="Validé humainement",'04_Form_Dechets'!P74,"")</x:f>
      </x:c>
      <x:c r="Q74" s="76" t="str">
        <x:f>IF('04_Form_Dechets'!$O74="Validé humainement",'04_Form_Dechets'!Q74,"")</x:f>
      </x:c>
      <x:c r="R74" s="76" t="str">
        <x:f>IF('04_Form_Dechets'!$O74="Validé humainement",'04_Form_Dechets'!R74,"")</x:f>
      </x:c>
      <x:c r="S74" s="76" t="str">
        <x:f>IF('04_Form_Dechets'!$O74="Validé humainement",'04_Form_Dechets'!S74,"")</x:f>
      </x:c>
    </x:row>
    <x:row r="75">
      <x:c r="A75" s="76" t="str">
        <x:f>IF('04_Form_Dechets'!$O75="Validé humainement",'04_Form_Dechets'!A75,"")</x:f>
      </x:c>
      <x:c r="B75" s="76" t="str">
        <x:f>IF('04_Form_Dechets'!$O75="Validé humainement",'04_Form_Dechets'!B75,"")</x:f>
      </x:c>
      <x:c r="C75" s="76" t="str">
        <x:f>IF('04_Form_Dechets'!$O75="Validé humainement",'04_Form_Dechets'!C75,"")</x:f>
      </x:c>
      <x:c r="D75" s="76" t="str">
        <x:f>IF('04_Form_Dechets'!$O75="Validé humainement",'04_Form_Dechets'!D75,"")</x:f>
      </x:c>
      <x:c r="E75" s="76" t="str">
        <x:f>IF('04_Form_Dechets'!$O75="Validé humainement",'04_Form_Dechets'!E75,"")</x:f>
      </x:c>
      <x:c r="F75" s="77" t="str">
        <x:f>IF('04_Form_Dechets'!$O75="Validé humainement",'04_Form_Dechets'!F75,"")</x:f>
      </x:c>
      <x:c r="G75" s="77" t="str">
        <x:f>IF('04_Form_Dechets'!$O75="Validé humainement",'04_Form_Dechets'!G75,"")</x:f>
      </x:c>
      <x:c r="H75" s="77" t="str">
        <x:f>IF('04_Form_Dechets'!$O75="Validé humainement",'04_Form_Dechets'!H75,"")</x:f>
      </x:c>
      <x:c r="I75" s="77" t="str">
        <x:f>IF('04_Form_Dechets'!$O75="Validé humainement",'04_Form_Dechets'!I75,"")</x:f>
      </x:c>
      <x:c r="J75" s="76" t="str">
        <x:f>IF('04_Form_Dechets'!$O75="Validé humainement",'04_Form_Dechets'!J75,"")</x:f>
      </x:c>
      <x:c r="K75" s="76" t="str">
        <x:f>IF('04_Form_Dechets'!$O75="Validé humainement",'04_Form_Dechets'!K75,"")</x:f>
      </x:c>
      <x:c r="L75" s="76" t="str">
        <x:f>IF('04_Form_Dechets'!$O75="Validé humainement",'04_Form_Dechets'!L75,"")</x:f>
      </x:c>
      <x:c r="M75" s="77" t="str">
        <x:f>IF('04_Form_Dechets'!$O75="Validé humainement",'04_Form_Dechets'!M75,"")</x:f>
      </x:c>
      <x:c r="N75" s="76" t="str">
        <x:f>IF('04_Form_Dechets'!$O75="Validé humainement",'04_Form_Dechets'!N75,"")</x:f>
      </x:c>
      <x:c r="O75" s="76" t="str">
        <x:f>IF('04_Form_Dechets'!$O75="Validé humainement",'04_Form_Dechets'!O75,"")</x:f>
      </x:c>
      <x:c r="P75" s="78" t="str">
        <x:f>IF('04_Form_Dechets'!$O75="Validé humainement",'04_Form_Dechets'!P75,"")</x:f>
      </x:c>
      <x:c r="Q75" s="76" t="str">
        <x:f>IF('04_Form_Dechets'!$O75="Validé humainement",'04_Form_Dechets'!Q75,"")</x:f>
      </x:c>
      <x:c r="R75" s="76" t="str">
        <x:f>IF('04_Form_Dechets'!$O75="Validé humainement",'04_Form_Dechets'!R75,"")</x:f>
      </x:c>
      <x:c r="S75" s="76" t="str">
        <x:f>IF('04_Form_Dechets'!$O75="Validé humainement",'04_Form_Dechets'!S75,"")</x:f>
      </x:c>
    </x:row>
    <x:row r="76">
      <x:c r="A76" s="76" t="str">
        <x:f>IF('04_Form_Dechets'!$O76="Validé humainement",'04_Form_Dechets'!A76,"")</x:f>
      </x:c>
      <x:c r="B76" s="76" t="str">
        <x:f>IF('04_Form_Dechets'!$O76="Validé humainement",'04_Form_Dechets'!B76,"")</x:f>
      </x:c>
      <x:c r="C76" s="76" t="str">
        <x:f>IF('04_Form_Dechets'!$O76="Validé humainement",'04_Form_Dechets'!C76,"")</x:f>
      </x:c>
      <x:c r="D76" s="76" t="str">
        <x:f>IF('04_Form_Dechets'!$O76="Validé humainement",'04_Form_Dechets'!D76,"")</x:f>
      </x:c>
      <x:c r="E76" s="76" t="str">
        <x:f>IF('04_Form_Dechets'!$O76="Validé humainement",'04_Form_Dechets'!E76,"")</x:f>
      </x:c>
      <x:c r="F76" s="77" t="str">
        <x:f>IF('04_Form_Dechets'!$O76="Validé humainement",'04_Form_Dechets'!F76,"")</x:f>
      </x:c>
      <x:c r="G76" s="77" t="str">
        <x:f>IF('04_Form_Dechets'!$O76="Validé humainement",'04_Form_Dechets'!G76,"")</x:f>
      </x:c>
      <x:c r="H76" s="77" t="str">
        <x:f>IF('04_Form_Dechets'!$O76="Validé humainement",'04_Form_Dechets'!H76,"")</x:f>
      </x:c>
      <x:c r="I76" s="77" t="str">
        <x:f>IF('04_Form_Dechets'!$O76="Validé humainement",'04_Form_Dechets'!I76,"")</x:f>
      </x:c>
      <x:c r="J76" s="76" t="str">
        <x:f>IF('04_Form_Dechets'!$O76="Validé humainement",'04_Form_Dechets'!J76,"")</x:f>
      </x:c>
      <x:c r="K76" s="76" t="str">
        <x:f>IF('04_Form_Dechets'!$O76="Validé humainement",'04_Form_Dechets'!K76,"")</x:f>
      </x:c>
      <x:c r="L76" s="76" t="str">
        <x:f>IF('04_Form_Dechets'!$O76="Validé humainement",'04_Form_Dechets'!L76,"")</x:f>
      </x:c>
      <x:c r="M76" s="77" t="str">
        <x:f>IF('04_Form_Dechets'!$O76="Validé humainement",'04_Form_Dechets'!M76,"")</x:f>
      </x:c>
      <x:c r="N76" s="76" t="str">
        <x:f>IF('04_Form_Dechets'!$O76="Validé humainement",'04_Form_Dechets'!N76,"")</x:f>
      </x:c>
      <x:c r="O76" s="76" t="str">
        <x:f>IF('04_Form_Dechets'!$O76="Validé humainement",'04_Form_Dechets'!O76,"")</x:f>
      </x:c>
      <x:c r="P76" s="78" t="str">
        <x:f>IF('04_Form_Dechets'!$O76="Validé humainement",'04_Form_Dechets'!P76,"")</x:f>
      </x:c>
      <x:c r="Q76" s="76" t="str">
        <x:f>IF('04_Form_Dechets'!$O76="Validé humainement",'04_Form_Dechets'!Q76,"")</x:f>
      </x:c>
      <x:c r="R76" s="76" t="str">
        <x:f>IF('04_Form_Dechets'!$O76="Validé humainement",'04_Form_Dechets'!R76,"")</x:f>
      </x:c>
      <x:c r="S76" s="76" t="str">
        <x:f>IF('04_Form_Dechets'!$O76="Validé humainement",'04_Form_Dechets'!S76,"")</x:f>
      </x:c>
    </x:row>
    <x:row r="77">
      <x:c r="A77" s="76" t="str">
        <x:f>IF('04_Form_Dechets'!$O77="Validé humainement",'04_Form_Dechets'!A77,"")</x:f>
      </x:c>
      <x:c r="B77" s="76" t="str">
        <x:f>IF('04_Form_Dechets'!$O77="Validé humainement",'04_Form_Dechets'!B77,"")</x:f>
      </x:c>
      <x:c r="C77" s="76" t="str">
        <x:f>IF('04_Form_Dechets'!$O77="Validé humainement",'04_Form_Dechets'!C77,"")</x:f>
      </x:c>
      <x:c r="D77" s="76" t="str">
        <x:f>IF('04_Form_Dechets'!$O77="Validé humainement",'04_Form_Dechets'!D77,"")</x:f>
      </x:c>
      <x:c r="E77" s="76" t="str">
        <x:f>IF('04_Form_Dechets'!$O77="Validé humainement",'04_Form_Dechets'!E77,"")</x:f>
      </x:c>
      <x:c r="F77" s="77" t="str">
        <x:f>IF('04_Form_Dechets'!$O77="Validé humainement",'04_Form_Dechets'!F77,"")</x:f>
      </x:c>
      <x:c r="G77" s="77" t="str">
        <x:f>IF('04_Form_Dechets'!$O77="Validé humainement",'04_Form_Dechets'!G77,"")</x:f>
      </x:c>
      <x:c r="H77" s="77" t="str">
        <x:f>IF('04_Form_Dechets'!$O77="Validé humainement",'04_Form_Dechets'!H77,"")</x:f>
      </x:c>
      <x:c r="I77" s="77" t="str">
        <x:f>IF('04_Form_Dechets'!$O77="Validé humainement",'04_Form_Dechets'!I77,"")</x:f>
      </x:c>
      <x:c r="J77" s="76" t="str">
        <x:f>IF('04_Form_Dechets'!$O77="Validé humainement",'04_Form_Dechets'!J77,"")</x:f>
      </x:c>
      <x:c r="K77" s="76" t="str">
        <x:f>IF('04_Form_Dechets'!$O77="Validé humainement",'04_Form_Dechets'!K77,"")</x:f>
      </x:c>
      <x:c r="L77" s="76" t="str">
        <x:f>IF('04_Form_Dechets'!$O77="Validé humainement",'04_Form_Dechets'!L77,"")</x:f>
      </x:c>
      <x:c r="M77" s="77" t="str">
        <x:f>IF('04_Form_Dechets'!$O77="Validé humainement",'04_Form_Dechets'!M77,"")</x:f>
      </x:c>
      <x:c r="N77" s="76" t="str">
        <x:f>IF('04_Form_Dechets'!$O77="Validé humainement",'04_Form_Dechets'!N77,"")</x:f>
      </x:c>
      <x:c r="O77" s="76" t="str">
        <x:f>IF('04_Form_Dechets'!$O77="Validé humainement",'04_Form_Dechets'!O77,"")</x:f>
      </x:c>
      <x:c r="P77" s="78" t="str">
        <x:f>IF('04_Form_Dechets'!$O77="Validé humainement",'04_Form_Dechets'!P77,"")</x:f>
      </x:c>
      <x:c r="Q77" s="76" t="str">
        <x:f>IF('04_Form_Dechets'!$O77="Validé humainement",'04_Form_Dechets'!Q77,"")</x:f>
      </x:c>
      <x:c r="R77" s="76" t="str">
        <x:f>IF('04_Form_Dechets'!$O77="Validé humainement",'04_Form_Dechets'!R77,"")</x:f>
      </x:c>
      <x:c r="S77" s="76" t="str">
        <x:f>IF('04_Form_Dechets'!$O77="Validé humainement",'04_Form_Dechets'!S77,"")</x:f>
      </x:c>
    </x:row>
    <x:row r="78">
      <x:c r="A78" s="76" t="str">
        <x:f>IF('04_Form_Dechets'!$O78="Validé humainement",'04_Form_Dechets'!A78,"")</x:f>
      </x:c>
      <x:c r="B78" s="76" t="str">
        <x:f>IF('04_Form_Dechets'!$O78="Validé humainement",'04_Form_Dechets'!B78,"")</x:f>
      </x:c>
      <x:c r="C78" s="76" t="str">
        <x:f>IF('04_Form_Dechets'!$O78="Validé humainement",'04_Form_Dechets'!C78,"")</x:f>
      </x:c>
      <x:c r="D78" s="76" t="str">
        <x:f>IF('04_Form_Dechets'!$O78="Validé humainement",'04_Form_Dechets'!D78,"")</x:f>
      </x:c>
      <x:c r="E78" s="76" t="str">
        <x:f>IF('04_Form_Dechets'!$O78="Validé humainement",'04_Form_Dechets'!E78,"")</x:f>
      </x:c>
      <x:c r="F78" s="77" t="str">
        <x:f>IF('04_Form_Dechets'!$O78="Validé humainement",'04_Form_Dechets'!F78,"")</x:f>
      </x:c>
      <x:c r="G78" s="77" t="str">
        <x:f>IF('04_Form_Dechets'!$O78="Validé humainement",'04_Form_Dechets'!G78,"")</x:f>
      </x:c>
      <x:c r="H78" s="77" t="str">
        <x:f>IF('04_Form_Dechets'!$O78="Validé humainement",'04_Form_Dechets'!H78,"")</x:f>
      </x:c>
      <x:c r="I78" s="77" t="str">
        <x:f>IF('04_Form_Dechets'!$O78="Validé humainement",'04_Form_Dechets'!I78,"")</x:f>
      </x:c>
      <x:c r="J78" s="76" t="str">
        <x:f>IF('04_Form_Dechets'!$O78="Validé humainement",'04_Form_Dechets'!J78,"")</x:f>
      </x:c>
      <x:c r="K78" s="76" t="str">
        <x:f>IF('04_Form_Dechets'!$O78="Validé humainement",'04_Form_Dechets'!K78,"")</x:f>
      </x:c>
      <x:c r="L78" s="76" t="str">
        <x:f>IF('04_Form_Dechets'!$O78="Validé humainement",'04_Form_Dechets'!L78,"")</x:f>
      </x:c>
      <x:c r="M78" s="77" t="str">
        <x:f>IF('04_Form_Dechets'!$O78="Validé humainement",'04_Form_Dechets'!M78,"")</x:f>
      </x:c>
      <x:c r="N78" s="76" t="str">
        <x:f>IF('04_Form_Dechets'!$O78="Validé humainement",'04_Form_Dechets'!N78,"")</x:f>
      </x:c>
      <x:c r="O78" s="76" t="str">
        <x:f>IF('04_Form_Dechets'!$O78="Validé humainement",'04_Form_Dechets'!O78,"")</x:f>
      </x:c>
      <x:c r="P78" s="78" t="str">
        <x:f>IF('04_Form_Dechets'!$O78="Validé humainement",'04_Form_Dechets'!P78,"")</x:f>
      </x:c>
      <x:c r="Q78" s="76" t="str">
        <x:f>IF('04_Form_Dechets'!$O78="Validé humainement",'04_Form_Dechets'!Q78,"")</x:f>
      </x:c>
      <x:c r="R78" s="76" t="str">
        <x:f>IF('04_Form_Dechets'!$O78="Validé humainement",'04_Form_Dechets'!R78,"")</x:f>
      </x:c>
      <x:c r="S78" s="76" t="str">
        <x:f>IF('04_Form_Dechets'!$O78="Validé humainement",'04_Form_Dechets'!S78,"")</x:f>
      </x:c>
    </x:row>
    <x:row r="79">
      <x:c r="A79" s="76" t="str">
        <x:f>IF('04_Form_Dechets'!$O79="Validé humainement",'04_Form_Dechets'!A79,"")</x:f>
      </x:c>
      <x:c r="B79" s="76" t="str">
        <x:f>IF('04_Form_Dechets'!$O79="Validé humainement",'04_Form_Dechets'!B79,"")</x:f>
      </x:c>
      <x:c r="C79" s="76" t="str">
        <x:f>IF('04_Form_Dechets'!$O79="Validé humainement",'04_Form_Dechets'!C79,"")</x:f>
      </x:c>
      <x:c r="D79" s="76" t="str">
        <x:f>IF('04_Form_Dechets'!$O79="Validé humainement",'04_Form_Dechets'!D79,"")</x:f>
      </x:c>
      <x:c r="E79" s="76" t="str">
        <x:f>IF('04_Form_Dechets'!$O79="Validé humainement",'04_Form_Dechets'!E79,"")</x:f>
      </x:c>
      <x:c r="F79" s="77" t="str">
        <x:f>IF('04_Form_Dechets'!$O79="Validé humainement",'04_Form_Dechets'!F79,"")</x:f>
      </x:c>
      <x:c r="G79" s="77" t="str">
        <x:f>IF('04_Form_Dechets'!$O79="Validé humainement",'04_Form_Dechets'!G79,"")</x:f>
      </x:c>
      <x:c r="H79" s="77" t="str">
        <x:f>IF('04_Form_Dechets'!$O79="Validé humainement",'04_Form_Dechets'!H79,"")</x:f>
      </x:c>
      <x:c r="I79" s="77" t="str">
        <x:f>IF('04_Form_Dechets'!$O79="Validé humainement",'04_Form_Dechets'!I79,"")</x:f>
      </x:c>
      <x:c r="J79" s="76" t="str">
        <x:f>IF('04_Form_Dechets'!$O79="Validé humainement",'04_Form_Dechets'!J79,"")</x:f>
      </x:c>
      <x:c r="K79" s="76" t="str">
        <x:f>IF('04_Form_Dechets'!$O79="Validé humainement",'04_Form_Dechets'!K79,"")</x:f>
      </x:c>
      <x:c r="L79" s="76" t="str">
        <x:f>IF('04_Form_Dechets'!$O79="Validé humainement",'04_Form_Dechets'!L79,"")</x:f>
      </x:c>
      <x:c r="M79" s="77" t="str">
        <x:f>IF('04_Form_Dechets'!$O79="Validé humainement",'04_Form_Dechets'!M79,"")</x:f>
      </x:c>
      <x:c r="N79" s="76" t="str">
        <x:f>IF('04_Form_Dechets'!$O79="Validé humainement",'04_Form_Dechets'!N79,"")</x:f>
      </x:c>
      <x:c r="O79" s="76" t="str">
        <x:f>IF('04_Form_Dechets'!$O79="Validé humainement",'04_Form_Dechets'!O79,"")</x:f>
      </x:c>
      <x:c r="P79" s="78" t="str">
        <x:f>IF('04_Form_Dechets'!$O79="Validé humainement",'04_Form_Dechets'!P79,"")</x:f>
      </x:c>
      <x:c r="Q79" s="76" t="str">
        <x:f>IF('04_Form_Dechets'!$O79="Validé humainement",'04_Form_Dechets'!Q79,"")</x:f>
      </x:c>
      <x:c r="R79" s="76" t="str">
        <x:f>IF('04_Form_Dechets'!$O79="Validé humainement",'04_Form_Dechets'!R79,"")</x:f>
      </x:c>
      <x:c r="S79" s="76" t="str">
        <x:f>IF('04_Form_Dechets'!$O79="Validé humainement",'04_Form_Dechets'!S79,"")</x:f>
      </x:c>
    </x:row>
    <x:row r="80">
      <x:c r="A80" s="76" t="str">
        <x:f>IF('04_Form_Dechets'!$O80="Validé humainement",'04_Form_Dechets'!A80,"")</x:f>
      </x:c>
      <x:c r="B80" s="76" t="str">
        <x:f>IF('04_Form_Dechets'!$O80="Validé humainement",'04_Form_Dechets'!B80,"")</x:f>
      </x:c>
      <x:c r="C80" s="76" t="str">
        <x:f>IF('04_Form_Dechets'!$O80="Validé humainement",'04_Form_Dechets'!C80,"")</x:f>
      </x:c>
      <x:c r="D80" s="76" t="str">
        <x:f>IF('04_Form_Dechets'!$O80="Validé humainement",'04_Form_Dechets'!D80,"")</x:f>
      </x:c>
      <x:c r="E80" s="76" t="str">
        <x:f>IF('04_Form_Dechets'!$O80="Validé humainement",'04_Form_Dechets'!E80,"")</x:f>
      </x:c>
      <x:c r="F80" s="77" t="str">
        <x:f>IF('04_Form_Dechets'!$O80="Validé humainement",'04_Form_Dechets'!F80,"")</x:f>
      </x:c>
      <x:c r="G80" s="77" t="str">
        <x:f>IF('04_Form_Dechets'!$O80="Validé humainement",'04_Form_Dechets'!G80,"")</x:f>
      </x:c>
      <x:c r="H80" s="77" t="str">
        <x:f>IF('04_Form_Dechets'!$O80="Validé humainement",'04_Form_Dechets'!H80,"")</x:f>
      </x:c>
      <x:c r="I80" s="77" t="str">
        <x:f>IF('04_Form_Dechets'!$O80="Validé humainement",'04_Form_Dechets'!I80,"")</x:f>
      </x:c>
      <x:c r="J80" s="76" t="str">
        <x:f>IF('04_Form_Dechets'!$O80="Validé humainement",'04_Form_Dechets'!J80,"")</x:f>
      </x:c>
      <x:c r="K80" s="76" t="str">
        <x:f>IF('04_Form_Dechets'!$O80="Validé humainement",'04_Form_Dechets'!K80,"")</x:f>
      </x:c>
      <x:c r="L80" s="76" t="str">
        <x:f>IF('04_Form_Dechets'!$O80="Validé humainement",'04_Form_Dechets'!L80,"")</x:f>
      </x:c>
      <x:c r="M80" s="77" t="str">
        <x:f>IF('04_Form_Dechets'!$O80="Validé humainement",'04_Form_Dechets'!M80,"")</x:f>
      </x:c>
      <x:c r="N80" s="76" t="str">
        <x:f>IF('04_Form_Dechets'!$O80="Validé humainement",'04_Form_Dechets'!N80,"")</x:f>
      </x:c>
      <x:c r="O80" s="76" t="str">
        <x:f>IF('04_Form_Dechets'!$O80="Validé humainement",'04_Form_Dechets'!O80,"")</x:f>
      </x:c>
      <x:c r="P80" s="78" t="str">
        <x:f>IF('04_Form_Dechets'!$O80="Validé humainement",'04_Form_Dechets'!P80,"")</x:f>
      </x:c>
      <x:c r="Q80" s="76" t="str">
        <x:f>IF('04_Form_Dechets'!$O80="Validé humainement",'04_Form_Dechets'!Q80,"")</x:f>
      </x:c>
      <x:c r="R80" s="76" t="str">
        <x:f>IF('04_Form_Dechets'!$O80="Validé humainement",'04_Form_Dechets'!R80,"")</x:f>
      </x:c>
      <x:c r="S80" s="76" t="str">
        <x:f>IF('04_Form_Dechets'!$O80="Validé humainement",'04_Form_Dechets'!S80,"")</x:f>
      </x:c>
    </x:row>
    <x:row r="81">
      <x:c r="A81" s="76" t="str">
        <x:f>IF('04_Form_Dechets'!$O81="Validé humainement",'04_Form_Dechets'!A81,"")</x:f>
      </x:c>
      <x:c r="B81" s="76" t="str">
        <x:f>IF('04_Form_Dechets'!$O81="Validé humainement",'04_Form_Dechets'!B81,"")</x:f>
      </x:c>
      <x:c r="C81" s="76" t="str">
        <x:f>IF('04_Form_Dechets'!$O81="Validé humainement",'04_Form_Dechets'!C81,"")</x:f>
      </x:c>
      <x:c r="D81" s="76" t="str">
        <x:f>IF('04_Form_Dechets'!$O81="Validé humainement",'04_Form_Dechets'!D81,"")</x:f>
      </x:c>
      <x:c r="E81" s="76" t="str">
        <x:f>IF('04_Form_Dechets'!$O81="Validé humainement",'04_Form_Dechets'!E81,"")</x:f>
      </x:c>
      <x:c r="F81" s="77" t="str">
        <x:f>IF('04_Form_Dechets'!$O81="Validé humainement",'04_Form_Dechets'!F81,"")</x:f>
      </x:c>
      <x:c r="G81" s="77" t="str">
        <x:f>IF('04_Form_Dechets'!$O81="Validé humainement",'04_Form_Dechets'!G81,"")</x:f>
      </x:c>
      <x:c r="H81" s="77" t="str">
        <x:f>IF('04_Form_Dechets'!$O81="Validé humainement",'04_Form_Dechets'!H81,"")</x:f>
      </x:c>
      <x:c r="I81" s="77" t="str">
        <x:f>IF('04_Form_Dechets'!$O81="Validé humainement",'04_Form_Dechets'!I81,"")</x:f>
      </x:c>
      <x:c r="J81" s="76" t="str">
        <x:f>IF('04_Form_Dechets'!$O81="Validé humainement",'04_Form_Dechets'!J81,"")</x:f>
      </x:c>
      <x:c r="K81" s="76" t="str">
        <x:f>IF('04_Form_Dechets'!$O81="Validé humainement",'04_Form_Dechets'!K81,"")</x:f>
      </x:c>
      <x:c r="L81" s="76" t="str">
        <x:f>IF('04_Form_Dechets'!$O81="Validé humainement",'04_Form_Dechets'!L81,"")</x:f>
      </x:c>
      <x:c r="M81" s="77" t="str">
        <x:f>IF('04_Form_Dechets'!$O81="Validé humainement",'04_Form_Dechets'!M81,"")</x:f>
      </x:c>
      <x:c r="N81" s="76" t="str">
        <x:f>IF('04_Form_Dechets'!$O81="Validé humainement",'04_Form_Dechets'!N81,"")</x:f>
      </x:c>
      <x:c r="O81" s="76" t="str">
        <x:f>IF('04_Form_Dechets'!$O81="Validé humainement",'04_Form_Dechets'!O81,"")</x:f>
      </x:c>
      <x:c r="P81" s="78" t="str">
        <x:f>IF('04_Form_Dechets'!$O81="Validé humainement",'04_Form_Dechets'!P81,"")</x:f>
      </x:c>
      <x:c r="Q81" s="76" t="str">
        <x:f>IF('04_Form_Dechets'!$O81="Validé humainement",'04_Form_Dechets'!Q81,"")</x:f>
      </x:c>
      <x:c r="R81" s="76" t="str">
        <x:f>IF('04_Form_Dechets'!$O81="Validé humainement",'04_Form_Dechets'!R81,"")</x:f>
      </x:c>
      <x:c r="S81" s="76" t="str">
        <x:f>IF('04_Form_Dechets'!$O81="Validé humainement",'04_Form_Dechets'!S81,"")</x:f>
      </x:c>
    </x:row>
    <x:row r="82">
      <x:c r="A82" s="76" t="str">
        <x:f>IF('04_Form_Dechets'!$O82="Validé humainement",'04_Form_Dechets'!A82,"")</x:f>
      </x:c>
      <x:c r="B82" s="76" t="str">
        <x:f>IF('04_Form_Dechets'!$O82="Validé humainement",'04_Form_Dechets'!B82,"")</x:f>
      </x:c>
      <x:c r="C82" s="76" t="str">
        <x:f>IF('04_Form_Dechets'!$O82="Validé humainement",'04_Form_Dechets'!C82,"")</x:f>
      </x:c>
      <x:c r="D82" s="76" t="str">
        <x:f>IF('04_Form_Dechets'!$O82="Validé humainement",'04_Form_Dechets'!D82,"")</x:f>
      </x:c>
      <x:c r="E82" s="76" t="str">
        <x:f>IF('04_Form_Dechets'!$O82="Validé humainement",'04_Form_Dechets'!E82,"")</x:f>
      </x:c>
      <x:c r="F82" s="77" t="str">
        <x:f>IF('04_Form_Dechets'!$O82="Validé humainement",'04_Form_Dechets'!F82,"")</x:f>
      </x:c>
      <x:c r="G82" s="77" t="str">
        <x:f>IF('04_Form_Dechets'!$O82="Validé humainement",'04_Form_Dechets'!G82,"")</x:f>
      </x:c>
      <x:c r="H82" s="77" t="str">
        <x:f>IF('04_Form_Dechets'!$O82="Validé humainement",'04_Form_Dechets'!H82,"")</x:f>
      </x:c>
      <x:c r="I82" s="77" t="str">
        <x:f>IF('04_Form_Dechets'!$O82="Validé humainement",'04_Form_Dechets'!I82,"")</x:f>
      </x:c>
      <x:c r="J82" s="76" t="str">
        <x:f>IF('04_Form_Dechets'!$O82="Validé humainement",'04_Form_Dechets'!J82,"")</x:f>
      </x:c>
      <x:c r="K82" s="76" t="str">
        <x:f>IF('04_Form_Dechets'!$O82="Validé humainement",'04_Form_Dechets'!K82,"")</x:f>
      </x:c>
      <x:c r="L82" s="76" t="str">
        <x:f>IF('04_Form_Dechets'!$O82="Validé humainement",'04_Form_Dechets'!L82,"")</x:f>
      </x:c>
      <x:c r="M82" s="77" t="str">
        <x:f>IF('04_Form_Dechets'!$O82="Validé humainement",'04_Form_Dechets'!M82,"")</x:f>
      </x:c>
      <x:c r="N82" s="76" t="str">
        <x:f>IF('04_Form_Dechets'!$O82="Validé humainement",'04_Form_Dechets'!N82,"")</x:f>
      </x:c>
      <x:c r="O82" s="76" t="str">
        <x:f>IF('04_Form_Dechets'!$O82="Validé humainement",'04_Form_Dechets'!O82,"")</x:f>
      </x:c>
      <x:c r="P82" s="78" t="str">
        <x:f>IF('04_Form_Dechets'!$O82="Validé humainement",'04_Form_Dechets'!P82,"")</x:f>
      </x:c>
      <x:c r="Q82" s="76" t="str">
        <x:f>IF('04_Form_Dechets'!$O82="Validé humainement",'04_Form_Dechets'!Q82,"")</x:f>
      </x:c>
      <x:c r="R82" s="76" t="str">
        <x:f>IF('04_Form_Dechets'!$O82="Validé humainement",'04_Form_Dechets'!R82,"")</x:f>
      </x:c>
      <x:c r="S82" s="76" t="str">
        <x:f>IF('04_Form_Dechets'!$O82="Validé humainement",'04_Form_Dechets'!S82,"")</x:f>
      </x:c>
    </x:row>
    <x:row r="83">
      <x:c r="A83" s="76" t="str">
        <x:f>IF('04_Form_Dechets'!$O83="Validé humainement",'04_Form_Dechets'!A83,"")</x:f>
      </x:c>
      <x:c r="B83" s="76" t="str">
        <x:f>IF('04_Form_Dechets'!$O83="Validé humainement",'04_Form_Dechets'!B83,"")</x:f>
      </x:c>
      <x:c r="C83" s="76" t="str">
        <x:f>IF('04_Form_Dechets'!$O83="Validé humainement",'04_Form_Dechets'!C83,"")</x:f>
      </x:c>
      <x:c r="D83" s="76" t="str">
        <x:f>IF('04_Form_Dechets'!$O83="Validé humainement",'04_Form_Dechets'!D83,"")</x:f>
      </x:c>
      <x:c r="E83" s="76" t="str">
        <x:f>IF('04_Form_Dechets'!$O83="Validé humainement",'04_Form_Dechets'!E83,"")</x:f>
      </x:c>
      <x:c r="F83" s="77" t="str">
        <x:f>IF('04_Form_Dechets'!$O83="Validé humainement",'04_Form_Dechets'!F83,"")</x:f>
      </x:c>
      <x:c r="G83" s="77" t="str">
        <x:f>IF('04_Form_Dechets'!$O83="Validé humainement",'04_Form_Dechets'!G83,"")</x:f>
      </x:c>
      <x:c r="H83" s="77" t="str">
        <x:f>IF('04_Form_Dechets'!$O83="Validé humainement",'04_Form_Dechets'!H83,"")</x:f>
      </x:c>
      <x:c r="I83" s="77" t="str">
        <x:f>IF('04_Form_Dechets'!$O83="Validé humainement",'04_Form_Dechets'!I83,"")</x:f>
      </x:c>
      <x:c r="J83" s="76" t="str">
        <x:f>IF('04_Form_Dechets'!$O83="Validé humainement",'04_Form_Dechets'!J83,"")</x:f>
      </x:c>
      <x:c r="K83" s="76" t="str">
        <x:f>IF('04_Form_Dechets'!$O83="Validé humainement",'04_Form_Dechets'!K83,"")</x:f>
      </x:c>
      <x:c r="L83" s="76" t="str">
        <x:f>IF('04_Form_Dechets'!$O83="Validé humainement",'04_Form_Dechets'!L83,"")</x:f>
      </x:c>
      <x:c r="M83" s="77" t="str">
        <x:f>IF('04_Form_Dechets'!$O83="Validé humainement",'04_Form_Dechets'!M83,"")</x:f>
      </x:c>
      <x:c r="N83" s="76" t="str">
        <x:f>IF('04_Form_Dechets'!$O83="Validé humainement",'04_Form_Dechets'!N83,"")</x:f>
      </x:c>
      <x:c r="O83" s="76" t="str">
        <x:f>IF('04_Form_Dechets'!$O83="Validé humainement",'04_Form_Dechets'!O83,"")</x:f>
      </x:c>
      <x:c r="P83" s="78" t="str">
        <x:f>IF('04_Form_Dechets'!$O83="Validé humainement",'04_Form_Dechets'!P83,"")</x:f>
      </x:c>
      <x:c r="Q83" s="76" t="str">
        <x:f>IF('04_Form_Dechets'!$O83="Validé humainement",'04_Form_Dechets'!Q83,"")</x:f>
      </x:c>
      <x:c r="R83" s="76" t="str">
        <x:f>IF('04_Form_Dechets'!$O83="Validé humainement",'04_Form_Dechets'!R83,"")</x:f>
      </x:c>
      <x:c r="S83" s="76" t="str">
        <x:f>IF('04_Form_Dechets'!$O83="Validé humainement",'04_Form_Dechets'!S83,"")</x:f>
      </x:c>
    </x:row>
    <x:row r="84">
      <x:c r="A84" s="76" t="str">
        <x:f>IF('04_Form_Dechets'!$O84="Validé humainement",'04_Form_Dechets'!A84,"")</x:f>
      </x:c>
      <x:c r="B84" s="76" t="str">
        <x:f>IF('04_Form_Dechets'!$O84="Validé humainement",'04_Form_Dechets'!B84,"")</x:f>
      </x:c>
      <x:c r="C84" s="76" t="str">
        <x:f>IF('04_Form_Dechets'!$O84="Validé humainement",'04_Form_Dechets'!C84,"")</x:f>
      </x:c>
      <x:c r="D84" s="76" t="str">
        <x:f>IF('04_Form_Dechets'!$O84="Validé humainement",'04_Form_Dechets'!D84,"")</x:f>
      </x:c>
      <x:c r="E84" s="76" t="str">
        <x:f>IF('04_Form_Dechets'!$O84="Validé humainement",'04_Form_Dechets'!E84,"")</x:f>
      </x:c>
      <x:c r="F84" s="77" t="str">
        <x:f>IF('04_Form_Dechets'!$O84="Validé humainement",'04_Form_Dechets'!F84,"")</x:f>
      </x:c>
      <x:c r="G84" s="77" t="str">
        <x:f>IF('04_Form_Dechets'!$O84="Validé humainement",'04_Form_Dechets'!G84,"")</x:f>
      </x:c>
      <x:c r="H84" s="77" t="str">
        <x:f>IF('04_Form_Dechets'!$O84="Validé humainement",'04_Form_Dechets'!H84,"")</x:f>
      </x:c>
      <x:c r="I84" s="77" t="str">
        <x:f>IF('04_Form_Dechets'!$O84="Validé humainement",'04_Form_Dechets'!I84,"")</x:f>
      </x:c>
      <x:c r="J84" s="76" t="str">
        <x:f>IF('04_Form_Dechets'!$O84="Validé humainement",'04_Form_Dechets'!J84,"")</x:f>
      </x:c>
      <x:c r="K84" s="76" t="str">
        <x:f>IF('04_Form_Dechets'!$O84="Validé humainement",'04_Form_Dechets'!K84,"")</x:f>
      </x:c>
      <x:c r="L84" s="76" t="str">
        <x:f>IF('04_Form_Dechets'!$O84="Validé humainement",'04_Form_Dechets'!L84,"")</x:f>
      </x:c>
      <x:c r="M84" s="77" t="str">
        <x:f>IF('04_Form_Dechets'!$O84="Validé humainement",'04_Form_Dechets'!M84,"")</x:f>
      </x:c>
      <x:c r="N84" s="76" t="str">
        <x:f>IF('04_Form_Dechets'!$O84="Validé humainement",'04_Form_Dechets'!N84,"")</x:f>
      </x:c>
      <x:c r="O84" s="76" t="str">
        <x:f>IF('04_Form_Dechets'!$O84="Validé humainement",'04_Form_Dechets'!O84,"")</x:f>
      </x:c>
      <x:c r="P84" s="78" t="str">
        <x:f>IF('04_Form_Dechets'!$O84="Validé humainement",'04_Form_Dechets'!P84,"")</x:f>
      </x:c>
      <x:c r="Q84" s="76" t="str">
        <x:f>IF('04_Form_Dechets'!$O84="Validé humainement",'04_Form_Dechets'!Q84,"")</x:f>
      </x:c>
      <x:c r="R84" s="76" t="str">
        <x:f>IF('04_Form_Dechets'!$O84="Validé humainement",'04_Form_Dechets'!R84,"")</x:f>
      </x:c>
      <x:c r="S84" s="76" t="str">
        <x:f>IF('04_Form_Dechets'!$O84="Validé humainement",'04_Form_Dechets'!S84,"")</x:f>
      </x:c>
    </x:row>
    <x:row r="85">
      <x:c r="A85" s="76" t="str">
        <x:f>IF('04_Form_Dechets'!$O85="Validé humainement",'04_Form_Dechets'!A85,"")</x:f>
      </x:c>
      <x:c r="B85" s="76" t="str">
        <x:f>IF('04_Form_Dechets'!$O85="Validé humainement",'04_Form_Dechets'!B85,"")</x:f>
      </x:c>
      <x:c r="C85" s="76" t="str">
        <x:f>IF('04_Form_Dechets'!$O85="Validé humainement",'04_Form_Dechets'!C85,"")</x:f>
      </x:c>
      <x:c r="D85" s="76" t="str">
        <x:f>IF('04_Form_Dechets'!$O85="Validé humainement",'04_Form_Dechets'!D85,"")</x:f>
      </x:c>
      <x:c r="E85" s="76" t="str">
        <x:f>IF('04_Form_Dechets'!$O85="Validé humainement",'04_Form_Dechets'!E85,"")</x:f>
      </x:c>
      <x:c r="F85" s="77" t="str">
        <x:f>IF('04_Form_Dechets'!$O85="Validé humainement",'04_Form_Dechets'!F85,"")</x:f>
      </x:c>
      <x:c r="G85" s="77" t="str">
        <x:f>IF('04_Form_Dechets'!$O85="Validé humainement",'04_Form_Dechets'!G85,"")</x:f>
      </x:c>
      <x:c r="H85" s="77" t="str">
        <x:f>IF('04_Form_Dechets'!$O85="Validé humainement",'04_Form_Dechets'!H85,"")</x:f>
      </x:c>
      <x:c r="I85" s="77" t="str">
        <x:f>IF('04_Form_Dechets'!$O85="Validé humainement",'04_Form_Dechets'!I85,"")</x:f>
      </x:c>
      <x:c r="J85" s="76" t="str">
        <x:f>IF('04_Form_Dechets'!$O85="Validé humainement",'04_Form_Dechets'!J85,"")</x:f>
      </x:c>
      <x:c r="K85" s="76" t="str">
        <x:f>IF('04_Form_Dechets'!$O85="Validé humainement",'04_Form_Dechets'!K85,"")</x:f>
      </x:c>
      <x:c r="L85" s="76" t="str">
        <x:f>IF('04_Form_Dechets'!$O85="Validé humainement",'04_Form_Dechets'!L85,"")</x:f>
      </x:c>
      <x:c r="M85" s="77" t="str">
        <x:f>IF('04_Form_Dechets'!$O85="Validé humainement",'04_Form_Dechets'!M85,"")</x:f>
      </x:c>
      <x:c r="N85" s="76" t="str">
        <x:f>IF('04_Form_Dechets'!$O85="Validé humainement",'04_Form_Dechets'!N85,"")</x:f>
      </x:c>
      <x:c r="O85" s="76" t="str">
        <x:f>IF('04_Form_Dechets'!$O85="Validé humainement",'04_Form_Dechets'!O85,"")</x:f>
      </x:c>
      <x:c r="P85" s="78" t="str">
        <x:f>IF('04_Form_Dechets'!$O85="Validé humainement",'04_Form_Dechets'!P85,"")</x:f>
      </x:c>
      <x:c r="Q85" s="76" t="str">
        <x:f>IF('04_Form_Dechets'!$O85="Validé humainement",'04_Form_Dechets'!Q85,"")</x:f>
      </x:c>
      <x:c r="R85" s="76" t="str">
        <x:f>IF('04_Form_Dechets'!$O85="Validé humainement",'04_Form_Dechets'!R85,"")</x:f>
      </x:c>
      <x:c r="S85" s="76" t="str">
        <x:f>IF('04_Form_Dechets'!$O85="Validé humainement",'04_Form_Dechets'!S85,"")</x:f>
      </x:c>
    </x:row>
    <x:row r="86">
      <x:c r="A86" s="76" t="str">
        <x:f>IF('04_Form_Dechets'!$O86="Validé humainement",'04_Form_Dechets'!A86,"")</x:f>
      </x:c>
      <x:c r="B86" s="76" t="str">
        <x:f>IF('04_Form_Dechets'!$O86="Validé humainement",'04_Form_Dechets'!B86,"")</x:f>
      </x:c>
      <x:c r="C86" s="76" t="str">
        <x:f>IF('04_Form_Dechets'!$O86="Validé humainement",'04_Form_Dechets'!C86,"")</x:f>
      </x:c>
      <x:c r="D86" s="76" t="str">
        <x:f>IF('04_Form_Dechets'!$O86="Validé humainement",'04_Form_Dechets'!D86,"")</x:f>
      </x:c>
      <x:c r="E86" s="76" t="str">
        <x:f>IF('04_Form_Dechets'!$O86="Validé humainement",'04_Form_Dechets'!E86,"")</x:f>
      </x:c>
      <x:c r="F86" s="77" t="str">
        <x:f>IF('04_Form_Dechets'!$O86="Validé humainement",'04_Form_Dechets'!F86,"")</x:f>
      </x:c>
      <x:c r="G86" s="77" t="str">
        <x:f>IF('04_Form_Dechets'!$O86="Validé humainement",'04_Form_Dechets'!G86,"")</x:f>
      </x:c>
      <x:c r="H86" s="77" t="str">
        <x:f>IF('04_Form_Dechets'!$O86="Validé humainement",'04_Form_Dechets'!H86,"")</x:f>
      </x:c>
      <x:c r="I86" s="77" t="str">
        <x:f>IF('04_Form_Dechets'!$O86="Validé humainement",'04_Form_Dechets'!I86,"")</x:f>
      </x:c>
      <x:c r="J86" s="76" t="str">
        <x:f>IF('04_Form_Dechets'!$O86="Validé humainement",'04_Form_Dechets'!J86,"")</x:f>
      </x:c>
      <x:c r="K86" s="76" t="str">
        <x:f>IF('04_Form_Dechets'!$O86="Validé humainement",'04_Form_Dechets'!K86,"")</x:f>
      </x:c>
      <x:c r="L86" s="76" t="str">
        <x:f>IF('04_Form_Dechets'!$O86="Validé humainement",'04_Form_Dechets'!L86,"")</x:f>
      </x:c>
      <x:c r="M86" s="77" t="str">
        <x:f>IF('04_Form_Dechets'!$O86="Validé humainement",'04_Form_Dechets'!M86,"")</x:f>
      </x:c>
      <x:c r="N86" s="76" t="str">
        <x:f>IF('04_Form_Dechets'!$O86="Validé humainement",'04_Form_Dechets'!N86,"")</x:f>
      </x:c>
      <x:c r="O86" s="76" t="str">
        <x:f>IF('04_Form_Dechets'!$O86="Validé humainement",'04_Form_Dechets'!O86,"")</x:f>
      </x:c>
      <x:c r="P86" s="78" t="str">
        <x:f>IF('04_Form_Dechets'!$O86="Validé humainement",'04_Form_Dechets'!P86,"")</x:f>
      </x:c>
      <x:c r="Q86" s="76" t="str">
        <x:f>IF('04_Form_Dechets'!$O86="Validé humainement",'04_Form_Dechets'!Q86,"")</x:f>
      </x:c>
      <x:c r="R86" s="76" t="str">
        <x:f>IF('04_Form_Dechets'!$O86="Validé humainement",'04_Form_Dechets'!R86,"")</x:f>
      </x:c>
      <x:c r="S86" s="76" t="str">
        <x:f>IF('04_Form_Dechets'!$O86="Validé humainement",'04_Form_Dechets'!S86,"")</x:f>
      </x:c>
    </x:row>
    <x:row r="87">
      <x:c r="A87" s="76" t="str">
        <x:f>IF('04_Form_Dechets'!$O87="Validé humainement",'04_Form_Dechets'!A87,"")</x:f>
      </x:c>
      <x:c r="B87" s="76" t="str">
        <x:f>IF('04_Form_Dechets'!$O87="Validé humainement",'04_Form_Dechets'!B87,"")</x:f>
      </x:c>
      <x:c r="C87" s="76" t="str">
        <x:f>IF('04_Form_Dechets'!$O87="Validé humainement",'04_Form_Dechets'!C87,"")</x:f>
      </x:c>
      <x:c r="D87" s="76" t="str">
        <x:f>IF('04_Form_Dechets'!$O87="Validé humainement",'04_Form_Dechets'!D87,"")</x:f>
      </x:c>
      <x:c r="E87" s="76" t="str">
        <x:f>IF('04_Form_Dechets'!$O87="Validé humainement",'04_Form_Dechets'!E87,"")</x:f>
      </x:c>
      <x:c r="F87" s="77" t="str">
        <x:f>IF('04_Form_Dechets'!$O87="Validé humainement",'04_Form_Dechets'!F87,"")</x:f>
      </x:c>
      <x:c r="G87" s="77" t="str">
        <x:f>IF('04_Form_Dechets'!$O87="Validé humainement",'04_Form_Dechets'!G87,"")</x:f>
      </x:c>
      <x:c r="H87" s="77" t="str">
        <x:f>IF('04_Form_Dechets'!$O87="Validé humainement",'04_Form_Dechets'!H87,"")</x:f>
      </x:c>
      <x:c r="I87" s="77" t="str">
        <x:f>IF('04_Form_Dechets'!$O87="Validé humainement",'04_Form_Dechets'!I87,"")</x:f>
      </x:c>
      <x:c r="J87" s="76" t="str">
        <x:f>IF('04_Form_Dechets'!$O87="Validé humainement",'04_Form_Dechets'!J87,"")</x:f>
      </x:c>
      <x:c r="K87" s="76" t="str">
        <x:f>IF('04_Form_Dechets'!$O87="Validé humainement",'04_Form_Dechets'!K87,"")</x:f>
      </x:c>
      <x:c r="L87" s="76" t="str">
        <x:f>IF('04_Form_Dechets'!$O87="Validé humainement",'04_Form_Dechets'!L87,"")</x:f>
      </x:c>
      <x:c r="M87" s="77" t="str">
        <x:f>IF('04_Form_Dechets'!$O87="Validé humainement",'04_Form_Dechets'!M87,"")</x:f>
      </x:c>
      <x:c r="N87" s="76" t="str">
        <x:f>IF('04_Form_Dechets'!$O87="Validé humainement",'04_Form_Dechets'!N87,"")</x:f>
      </x:c>
      <x:c r="O87" s="76" t="str">
        <x:f>IF('04_Form_Dechets'!$O87="Validé humainement",'04_Form_Dechets'!O87,"")</x:f>
      </x:c>
      <x:c r="P87" s="78" t="str">
        <x:f>IF('04_Form_Dechets'!$O87="Validé humainement",'04_Form_Dechets'!P87,"")</x:f>
      </x:c>
      <x:c r="Q87" s="76" t="str">
        <x:f>IF('04_Form_Dechets'!$O87="Validé humainement",'04_Form_Dechets'!Q87,"")</x:f>
      </x:c>
      <x:c r="R87" s="76" t="str">
        <x:f>IF('04_Form_Dechets'!$O87="Validé humainement",'04_Form_Dechets'!R87,"")</x:f>
      </x:c>
      <x:c r="S87" s="76" t="str">
        <x:f>IF('04_Form_Dechets'!$O87="Validé humainement",'04_Form_Dechets'!S87,"")</x:f>
      </x:c>
    </x:row>
    <x:row r="88">
      <x:c r="A88" s="76" t="str">
        <x:f>IF('04_Form_Dechets'!$O88="Validé humainement",'04_Form_Dechets'!A88,"")</x:f>
      </x:c>
      <x:c r="B88" s="76" t="str">
        <x:f>IF('04_Form_Dechets'!$O88="Validé humainement",'04_Form_Dechets'!B88,"")</x:f>
      </x:c>
      <x:c r="C88" s="76" t="str">
        <x:f>IF('04_Form_Dechets'!$O88="Validé humainement",'04_Form_Dechets'!C88,"")</x:f>
      </x:c>
      <x:c r="D88" s="76" t="str">
        <x:f>IF('04_Form_Dechets'!$O88="Validé humainement",'04_Form_Dechets'!D88,"")</x:f>
      </x:c>
      <x:c r="E88" s="76" t="str">
        <x:f>IF('04_Form_Dechets'!$O88="Validé humainement",'04_Form_Dechets'!E88,"")</x:f>
      </x:c>
      <x:c r="F88" s="77" t="str">
        <x:f>IF('04_Form_Dechets'!$O88="Validé humainement",'04_Form_Dechets'!F88,"")</x:f>
      </x:c>
      <x:c r="G88" s="77" t="str">
        <x:f>IF('04_Form_Dechets'!$O88="Validé humainement",'04_Form_Dechets'!G88,"")</x:f>
      </x:c>
      <x:c r="H88" s="77" t="str">
        <x:f>IF('04_Form_Dechets'!$O88="Validé humainement",'04_Form_Dechets'!H88,"")</x:f>
      </x:c>
      <x:c r="I88" s="77" t="str">
        <x:f>IF('04_Form_Dechets'!$O88="Validé humainement",'04_Form_Dechets'!I88,"")</x:f>
      </x:c>
      <x:c r="J88" s="76" t="str">
        <x:f>IF('04_Form_Dechets'!$O88="Validé humainement",'04_Form_Dechets'!J88,"")</x:f>
      </x:c>
      <x:c r="K88" s="76" t="str">
        <x:f>IF('04_Form_Dechets'!$O88="Validé humainement",'04_Form_Dechets'!K88,"")</x:f>
      </x:c>
      <x:c r="L88" s="76" t="str">
        <x:f>IF('04_Form_Dechets'!$O88="Validé humainement",'04_Form_Dechets'!L88,"")</x:f>
      </x:c>
      <x:c r="M88" s="77" t="str">
        <x:f>IF('04_Form_Dechets'!$O88="Validé humainement",'04_Form_Dechets'!M88,"")</x:f>
      </x:c>
      <x:c r="N88" s="76" t="str">
        <x:f>IF('04_Form_Dechets'!$O88="Validé humainement",'04_Form_Dechets'!N88,"")</x:f>
      </x:c>
      <x:c r="O88" s="76" t="str">
        <x:f>IF('04_Form_Dechets'!$O88="Validé humainement",'04_Form_Dechets'!O88,"")</x:f>
      </x:c>
      <x:c r="P88" s="78" t="str">
        <x:f>IF('04_Form_Dechets'!$O88="Validé humainement",'04_Form_Dechets'!P88,"")</x:f>
      </x:c>
      <x:c r="Q88" s="76" t="str">
        <x:f>IF('04_Form_Dechets'!$O88="Validé humainement",'04_Form_Dechets'!Q88,"")</x:f>
      </x:c>
      <x:c r="R88" s="76" t="str">
        <x:f>IF('04_Form_Dechets'!$O88="Validé humainement",'04_Form_Dechets'!R88,"")</x:f>
      </x:c>
      <x:c r="S88" s="76" t="str">
        <x:f>IF('04_Form_Dechets'!$O88="Validé humainement",'04_Form_Dechets'!S88,"")</x:f>
      </x:c>
    </x:row>
    <x:row r="89">
      <x:c r="A89" s="76" t="str">
        <x:f>IF('04_Form_Dechets'!$O89="Validé humainement",'04_Form_Dechets'!A89,"")</x:f>
      </x:c>
      <x:c r="B89" s="76" t="str">
        <x:f>IF('04_Form_Dechets'!$O89="Validé humainement",'04_Form_Dechets'!B89,"")</x:f>
      </x:c>
      <x:c r="C89" s="76" t="str">
        <x:f>IF('04_Form_Dechets'!$O89="Validé humainement",'04_Form_Dechets'!C89,"")</x:f>
      </x:c>
      <x:c r="D89" s="76" t="str">
        <x:f>IF('04_Form_Dechets'!$O89="Validé humainement",'04_Form_Dechets'!D89,"")</x:f>
      </x:c>
      <x:c r="E89" s="76" t="str">
        <x:f>IF('04_Form_Dechets'!$O89="Validé humainement",'04_Form_Dechets'!E89,"")</x:f>
      </x:c>
      <x:c r="F89" s="77" t="str">
        <x:f>IF('04_Form_Dechets'!$O89="Validé humainement",'04_Form_Dechets'!F89,"")</x:f>
      </x:c>
      <x:c r="G89" s="77" t="str">
        <x:f>IF('04_Form_Dechets'!$O89="Validé humainement",'04_Form_Dechets'!G89,"")</x:f>
      </x:c>
      <x:c r="H89" s="77" t="str">
        <x:f>IF('04_Form_Dechets'!$O89="Validé humainement",'04_Form_Dechets'!H89,"")</x:f>
      </x:c>
      <x:c r="I89" s="77" t="str">
        <x:f>IF('04_Form_Dechets'!$O89="Validé humainement",'04_Form_Dechets'!I89,"")</x:f>
      </x:c>
      <x:c r="J89" s="76" t="str">
        <x:f>IF('04_Form_Dechets'!$O89="Validé humainement",'04_Form_Dechets'!J89,"")</x:f>
      </x:c>
      <x:c r="K89" s="76" t="str">
        <x:f>IF('04_Form_Dechets'!$O89="Validé humainement",'04_Form_Dechets'!K89,"")</x:f>
      </x:c>
      <x:c r="L89" s="76" t="str">
        <x:f>IF('04_Form_Dechets'!$O89="Validé humainement",'04_Form_Dechets'!L89,"")</x:f>
      </x:c>
      <x:c r="M89" s="77" t="str">
        <x:f>IF('04_Form_Dechets'!$O89="Validé humainement",'04_Form_Dechets'!M89,"")</x:f>
      </x:c>
      <x:c r="N89" s="76" t="str">
        <x:f>IF('04_Form_Dechets'!$O89="Validé humainement",'04_Form_Dechets'!N89,"")</x:f>
      </x:c>
      <x:c r="O89" s="76" t="str">
        <x:f>IF('04_Form_Dechets'!$O89="Validé humainement",'04_Form_Dechets'!O89,"")</x:f>
      </x:c>
      <x:c r="P89" s="78" t="str">
        <x:f>IF('04_Form_Dechets'!$O89="Validé humainement",'04_Form_Dechets'!P89,"")</x:f>
      </x:c>
      <x:c r="Q89" s="76" t="str">
        <x:f>IF('04_Form_Dechets'!$O89="Validé humainement",'04_Form_Dechets'!Q89,"")</x:f>
      </x:c>
      <x:c r="R89" s="76" t="str">
        <x:f>IF('04_Form_Dechets'!$O89="Validé humainement",'04_Form_Dechets'!R89,"")</x:f>
      </x:c>
      <x:c r="S89" s="76" t="str">
        <x:f>IF('04_Form_Dechets'!$O89="Validé humainement",'04_Form_Dechets'!S89,"")</x:f>
      </x:c>
    </x:row>
    <x:row r="90">
      <x:c r="A90" s="76" t="str">
        <x:f>IF('04_Form_Dechets'!$O90="Validé humainement",'04_Form_Dechets'!A90,"")</x:f>
      </x:c>
      <x:c r="B90" s="76" t="str">
        <x:f>IF('04_Form_Dechets'!$O90="Validé humainement",'04_Form_Dechets'!B90,"")</x:f>
      </x:c>
      <x:c r="C90" s="76" t="str">
        <x:f>IF('04_Form_Dechets'!$O90="Validé humainement",'04_Form_Dechets'!C90,"")</x:f>
      </x:c>
      <x:c r="D90" s="76" t="str">
        <x:f>IF('04_Form_Dechets'!$O90="Validé humainement",'04_Form_Dechets'!D90,"")</x:f>
      </x:c>
      <x:c r="E90" s="76" t="str">
        <x:f>IF('04_Form_Dechets'!$O90="Validé humainement",'04_Form_Dechets'!E90,"")</x:f>
      </x:c>
      <x:c r="F90" s="77" t="str">
        <x:f>IF('04_Form_Dechets'!$O90="Validé humainement",'04_Form_Dechets'!F90,"")</x:f>
      </x:c>
      <x:c r="G90" s="77" t="str">
        <x:f>IF('04_Form_Dechets'!$O90="Validé humainement",'04_Form_Dechets'!G90,"")</x:f>
      </x:c>
      <x:c r="H90" s="77" t="str">
        <x:f>IF('04_Form_Dechets'!$O90="Validé humainement",'04_Form_Dechets'!H90,"")</x:f>
      </x:c>
      <x:c r="I90" s="77" t="str">
        <x:f>IF('04_Form_Dechets'!$O90="Validé humainement",'04_Form_Dechets'!I90,"")</x:f>
      </x:c>
      <x:c r="J90" s="76" t="str">
        <x:f>IF('04_Form_Dechets'!$O90="Validé humainement",'04_Form_Dechets'!J90,"")</x:f>
      </x:c>
      <x:c r="K90" s="76" t="str">
        <x:f>IF('04_Form_Dechets'!$O90="Validé humainement",'04_Form_Dechets'!K90,"")</x:f>
      </x:c>
      <x:c r="L90" s="76" t="str">
        <x:f>IF('04_Form_Dechets'!$O90="Validé humainement",'04_Form_Dechets'!L90,"")</x:f>
      </x:c>
      <x:c r="M90" s="77" t="str">
        <x:f>IF('04_Form_Dechets'!$O90="Validé humainement",'04_Form_Dechets'!M90,"")</x:f>
      </x:c>
      <x:c r="N90" s="76" t="str">
        <x:f>IF('04_Form_Dechets'!$O90="Validé humainement",'04_Form_Dechets'!N90,"")</x:f>
      </x:c>
      <x:c r="O90" s="76" t="str">
        <x:f>IF('04_Form_Dechets'!$O90="Validé humainement",'04_Form_Dechets'!O90,"")</x:f>
      </x:c>
      <x:c r="P90" s="78" t="str">
        <x:f>IF('04_Form_Dechets'!$O90="Validé humainement",'04_Form_Dechets'!P90,"")</x:f>
      </x:c>
      <x:c r="Q90" s="76" t="str">
        <x:f>IF('04_Form_Dechets'!$O90="Validé humainement",'04_Form_Dechets'!Q90,"")</x:f>
      </x:c>
      <x:c r="R90" s="76" t="str">
        <x:f>IF('04_Form_Dechets'!$O90="Validé humainement",'04_Form_Dechets'!R90,"")</x:f>
      </x:c>
      <x:c r="S90" s="76" t="str">
        <x:f>IF('04_Form_Dechets'!$O90="Validé humainement",'04_Form_Dechets'!S90,"")</x:f>
      </x:c>
    </x:row>
    <x:row r="91">
      <x:c r="A91" s="76" t="str">
        <x:f>IF('04_Form_Dechets'!$O91="Validé humainement",'04_Form_Dechets'!A91,"")</x:f>
      </x:c>
      <x:c r="B91" s="76" t="str">
        <x:f>IF('04_Form_Dechets'!$O91="Validé humainement",'04_Form_Dechets'!B91,"")</x:f>
      </x:c>
      <x:c r="C91" s="76" t="str">
        <x:f>IF('04_Form_Dechets'!$O91="Validé humainement",'04_Form_Dechets'!C91,"")</x:f>
      </x:c>
      <x:c r="D91" s="76" t="str">
        <x:f>IF('04_Form_Dechets'!$O91="Validé humainement",'04_Form_Dechets'!D91,"")</x:f>
      </x:c>
      <x:c r="E91" s="76" t="str">
        <x:f>IF('04_Form_Dechets'!$O91="Validé humainement",'04_Form_Dechets'!E91,"")</x:f>
      </x:c>
      <x:c r="F91" s="77" t="str">
        <x:f>IF('04_Form_Dechets'!$O91="Validé humainement",'04_Form_Dechets'!F91,"")</x:f>
      </x:c>
      <x:c r="G91" s="77" t="str">
        <x:f>IF('04_Form_Dechets'!$O91="Validé humainement",'04_Form_Dechets'!G91,"")</x:f>
      </x:c>
      <x:c r="H91" s="77" t="str">
        <x:f>IF('04_Form_Dechets'!$O91="Validé humainement",'04_Form_Dechets'!H91,"")</x:f>
      </x:c>
      <x:c r="I91" s="77" t="str">
        <x:f>IF('04_Form_Dechets'!$O91="Validé humainement",'04_Form_Dechets'!I91,"")</x:f>
      </x:c>
      <x:c r="J91" s="76" t="str">
        <x:f>IF('04_Form_Dechets'!$O91="Validé humainement",'04_Form_Dechets'!J91,"")</x:f>
      </x:c>
      <x:c r="K91" s="76" t="str">
        <x:f>IF('04_Form_Dechets'!$O91="Validé humainement",'04_Form_Dechets'!K91,"")</x:f>
      </x:c>
      <x:c r="L91" s="76" t="str">
        <x:f>IF('04_Form_Dechets'!$O91="Validé humainement",'04_Form_Dechets'!L91,"")</x:f>
      </x:c>
      <x:c r="M91" s="77" t="str">
        <x:f>IF('04_Form_Dechets'!$O91="Validé humainement",'04_Form_Dechets'!M91,"")</x:f>
      </x:c>
      <x:c r="N91" s="76" t="str">
        <x:f>IF('04_Form_Dechets'!$O91="Validé humainement",'04_Form_Dechets'!N91,"")</x:f>
      </x:c>
      <x:c r="O91" s="76" t="str">
        <x:f>IF('04_Form_Dechets'!$O91="Validé humainement",'04_Form_Dechets'!O91,"")</x:f>
      </x:c>
      <x:c r="P91" s="78" t="str">
        <x:f>IF('04_Form_Dechets'!$O91="Validé humainement",'04_Form_Dechets'!P91,"")</x:f>
      </x:c>
      <x:c r="Q91" s="76" t="str">
        <x:f>IF('04_Form_Dechets'!$O91="Validé humainement",'04_Form_Dechets'!Q91,"")</x:f>
      </x:c>
      <x:c r="R91" s="76" t="str">
        <x:f>IF('04_Form_Dechets'!$O91="Validé humainement",'04_Form_Dechets'!R91,"")</x:f>
      </x:c>
      <x:c r="S91" s="76" t="str">
        <x:f>IF('04_Form_Dechets'!$O91="Validé humainement",'04_Form_Dechets'!S91,"")</x:f>
      </x:c>
    </x:row>
    <x:row r="92">
      <x:c r="A92" s="76" t="str">
        <x:f>IF('04_Form_Dechets'!$O92="Validé humainement",'04_Form_Dechets'!A92,"")</x:f>
      </x:c>
      <x:c r="B92" s="76" t="str">
        <x:f>IF('04_Form_Dechets'!$O92="Validé humainement",'04_Form_Dechets'!B92,"")</x:f>
      </x:c>
      <x:c r="C92" s="76" t="str">
        <x:f>IF('04_Form_Dechets'!$O92="Validé humainement",'04_Form_Dechets'!C92,"")</x:f>
      </x:c>
      <x:c r="D92" s="76" t="str">
        <x:f>IF('04_Form_Dechets'!$O92="Validé humainement",'04_Form_Dechets'!D92,"")</x:f>
      </x:c>
      <x:c r="E92" s="76" t="str">
        <x:f>IF('04_Form_Dechets'!$O92="Validé humainement",'04_Form_Dechets'!E92,"")</x:f>
      </x:c>
      <x:c r="F92" s="77" t="str">
        <x:f>IF('04_Form_Dechets'!$O92="Validé humainement",'04_Form_Dechets'!F92,"")</x:f>
      </x:c>
      <x:c r="G92" s="77" t="str">
        <x:f>IF('04_Form_Dechets'!$O92="Validé humainement",'04_Form_Dechets'!G92,"")</x:f>
      </x:c>
      <x:c r="H92" s="77" t="str">
        <x:f>IF('04_Form_Dechets'!$O92="Validé humainement",'04_Form_Dechets'!H92,"")</x:f>
      </x:c>
      <x:c r="I92" s="77" t="str">
        <x:f>IF('04_Form_Dechets'!$O92="Validé humainement",'04_Form_Dechets'!I92,"")</x:f>
      </x:c>
      <x:c r="J92" s="76" t="str">
        <x:f>IF('04_Form_Dechets'!$O92="Validé humainement",'04_Form_Dechets'!J92,"")</x:f>
      </x:c>
      <x:c r="K92" s="76" t="str">
        <x:f>IF('04_Form_Dechets'!$O92="Validé humainement",'04_Form_Dechets'!K92,"")</x:f>
      </x:c>
      <x:c r="L92" s="76" t="str">
        <x:f>IF('04_Form_Dechets'!$O92="Validé humainement",'04_Form_Dechets'!L92,"")</x:f>
      </x:c>
      <x:c r="M92" s="77" t="str">
        <x:f>IF('04_Form_Dechets'!$O92="Validé humainement",'04_Form_Dechets'!M92,"")</x:f>
      </x:c>
      <x:c r="N92" s="76" t="str">
        <x:f>IF('04_Form_Dechets'!$O92="Validé humainement",'04_Form_Dechets'!N92,"")</x:f>
      </x:c>
      <x:c r="O92" s="76" t="str">
        <x:f>IF('04_Form_Dechets'!$O92="Validé humainement",'04_Form_Dechets'!O92,"")</x:f>
      </x:c>
      <x:c r="P92" s="78" t="str">
        <x:f>IF('04_Form_Dechets'!$O92="Validé humainement",'04_Form_Dechets'!P92,"")</x:f>
      </x:c>
      <x:c r="Q92" s="76" t="str">
        <x:f>IF('04_Form_Dechets'!$O92="Validé humainement",'04_Form_Dechets'!Q92,"")</x:f>
      </x:c>
      <x:c r="R92" s="76" t="str">
        <x:f>IF('04_Form_Dechets'!$O92="Validé humainement",'04_Form_Dechets'!R92,"")</x:f>
      </x:c>
      <x:c r="S92" s="76" t="str">
        <x:f>IF('04_Form_Dechets'!$O92="Validé humainement",'04_Form_Dechets'!S92,"")</x:f>
      </x:c>
    </x:row>
    <x:row r="93">
      <x:c r="A93" s="76" t="str">
        <x:f>IF('04_Form_Dechets'!$O93="Validé humainement",'04_Form_Dechets'!A93,"")</x:f>
      </x:c>
      <x:c r="B93" s="76" t="str">
        <x:f>IF('04_Form_Dechets'!$O93="Validé humainement",'04_Form_Dechets'!B93,"")</x:f>
      </x:c>
      <x:c r="C93" s="76" t="str">
        <x:f>IF('04_Form_Dechets'!$O93="Validé humainement",'04_Form_Dechets'!C93,"")</x:f>
      </x:c>
      <x:c r="D93" s="76" t="str">
        <x:f>IF('04_Form_Dechets'!$O93="Validé humainement",'04_Form_Dechets'!D93,"")</x:f>
      </x:c>
      <x:c r="E93" s="76" t="str">
        <x:f>IF('04_Form_Dechets'!$O93="Validé humainement",'04_Form_Dechets'!E93,"")</x:f>
      </x:c>
      <x:c r="F93" s="77" t="str">
        <x:f>IF('04_Form_Dechets'!$O93="Validé humainement",'04_Form_Dechets'!F93,"")</x:f>
      </x:c>
      <x:c r="G93" s="77" t="str">
        <x:f>IF('04_Form_Dechets'!$O93="Validé humainement",'04_Form_Dechets'!G93,"")</x:f>
      </x:c>
      <x:c r="H93" s="77" t="str">
        <x:f>IF('04_Form_Dechets'!$O93="Validé humainement",'04_Form_Dechets'!H93,"")</x:f>
      </x:c>
      <x:c r="I93" s="77" t="str">
        <x:f>IF('04_Form_Dechets'!$O93="Validé humainement",'04_Form_Dechets'!I93,"")</x:f>
      </x:c>
      <x:c r="J93" s="76" t="str">
        <x:f>IF('04_Form_Dechets'!$O93="Validé humainement",'04_Form_Dechets'!J93,"")</x:f>
      </x:c>
      <x:c r="K93" s="76" t="str">
        <x:f>IF('04_Form_Dechets'!$O93="Validé humainement",'04_Form_Dechets'!K93,"")</x:f>
      </x:c>
      <x:c r="L93" s="76" t="str">
        <x:f>IF('04_Form_Dechets'!$O93="Validé humainement",'04_Form_Dechets'!L93,"")</x:f>
      </x:c>
      <x:c r="M93" s="77" t="str">
        <x:f>IF('04_Form_Dechets'!$O93="Validé humainement",'04_Form_Dechets'!M93,"")</x:f>
      </x:c>
      <x:c r="N93" s="76" t="str">
        <x:f>IF('04_Form_Dechets'!$O93="Validé humainement",'04_Form_Dechets'!N93,"")</x:f>
      </x:c>
      <x:c r="O93" s="76" t="str">
        <x:f>IF('04_Form_Dechets'!$O93="Validé humainement",'04_Form_Dechets'!O93,"")</x:f>
      </x:c>
      <x:c r="P93" s="78" t="str">
        <x:f>IF('04_Form_Dechets'!$O93="Validé humainement",'04_Form_Dechets'!P93,"")</x:f>
      </x:c>
      <x:c r="Q93" s="76" t="str">
        <x:f>IF('04_Form_Dechets'!$O93="Validé humainement",'04_Form_Dechets'!Q93,"")</x:f>
      </x:c>
      <x:c r="R93" s="76" t="str">
        <x:f>IF('04_Form_Dechets'!$O93="Validé humainement",'04_Form_Dechets'!R93,"")</x:f>
      </x:c>
      <x:c r="S93" s="76" t="str">
        <x:f>IF('04_Form_Dechets'!$O93="Validé humainement",'04_Form_Dechets'!S93,"")</x:f>
      </x:c>
    </x:row>
    <x:row r="94">
      <x:c r="A94" s="76" t="str">
        <x:f>IF('04_Form_Dechets'!$O94="Validé humainement",'04_Form_Dechets'!A94,"")</x:f>
      </x:c>
      <x:c r="B94" s="76" t="str">
        <x:f>IF('04_Form_Dechets'!$O94="Validé humainement",'04_Form_Dechets'!B94,"")</x:f>
      </x:c>
      <x:c r="C94" s="76" t="str">
        <x:f>IF('04_Form_Dechets'!$O94="Validé humainement",'04_Form_Dechets'!C94,"")</x:f>
      </x:c>
      <x:c r="D94" s="76" t="str">
        <x:f>IF('04_Form_Dechets'!$O94="Validé humainement",'04_Form_Dechets'!D94,"")</x:f>
      </x:c>
      <x:c r="E94" s="76" t="str">
        <x:f>IF('04_Form_Dechets'!$O94="Validé humainement",'04_Form_Dechets'!E94,"")</x:f>
      </x:c>
      <x:c r="F94" s="77" t="str">
        <x:f>IF('04_Form_Dechets'!$O94="Validé humainement",'04_Form_Dechets'!F94,"")</x:f>
      </x:c>
      <x:c r="G94" s="77" t="str">
        <x:f>IF('04_Form_Dechets'!$O94="Validé humainement",'04_Form_Dechets'!G94,"")</x:f>
      </x:c>
      <x:c r="H94" s="77" t="str">
        <x:f>IF('04_Form_Dechets'!$O94="Validé humainement",'04_Form_Dechets'!H94,"")</x:f>
      </x:c>
      <x:c r="I94" s="77" t="str">
        <x:f>IF('04_Form_Dechets'!$O94="Validé humainement",'04_Form_Dechets'!I94,"")</x:f>
      </x:c>
      <x:c r="J94" s="76" t="str">
        <x:f>IF('04_Form_Dechets'!$O94="Validé humainement",'04_Form_Dechets'!J94,"")</x:f>
      </x:c>
      <x:c r="K94" s="76" t="str">
        <x:f>IF('04_Form_Dechets'!$O94="Validé humainement",'04_Form_Dechets'!K94,"")</x:f>
      </x:c>
      <x:c r="L94" s="76" t="str">
        <x:f>IF('04_Form_Dechets'!$O94="Validé humainement",'04_Form_Dechets'!L94,"")</x:f>
      </x:c>
      <x:c r="M94" s="77" t="str">
        <x:f>IF('04_Form_Dechets'!$O94="Validé humainement",'04_Form_Dechets'!M94,"")</x:f>
      </x:c>
      <x:c r="N94" s="76" t="str">
        <x:f>IF('04_Form_Dechets'!$O94="Validé humainement",'04_Form_Dechets'!N94,"")</x:f>
      </x:c>
      <x:c r="O94" s="76" t="str">
        <x:f>IF('04_Form_Dechets'!$O94="Validé humainement",'04_Form_Dechets'!O94,"")</x:f>
      </x:c>
      <x:c r="P94" s="78" t="str">
        <x:f>IF('04_Form_Dechets'!$O94="Validé humainement",'04_Form_Dechets'!P94,"")</x:f>
      </x:c>
      <x:c r="Q94" s="76" t="str">
        <x:f>IF('04_Form_Dechets'!$O94="Validé humainement",'04_Form_Dechets'!Q94,"")</x:f>
      </x:c>
      <x:c r="R94" s="76" t="str">
        <x:f>IF('04_Form_Dechets'!$O94="Validé humainement",'04_Form_Dechets'!R94,"")</x:f>
      </x:c>
      <x:c r="S94" s="76" t="str">
        <x:f>IF('04_Form_Dechets'!$O94="Validé humainement",'04_Form_Dechets'!S94,"")</x:f>
      </x:c>
    </x:row>
    <x:row r="95">
      <x:c r="A95" s="76" t="str">
        <x:f>IF('04_Form_Dechets'!$O95="Validé humainement",'04_Form_Dechets'!A95,"")</x:f>
      </x:c>
      <x:c r="B95" s="76" t="str">
        <x:f>IF('04_Form_Dechets'!$O95="Validé humainement",'04_Form_Dechets'!B95,"")</x:f>
      </x:c>
      <x:c r="C95" s="76" t="str">
        <x:f>IF('04_Form_Dechets'!$O95="Validé humainement",'04_Form_Dechets'!C95,"")</x:f>
      </x:c>
      <x:c r="D95" s="76" t="str">
        <x:f>IF('04_Form_Dechets'!$O95="Validé humainement",'04_Form_Dechets'!D95,"")</x:f>
      </x:c>
      <x:c r="E95" s="76" t="str">
        <x:f>IF('04_Form_Dechets'!$O95="Validé humainement",'04_Form_Dechets'!E95,"")</x:f>
      </x:c>
      <x:c r="F95" s="77" t="str">
        <x:f>IF('04_Form_Dechets'!$O95="Validé humainement",'04_Form_Dechets'!F95,"")</x:f>
      </x:c>
      <x:c r="G95" s="77" t="str">
        <x:f>IF('04_Form_Dechets'!$O95="Validé humainement",'04_Form_Dechets'!G95,"")</x:f>
      </x:c>
      <x:c r="H95" s="77" t="str">
        <x:f>IF('04_Form_Dechets'!$O95="Validé humainement",'04_Form_Dechets'!H95,"")</x:f>
      </x:c>
      <x:c r="I95" s="77" t="str">
        <x:f>IF('04_Form_Dechets'!$O95="Validé humainement",'04_Form_Dechets'!I95,"")</x:f>
      </x:c>
      <x:c r="J95" s="76" t="str">
        <x:f>IF('04_Form_Dechets'!$O95="Validé humainement",'04_Form_Dechets'!J95,"")</x:f>
      </x:c>
      <x:c r="K95" s="76" t="str">
        <x:f>IF('04_Form_Dechets'!$O95="Validé humainement",'04_Form_Dechets'!K95,"")</x:f>
      </x:c>
      <x:c r="L95" s="76" t="str">
        <x:f>IF('04_Form_Dechets'!$O95="Validé humainement",'04_Form_Dechets'!L95,"")</x:f>
      </x:c>
      <x:c r="M95" s="77" t="str">
        <x:f>IF('04_Form_Dechets'!$O95="Validé humainement",'04_Form_Dechets'!M95,"")</x:f>
      </x:c>
      <x:c r="N95" s="76" t="str">
        <x:f>IF('04_Form_Dechets'!$O95="Validé humainement",'04_Form_Dechets'!N95,"")</x:f>
      </x:c>
      <x:c r="O95" s="76" t="str">
        <x:f>IF('04_Form_Dechets'!$O95="Validé humainement",'04_Form_Dechets'!O95,"")</x:f>
      </x:c>
      <x:c r="P95" s="78" t="str">
        <x:f>IF('04_Form_Dechets'!$O95="Validé humainement",'04_Form_Dechets'!P95,"")</x:f>
      </x:c>
      <x:c r="Q95" s="76" t="str">
        <x:f>IF('04_Form_Dechets'!$O95="Validé humainement",'04_Form_Dechets'!Q95,"")</x:f>
      </x:c>
      <x:c r="R95" s="76" t="str">
        <x:f>IF('04_Form_Dechets'!$O95="Validé humainement",'04_Form_Dechets'!R95,"")</x:f>
      </x:c>
      <x:c r="S95" s="76" t="str">
        <x:f>IF('04_Form_Dechets'!$O95="Validé humainement",'04_Form_Dechets'!S95,"")</x:f>
      </x:c>
    </x:row>
    <x:row r="96">
      <x:c r="A96" s="76" t="str">
        <x:f>IF('04_Form_Dechets'!$O96="Validé humainement",'04_Form_Dechets'!A96,"")</x:f>
      </x:c>
      <x:c r="B96" s="76" t="str">
        <x:f>IF('04_Form_Dechets'!$O96="Validé humainement",'04_Form_Dechets'!B96,"")</x:f>
      </x:c>
      <x:c r="C96" s="76" t="str">
        <x:f>IF('04_Form_Dechets'!$O96="Validé humainement",'04_Form_Dechets'!C96,"")</x:f>
      </x:c>
      <x:c r="D96" s="76" t="str">
        <x:f>IF('04_Form_Dechets'!$O96="Validé humainement",'04_Form_Dechets'!D96,"")</x:f>
      </x:c>
      <x:c r="E96" s="76" t="str">
        <x:f>IF('04_Form_Dechets'!$O96="Validé humainement",'04_Form_Dechets'!E96,"")</x:f>
      </x:c>
      <x:c r="F96" s="77" t="str">
        <x:f>IF('04_Form_Dechets'!$O96="Validé humainement",'04_Form_Dechets'!F96,"")</x:f>
      </x:c>
      <x:c r="G96" s="77" t="str">
        <x:f>IF('04_Form_Dechets'!$O96="Validé humainement",'04_Form_Dechets'!G96,"")</x:f>
      </x:c>
      <x:c r="H96" s="77" t="str">
        <x:f>IF('04_Form_Dechets'!$O96="Validé humainement",'04_Form_Dechets'!H96,"")</x:f>
      </x:c>
      <x:c r="I96" s="77" t="str">
        <x:f>IF('04_Form_Dechets'!$O96="Validé humainement",'04_Form_Dechets'!I96,"")</x:f>
      </x:c>
      <x:c r="J96" s="76" t="str">
        <x:f>IF('04_Form_Dechets'!$O96="Validé humainement",'04_Form_Dechets'!J96,"")</x:f>
      </x:c>
      <x:c r="K96" s="76" t="str">
        <x:f>IF('04_Form_Dechets'!$O96="Validé humainement",'04_Form_Dechets'!K96,"")</x:f>
      </x:c>
      <x:c r="L96" s="76" t="str">
        <x:f>IF('04_Form_Dechets'!$O96="Validé humainement",'04_Form_Dechets'!L96,"")</x:f>
      </x:c>
      <x:c r="M96" s="77" t="str">
        <x:f>IF('04_Form_Dechets'!$O96="Validé humainement",'04_Form_Dechets'!M96,"")</x:f>
      </x:c>
      <x:c r="N96" s="76" t="str">
        <x:f>IF('04_Form_Dechets'!$O96="Validé humainement",'04_Form_Dechets'!N96,"")</x:f>
      </x:c>
      <x:c r="O96" s="76" t="str">
        <x:f>IF('04_Form_Dechets'!$O96="Validé humainement",'04_Form_Dechets'!O96,"")</x:f>
      </x:c>
      <x:c r="P96" s="78" t="str">
        <x:f>IF('04_Form_Dechets'!$O96="Validé humainement",'04_Form_Dechets'!P96,"")</x:f>
      </x:c>
      <x:c r="Q96" s="76" t="str">
        <x:f>IF('04_Form_Dechets'!$O96="Validé humainement",'04_Form_Dechets'!Q96,"")</x:f>
      </x:c>
      <x:c r="R96" s="76" t="str">
        <x:f>IF('04_Form_Dechets'!$O96="Validé humainement",'04_Form_Dechets'!R96,"")</x:f>
      </x:c>
      <x:c r="S96" s="76" t="str">
        <x:f>IF('04_Form_Dechets'!$O96="Validé humainement",'04_Form_Dechets'!S96,"")</x:f>
      </x:c>
    </x:row>
    <x:row r="97">
      <x:c r="A97" s="76" t="str">
        <x:f>IF('04_Form_Dechets'!$O97="Validé humainement",'04_Form_Dechets'!A97,"")</x:f>
      </x:c>
      <x:c r="B97" s="76" t="str">
        <x:f>IF('04_Form_Dechets'!$O97="Validé humainement",'04_Form_Dechets'!B97,"")</x:f>
      </x:c>
      <x:c r="C97" s="76" t="str">
        <x:f>IF('04_Form_Dechets'!$O97="Validé humainement",'04_Form_Dechets'!C97,"")</x:f>
      </x:c>
      <x:c r="D97" s="76" t="str">
        <x:f>IF('04_Form_Dechets'!$O97="Validé humainement",'04_Form_Dechets'!D97,"")</x:f>
      </x:c>
      <x:c r="E97" s="76" t="str">
        <x:f>IF('04_Form_Dechets'!$O97="Validé humainement",'04_Form_Dechets'!E97,"")</x:f>
      </x:c>
      <x:c r="F97" s="77" t="str">
        <x:f>IF('04_Form_Dechets'!$O97="Validé humainement",'04_Form_Dechets'!F97,"")</x:f>
      </x:c>
      <x:c r="G97" s="77" t="str">
        <x:f>IF('04_Form_Dechets'!$O97="Validé humainement",'04_Form_Dechets'!G97,"")</x:f>
      </x:c>
      <x:c r="H97" s="77" t="str">
        <x:f>IF('04_Form_Dechets'!$O97="Validé humainement",'04_Form_Dechets'!H97,"")</x:f>
      </x:c>
      <x:c r="I97" s="77" t="str">
        <x:f>IF('04_Form_Dechets'!$O97="Validé humainement",'04_Form_Dechets'!I97,"")</x:f>
      </x:c>
      <x:c r="J97" s="76" t="str">
        <x:f>IF('04_Form_Dechets'!$O97="Validé humainement",'04_Form_Dechets'!J97,"")</x:f>
      </x:c>
      <x:c r="K97" s="76" t="str">
        <x:f>IF('04_Form_Dechets'!$O97="Validé humainement",'04_Form_Dechets'!K97,"")</x:f>
      </x:c>
      <x:c r="L97" s="76" t="str">
        <x:f>IF('04_Form_Dechets'!$O97="Validé humainement",'04_Form_Dechets'!L97,"")</x:f>
      </x:c>
      <x:c r="M97" s="77" t="str">
        <x:f>IF('04_Form_Dechets'!$O97="Validé humainement",'04_Form_Dechets'!M97,"")</x:f>
      </x:c>
      <x:c r="N97" s="76" t="str">
        <x:f>IF('04_Form_Dechets'!$O97="Validé humainement",'04_Form_Dechets'!N97,"")</x:f>
      </x:c>
      <x:c r="O97" s="76" t="str">
        <x:f>IF('04_Form_Dechets'!$O97="Validé humainement",'04_Form_Dechets'!O97,"")</x:f>
      </x:c>
      <x:c r="P97" s="78" t="str">
        <x:f>IF('04_Form_Dechets'!$O97="Validé humainement",'04_Form_Dechets'!P97,"")</x:f>
      </x:c>
      <x:c r="Q97" s="76" t="str">
        <x:f>IF('04_Form_Dechets'!$O97="Validé humainement",'04_Form_Dechets'!Q97,"")</x:f>
      </x:c>
      <x:c r="R97" s="76" t="str">
        <x:f>IF('04_Form_Dechets'!$O97="Validé humainement",'04_Form_Dechets'!R97,"")</x:f>
      </x:c>
      <x:c r="S97" s="76" t="str">
        <x:f>IF('04_Form_Dechets'!$O97="Validé humainement",'04_Form_Dechets'!S97,"")</x:f>
      </x:c>
    </x:row>
    <x:row r="98">
      <x:c r="A98" s="76" t="str">
        <x:f>IF('04_Form_Dechets'!$O98="Validé humainement",'04_Form_Dechets'!A98,"")</x:f>
      </x:c>
      <x:c r="B98" s="76" t="str">
        <x:f>IF('04_Form_Dechets'!$O98="Validé humainement",'04_Form_Dechets'!B98,"")</x:f>
      </x:c>
      <x:c r="C98" s="76" t="str">
        <x:f>IF('04_Form_Dechets'!$O98="Validé humainement",'04_Form_Dechets'!C98,"")</x:f>
      </x:c>
      <x:c r="D98" s="76" t="str">
        <x:f>IF('04_Form_Dechets'!$O98="Validé humainement",'04_Form_Dechets'!D98,"")</x:f>
      </x:c>
      <x:c r="E98" s="76" t="str">
        <x:f>IF('04_Form_Dechets'!$O98="Validé humainement",'04_Form_Dechets'!E98,"")</x:f>
      </x:c>
      <x:c r="F98" s="77" t="str">
        <x:f>IF('04_Form_Dechets'!$O98="Validé humainement",'04_Form_Dechets'!F98,"")</x:f>
      </x:c>
      <x:c r="G98" s="77" t="str">
        <x:f>IF('04_Form_Dechets'!$O98="Validé humainement",'04_Form_Dechets'!G98,"")</x:f>
      </x:c>
      <x:c r="H98" s="77" t="str">
        <x:f>IF('04_Form_Dechets'!$O98="Validé humainement",'04_Form_Dechets'!H98,"")</x:f>
      </x:c>
      <x:c r="I98" s="77" t="str">
        <x:f>IF('04_Form_Dechets'!$O98="Validé humainement",'04_Form_Dechets'!I98,"")</x:f>
      </x:c>
      <x:c r="J98" s="76" t="str">
        <x:f>IF('04_Form_Dechets'!$O98="Validé humainement",'04_Form_Dechets'!J98,"")</x:f>
      </x:c>
      <x:c r="K98" s="76" t="str">
        <x:f>IF('04_Form_Dechets'!$O98="Validé humainement",'04_Form_Dechets'!K98,"")</x:f>
      </x:c>
      <x:c r="L98" s="76" t="str">
        <x:f>IF('04_Form_Dechets'!$O98="Validé humainement",'04_Form_Dechets'!L98,"")</x:f>
      </x:c>
      <x:c r="M98" s="77" t="str">
        <x:f>IF('04_Form_Dechets'!$O98="Validé humainement",'04_Form_Dechets'!M98,"")</x:f>
      </x:c>
      <x:c r="N98" s="76" t="str">
        <x:f>IF('04_Form_Dechets'!$O98="Validé humainement",'04_Form_Dechets'!N98,"")</x:f>
      </x:c>
      <x:c r="O98" s="76" t="str">
        <x:f>IF('04_Form_Dechets'!$O98="Validé humainement",'04_Form_Dechets'!O98,"")</x:f>
      </x:c>
      <x:c r="P98" s="78" t="str">
        <x:f>IF('04_Form_Dechets'!$O98="Validé humainement",'04_Form_Dechets'!P98,"")</x:f>
      </x:c>
      <x:c r="Q98" s="76" t="str">
        <x:f>IF('04_Form_Dechets'!$O98="Validé humainement",'04_Form_Dechets'!Q98,"")</x:f>
      </x:c>
      <x:c r="R98" s="76" t="str">
        <x:f>IF('04_Form_Dechets'!$O98="Validé humainement",'04_Form_Dechets'!R98,"")</x:f>
      </x:c>
      <x:c r="S98" s="76" t="str">
        <x:f>IF('04_Form_Dechets'!$O98="Validé humainement",'04_Form_Dechets'!S98,"")</x:f>
      </x:c>
    </x:row>
    <x:row r="99">
      <x:c r="A99" s="76" t="str">
        <x:f>IF('04_Form_Dechets'!$O99="Validé humainement",'04_Form_Dechets'!A99,"")</x:f>
      </x:c>
      <x:c r="B99" s="76" t="str">
        <x:f>IF('04_Form_Dechets'!$O99="Validé humainement",'04_Form_Dechets'!B99,"")</x:f>
      </x:c>
      <x:c r="C99" s="76" t="str">
        <x:f>IF('04_Form_Dechets'!$O99="Validé humainement",'04_Form_Dechets'!C99,"")</x:f>
      </x:c>
      <x:c r="D99" s="76" t="str">
        <x:f>IF('04_Form_Dechets'!$O99="Validé humainement",'04_Form_Dechets'!D99,"")</x:f>
      </x:c>
      <x:c r="E99" s="76" t="str">
        <x:f>IF('04_Form_Dechets'!$O99="Validé humainement",'04_Form_Dechets'!E99,"")</x:f>
      </x:c>
      <x:c r="F99" s="77" t="str">
        <x:f>IF('04_Form_Dechets'!$O99="Validé humainement",'04_Form_Dechets'!F99,"")</x:f>
      </x:c>
      <x:c r="G99" s="77" t="str">
        <x:f>IF('04_Form_Dechets'!$O99="Validé humainement",'04_Form_Dechets'!G99,"")</x:f>
      </x:c>
      <x:c r="H99" s="77" t="str">
        <x:f>IF('04_Form_Dechets'!$O99="Validé humainement",'04_Form_Dechets'!H99,"")</x:f>
      </x:c>
      <x:c r="I99" s="77" t="str">
        <x:f>IF('04_Form_Dechets'!$O99="Validé humainement",'04_Form_Dechets'!I99,"")</x:f>
      </x:c>
      <x:c r="J99" s="76" t="str">
        <x:f>IF('04_Form_Dechets'!$O99="Validé humainement",'04_Form_Dechets'!J99,"")</x:f>
      </x:c>
      <x:c r="K99" s="76" t="str">
        <x:f>IF('04_Form_Dechets'!$O99="Validé humainement",'04_Form_Dechets'!K99,"")</x:f>
      </x:c>
      <x:c r="L99" s="76" t="str">
        <x:f>IF('04_Form_Dechets'!$O99="Validé humainement",'04_Form_Dechets'!L99,"")</x:f>
      </x:c>
      <x:c r="M99" s="77" t="str">
        <x:f>IF('04_Form_Dechets'!$O99="Validé humainement",'04_Form_Dechets'!M99,"")</x:f>
      </x:c>
      <x:c r="N99" s="76" t="str">
        <x:f>IF('04_Form_Dechets'!$O99="Validé humainement",'04_Form_Dechets'!N99,"")</x:f>
      </x:c>
      <x:c r="O99" s="76" t="str">
        <x:f>IF('04_Form_Dechets'!$O99="Validé humainement",'04_Form_Dechets'!O99,"")</x:f>
      </x:c>
      <x:c r="P99" s="78" t="str">
        <x:f>IF('04_Form_Dechets'!$O99="Validé humainement",'04_Form_Dechets'!P99,"")</x:f>
      </x:c>
      <x:c r="Q99" s="76" t="str">
        <x:f>IF('04_Form_Dechets'!$O99="Validé humainement",'04_Form_Dechets'!Q99,"")</x:f>
      </x:c>
      <x:c r="R99" s="76" t="str">
        <x:f>IF('04_Form_Dechets'!$O99="Validé humainement",'04_Form_Dechets'!R99,"")</x:f>
      </x:c>
      <x:c r="S99" s="76" t="str">
        <x:f>IF('04_Form_Dechets'!$O99="Validé humainement",'04_Form_Dechets'!S99,"")</x:f>
      </x:c>
    </x:row>
    <x:row r="100">
      <x:c r="A100" s="76" t="str">
        <x:f>IF('04_Form_Dechets'!$O100="Validé humainement",'04_Form_Dechets'!A100,"")</x:f>
      </x:c>
      <x:c r="B100" s="76" t="str">
        <x:f>IF('04_Form_Dechets'!$O100="Validé humainement",'04_Form_Dechets'!B100,"")</x:f>
      </x:c>
      <x:c r="C100" s="76" t="str">
        <x:f>IF('04_Form_Dechets'!$O100="Validé humainement",'04_Form_Dechets'!C100,"")</x:f>
      </x:c>
      <x:c r="D100" s="76" t="str">
        <x:f>IF('04_Form_Dechets'!$O100="Validé humainement",'04_Form_Dechets'!D100,"")</x:f>
      </x:c>
      <x:c r="E100" s="76" t="str">
        <x:f>IF('04_Form_Dechets'!$O100="Validé humainement",'04_Form_Dechets'!E100,"")</x:f>
      </x:c>
      <x:c r="F100" s="77" t="str">
        <x:f>IF('04_Form_Dechets'!$O100="Validé humainement",'04_Form_Dechets'!F100,"")</x:f>
      </x:c>
      <x:c r="G100" s="77" t="str">
        <x:f>IF('04_Form_Dechets'!$O100="Validé humainement",'04_Form_Dechets'!G100,"")</x:f>
      </x:c>
      <x:c r="H100" s="77" t="str">
        <x:f>IF('04_Form_Dechets'!$O100="Validé humainement",'04_Form_Dechets'!H100,"")</x:f>
      </x:c>
      <x:c r="I100" s="77" t="str">
        <x:f>IF('04_Form_Dechets'!$O100="Validé humainement",'04_Form_Dechets'!I100,"")</x:f>
      </x:c>
      <x:c r="J100" s="76" t="str">
        <x:f>IF('04_Form_Dechets'!$O100="Validé humainement",'04_Form_Dechets'!J100,"")</x:f>
      </x:c>
      <x:c r="K100" s="76" t="str">
        <x:f>IF('04_Form_Dechets'!$O100="Validé humainement",'04_Form_Dechets'!K100,"")</x:f>
      </x:c>
      <x:c r="L100" s="76" t="str">
        <x:f>IF('04_Form_Dechets'!$O100="Validé humainement",'04_Form_Dechets'!L100,"")</x:f>
      </x:c>
      <x:c r="M100" s="77" t="str">
        <x:f>IF('04_Form_Dechets'!$O100="Validé humainement",'04_Form_Dechets'!M100,"")</x:f>
      </x:c>
      <x:c r="N100" s="76" t="str">
        <x:f>IF('04_Form_Dechets'!$O100="Validé humainement",'04_Form_Dechets'!N100,"")</x:f>
      </x:c>
      <x:c r="O100" s="76" t="str">
        <x:f>IF('04_Form_Dechets'!$O100="Validé humainement",'04_Form_Dechets'!O100,"")</x:f>
      </x:c>
      <x:c r="P100" s="78" t="str">
        <x:f>IF('04_Form_Dechets'!$O100="Validé humainement",'04_Form_Dechets'!P100,"")</x:f>
      </x:c>
      <x:c r="Q100" s="76" t="str">
        <x:f>IF('04_Form_Dechets'!$O100="Validé humainement",'04_Form_Dechets'!Q100,"")</x:f>
      </x:c>
      <x:c r="R100" s="76" t="str">
        <x:f>IF('04_Form_Dechets'!$O100="Validé humainement",'04_Form_Dechets'!R100,"")</x:f>
      </x:c>
      <x:c r="S100" s="76" t="str">
        <x:f>IF('04_Form_Dechets'!$O100="Validé humainement",'04_Form_Dechets'!S100,"")</x:f>
      </x:c>
    </x:row>
    <x:row r="101">
      <x:c r="A101" s="76" t="str">
        <x:f>IF('04_Form_Dechets'!$O101="Validé humainement",'04_Form_Dechets'!A101,"")</x:f>
      </x:c>
      <x:c r="B101" s="76" t="str">
        <x:f>IF('04_Form_Dechets'!$O101="Validé humainement",'04_Form_Dechets'!B101,"")</x:f>
      </x:c>
      <x:c r="C101" s="76" t="str">
        <x:f>IF('04_Form_Dechets'!$O101="Validé humainement",'04_Form_Dechets'!C101,"")</x:f>
      </x:c>
      <x:c r="D101" s="76" t="str">
        <x:f>IF('04_Form_Dechets'!$O101="Validé humainement",'04_Form_Dechets'!D101,"")</x:f>
      </x:c>
      <x:c r="E101" s="76" t="str">
        <x:f>IF('04_Form_Dechets'!$O101="Validé humainement",'04_Form_Dechets'!E101,"")</x:f>
      </x:c>
      <x:c r="F101" s="77" t="str">
        <x:f>IF('04_Form_Dechets'!$O101="Validé humainement",'04_Form_Dechets'!F101,"")</x:f>
      </x:c>
      <x:c r="G101" s="77" t="str">
        <x:f>IF('04_Form_Dechets'!$O101="Validé humainement",'04_Form_Dechets'!G101,"")</x:f>
      </x:c>
      <x:c r="H101" s="77" t="str">
        <x:f>IF('04_Form_Dechets'!$O101="Validé humainement",'04_Form_Dechets'!H101,"")</x:f>
      </x:c>
      <x:c r="I101" s="77" t="str">
        <x:f>IF('04_Form_Dechets'!$O101="Validé humainement",'04_Form_Dechets'!I101,"")</x:f>
      </x:c>
      <x:c r="J101" s="76" t="str">
        <x:f>IF('04_Form_Dechets'!$O101="Validé humainement",'04_Form_Dechets'!J101,"")</x:f>
      </x:c>
      <x:c r="K101" s="76" t="str">
        <x:f>IF('04_Form_Dechets'!$O101="Validé humainement",'04_Form_Dechets'!K101,"")</x:f>
      </x:c>
      <x:c r="L101" s="76" t="str">
        <x:f>IF('04_Form_Dechets'!$O101="Validé humainement",'04_Form_Dechets'!L101,"")</x:f>
      </x:c>
      <x:c r="M101" s="77" t="str">
        <x:f>IF('04_Form_Dechets'!$O101="Validé humainement",'04_Form_Dechets'!M101,"")</x:f>
      </x:c>
      <x:c r="N101" s="76" t="str">
        <x:f>IF('04_Form_Dechets'!$O101="Validé humainement",'04_Form_Dechets'!N101,"")</x:f>
      </x:c>
      <x:c r="O101" s="76" t="str">
        <x:f>IF('04_Form_Dechets'!$O101="Validé humainement",'04_Form_Dechets'!O101,"")</x:f>
      </x:c>
      <x:c r="P101" s="78" t="str">
        <x:f>IF('04_Form_Dechets'!$O101="Validé humainement",'04_Form_Dechets'!P101,"")</x:f>
      </x:c>
      <x:c r="Q101" s="76" t="str">
        <x:f>IF('04_Form_Dechets'!$O101="Validé humainement",'04_Form_Dechets'!Q101,"")</x:f>
      </x:c>
      <x:c r="R101" s="76" t="str">
        <x:f>IF('04_Form_Dechets'!$O101="Validé humainement",'04_Form_Dechets'!R101,"")</x:f>
      </x:c>
      <x:c r="S101" s="76" t="str">
        <x:f>IF('04_Form_Dechets'!$O101="Validé humainement",'04_Form_Dechets'!S101,"")</x:f>
      </x:c>
    </x:row>
    <x:row r="102">
      <x:c r="A102" s="76" t="str">
        <x:f>IF('04_Form_Dechets'!$O102="Validé humainement",'04_Form_Dechets'!A102,"")</x:f>
      </x:c>
      <x:c r="B102" s="76" t="str">
        <x:f>IF('04_Form_Dechets'!$O102="Validé humainement",'04_Form_Dechets'!B102,"")</x:f>
      </x:c>
      <x:c r="C102" s="76" t="str">
        <x:f>IF('04_Form_Dechets'!$O102="Validé humainement",'04_Form_Dechets'!C102,"")</x:f>
      </x:c>
      <x:c r="D102" s="76" t="str">
        <x:f>IF('04_Form_Dechets'!$O102="Validé humainement",'04_Form_Dechets'!D102,"")</x:f>
      </x:c>
      <x:c r="E102" s="76" t="str">
        <x:f>IF('04_Form_Dechets'!$O102="Validé humainement",'04_Form_Dechets'!E102,"")</x:f>
      </x:c>
      <x:c r="F102" s="77" t="str">
        <x:f>IF('04_Form_Dechets'!$O102="Validé humainement",'04_Form_Dechets'!F102,"")</x:f>
      </x:c>
      <x:c r="G102" s="77" t="str">
        <x:f>IF('04_Form_Dechets'!$O102="Validé humainement",'04_Form_Dechets'!G102,"")</x:f>
      </x:c>
      <x:c r="H102" s="77" t="str">
        <x:f>IF('04_Form_Dechets'!$O102="Validé humainement",'04_Form_Dechets'!H102,"")</x:f>
      </x:c>
      <x:c r="I102" s="77" t="str">
        <x:f>IF('04_Form_Dechets'!$O102="Validé humainement",'04_Form_Dechets'!I102,"")</x:f>
      </x:c>
      <x:c r="J102" s="76" t="str">
        <x:f>IF('04_Form_Dechets'!$O102="Validé humainement",'04_Form_Dechets'!J102,"")</x:f>
      </x:c>
      <x:c r="K102" s="76" t="str">
        <x:f>IF('04_Form_Dechets'!$O102="Validé humainement",'04_Form_Dechets'!K102,"")</x:f>
      </x:c>
      <x:c r="L102" s="76" t="str">
        <x:f>IF('04_Form_Dechets'!$O102="Validé humainement",'04_Form_Dechets'!L102,"")</x:f>
      </x:c>
      <x:c r="M102" s="77" t="str">
        <x:f>IF('04_Form_Dechets'!$O102="Validé humainement",'04_Form_Dechets'!M102,"")</x:f>
      </x:c>
      <x:c r="N102" s="76" t="str">
        <x:f>IF('04_Form_Dechets'!$O102="Validé humainement",'04_Form_Dechets'!N102,"")</x:f>
      </x:c>
      <x:c r="O102" s="76" t="str">
        <x:f>IF('04_Form_Dechets'!$O102="Validé humainement",'04_Form_Dechets'!O102,"")</x:f>
      </x:c>
      <x:c r="P102" s="78" t="str">
        <x:f>IF('04_Form_Dechets'!$O102="Validé humainement",'04_Form_Dechets'!P102,"")</x:f>
      </x:c>
      <x:c r="Q102" s="76" t="str">
        <x:f>IF('04_Form_Dechets'!$O102="Validé humainement",'04_Form_Dechets'!Q102,"")</x:f>
      </x:c>
      <x:c r="R102" s="76" t="str">
        <x:f>IF('04_Form_Dechets'!$O102="Validé humainement",'04_Form_Dechets'!R102,"")</x:f>
      </x:c>
      <x:c r="S102" s="76" t="str">
        <x:f>IF('04_Form_Dechets'!$O102="Validé humainement",'04_Form_Dechets'!S102,"")</x:f>
      </x:c>
    </x:row>
    <x:row r="103">
      <x:c r="A103" s="76" t="str">
        <x:f>IF('04_Form_Dechets'!$O103="Validé humainement",'04_Form_Dechets'!A103,"")</x:f>
      </x:c>
      <x:c r="B103" s="76" t="str">
        <x:f>IF('04_Form_Dechets'!$O103="Validé humainement",'04_Form_Dechets'!B103,"")</x:f>
      </x:c>
      <x:c r="C103" s="76" t="str">
        <x:f>IF('04_Form_Dechets'!$O103="Validé humainement",'04_Form_Dechets'!C103,"")</x:f>
      </x:c>
      <x:c r="D103" s="76" t="str">
        <x:f>IF('04_Form_Dechets'!$O103="Validé humainement",'04_Form_Dechets'!D103,"")</x:f>
      </x:c>
      <x:c r="E103" s="76" t="str">
        <x:f>IF('04_Form_Dechets'!$O103="Validé humainement",'04_Form_Dechets'!E103,"")</x:f>
      </x:c>
      <x:c r="F103" s="77" t="str">
        <x:f>IF('04_Form_Dechets'!$O103="Validé humainement",'04_Form_Dechets'!F103,"")</x:f>
      </x:c>
      <x:c r="G103" s="77" t="str">
        <x:f>IF('04_Form_Dechets'!$O103="Validé humainement",'04_Form_Dechets'!G103,"")</x:f>
      </x:c>
      <x:c r="H103" s="77" t="str">
        <x:f>IF('04_Form_Dechets'!$O103="Validé humainement",'04_Form_Dechets'!H103,"")</x:f>
      </x:c>
      <x:c r="I103" s="77" t="str">
        <x:f>IF('04_Form_Dechets'!$O103="Validé humainement",'04_Form_Dechets'!I103,"")</x:f>
      </x:c>
      <x:c r="J103" s="76" t="str">
        <x:f>IF('04_Form_Dechets'!$O103="Validé humainement",'04_Form_Dechets'!J103,"")</x:f>
      </x:c>
      <x:c r="K103" s="76" t="str">
        <x:f>IF('04_Form_Dechets'!$O103="Validé humainement",'04_Form_Dechets'!K103,"")</x:f>
      </x:c>
      <x:c r="L103" s="76" t="str">
        <x:f>IF('04_Form_Dechets'!$O103="Validé humainement",'04_Form_Dechets'!L103,"")</x:f>
      </x:c>
      <x:c r="M103" s="77" t="str">
        <x:f>IF('04_Form_Dechets'!$O103="Validé humainement",'04_Form_Dechets'!M103,"")</x:f>
      </x:c>
      <x:c r="N103" s="76" t="str">
        <x:f>IF('04_Form_Dechets'!$O103="Validé humainement",'04_Form_Dechets'!N103,"")</x:f>
      </x:c>
      <x:c r="O103" s="76" t="str">
        <x:f>IF('04_Form_Dechets'!$O103="Validé humainement",'04_Form_Dechets'!O103,"")</x:f>
      </x:c>
      <x:c r="P103" s="78" t="str">
        <x:f>IF('04_Form_Dechets'!$O103="Validé humainement",'04_Form_Dechets'!P103,"")</x:f>
      </x:c>
      <x:c r="Q103" s="76" t="str">
        <x:f>IF('04_Form_Dechets'!$O103="Validé humainement",'04_Form_Dechets'!Q103,"")</x:f>
      </x:c>
      <x:c r="R103" s="76" t="str">
        <x:f>IF('04_Form_Dechets'!$O103="Validé humainement",'04_Form_Dechets'!R103,"")</x:f>
      </x:c>
      <x:c r="S103" s="76" t="str">
        <x:f>IF('04_Form_Dechets'!$O103="Validé humainement",'04_Form_Dechets'!S103,"")</x:f>
      </x:c>
    </x:row>
    <x:row r="104">
      <x:c r="A104" s="76" t="str">
        <x:f>IF('04_Form_Dechets'!$O104="Validé humainement",'04_Form_Dechets'!A104,"")</x:f>
      </x:c>
      <x:c r="B104" s="76" t="str">
        <x:f>IF('04_Form_Dechets'!$O104="Validé humainement",'04_Form_Dechets'!B104,"")</x:f>
      </x:c>
      <x:c r="C104" s="76" t="str">
        <x:f>IF('04_Form_Dechets'!$O104="Validé humainement",'04_Form_Dechets'!C104,"")</x:f>
      </x:c>
      <x:c r="D104" s="76" t="str">
        <x:f>IF('04_Form_Dechets'!$O104="Validé humainement",'04_Form_Dechets'!D104,"")</x:f>
      </x:c>
      <x:c r="E104" s="76" t="str">
        <x:f>IF('04_Form_Dechets'!$O104="Validé humainement",'04_Form_Dechets'!E104,"")</x:f>
      </x:c>
      <x:c r="F104" s="77" t="str">
        <x:f>IF('04_Form_Dechets'!$O104="Validé humainement",'04_Form_Dechets'!F104,"")</x:f>
      </x:c>
      <x:c r="G104" s="77" t="str">
        <x:f>IF('04_Form_Dechets'!$O104="Validé humainement",'04_Form_Dechets'!G104,"")</x:f>
      </x:c>
      <x:c r="H104" s="77" t="str">
        <x:f>IF('04_Form_Dechets'!$O104="Validé humainement",'04_Form_Dechets'!H104,"")</x:f>
      </x:c>
      <x:c r="I104" s="77" t="str">
        <x:f>IF('04_Form_Dechets'!$O104="Validé humainement",'04_Form_Dechets'!I104,"")</x:f>
      </x:c>
      <x:c r="J104" s="76" t="str">
        <x:f>IF('04_Form_Dechets'!$O104="Validé humainement",'04_Form_Dechets'!J104,"")</x:f>
      </x:c>
      <x:c r="K104" s="76" t="str">
        <x:f>IF('04_Form_Dechets'!$O104="Validé humainement",'04_Form_Dechets'!K104,"")</x:f>
      </x:c>
      <x:c r="L104" s="76" t="str">
        <x:f>IF('04_Form_Dechets'!$O104="Validé humainement",'04_Form_Dechets'!L104,"")</x:f>
      </x:c>
      <x:c r="M104" s="77" t="str">
        <x:f>IF('04_Form_Dechets'!$O104="Validé humainement",'04_Form_Dechets'!M104,"")</x:f>
      </x:c>
      <x:c r="N104" s="76" t="str">
        <x:f>IF('04_Form_Dechets'!$O104="Validé humainement",'04_Form_Dechets'!N104,"")</x:f>
      </x:c>
      <x:c r="O104" s="76" t="str">
        <x:f>IF('04_Form_Dechets'!$O104="Validé humainement",'04_Form_Dechets'!O104,"")</x:f>
      </x:c>
      <x:c r="P104" s="78" t="str">
        <x:f>IF('04_Form_Dechets'!$O104="Validé humainement",'04_Form_Dechets'!P104,"")</x:f>
      </x:c>
      <x:c r="Q104" s="76" t="str">
        <x:f>IF('04_Form_Dechets'!$O104="Validé humainement",'04_Form_Dechets'!Q104,"")</x:f>
      </x:c>
      <x:c r="R104" s="76" t="str">
        <x:f>IF('04_Form_Dechets'!$O104="Validé humainement",'04_Form_Dechets'!R104,"")</x:f>
      </x:c>
      <x:c r="S104" s="76" t="str">
        <x:f>IF('04_Form_Dechets'!$O104="Validé humainement",'04_Form_Dechets'!S104,"")</x:f>
      </x:c>
    </x:row>
  </x:sheetData>
  <x:mergeCells>
    <x:mergeCell ref="A1:S1"/>
    <x:mergeCell ref="A2:S2"/>
  </x:mergeCells>
  <x:pageMargins left="0.7" right="0.7" top="0.75" bottom="0.75" header="0.3" footer="0.3"/>
  <x:tableParts count="1">
    <x:tablePart xmlns:r="http://schemas.openxmlformats.org/officeDocument/2006/relationships" r:id="Rfed12197f63b4875"/>
  </x:tableParts>
</x:worksheet>
</file>

<file path=xl/worksheets/sheet58.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1.880000114440918" hidden="0" customWidth="1"/>
    <x:col min="6" max="6" width="11.880000114440918" hidden="0" customWidth="1"/>
    <x:col min="7" max="7" width="11.880000114440918" hidden="0" customWidth="1"/>
    <x:col min="8" max="8" width="11.880000114440918" hidden="0" customWidth="1"/>
    <x:col min="9" max="9" width="11.880000114440918" hidden="0" customWidth="1"/>
    <x:col min="10" max="10" width="11.880000114440918" hidden="0" customWidth="1"/>
    <x:col min="11" max="11" width="16.8799991607666" hidden="0" customWidth="1"/>
    <x:col min="12" max="12" width="18.75" hidden="0" customWidth="1"/>
    <x:col min="13" max="13" width="18.1299991607666" hidden="0" customWidth="1"/>
    <x:col min="14" max="14" width="26.25" hidden="0" customWidth="1"/>
    <x:col min="15" max="15" width="31.25" hidden="0" customWidth="1"/>
    <x:col min="16" max="16" width="20"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qualité de l'air</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05_Form_Qualite_Air.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Année</x:v>
      </x:c>
      <x:c r="C4" s="87" t="str">
        <x:v>Mois</x:v>
      </x:c>
      <x:c r="D4" s="87" t="str">
        <x:v>Station / zone</x:v>
      </x:c>
      <x:c r="E4" s="87" t="str">
        <x:v>PM2.5</x:v>
      </x:c>
      <x:c r="F4" s="87" t="str">
        <x:v>PM10</x:v>
      </x:c>
      <x:c r="G4" s="87" t="str">
        <x:v>NO2</x:v>
      </x:c>
      <x:c r="H4" s="87" t="str">
        <x:v>SO2</x:v>
      </x:c>
      <x:c r="I4" s="87" t="str">
        <x:v>CO</x:v>
      </x:c>
      <x:c r="J4" s="87" t="str">
        <x:v>O3</x:v>
      </x:c>
      <x:c r="K4" s="87" t="str">
        <x:v>Indice qualité air</x:v>
      </x:c>
      <x:c r="L4" s="87" t="str">
        <x:v>Dépassement seuil OMS</x:v>
      </x:c>
      <x:c r="M4" s="87" t="str">
        <x:v>Source</x:v>
      </x:c>
      <x:c r="N4" s="87" t="str">
        <x:v>Document source</x:v>
      </x:c>
      <x:c r="O4" s="87" t="str">
        <x:v>Observations</x:v>
      </x:c>
      <x:c r="P4" s="87" t="str">
        <x:v>Statut validation</x:v>
      </x:c>
      <x:c r="Q4" s="87" t="str">
        <x:v>Date de saisie</x:v>
      </x:c>
      <x:c r="R4" s="87" t="str">
        <x:v>Responsable</x:v>
      </x:c>
      <x:c r="S4" s="87" t="str">
        <x:v>Alerte_QC</x:v>
      </x:c>
      <x:c r="T4" s="87" t="str">
        <x:v>Alimente_Rapports</x:v>
      </x:c>
    </x:row>
    <x:row r="5">
      <x:c r="A5" s="76" t="str">
        <x:f>IF('05_Form_Qualite_Air'!$P5="Validé humainement",'05_Form_Qualite_Air'!A5,"")</x:f>
      </x:c>
      <x:c r="B5" s="76" t="str">
        <x:f>IF('05_Form_Qualite_Air'!$P5="Validé humainement",'05_Form_Qualite_Air'!B5,"")</x:f>
      </x:c>
      <x:c r="C5" s="76" t="str">
        <x:f>IF('05_Form_Qualite_Air'!$P5="Validé humainement",'05_Form_Qualite_Air'!C5,"")</x:f>
      </x:c>
      <x:c r="D5" s="76" t="str">
        <x:f>IF('05_Form_Qualite_Air'!$P5="Validé humainement",'05_Form_Qualite_Air'!D5,"")</x:f>
      </x:c>
      <x:c r="E5" s="80" t="str">
        <x:f>IF('05_Form_Qualite_Air'!$P5="Validé humainement",'05_Form_Qualite_Air'!E5,"")</x:f>
      </x:c>
      <x:c r="F5" s="80" t="str">
        <x:f>IF('05_Form_Qualite_Air'!$P5="Validé humainement",'05_Form_Qualite_Air'!F5,"")</x:f>
      </x:c>
      <x:c r="G5" s="80" t="str">
        <x:f>IF('05_Form_Qualite_Air'!$P5="Validé humainement",'05_Form_Qualite_Air'!G5,"")</x:f>
      </x:c>
      <x:c r="H5" s="80" t="str">
        <x:f>IF('05_Form_Qualite_Air'!$P5="Validé humainement",'05_Form_Qualite_Air'!H5,"")</x:f>
      </x:c>
      <x:c r="I5" s="80" t="str">
        <x:f>IF('05_Form_Qualite_Air'!$P5="Validé humainement",'05_Form_Qualite_Air'!I5,"")</x:f>
      </x:c>
      <x:c r="J5" s="80" t="str">
        <x:f>IF('05_Form_Qualite_Air'!$P5="Validé humainement",'05_Form_Qualite_Air'!J5,"")</x:f>
      </x:c>
      <x:c r="K5" s="80" t="str">
        <x:f>IF('05_Form_Qualite_Air'!$P5="Validé humainement",'05_Form_Qualite_Air'!K5,"")</x:f>
      </x:c>
      <x:c r="L5" s="76" t="str">
        <x:f>IF('05_Form_Qualite_Air'!$P5="Validé humainement",'05_Form_Qualite_Air'!L5,"")</x:f>
      </x:c>
      <x:c r="M5" s="76" t="str">
        <x:f>IF('05_Form_Qualite_Air'!$P5="Validé humainement",'05_Form_Qualite_Air'!M5,"")</x:f>
      </x:c>
      <x:c r="N5" s="76" t="str">
        <x:f>IF('05_Form_Qualite_Air'!$P5="Validé humainement",'05_Form_Qualite_Air'!N5,"")</x:f>
      </x:c>
      <x:c r="O5" s="76" t="str">
        <x:f>IF('05_Form_Qualite_Air'!$P5="Validé humainement",'05_Form_Qualite_Air'!O5,"")</x:f>
      </x:c>
      <x:c r="P5" s="76" t="str">
        <x:f>IF('05_Form_Qualite_Air'!$P5="Validé humainement",'05_Form_Qualite_Air'!P5,"")</x:f>
      </x:c>
      <x:c r="Q5" s="78" t="str">
        <x:f>IF('05_Form_Qualite_Air'!$P5="Validé humainement",'05_Form_Qualite_Air'!Q5,"")</x:f>
      </x:c>
      <x:c r="R5" s="76" t="str">
        <x:f>IF('05_Form_Qualite_Air'!$P5="Validé humainement",'05_Form_Qualite_Air'!R5,"")</x:f>
      </x:c>
      <x:c r="S5" s="76" t="str">
        <x:f>IF('05_Form_Qualite_Air'!$P5="Validé humainement",'05_Form_Qualite_Air'!S5,"")</x:f>
      </x:c>
      <x:c r="T5" s="76" t="str">
        <x:f>IF('05_Form_Qualite_Air'!$P5="Validé humainement",'05_Form_Qualite_Air'!T5,"")</x:f>
      </x:c>
    </x:row>
    <x:row r="6">
      <x:c r="A6" s="76" t="str">
        <x:f>IF('05_Form_Qualite_Air'!$P6="Validé humainement",'05_Form_Qualite_Air'!A6,"")</x:f>
      </x:c>
      <x:c r="B6" s="76" t="str">
        <x:f>IF('05_Form_Qualite_Air'!$P6="Validé humainement",'05_Form_Qualite_Air'!B6,"")</x:f>
      </x:c>
      <x:c r="C6" s="76" t="str">
        <x:f>IF('05_Form_Qualite_Air'!$P6="Validé humainement",'05_Form_Qualite_Air'!C6,"")</x:f>
      </x:c>
      <x:c r="D6" s="76" t="str">
        <x:f>IF('05_Form_Qualite_Air'!$P6="Validé humainement",'05_Form_Qualite_Air'!D6,"")</x:f>
      </x:c>
      <x:c r="E6" s="80" t="str">
        <x:f>IF('05_Form_Qualite_Air'!$P6="Validé humainement",'05_Form_Qualite_Air'!E6,"")</x:f>
      </x:c>
      <x:c r="F6" s="80" t="str">
        <x:f>IF('05_Form_Qualite_Air'!$P6="Validé humainement",'05_Form_Qualite_Air'!F6,"")</x:f>
      </x:c>
      <x:c r="G6" s="80" t="str">
        <x:f>IF('05_Form_Qualite_Air'!$P6="Validé humainement",'05_Form_Qualite_Air'!G6,"")</x:f>
      </x:c>
      <x:c r="H6" s="80" t="str">
        <x:f>IF('05_Form_Qualite_Air'!$P6="Validé humainement",'05_Form_Qualite_Air'!H6,"")</x:f>
      </x:c>
      <x:c r="I6" s="80" t="str">
        <x:f>IF('05_Form_Qualite_Air'!$P6="Validé humainement",'05_Form_Qualite_Air'!I6,"")</x:f>
      </x:c>
      <x:c r="J6" s="80" t="str">
        <x:f>IF('05_Form_Qualite_Air'!$P6="Validé humainement",'05_Form_Qualite_Air'!J6,"")</x:f>
      </x:c>
      <x:c r="K6" s="80" t="str">
        <x:f>IF('05_Form_Qualite_Air'!$P6="Validé humainement",'05_Form_Qualite_Air'!K6,"")</x:f>
      </x:c>
      <x:c r="L6" s="76" t="str">
        <x:f>IF('05_Form_Qualite_Air'!$P6="Validé humainement",'05_Form_Qualite_Air'!L6,"")</x:f>
      </x:c>
      <x:c r="M6" s="76" t="str">
        <x:f>IF('05_Form_Qualite_Air'!$P6="Validé humainement",'05_Form_Qualite_Air'!M6,"")</x:f>
      </x:c>
      <x:c r="N6" s="76" t="str">
        <x:f>IF('05_Form_Qualite_Air'!$P6="Validé humainement",'05_Form_Qualite_Air'!N6,"")</x:f>
      </x:c>
      <x:c r="O6" s="76" t="str">
        <x:f>IF('05_Form_Qualite_Air'!$P6="Validé humainement",'05_Form_Qualite_Air'!O6,"")</x:f>
      </x:c>
      <x:c r="P6" s="76" t="str">
        <x:f>IF('05_Form_Qualite_Air'!$P6="Validé humainement",'05_Form_Qualite_Air'!P6,"")</x:f>
      </x:c>
      <x:c r="Q6" s="78" t="str">
        <x:f>IF('05_Form_Qualite_Air'!$P6="Validé humainement",'05_Form_Qualite_Air'!Q6,"")</x:f>
      </x:c>
      <x:c r="R6" s="76" t="str">
        <x:f>IF('05_Form_Qualite_Air'!$P6="Validé humainement",'05_Form_Qualite_Air'!R6,"")</x:f>
      </x:c>
      <x:c r="S6" s="76" t="str">
        <x:f>IF('05_Form_Qualite_Air'!$P6="Validé humainement",'05_Form_Qualite_Air'!S6,"")</x:f>
      </x:c>
      <x:c r="T6" s="76" t="str">
        <x:f>IF('05_Form_Qualite_Air'!$P6="Validé humainement",'05_Form_Qualite_Air'!T6,"")</x:f>
      </x:c>
    </x:row>
    <x:row r="7">
      <x:c r="A7" s="76" t="str">
        <x:f>IF('05_Form_Qualite_Air'!$P7="Validé humainement",'05_Form_Qualite_Air'!A7,"")</x:f>
      </x:c>
      <x:c r="B7" s="76" t="str">
        <x:f>IF('05_Form_Qualite_Air'!$P7="Validé humainement",'05_Form_Qualite_Air'!B7,"")</x:f>
      </x:c>
      <x:c r="C7" s="76" t="str">
        <x:f>IF('05_Form_Qualite_Air'!$P7="Validé humainement",'05_Form_Qualite_Air'!C7,"")</x:f>
      </x:c>
      <x:c r="D7" s="76" t="str">
        <x:f>IF('05_Form_Qualite_Air'!$P7="Validé humainement",'05_Form_Qualite_Air'!D7,"")</x:f>
      </x:c>
      <x:c r="E7" s="80" t="str">
        <x:f>IF('05_Form_Qualite_Air'!$P7="Validé humainement",'05_Form_Qualite_Air'!E7,"")</x:f>
      </x:c>
      <x:c r="F7" s="80" t="str">
        <x:f>IF('05_Form_Qualite_Air'!$P7="Validé humainement",'05_Form_Qualite_Air'!F7,"")</x:f>
      </x:c>
      <x:c r="G7" s="80" t="str">
        <x:f>IF('05_Form_Qualite_Air'!$P7="Validé humainement",'05_Form_Qualite_Air'!G7,"")</x:f>
      </x:c>
      <x:c r="H7" s="80" t="str">
        <x:f>IF('05_Form_Qualite_Air'!$P7="Validé humainement",'05_Form_Qualite_Air'!H7,"")</x:f>
      </x:c>
      <x:c r="I7" s="80" t="str">
        <x:f>IF('05_Form_Qualite_Air'!$P7="Validé humainement",'05_Form_Qualite_Air'!I7,"")</x:f>
      </x:c>
      <x:c r="J7" s="80" t="str">
        <x:f>IF('05_Form_Qualite_Air'!$P7="Validé humainement",'05_Form_Qualite_Air'!J7,"")</x:f>
      </x:c>
      <x:c r="K7" s="80" t="str">
        <x:f>IF('05_Form_Qualite_Air'!$P7="Validé humainement",'05_Form_Qualite_Air'!K7,"")</x:f>
      </x:c>
      <x:c r="L7" s="76" t="str">
        <x:f>IF('05_Form_Qualite_Air'!$P7="Validé humainement",'05_Form_Qualite_Air'!L7,"")</x:f>
      </x:c>
      <x:c r="M7" s="76" t="str">
        <x:f>IF('05_Form_Qualite_Air'!$P7="Validé humainement",'05_Form_Qualite_Air'!M7,"")</x:f>
      </x:c>
      <x:c r="N7" s="76" t="str">
        <x:f>IF('05_Form_Qualite_Air'!$P7="Validé humainement",'05_Form_Qualite_Air'!N7,"")</x:f>
      </x:c>
      <x:c r="O7" s="76" t="str">
        <x:f>IF('05_Form_Qualite_Air'!$P7="Validé humainement",'05_Form_Qualite_Air'!O7,"")</x:f>
      </x:c>
      <x:c r="P7" s="76" t="str">
        <x:f>IF('05_Form_Qualite_Air'!$P7="Validé humainement",'05_Form_Qualite_Air'!P7,"")</x:f>
      </x:c>
      <x:c r="Q7" s="78" t="str">
        <x:f>IF('05_Form_Qualite_Air'!$P7="Validé humainement",'05_Form_Qualite_Air'!Q7,"")</x:f>
      </x:c>
      <x:c r="R7" s="76" t="str">
        <x:f>IF('05_Form_Qualite_Air'!$P7="Validé humainement",'05_Form_Qualite_Air'!R7,"")</x:f>
      </x:c>
      <x:c r="S7" s="76" t="str">
        <x:f>IF('05_Form_Qualite_Air'!$P7="Validé humainement",'05_Form_Qualite_Air'!S7,"")</x:f>
      </x:c>
      <x:c r="T7" s="76" t="str">
        <x:f>IF('05_Form_Qualite_Air'!$P7="Validé humainement",'05_Form_Qualite_Air'!T7,"")</x:f>
      </x:c>
    </x:row>
    <x:row r="8">
      <x:c r="A8" s="76" t="str">
        <x:f>IF('05_Form_Qualite_Air'!$P8="Validé humainement",'05_Form_Qualite_Air'!A8,"")</x:f>
      </x:c>
      <x:c r="B8" s="76" t="str">
        <x:f>IF('05_Form_Qualite_Air'!$P8="Validé humainement",'05_Form_Qualite_Air'!B8,"")</x:f>
      </x:c>
      <x:c r="C8" s="76" t="str">
        <x:f>IF('05_Form_Qualite_Air'!$P8="Validé humainement",'05_Form_Qualite_Air'!C8,"")</x:f>
      </x:c>
      <x:c r="D8" s="76" t="str">
        <x:f>IF('05_Form_Qualite_Air'!$P8="Validé humainement",'05_Form_Qualite_Air'!D8,"")</x:f>
      </x:c>
      <x:c r="E8" s="80" t="str">
        <x:f>IF('05_Form_Qualite_Air'!$P8="Validé humainement",'05_Form_Qualite_Air'!E8,"")</x:f>
      </x:c>
      <x:c r="F8" s="80" t="str">
        <x:f>IF('05_Form_Qualite_Air'!$P8="Validé humainement",'05_Form_Qualite_Air'!F8,"")</x:f>
      </x:c>
      <x:c r="G8" s="80" t="str">
        <x:f>IF('05_Form_Qualite_Air'!$P8="Validé humainement",'05_Form_Qualite_Air'!G8,"")</x:f>
      </x:c>
      <x:c r="H8" s="80" t="str">
        <x:f>IF('05_Form_Qualite_Air'!$P8="Validé humainement",'05_Form_Qualite_Air'!H8,"")</x:f>
      </x:c>
      <x:c r="I8" s="80" t="str">
        <x:f>IF('05_Form_Qualite_Air'!$P8="Validé humainement",'05_Form_Qualite_Air'!I8,"")</x:f>
      </x:c>
      <x:c r="J8" s="80" t="str">
        <x:f>IF('05_Form_Qualite_Air'!$P8="Validé humainement",'05_Form_Qualite_Air'!J8,"")</x:f>
      </x:c>
      <x:c r="K8" s="80" t="str">
        <x:f>IF('05_Form_Qualite_Air'!$P8="Validé humainement",'05_Form_Qualite_Air'!K8,"")</x:f>
      </x:c>
      <x:c r="L8" s="76" t="str">
        <x:f>IF('05_Form_Qualite_Air'!$P8="Validé humainement",'05_Form_Qualite_Air'!L8,"")</x:f>
      </x:c>
      <x:c r="M8" s="76" t="str">
        <x:f>IF('05_Form_Qualite_Air'!$P8="Validé humainement",'05_Form_Qualite_Air'!M8,"")</x:f>
      </x:c>
      <x:c r="N8" s="76" t="str">
        <x:f>IF('05_Form_Qualite_Air'!$P8="Validé humainement",'05_Form_Qualite_Air'!N8,"")</x:f>
      </x:c>
      <x:c r="O8" s="76" t="str">
        <x:f>IF('05_Form_Qualite_Air'!$P8="Validé humainement",'05_Form_Qualite_Air'!O8,"")</x:f>
      </x:c>
      <x:c r="P8" s="76" t="str">
        <x:f>IF('05_Form_Qualite_Air'!$P8="Validé humainement",'05_Form_Qualite_Air'!P8,"")</x:f>
      </x:c>
      <x:c r="Q8" s="78" t="str">
        <x:f>IF('05_Form_Qualite_Air'!$P8="Validé humainement",'05_Form_Qualite_Air'!Q8,"")</x:f>
      </x:c>
      <x:c r="R8" s="76" t="str">
        <x:f>IF('05_Form_Qualite_Air'!$P8="Validé humainement",'05_Form_Qualite_Air'!R8,"")</x:f>
      </x:c>
      <x:c r="S8" s="76" t="str">
        <x:f>IF('05_Form_Qualite_Air'!$P8="Validé humainement",'05_Form_Qualite_Air'!S8,"")</x:f>
      </x:c>
      <x:c r="T8" s="76" t="str">
        <x:f>IF('05_Form_Qualite_Air'!$P8="Validé humainement",'05_Form_Qualite_Air'!T8,"")</x:f>
      </x:c>
    </x:row>
    <x:row r="9">
      <x:c r="A9" s="76" t="str">
        <x:f>IF('05_Form_Qualite_Air'!$P9="Validé humainement",'05_Form_Qualite_Air'!A9,"")</x:f>
      </x:c>
      <x:c r="B9" s="76" t="str">
        <x:f>IF('05_Form_Qualite_Air'!$P9="Validé humainement",'05_Form_Qualite_Air'!B9,"")</x:f>
      </x:c>
      <x:c r="C9" s="76" t="str">
        <x:f>IF('05_Form_Qualite_Air'!$P9="Validé humainement",'05_Form_Qualite_Air'!C9,"")</x:f>
      </x:c>
      <x:c r="D9" s="76" t="str">
        <x:f>IF('05_Form_Qualite_Air'!$P9="Validé humainement",'05_Form_Qualite_Air'!D9,"")</x:f>
      </x:c>
      <x:c r="E9" s="80" t="str">
        <x:f>IF('05_Form_Qualite_Air'!$P9="Validé humainement",'05_Form_Qualite_Air'!E9,"")</x:f>
      </x:c>
      <x:c r="F9" s="80" t="str">
        <x:f>IF('05_Form_Qualite_Air'!$P9="Validé humainement",'05_Form_Qualite_Air'!F9,"")</x:f>
      </x:c>
      <x:c r="G9" s="80" t="str">
        <x:f>IF('05_Form_Qualite_Air'!$P9="Validé humainement",'05_Form_Qualite_Air'!G9,"")</x:f>
      </x:c>
      <x:c r="H9" s="80" t="str">
        <x:f>IF('05_Form_Qualite_Air'!$P9="Validé humainement",'05_Form_Qualite_Air'!H9,"")</x:f>
      </x:c>
      <x:c r="I9" s="80" t="str">
        <x:f>IF('05_Form_Qualite_Air'!$P9="Validé humainement",'05_Form_Qualite_Air'!I9,"")</x:f>
      </x:c>
      <x:c r="J9" s="80" t="str">
        <x:f>IF('05_Form_Qualite_Air'!$P9="Validé humainement",'05_Form_Qualite_Air'!J9,"")</x:f>
      </x:c>
      <x:c r="K9" s="80" t="str">
        <x:f>IF('05_Form_Qualite_Air'!$P9="Validé humainement",'05_Form_Qualite_Air'!K9,"")</x:f>
      </x:c>
      <x:c r="L9" s="76" t="str">
        <x:f>IF('05_Form_Qualite_Air'!$P9="Validé humainement",'05_Form_Qualite_Air'!L9,"")</x:f>
      </x:c>
      <x:c r="M9" s="76" t="str">
        <x:f>IF('05_Form_Qualite_Air'!$P9="Validé humainement",'05_Form_Qualite_Air'!M9,"")</x:f>
      </x:c>
      <x:c r="N9" s="76" t="str">
        <x:f>IF('05_Form_Qualite_Air'!$P9="Validé humainement",'05_Form_Qualite_Air'!N9,"")</x:f>
      </x:c>
      <x:c r="O9" s="76" t="str">
        <x:f>IF('05_Form_Qualite_Air'!$P9="Validé humainement",'05_Form_Qualite_Air'!O9,"")</x:f>
      </x:c>
      <x:c r="P9" s="76" t="str">
        <x:f>IF('05_Form_Qualite_Air'!$P9="Validé humainement",'05_Form_Qualite_Air'!P9,"")</x:f>
      </x:c>
      <x:c r="Q9" s="78" t="str">
        <x:f>IF('05_Form_Qualite_Air'!$P9="Validé humainement",'05_Form_Qualite_Air'!Q9,"")</x:f>
      </x:c>
      <x:c r="R9" s="76" t="str">
        <x:f>IF('05_Form_Qualite_Air'!$P9="Validé humainement",'05_Form_Qualite_Air'!R9,"")</x:f>
      </x:c>
      <x:c r="S9" s="76" t="str">
        <x:f>IF('05_Form_Qualite_Air'!$P9="Validé humainement",'05_Form_Qualite_Air'!S9,"")</x:f>
      </x:c>
      <x:c r="T9" s="76" t="str">
        <x:f>IF('05_Form_Qualite_Air'!$P9="Validé humainement",'05_Form_Qualite_Air'!T9,"")</x:f>
      </x:c>
    </x:row>
    <x:row r="10">
      <x:c r="A10" s="76" t="str">
        <x:f>IF('05_Form_Qualite_Air'!$P10="Validé humainement",'05_Form_Qualite_Air'!A10,"")</x:f>
      </x:c>
      <x:c r="B10" s="76" t="str">
        <x:f>IF('05_Form_Qualite_Air'!$P10="Validé humainement",'05_Form_Qualite_Air'!B10,"")</x:f>
      </x:c>
      <x:c r="C10" s="76" t="str">
        <x:f>IF('05_Form_Qualite_Air'!$P10="Validé humainement",'05_Form_Qualite_Air'!C10,"")</x:f>
      </x:c>
      <x:c r="D10" s="76" t="str">
        <x:f>IF('05_Form_Qualite_Air'!$P10="Validé humainement",'05_Form_Qualite_Air'!D10,"")</x:f>
      </x:c>
      <x:c r="E10" s="80" t="str">
        <x:f>IF('05_Form_Qualite_Air'!$P10="Validé humainement",'05_Form_Qualite_Air'!E10,"")</x:f>
      </x:c>
      <x:c r="F10" s="80" t="str">
        <x:f>IF('05_Form_Qualite_Air'!$P10="Validé humainement",'05_Form_Qualite_Air'!F10,"")</x:f>
      </x:c>
      <x:c r="G10" s="80" t="str">
        <x:f>IF('05_Form_Qualite_Air'!$P10="Validé humainement",'05_Form_Qualite_Air'!G10,"")</x:f>
      </x:c>
      <x:c r="H10" s="80" t="str">
        <x:f>IF('05_Form_Qualite_Air'!$P10="Validé humainement",'05_Form_Qualite_Air'!H10,"")</x:f>
      </x:c>
      <x:c r="I10" s="80" t="str">
        <x:f>IF('05_Form_Qualite_Air'!$P10="Validé humainement",'05_Form_Qualite_Air'!I10,"")</x:f>
      </x:c>
      <x:c r="J10" s="80" t="str">
        <x:f>IF('05_Form_Qualite_Air'!$P10="Validé humainement",'05_Form_Qualite_Air'!J10,"")</x:f>
      </x:c>
      <x:c r="K10" s="80" t="str">
        <x:f>IF('05_Form_Qualite_Air'!$P10="Validé humainement",'05_Form_Qualite_Air'!K10,"")</x:f>
      </x:c>
      <x:c r="L10" s="76" t="str">
        <x:f>IF('05_Form_Qualite_Air'!$P10="Validé humainement",'05_Form_Qualite_Air'!L10,"")</x:f>
      </x:c>
      <x:c r="M10" s="76" t="str">
        <x:f>IF('05_Form_Qualite_Air'!$P10="Validé humainement",'05_Form_Qualite_Air'!M10,"")</x:f>
      </x:c>
      <x:c r="N10" s="76" t="str">
        <x:f>IF('05_Form_Qualite_Air'!$P10="Validé humainement",'05_Form_Qualite_Air'!N10,"")</x:f>
      </x:c>
      <x:c r="O10" s="76" t="str">
        <x:f>IF('05_Form_Qualite_Air'!$P10="Validé humainement",'05_Form_Qualite_Air'!O10,"")</x:f>
      </x:c>
      <x:c r="P10" s="76" t="str">
        <x:f>IF('05_Form_Qualite_Air'!$P10="Validé humainement",'05_Form_Qualite_Air'!P10,"")</x:f>
      </x:c>
      <x:c r="Q10" s="78" t="str">
        <x:f>IF('05_Form_Qualite_Air'!$P10="Validé humainement",'05_Form_Qualite_Air'!Q10,"")</x:f>
      </x:c>
      <x:c r="R10" s="76" t="str">
        <x:f>IF('05_Form_Qualite_Air'!$P10="Validé humainement",'05_Form_Qualite_Air'!R10,"")</x:f>
      </x:c>
      <x:c r="S10" s="76" t="str">
        <x:f>IF('05_Form_Qualite_Air'!$P10="Validé humainement",'05_Form_Qualite_Air'!S10,"")</x:f>
      </x:c>
      <x:c r="T10" s="76" t="str">
        <x:f>IF('05_Form_Qualite_Air'!$P10="Validé humainement",'05_Form_Qualite_Air'!T10,"")</x:f>
      </x:c>
    </x:row>
    <x:row r="11">
      <x:c r="A11" s="76" t="str">
        <x:f>IF('05_Form_Qualite_Air'!$P11="Validé humainement",'05_Form_Qualite_Air'!A11,"")</x:f>
      </x:c>
      <x:c r="B11" s="76" t="str">
        <x:f>IF('05_Form_Qualite_Air'!$P11="Validé humainement",'05_Form_Qualite_Air'!B11,"")</x:f>
      </x:c>
      <x:c r="C11" s="76" t="str">
        <x:f>IF('05_Form_Qualite_Air'!$P11="Validé humainement",'05_Form_Qualite_Air'!C11,"")</x:f>
      </x:c>
      <x:c r="D11" s="76" t="str">
        <x:f>IF('05_Form_Qualite_Air'!$P11="Validé humainement",'05_Form_Qualite_Air'!D11,"")</x:f>
      </x:c>
      <x:c r="E11" s="80" t="str">
        <x:f>IF('05_Form_Qualite_Air'!$P11="Validé humainement",'05_Form_Qualite_Air'!E11,"")</x:f>
      </x:c>
      <x:c r="F11" s="80" t="str">
        <x:f>IF('05_Form_Qualite_Air'!$P11="Validé humainement",'05_Form_Qualite_Air'!F11,"")</x:f>
      </x:c>
      <x:c r="G11" s="80" t="str">
        <x:f>IF('05_Form_Qualite_Air'!$P11="Validé humainement",'05_Form_Qualite_Air'!G11,"")</x:f>
      </x:c>
      <x:c r="H11" s="80" t="str">
        <x:f>IF('05_Form_Qualite_Air'!$P11="Validé humainement",'05_Form_Qualite_Air'!H11,"")</x:f>
      </x:c>
      <x:c r="I11" s="80" t="str">
        <x:f>IF('05_Form_Qualite_Air'!$P11="Validé humainement",'05_Form_Qualite_Air'!I11,"")</x:f>
      </x:c>
      <x:c r="J11" s="80" t="str">
        <x:f>IF('05_Form_Qualite_Air'!$P11="Validé humainement",'05_Form_Qualite_Air'!J11,"")</x:f>
      </x:c>
      <x:c r="K11" s="80" t="str">
        <x:f>IF('05_Form_Qualite_Air'!$P11="Validé humainement",'05_Form_Qualite_Air'!K11,"")</x:f>
      </x:c>
      <x:c r="L11" s="76" t="str">
        <x:f>IF('05_Form_Qualite_Air'!$P11="Validé humainement",'05_Form_Qualite_Air'!L11,"")</x:f>
      </x:c>
      <x:c r="M11" s="76" t="str">
        <x:f>IF('05_Form_Qualite_Air'!$P11="Validé humainement",'05_Form_Qualite_Air'!M11,"")</x:f>
      </x:c>
      <x:c r="N11" s="76" t="str">
        <x:f>IF('05_Form_Qualite_Air'!$P11="Validé humainement",'05_Form_Qualite_Air'!N11,"")</x:f>
      </x:c>
      <x:c r="O11" s="76" t="str">
        <x:f>IF('05_Form_Qualite_Air'!$P11="Validé humainement",'05_Form_Qualite_Air'!O11,"")</x:f>
      </x:c>
      <x:c r="P11" s="76" t="str">
        <x:f>IF('05_Form_Qualite_Air'!$P11="Validé humainement",'05_Form_Qualite_Air'!P11,"")</x:f>
      </x:c>
      <x:c r="Q11" s="78" t="str">
        <x:f>IF('05_Form_Qualite_Air'!$P11="Validé humainement",'05_Form_Qualite_Air'!Q11,"")</x:f>
      </x:c>
      <x:c r="R11" s="76" t="str">
        <x:f>IF('05_Form_Qualite_Air'!$P11="Validé humainement",'05_Form_Qualite_Air'!R11,"")</x:f>
      </x:c>
      <x:c r="S11" s="76" t="str">
        <x:f>IF('05_Form_Qualite_Air'!$P11="Validé humainement",'05_Form_Qualite_Air'!S11,"")</x:f>
      </x:c>
      <x:c r="T11" s="76" t="str">
        <x:f>IF('05_Form_Qualite_Air'!$P11="Validé humainement",'05_Form_Qualite_Air'!T11,"")</x:f>
      </x:c>
    </x:row>
    <x:row r="12">
      <x:c r="A12" s="76" t="str">
        <x:f>IF('05_Form_Qualite_Air'!$P12="Validé humainement",'05_Form_Qualite_Air'!A12,"")</x:f>
      </x:c>
      <x:c r="B12" s="76" t="str">
        <x:f>IF('05_Form_Qualite_Air'!$P12="Validé humainement",'05_Form_Qualite_Air'!B12,"")</x:f>
      </x:c>
      <x:c r="C12" s="76" t="str">
        <x:f>IF('05_Form_Qualite_Air'!$P12="Validé humainement",'05_Form_Qualite_Air'!C12,"")</x:f>
      </x:c>
      <x:c r="D12" s="76" t="str">
        <x:f>IF('05_Form_Qualite_Air'!$P12="Validé humainement",'05_Form_Qualite_Air'!D12,"")</x:f>
      </x:c>
      <x:c r="E12" s="80" t="str">
        <x:f>IF('05_Form_Qualite_Air'!$P12="Validé humainement",'05_Form_Qualite_Air'!E12,"")</x:f>
      </x:c>
      <x:c r="F12" s="80" t="str">
        <x:f>IF('05_Form_Qualite_Air'!$P12="Validé humainement",'05_Form_Qualite_Air'!F12,"")</x:f>
      </x:c>
      <x:c r="G12" s="80" t="str">
        <x:f>IF('05_Form_Qualite_Air'!$P12="Validé humainement",'05_Form_Qualite_Air'!G12,"")</x:f>
      </x:c>
      <x:c r="H12" s="80" t="str">
        <x:f>IF('05_Form_Qualite_Air'!$P12="Validé humainement",'05_Form_Qualite_Air'!H12,"")</x:f>
      </x:c>
      <x:c r="I12" s="80" t="str">
        <x:f>IF('05_Form_Qualite_Air'!$P12="Validé humainement",'05_Form_Qualite_Air'!I12,"")</x:f>
      </x:c>
      <x:c r="J12" s="80" t="str">
        <x:f>IF('05_Form_Qualite_Air'!$P12="Validé humainement",'05_Form_Qualite_Air'!J12,"")</x:f>
      </x:c>
      <x:c r="K12" s="80" t="str">
        <x:f>IF('05_Form_Qualite_Air'!$P12="Validé humainement",'05_Form_Qualite_Air'!K12,"")</x:f>
      </x:c>
      <x:c r="L12" s="76" t="str">
        <x:f>IF('05_Form_Qualite_Air'!$P12="Validé humainement",'05_Form_Qualite_Air'!L12,"")</x:f>
      </x:c>
      <x:c r="M12" s="76" t="str">
        <x:f>IF('05_Form_Qualite_Air'!$P12="Validé humainement",'05_Form_Qualite_Air'!M12,"")</x:f>
      </x:c>
      <x:c r="N12" s="76" t="str">
        <x:f>IF('05_Form_Qualite_Air'!$P12="Validé humainement",'05_Form_Qualite_Air'!N12,"")</x:f>
      </x:c>
      <x:c r="O12" s="76" t="str">
        <x:f>IF('05_Form_Qualite_Air'!$P12="Validé humainement",'05_Form_Qualite_Air'!O12,"")</x:f>
      </x:c>
      <x:c r="P12" s="76" t="str">
        <x:f>IF('05_Form_Qualite_Air'!$P12="Validé humainement",'05_Form_Qualite_Air'!P12,"")</x:f>
      </x:c>
      <x:c r="Q12" s="78" t="str">
        <x:f>IF('05_Form_Qualite_Air'!$P12="Validé humainement",'05_Form_Qualite_Air'!Q12,"")</x:f>
      </x:c>
      <x:c r="R12" s="76" t="str">
        <x:f>IF('05_Form_Qualite_Air'!$P12="Validé humainement",'05_Form_Qualite_Air'!R12,"")</x:f>
      </x:c>
      <x:c r="S12" s="76" t="str">
        <x:f>IF('05_Form_Qualite_Air'!$P12="Validé humainement",'05_Form_Qualite_Air'!S12,"")</x:f>
      </x:c>
      <x:c r="T12" s="76" t="str">
        <x:f>IF('05_Form_Qualite_Air'!$P12="Validé humainement",'05_Form_Qualite_Air'!T12,"")</x:f>
      </x:c>
    </x:row>
    <x:row r="13">
      <x:c r="A13" s="76" t="str">
        <x:f>IF('05_Form_Qualite_Air'!$P13="Validé humainement",'05_Form_Qualite_Air'!A13,"")</x:f>
      </x:c>
      <x:c r="B13" s="76" t="str">
        <x:f>IF('05_Form_Qualite_Air'!$P13="Validé humainement",'05_Form_Qualite_Air'!B13,"")</x:f>
      </x:c>
      <x:c r="C13" s="76" t="str">
        <x:f>IF('05_Form_Qualite_Air'!$P13="Validé humainement",'05_Form_Qualite_Air'!C13,"")</x:f>
      </x:c>
      <x:c r="D13" s="76" t="str">
        <x:f>IF('05_Form_Qualite_Air'!$P13="Validé humainement",'05_Form_Qualite_Air'!D13,"")</x:f>
      </x:c>
      <x:c r="E13" s="80" t="str">
        <x:f>IF('05_Form_Qualite_Air'!$P13="Validé humainement",'05_Form_Qualite_Air'!E13,"")</x:f>
      </x:c>
      <x:c r="F13" s="80" t="str">
        <x:f>IF('05_Form_Qualite_Air'!$P13="Validé humainement",'05_Form_Qualite_Air'!F13,"")</x:f>
      </x:c>
      <x:c r="G13" s="80" t="str">
        <x:f>IF('05_Form_Qualite_Air'!$P13="Validé humainement",'05_Form_Qualite_Air'!G13,"")</x:f>
      </x:c>
      <x:c r="H13" s="80" t="str">
        <x:f>IF('05_Form_Qualite_Air'!$P13="Validé humainement",'05_Form_Qualite_Air'!H13,"")</x:f>
      </x:c>
      <x:c r="I13" s="80" t="str">
        <x:f>IF('05_Form_Qualite_Air'!$P13="Validé humainement",'05_Form_Qualite_Air'!I13,"")</x:f>
      </x:c>
      <x:c r="J13" s="80" t="str">
        <x:f>IF('05_Form_Qualite_Air'!$P13="Validé humainement",'05_Form_Qualite_Air'!J13,"")</x:f>
      </x:c>
      <x:c r="K13" s="80" t="str">
        <x:f>IF('05_Form_Qualite_Air'!$P13="Validé humainement",'05_Form_Qualite_Air'!K13,"")</x:f>
      </x:c>
      <x:c r="L13" s="76" t="str">
        <x:f>IF('05_Form_Qualite_Air'!$P13="Validé humainement",'05_Form_Qualite_Air'!L13,"")</x:f>
      </x:c>
      <x:c r="M13" s="76" t="str">
        <x:f>IF('05_Form_Qualite_Air'!$P13="Validé humainement",'05_Form_Qualite_Air'!M13,"")</x:f>
      </x:c>
      <x:c r="N13" s="76" t="str">
        <x:f>IF('05_Form_Qualite_Air'!$P13="Validé humainement",'05_Form_Qualite_Air'!N13,"")</x:f>
      </x:c>
      <x:c r="O13" s="76" t="str">
        <x:f>IF('05_Form_Qualite_Air'!$P13="Validé humainement",'05_Form_Qualite_Air'!O13,"")</x:f>
      </x:c>
      <x:c r="P13" s="76" t="str">
        <x:f>IF('05_Form_Qualite_Air'!$P13="Validé humainement",'05_Form_Qualite_Air'!P13,"")</x:f>
      </x:c>
      <x:c r="Q13" s="78" t="str">
        <x:f>IF('05_Form_Qualite_Air'!$P13="Validé humainement",'05_Form_Qualite_Air'!Q13,"")</x:f>
      </x:c>
      <x:c r="R13" s="76" t="str">
        <x:f>IF('05_Form_Qualite_Air'!$P13="Validé humainement",'05_Form_Qualite_Air'!R13,"")</x:f>
      </x:c>
      <x:c r="S13" s="76" t="str">
        <x:f>IF('05_Form_Qualite_Air'!$P13="Validé humainement",'05_Form_Qualite_Air'!S13,"")</x:f>
      </x:c>
      <x:c r="T13" s="76" t="str">
        <x:f>IF('05_Form_Qualite_Air'!$P13="Validé humainement",'05_Form_Qualite_Air'!T13,"")</x:f>
      </x:c>
    </x:row>
    <x:row r="14">
      <x:c r="A14" s="76" t="str">
        <x:f>IF('05_Form_Qualite_Air'!$P14="Validé humainement",'05_Form_Qualite_Air'!A14,"")</x:f>
      </x:c>
      <x:c r="B14" s="76" t="str">
        <x:f>IF('05_Form_Qualite_Air'!$P14="Validé humainement",'05_Form_Qualite_Air'!B14,"")</x:f>
      </x:c>
      <x:c r="C14" s="76" t="str">
        <x:f>IF('05_Form_Qualite_Air'!$P14="Validé humainement",'05_Form_Qualite_Air'!C14,"")</x:f>
      </x:c>
      <x:c r="D14" s="76" t="str">
        <x:f>IF('05_Form_Qualite_Air'!$P14="Validé humainement",'05_Form_Qualite_Air'!D14,"")</x:f>
      </x:c>
      <x:c r="E14" s="80" t="str">
        <x:f>IF('05_Form_Qualite_Air'!$P14="Validé humainement",'05_Form_Qualite_Air'!E14,"")</x:f>
      </x:c>
      <x:c r="F14" s="80" t="str">
        <x:f>IF('05_Form_Qualite_Air'!$P14="Validé humainement",'05_Form_Qualite_Air'!F14,"")</x:f>
      </x:c>
      <x:c r="G14" s="80" t="str">
        <x:f>IF('05_Form_Qualite_Air'!$P14="Validé humainement",'05_Form_Qualite_Air'!G14,"")</x:f>
      </x:c>
      <x:c r="H14" s="80" t="str">
        <x:f>IF('05_Form_Qualite_Air'!$P14="Validé humainement",'05_Form_Qualite_Air'!H14,"")</x:f>
      </x:c>
      <x:c r="I14" s="80" t="str">
        <x:f>IF('05_Form_Qualite_Air'!$P14="Validé humainement",'05_Form_Qualite_Air'!I14,"")</x:f>
      </x:c>
      <x:c r="J14" s="80" t="str">
        <x:f>IF('05_Form_Qualite_Air'!$P14="Validé humainement",'05_Form_Qualite_Air'!J14,"")</x:f>
      </x:c>
      <x:c r="K14" s="80" t="str">
        <x:f>IF('05_Form_Qualite_Air'!$P14="Validé humainement",'05_Form_Qualite_Air'!K14,"")</x:f>
      </x:c>
      <x:c r="L14" s="76" t="str">
        <x:f>IF('05_Form_Qualite_Air'!$P14="Validé humainement",'05_Form_Qualite_Air'!L14,"")</x:f>
      </x:c>
      <x:c r="M14" s="76" t="str">
        <x:f>IF('05_Form_Qualite_Air'!$P14="Validé humainement",'05_Form_Qualite_Air'!M14,"")</x:f>
      </x:c>
      <x:c r="N14" s="76" t="str">
        <x:f>IF('05_Form_Qualite_Air'!$P14="Validé humainement",'05_Form_Qualite_Air'!N14,"")</x:f>
      </x:c>
      <x:c r="O14" s="76" t="str">
        <x:f>IF('05_Form_Qualite_Air'!$P14="Validé humainement",'05_Form_Qualite_Air'!O14,"")</x:f>
      </x:c>
      <x:c r="P14" s="76" t="str">
        <x:f>IF('05_Form_Qualite_Air'!$P14="Validé humainement",'05_Form_Qualite_Air'!P14,"")</x:f>
      </x:c>
      <x:c r="Q14" s="78" t="str">
        <x:f>IF('05_Form_Qualite_Air'!$P14="Validé humainement",'05_Form_Qualite_Air'!Q14,"")</x:f>
      </x:c>
      <x:c r="R14" s="76" t="str">
        <x:f>IF('05_Form_Qualite_Air'!$P14="Validé humainement",'05_Form_Qualite_Air'!R14,"")</x:f>
      </x:c>
      <x:c r="S14" s="76" t="str">
        <x:f>IF('05_Form_Qualite_Air'!$P14="Validé humainement",'05_Form_Qualite_Air'!S14,"")</x:f>
      </x:c>
      <x:c r="T14" s="76" t="str">
        <x:f>IF('05_Form_Qualite_Air'!$P14="Validé humainement",'05_Form_Qualite_Air'!T14,"")</x:f>
      </x:c>
    </x:row>
    <x:row r="15">
      <x:c r="A15" s="76" t="str">
        <x:f>IF('05_Form_Qualite_Air'!$P15="Validé humainement",'05_Form_Qualite_Air'!A15,"")</x:f>
      </x:c>
      <x:c r="B15" s="76" t="str">
        <x:f>IF('05_Form_Qualite_Air'!$P15="Validé humainement",'05_Form_Qualite_Air'!B15,"")</x:f>
      </x:c>
      <x:c r="C15" s="76" t="str">
        <x:f>IF('05_Form_Qualite_Air'!$P15="Validé humainement",'05_Form_Qualite_Air'!C15,"")</x:f>
      </x:c>
      <x:c r="D15" s="76" t="str">
        <x:f>IF('05_Form_Qualite_Air'!$P15="Validé humainement",'05_Form_Qualite_Air'!D15,"")</x:f>
      </x:c>
      <x:c r="E15" s="80" t="str">
        <x:f>IF('05_Form_Qualite_Air'!$P15="Validé humainement",'05_Form_Qualite_Air'!E15,"")</x:f>
      </x:c>
      <x:c r="F15" s="80" t="str">
        <x:f>IF('05_Form_Qualite_Air'!$P15="Validé humainement",'05_Form_Qualite_Air'!F15,"")</x:f>
      </x:c>
      <x:c r="G15" s="80" t="str">
        <x:f>IF('05_Form_Qualite_Air'!$P15="Validé humainement",'05_Form_Qualite_Air'!G15,"")</x:f>
      </x:c>
      <x:c r="H15" s="80" t="str">
        <x:f>IF('05_Form_Qualite_Air'!$P15="Validé humainement",'05_Form_Qualite_Air'!H15,"")</x:f>
      </x:c>
      <x:c r="I15" s="80" t="str">
        <x:f>IF('05_Form_Qualite_Air'!$P15="Validé humainement",'05_Form_Qualite_Air'!I15,"")</x:f>
      </x:c>
      <x:c r="J15" s="80" t="str">
        <x:f>IF('05_Form_Qualite_Air'!$P15="Validé humainement",'05_Form_Qualite_Air'!J15,"")</x:f>
      </x:c>
      <x:c r="K15" s="80" t="str">
        <x:f>IF('05_Form_Qualite_Air'!$P15="Validé humainement",'05_Form_Qualite_Air'!K15,"")</x:f>
      </x:c>
      <x:c r="L15" s="76" t="str">
        <x:f>IF('05_Form_Qualite_Air'!$P15="Validé humainement",'05_Form_Qualite_Air'!L15,"")</x:f>
      </x:c>
      <x:c r="M15" s="76" t="str">
        <x:f>IF('05_Form_Qualite_Air'!$P15="Validé humainement",'05_Form_Qualite_Air'!M15,"")</x:f>
      </x:c>
      <x:c r="N15" s="76" t="str">
        <x:f>IF('05_Form_Qualite_Air'!$P15="Validé humainement",'05_Form_Qualite_Air'!N15,"")</x:f>
      </x:c>
      <x:c r="O15" s="76" t="str">
        <x:f>IF('05_Form_Qualite_Air'!$P15="Validé humainement",'05_Form_Qualite_Air'!O15,"")</x:f>
      </x:c>
      <x:c r="P15" s="76" t="str">
        <x:f>IF('05_Form_Qualite_Air'!$P15="Validé humainement",'05_Form_Qualite_Air'!P15,"")</x:f>
      </x:c>
      <x:c r="Q15" s="78" t="str">
        <x:f>IF('05_Form_Qualite_Air'!$P15="Validé humainement",'05_Form_Qualite_Air'!Q15,"")</x:f>
      </x:c>
      <x:c r="R15" s="76" t="str">
        <x:f>IF('05_Form_Qualite_Air'!$P15="Validé humainement",'05_Form_Qualite_Air'!R15,"")</x:f>
      </x:c>
      <x:c r="S15" s="76" t="str">
        <x:f>IF('05_Form_Qualite_Air'!$P15="Validé humainement",'05_Form_Qualite_Air'!S15,"")</x:f>
      </x:c>
      <x:c r="T15" s="76" t="str">
        <x:f>IF('05_Form_Qualite_Air'!$P15="Validé humainement",'05_Form_Qualite_Air'!T15,"")</x:f>
      </x:c>
    </x:row>
    <x:row r="16">
      <x:c r="A16" s="76" t="str">
        <x:f>IF('05_Form_Qualite_Air'!$P16="Validé humainement",'05_Form_Qualite_Air'!A16,"")</x:f>
      </x:c>
      <x:c r="B16" s="76" t="str">
        <x:f>IF('05_Form_Qualite_Air'!$P16="Validé humainement",'05_Form_Qualite_Air'!B16,"")</x:f>
      </x:c>
      <x:c r="C16" s="76" t="str">
        <x:f>IF('05_Form_Qualite_Air'!$P16="Validé humainement",'05_Form_Qualite_Air'!C16,"")</x:f>
      </x:c>
      <x:c r="D16" s="76" t="str">
        <x:f>IF('05_Form_Qualite_Air'!$P16="Validé humainement",'05_Form_Qualite_Air'!D16,"")</x:f>
      </x:c>
      <x:c r="E16" s="80" t="str">
        <x:f>IF('05_Form_Qualite_Air'!$P16="Validé humainement",'05_Form_Qualite_Air'!E16,"")</x:f>
      </x:c>
      <x:c r="F16" s="80" t="str">
        <x:f>IF('05_Form_Qualite_Air'!$P16="Validé humainement",'05_Form_Qualite_Air'!F16,"")</x:f>
      </x:c>
      <x:c r="G16" s="80" t="str">
        <x:f>IF('05_Form_Qualite_Air'!$P16="Validé humainement",'05_Form_Qualite_Air'!G16,"")</x:f>
      </x:c>
      <x:c r="H16" s="80" t="str">
        <x:f>IF('05_Form_Qualite_Air'!$P16="Validé humainement",'05_Form_Qualite_Air'!H16,"")</x:f>
      </x:c>
      <x:c r="I16" s="80" t="str">
        <x:f>IF('05_Form_Qualite_Air'!$P16="Validé humainement",'05_Form_Qualite_Air'!I16,"")</x:f>
      </x:c>
      <x:c r="J16" s="80" t="str">
        <x:f>IF('05_Form_Qualite_Air'!$P16="Validé humainement",'05_Form_Qualite_Air'!J16,"")</x:f>
      </x:c>
      <x:c r="K16" s="80" t="str">
        <x:f>IF('05_Form_Qualite_Air'!$P16="Validé humainement",'05_Form_Qualite_Air'!K16,"")</x:f>
      </x:c>
      <x:c r="L16" s="76" t="str">
        <x:f>IF('05_Form_Qualite_Air'!$P16="Validé humainement",'05_Form_Qualite_Air'!L16,"")</x:f>
      </x:c>
      <x:c r="M16" s="76" t="str">
        <x:f>IF('05_Form_Qualite_Air'!$P16="Validé humainement",'05_Form_Qualite_Air'!M16,"")</x:f>
      </x:c>
      <x:c r="N16" s="76" t="str">
        <x:f>IF('05_Form_Qualite_Air'!$P16="Validé humainement",'05_Form_Qualite_Air'!N16,"")</x:f>
      </x:c>
      <x:c r="O16" s="76" t="str">
        <x:f>IF('05_Form_Qualite_Air'!$P16="Validé humainement",'05_Form_Qualite_Air'!O16,"")</x:f>
      </x:c>
      <x:c r="P16" s="76" t="str">
        <x:f>IF('05_Form_Qualite_Air'!$P16="Validé humainement",'05_Form_Qualite_Air'!P16,"")</x:f>
      </x:c>
      <x:c r="Q16" s="78" t="str">
        <x:f>IF('05_Form_Qualite_Air'!$P16="Validé humainement",'05_Form_Qualite_Air'!Q16,"")</x:f>
      </x:c>
      <x:c r="R16" s="76" t="str">
        <x:f>IF('05_Form_Qualite_Air'!$P16="Validé humainement",'05_Form_Qualite_Air'!R16,"")</x:f>
      </x:c>
      <x:c r="S16" s="76" t="str">
        <x:f>IF('05_Form_Qualite_Air'!$P16="Validé humainement",'05_Form_Qualite_Air'!S16,"")</x:f>
      </x:c>
      <x:c r="T16" s="76" t="str">
        <x:f>IF('05_Form_Qualite_Air'!$P16="Validé humainement",'05_Form_Qualite_Air'!T16,"")</x:f>
      </x:c>
    </x:row>
    <x:row r="17">
      <x:c r="A17" s="76" t="str">
        <x:f>IF('05_Form_Qualite_Air'!$P17="Validé humainement",'05_Form_Qualite_Air'!A17,"")</x:f>
      </x:c>
      <x:c r="B17" s="76" t="str">
        <x:f>IF('05_Form_Qualite_Air'!$P17="Validé humainement",'05_Form_Qualite_Air'!B17,"")</x:f>
      </x:c>
      <x:c r="C17" s="76" t="str">
        <x:f>IF('05_Form_Qualite_Air'!$P17="Validé humainement",'05_Form_Qualite_Air'!C17,"")</x:f>
      </x:c>
      <x:c r="D17" s="76" t="str">
        <x:f>IF('05_Form_Qualite_Air'!$P17="Validé humainement",'05_Form_Qualite_Air'!D17,"")</x:f>
      </x:c>
      <x:c r="E17" s="80" t="str">
        <x:f>IF('05_Form_Qualite_Air'!$P17="Validé humainement",'05_Form_Qualite_Air'!E17,"")</x:f>
      </x:c>
      <x:c r="F17" s="80" t="str">
        <x:f>IF('05_Form_Qualite_Air'!$P17="Validé humainement",'05_Form_Qualite_Air'!F17,"")</x:f>
      </x:c>
      <x:c r="G17" s="80" t="str">
        <x:f>IF('05_Form_Qualite_Air'!$P17="Validé humainement",'05_Form_Qualite_Air'!G17,"")</x:f>
      </x:c>
      <x:c r="H17" s="80" t="str">
        <x:f>IF('05_Form_Qualite_Air'!$P17="Validé humainement",'05_Form_Qualite_Air'!H17,"")</x:f>
      </x:c>
      <x:c r="I17" s="80" t="str">
        <x:f>IF('05_Form_Qualite_Air'!$P17="Validé humainement",'05_Form_Qualite_Air'!I17,"")</x:f>
      </x:c>
      <x:c r="J17" s="80" t="str">
        <x:f>IF('05_Form_Qualite_Air'!$P17="Validé humainement",'05_Form_Qualite_Air'!J17,"")</x:f>
      </x:c>
      <x:c r="K17" s="80" t="str">
        <x:f>IF('05_Form_Qualite_Air'!$P17="Validé humainement",'05_Form_Qualite_Air'!K17,"")</x:f>
      </x:c>
      <x:c r="L17" s="76" t="str">
        <x:f>IF('05_Form_Qualite_Air'!$P17="Validé humainement",'05_Form_Qualite_Air'!L17,"")</x:f>
      </x:c>
      <x:c r="M17" s="76" t="str">
        <x:f>IF('05_Form_Qualite_Air'!$P17="Validé humainement",'05_Form_Qualite_Air'!M17,"")</x:f>
      </x:c>
      <x:c r="N17" s="76" t="str">
        <x:f>IF('05_Form_Qualite_Air'!$P17="Validé humainement",'05_Form_Qualite_Air'!N17,"")</x:f>
      </x:c>
      <x:c r="O17" s="76" t="str">
        <x:f>IF('05_Form_Qualite_Air'!$P17="Validé humainement",'05_Form_Qualite_Air'!O17,"")</x:f>
      </x:c>
      <x:c r="P17" s="76" t="str">
        <x:f>IF('05_Form_Qualite_Air'!$P17="Validé humainement",'05_Form_Qualite_Air'!P17,"")</x:f>
      </x:c>
      <x:c r="Q17" s="78" t="str">
        <x:f>IF('05_Form_Qualite_Air'!$P17="Validé humainement",'05_Form_Qualite_Air'!Q17,"")</x:f>
      </x:c>
      <x:c r="R17" s="76" t="str">
        <x:f>IF('05_Form_Qualite_Air'!$P17="Validé humainement",'05_Form_Qualite_Air'!R17,"")</x:f>
      </x:c>
      <x:c r="S17" s="76" t="str">
        <x:f>IF('05_Form_Qualite_Air'!$P17="Validé humainement",'05_Form_Qualite_Air'!S17,"")</x:f>
      </x:c>
      <x:c r="T17" s="76" t="str">
        <x:f>IF('05_Form_Qualite_Air'!$P17="Validé humainement",'05_Form_Qualite_Air'!T17,"")</x:f>
      </x:c>
    </x:row>
    <x:row r="18">
      <x:c r="A18" s="76" t="str">
        <x:f>IF('05_Form_Qualite_Air'!$P18="Validé humainement",'05_Form_Qualite_Air'!A18,"")</x:f>
      </x:c>
      <x:c r="B18" s="76" t="str">
        <x:f>IF('05_Form_Qualite_Air'!$P18="Validé humainement",'05_Form_Qualite_Air'!B18,"")</x:f>
      </x:c>
      <x:c r="C18" s="76" t="str">
        <x:f>IF('05_Form_Qualite_Air'!$P18="Validé humainement",'05_Form_Qualite_Air'!C18,"")</x:f>
      </x:c>
      <x:c r="D18" s="76" t="str">
        <x:f>IF('05_Form_Qualite_Air'!$P18="Validé humainement",'05_Form_Qualite_Air'!D18,"")</x:f>
      </x:c>
      <x:c r="E18" s="80" t="str">
        <x:f>IF('05_Form_Qualite_Air'!$P18="Validé humainement",'05_Form_Qualite_Air'!E18,"")</x:f>
      </x:c>
      <x:c r="F18" s="80" t="str">
        <x:f>IF('05_Form_Qualite_Air'!$P18="Validé humainement",'05_Form_Qualite_Air'!F18,"")</x:f>
      </x:c>
      <x:c r="G18" s="80" t="str">
        <x:f>IF('05_Form_Qualite_Air'!$P18="Validé humainement",'05_Form_Qualite_Air'!G18,"")</x:f>
      </x:c>
      <x:c r="H18" s="80" t="str">
        <x:f>IF('05_Form_Qualite_Air'!$P18="Validé humainement",'05_Form_Qualite_Air'!H18,"")</x:f>
      </x:c>
      <x:c r="I18" s="80" t="str">
        <x:f>IF('05_Form_Qualite_Air'!$P18="Validé humainement",'05_Form_Qualite_Air'!I18,"")</x:f>
      </x:c>
      <x:c r="J18" s="80" t="str">
        <x:f>IF('05_Form_Qualite_Air'!$P18="Validé humainement",'05_Form_Qualite_Air'!J18,"")</x:f>
      </x:c>
      <x:c r="K18" s="80" t="str">
        <x:f>IF('05_Form_Qualite_Air'!$P18="Validé humainement",'05_Form_Qualite_Air'!K18,"")</x:f>
      </x:c>
      <x:c r="L18" s="76" t="str">
        <x:f>IF('05_Form_Qualite_Air'!$P18="Validé humainement",'05_Form_Qualite_Air'!L18,"")</x:f>
      </x:c>
      <x:c r="M18" s="76" t="str">
        <x:f>IF('05_Form_Qualite_Air'!$P18="Validé humainement",'05_Form_Qualite_Air'!M18,"")</x:f>
      </x:c>
      <x:c r="N18" s="76" t="str">
        <x:f>IF('05_Form_Qualite_Air'!$P18="Validé humainement",'05_Form_Qualite_Air'!N18,"")</x:f>
      </x:c>
      <x:c r="O18" s="76" t="str">
        <x:f>IF('05_Form_Qualite_Air'!$P18="Validé humainement",'05_Form_Qualite_Air'!O18,"")</x:f>
      </x:c>
      <x:c r="P18" s="76" t="str">
        <x:f>IF('05_Form_Qualite_Air'!$P18="Validé humainement",'05_Form_Qualite_Air'!P18,"")</x:f>
      </x:c>
      <x:c r="Q18" s="78" t="str">
        <x:f>IF('05_Form_Qualite_Air'!$P18="Validé humainement",'05_Form_Qualite_Air'!Q18,"")</x:f>
      </x:c>
      <x:c r="R18" s="76" t="str">
        <x:f>IF('05_Form_Qualite_Air'!$P18="Validé humainement",'05_Form_Qualite_Air'!R18,"")</x:f>
      </x:c>
      <x:c r="S18" s="76" t="str">
        <x:f>IF('05_Form_Qualite_Air'!$P18="Validé humainement",'05_Form_Qualite_Air'!S18,"")</x:f>
      </x:c>
      <x:c r="T18" s="76" t="str">
        <x:f>IF('05_Form_Qualite_Air'!$P18="Validé humainement",'05_Form_Qualite_Air'!T18,"")</x:f>
      </x:c>
    </x:row>
    <x:row r="19">
      <x:c r="A19" s="76" t="str">
        <x:f>IF('05_Form_Qualite_Air'!$P19="Validé humainement",'05_Form_Qualite_Air'!A19,"")</x:f>
      </x:c>
      <x:c r="B19" s="76" t="str">
        <x:f>IF('05_Form_Qualite_Air'!$P19="Validé humainement",'05_Form_Qualite_Air'!B19,"")</x:f>
      </x:c>
      <x:c r="C19" s="76" t="str">
        <x:f>IF('05_Form_Qualite_Air'!$P19="Validé humainement",'05_Form_Qualite_Air'!C19,"")</x:f>
      </x:c>
      <x:c r="D19" s="76" t="str">
        <x:f>IF('05_Form_Qualite_Air'!$P19="Validé humainement",'05_Form_Qualite_Air'!D19,"")</x:f>
      </x:c>
      <x:c r="E19" s="80" t="str">
        <x:f>IF('05_Form_Qualite_Air'!$P19="Validé humainement",'05_Form_Qualite_Air'!E19,"")</x:f>
      </x:c>
      <x:c r="F19" s="80" t="str">
        <x:f>IF('05_Form_Qualite_Air'!$P19="Validé humainement",'05_Form_Qualite_Air'!F19,"")</x:f>
      </x:c>
      <x:c r="G19" s="80" t="str">
        <x:f>IF('05_Form_Qualite_Air'!$P19="Validé humainement",'05_Form_Qualite_Air'!G19,"")</x:f>
      </x:c>
      <x:c r="H19" s="80" t="str">
        <x:f>IF('05_Form_Qualite_Air'!$P19="Validé humainement",'05_Form_Qualite_Air'!H19,"")</x:f>
      </x:c>
      <x:c r="I19" s="80" t="str">
        <x:f>IF('05_Form_Qualite_Air'!$P19="Validé humainement",'05_Form_Qualite_Air'!I19,"")</x:f>
      </x:c>
      <x:c r="J19" s="80" t="str">
        <x:f>IF('05_Form_Qualite_Air'!$P19="Validé humainement",'05_Form_Qualite_Air'!J19,"")</x:f>
      </x:c>
      <x:c r="K19" s="80" t="str">
        <x:f>IF('05_Form_Qualite_Air'!$P19="Validé humainement",'05_Form_Qualite_Air'!K19,"")</x:f>
      </x:c>
      <x:c r="L19" s="76" t="str">
        <x:f>IF('05_Form_Qualite_Air'!$P19="Validé humainement",'05_Form_Qualite_Air'!L19,"")</x:f>
      </x:c>
      <x:c r="M19" s="76" t="str">
        <x:f>IF('05_Form_Qualite_Air'!$P19="Validé humainement",'05_Form_Qualite_Air'!M19,"")</x:f>
      </x:c>
      <x:c r="N19" s="76" t="str">
        <x:f>IF('05_Form_Qualite_Air'!$P19="Validé humainement",'05_Form_Qualite_Air'!N19,"")</x:f>
      </x:c>
      <x:c r="O19" s="76" t="str">
        <x:f>IF('05_Form_Qualite_Air'!$P19="Validé humainement",'05_Form_Qualite_Air'!O19,"")</x:f>
      </x:c>
      <x:c r="P19" s="76" t="str">
        <x:f>IF('05_Form_Qualite_Air'!$P19="Validé humainement",'05_Form_Qualite_Air'!P19,"")</x:f>
      </x:c>
      <x:c r="Q19" s="78" t="str">
        <x:f>IF('05_Form_Qualite_Air'!$P19="Validé humainement",'05_Form_Qualite_Air'!Q19,"")</x:f>
      </x:c>
      <x:c r="R19" s="76" t="str">
        <x:f>IF('05_Form_Qualite_Air'!$P19="Validé humainement",'05_Form_Qualite_Air'!R19,"")</x:f>
      </x:c>
      <x:c r="S19" s="76" t="str">
        <x:f>IF('05_Form_Qualite_Air'!$P19="Validé humainement",'05_Form_Qualite_Air'!S19,"")</x:f>
      </x:c>
      <x:c r="T19" s="76" t="str">
        <x:f>IF('05_Form_Qualite_Air'!$P19="Validé humainement",'05_Form_Qualite_Air'!T19,"")</x:f>
      </x:c>
    </x:row>
    <x:row r="20">
      <x:c r="A20" s="76" t="str">
        <x:f>IF('05_Form_Qualite_Air'!$P20="Validé humainement",'05_Form_Qualite_Air'!A20,"")</x:f>
      </x:c>
      <x:c r="B20" s="76" t="str">
        <x:f>IF('05_Form_Qualite_Air'!$P20="Validé humainement",'05_Form_Qualite_Air'!B20,"")</x:f>
      </x:c>
      <x:c r="C20" s="76" t="str">
        <x:f>IF('05_Form_Qualite_Air'!$P20="Validé humainement",'05_Form_Qualite_Air'!C20,"")</x:f>
      </x:c>
      <x:c r="D20" s="76" t="str">
        <x:f>IF('05_Form_Qualite_Air'!$P20="Validé humainement",'05_Form_Qualite_Air'!D20,"")</x:f>
      </x:c>
      <x:c r="E20" s="80" t="str">
        <x:f>IF('05_Form_Qualite_Air'!$P20="Validé humainement",'05_Form_Qualite_Air'!E20,"")</x:f>
      </x:c>
      <x:c r="F20" s="80" t="str">
        <x:f>IF('05_Form_Qualite_Air'!$P20="Validé humainement",'05_Form_Qualite_Air'!F20,"")</x:f>
      </x:c>
      <x:c r="G20" s="80" t="str">
        <x:f>IF('05_Form_Qualite_Air'!$P20="Validé humainement",'05_Form_Qualite_Air'!G20,"")</x:f>
      </x:c>
      <x:c r="H20" s="80" t="str">
        <x:f>IF('05_Form_Qualite_Air'!$P20="Validé humainement",'05_Form_Qualite_Air'!H20,"")</x:f>
      </x:c>
      <x:c r="I20" s="80" t="str">
        <x:f>IF('05_Form_Qualite_Air'!$P20="Validé humainement",'05_Form_Qualite_Air'!I20,"")</x:f>
      </x:c>
      <x:c r="J20" s="80" t="str">
        <x:f>IF('05_Form_Qualite_Air'!$P20="Validé humainement",'05_Form_Qualite_Air'!J20,"")</x:f>
      </x:c>
      <x:c r="K20" s="80" t="str">
        <x:f>IF('05_Form_Qualite_Air'!$P20="Validé humainement",'05_Form_Qualite_Air'!K20,"")</x:f>
      </x:c>
      <x:c r="L20" s="76" t="str">
        <x:f>IF('05_Form_Qualite_Air'!$P20="Validé humainement",'05_Form_Qualite_Air'!L20,"")</x:f>
      </x:c>
      <x:c r="M20" s="76" t="str">
        <x:f>IF('05_Form_Qualite_Air'!$P20="Validé humainement",'05_Form_Qualite_Air'!M20,"")</x:f>
      </x:c>
      <x:c r="N20" s="76" t="str">
        <x:f>IF('05_Form_Qualite_Air'!$P20="Validé humainement",'05_Form_Qualite_Air'!N20,"")</x:f>
      </x:c>
      <x:c r="O20" s="76" t="str">
        <x:f>IF('05_Form_Qualite_Air'!$P20="Validé humainement",'05_Form_Qualite_Air'!O20,"")</x:f>
      </x:c>
      <x:c r="P20" s="76" t="str">
        <x:f>IF('05_Form_Qualite_Air'!$P20="Validé humainement",'05_Form_Qualite_Air'!P20,"")</x:f>
      </x:c>
      <x:c r="Q20" s="78" t="str">
        <x:f>IF('05_Form_Qualite_Air'!$P20="Validé humainement",'05_Form_Qualite_Air'!Q20,"")</x:f>
      </x:c>
      <x:c r="R20" s="76" t="str">
        <x:f>IF('05_Form_Qualite_Air'!$P20="Validé humainement",'05_Form_Qualite_Air'!R20,"")</x:f>
      </x:c>
      <x:c r="S20" s="76" t="str">
        <x:f>IF('05_Form_Qualite_Air'!$P20="Validé humainement",'05_Form_Qualite_Air'!S20,"")</x:f>
      </x:c>
      <x:c r="T20" s="76" t="str">
        <x:f>IF('05_Form_Qualite_Air'!$P20="Validé humainement",'05_Form_Qualite_Air'!T20,"")</x:f>
      </x:c>
    </x:row>
    <x:row r="21">
      <x:c r="A21" s="76" t="str">
        <x:f>IF('05_Form_Qualite_Air'!$P21="Validé humainement",'05_Form_Qualite_Air'!A21,"")</x:f>
      </x:c>
      <x:c r="B21" s="76" t="str">
        <x:f>IF('05_Form_Qualite_Air'!$P21="Validé humainement",'05_Form_Qualite_Air'!B21,"")</x:f>
      </x:c>
      <x:c r="C21" s="76" t="str">
        <x:f>IF('05_Form_Qualite_Air'!$P21="Validé humainement",'05_Form_Qualite_Air'!C21,"")</x:f>
      </x:c>
      <x:c r="D21" s="76" t="str">
        <x:f>IF('05_Form_Qualite_Air'!$P21="Validé humainement",'05_Form_Qualite_Air'!D21,"")</x:f>
      </x:c>
      <x:c r="E21" s="80" t="str">
        <x:f>IF('05_Form_Qualite_Air'!$P21="Validé humainement",'05_Form_Qualite_Air'!E21,"")</x:f>
      </x:c>
      <x:c r="F21" s="80" t="str">
        <x:f>IF('05_Form_Qualite_Air'!$P21="Validé humainement",'05_Form_Qualite_Air'!F21,"")</x:f>
      </x:c>
      <x:c r="G21" s="80" t="str">
        <x:f>IF('05_Form_Qualite_Air'!$P21="Validé humainement",'05_Form_Qualite_Air'!G21,"")</x:f>
      </x:c>
      <x:c r="H21" s="80" t="str">
        <x:f>IF('05_Form_Qualite_Air'!$P21="Validé humainement",'05_Form_Qualite_Air'!H21,"")</x:f>
      </x:c>
      <x:c r="I21" s="80" t="str">
        <x:f>IF('05_Form_Qualite_Air'!$P21="Validé humainement",'05_Form_Qualite_Air'!I21,"")</x:f>
      </x:c>
      <x:c r="J21" s="80" t="str">
        <x:f>IF('05_Form_Qualite_Air'!$P21="Validé humainement",'05_Form_Qualite_Air'!J21,"")</x:f>
      </x:c>
      <x:c r="K21" s="80" t="str">
        <x:f>IF('05_Form_Qualite_Air'!$P21="Validé humainement",'05_Form_Qualite_Air'!K21,"")</x:f>
      </x:c>
      <x:c r="L21" s="76" t="str">
        <x:f>IF('05_Form_Qualite_Air'!$P21="Validé humainement",'05_Form_Qualite_Air'!L21,"")</x:f>
      </x:c>
      <x:c r="M21" s="76" t="str">
        <x:f>IF('05_Form_Qualite_Air'!$P21="Validé humainement",'05_Form_Qualite_Air'!M21,"")</x:f>
      </x:c>
      <x:c r="N21" s="76" t="str">
        <x:f>IF('05_Form_Qualite_Air'!$P21="Validé humainement",'05_Form_Qualite_Air'!N21,"")</x:f>
      </x:c>
      <x:c r="O21" s="76" t="str">
        <x:f>IF('05_Form_Qualite_Air'!$P21="Validé humainement",'05_Form_Qualite_Air'!O21,"")</x:f>
      </x:c>
      <x:c r="P21" s="76" t="str">
        <x:f>IF('05_Form_Qualite_Air'!$P21="Validé humainement",'05_Form_Qualite_Air'!P21,"")</x:f>
      </x:c>
      <x:c r="Q21" s="78" t="str">
        <x:f>IF('05_Form_Qualite_Air'!$P21="Validé humainement",'05_Form_Qualite_Air'!Q21,"")</x:f>
      </x:c>
      <x:c r="R21" s="76" t="str">
        <x:f>IF('05_Form_Qualite_Air'!$P21="Validé humainement",'05_Form_Qualite_Air'!R21,"")</x:f>
      </x:c>
      <x:c r="S21" s="76" t="str">
        <x:f>IF('05_Form_Qualite_Air'!$P21="Validé humainement",'05_Form_Qualite_Air'!S21,"")</x:f>
      </x:c>
      <x:c r="T21" s="76" t="str">
        <x:f>IF('05_Form_Qualite_Air'!$P21="Validé humainement",'05_Form_Qualite_Air'!T21,"")</x:f>
      </x:c>
    </x:row>
    <x:row r="22">
      <x:c r="A22" s="76" t="str">
        <x:f>IF('05_Form_Qualite_Air'!$P22="Validé humainement",'05_Form_Qualite_Air'!A22,"")</x:f>
      </x:c>
      <x:c r="B22" s="76" t="str">
        <x:f>IF('05_Form_Qualite_Air'!$P22="Validé humainement",'05_Form_Qualite_Air'!B22,"")</x:f>
      </x:c>
      <x:c r="C22" s="76" t="str">
        <x:f>IF('05_Form_Qualite_Air'!$P22="Validé humainement",'05_Form_Qualite_Air'!C22,"")</x:f>
      </x:c>
      <x:c r="D22" s="76" t="str">
        <x:f>IF('05_Form_Qualite_Air'!$P22="Validé humainement",'05_Form_Qualite_Air'!D22,"")</x:f>
      </x:c>
      <x:c r="E22" s="80" t="str">
        <x:f>IF('05_Form_Qualite_Air'!$P22="Validé humainement",'05_Form_Qualite_Air'!E22,"")</x:f>
      </x:c>
      <x:c r="F22" s="80" t="str">
        <x:f>IF('05_Form_Qualite_Air'!$P22="Validé humainement",'05_Form_Qualite_Air'!F22,"")</x:f>
      </x:c>
      <x:c r="G22" s="80" t="str">
        <x:f>IF('05_Form_Qualite_Air'!$P22="Validé humainement",'05_Form_Qualite_Air'!G22,"")</x:f>
      </x:c>
      <x:c r="H22" s="80" t="str">
        <x:f>IF('05_Form_Qualite_Air'!$P22="Validé humainement",'05_Form_Qualite_Air'!H22,"")</x:f>
      </x:c>
      <x:c r="I22" s="80" t="str">
        <x:f>IF('05_Form_Qualite_Air'!$P22="Validé humainement",'05_Form_Qualite_Air'!I22,"")</x:f>
      </x:c>
      <x:c r="J22" s="80" t="str">
        <x:f>IF('05_Form_Qualite_Air'!$P22="Validé humainement",'05_Form_Qualite_Air'!J22,"")</x:f>
      </x:c>
      <x:c r="K22" s="80" t="str">
        <x:f>IF('05_Form_Qualite_Air'!$P22="Validé humainement",'05_Form_Qualite_Air'!K22,"")</x:f>
      </x:c>
      <x:c r="L22" s="76" t="str">
        <x:f>IF('05_Form_Qualite_Air'!$P22="Validé humainement",'05_Form_Qualite_Air'!L22,"")</x:f>
      </x:c>
      <x:c r="M22" s="76" t="str">
        <x:f>IF('05_Form_Qualite_Air'!$P22="Validé humainement",'05_Form_Qualite_Air'!M22,"")</x:f>
      </x:c>
      <x:c r="N22" s="76" t="str">
        <x:f>IF('05_Form_Qualite_Air'!$P22="Validé humainement",'05_Form_Qualite_Air'!N22,"")</x:f>
      </x:c>
      <x:c r="O22" s="76" t="str">
        <x:f>IF('05_Form_Qualite_Air'!$P22="Validé humainement",'05_Form_Qualite_Air'!O22,"")</x:f>
      </x:c>
      <x:c r="P22" s="76" t="str">
        <x:f>IF('05_Form_Qualite_Air'!$P22="Validé humainement",'05_Form_Qualite_Air'!P22,"")</x:f>
      </x:c>
      <x:c r="Q22" s="78" t="str">
        <x:f>IF('05_Form_Qualite_Air'!$P22="Validé humainement",'05_Form_Qualite_Air'!Q22,"")</x:f>
      </x:c>
      <x:c r="R22" s="76" t="str">
        <x:f>IF('05_Form_Qualite_Air'!$P22="Validé humainement",'05_Form_Qualite_Air'!R22,"")</x:f>
      </x:c>
      <x:c r="S22" s="76" t="str">
        <x:f>IF('05_Form_Qualite_Air'!$P22="Validé humainement",'05_Form_Qualite_Air'!S22,"")</x:f>
      </x:c>
      <x:c r="T22" s="76" t="str">
        <x:f>IF('05_Form_Qualite_Air'!$P22="Validé humainement",'05_Form_Qualite_Air'!T22,"")</x:f>
      </x:c>
    </x:row>
    <x:row r="23">
      <x:c r="A23" s="76" t="str">
        <x:f>IF('05_Form_Qualite_Air'!$P23="Validé humainement",'05_Form_Qualite_Air'!A23,"")</x:f>
      </x:c>
      <x:c r="B23" s="76" t="str">
        <x:f>IF('05_Form_Qualite_Air'!$P23="Validé humainement",'05_Form_Qualite_Air'!B23,"")</x:f>
      </x:c>
      <x:c r="C23" s="76" t="str">
        <x:f>IF('05_Form_Qualite_Air'!$P23="Validé humainement",'05_Form_Qualite_Air'!C23,"")</x:f>
      </x:c>
      <x:c r="D23" s="76" t="str">
        <x:f>IF('05_Form_Qualite_Air'!$P23="Validé humainement",'05_Form_Qualite_Air'!D23,"")</x:f>
      </x:c>
      <x:c r="E23" s="80" t="str">
        <x:f>IF('05_Form_Qualite_Air'!$P23="Validé humainement",'05_Form_Qualite_Air'!E23,"")</x:f>
      </x:c>
      <x:c r="F23" s="80" t="str">
        <x:f>IF('05_Form_Qualite_Air'!$P23="Validé humainement",'05_Form_Qualite_Air'!F23,"")</x:f>
      </x:c>
      <x:c r="G23" s="80" t="str">
        <x:f>IF('05_Form_Qualite_Air'!$P23="Validé humainement",'05_Form_Qualite_Air'!G23,"")</x:f>
      </x:c>
      <x:c r="H23" s="80" t="str">
        <x:f>IF('05_Form_Qualite_Air'!$P23="Validé humainement",'05_Form_Qualite_Air'!H23,"")</x:f>
      </x:c>
      <x:c r="I23" s="80" t="str">
        <x:f>IF('05_Form_Qualite_Air'!$P23="Validé humainement",'05_Form_Qualite_Air'!I23,"")</x:f>
      </x:c>
      <x:c r="J23" s="80" t="str">
        <x:f>IF('05_Form_Qualite_Air'!$P23="Validé humainement",'05_Form_Qualite_Air'!J23,"")</x:f>
      </x:c>
      <x:c r="K23" s="80" t="str">
        <x:f>IF('05_Form_Qualite_Air'!$P23="Validé humainement",'05_Form_Qualite_Air'!K23,"")</x:f>
      </x:c>
      <x:c r="L23" s="76" t="str">
        <x:f>IF('05_Form_Qualite_Air'!$P23="Validé humainement",'05_Form_Qualite_Air'!L23,"")</x:f>
      </x:c>
      <x:c r="M23" s="76" t="str">
        <x:f>IF('05_Form_Qualite_Air'!$P23="Validé humainement",'05_Form_Qualite_Air'!M23,"")</x:f>
      </x:c>
      <x:c r="N23" s="76" t="str">
        <x:f>IF('05_Form_Qualite_Air'!$P23="Validé humainement",'05_Form_Qualite_Air'!N23,"")</x:f>
      </x:c>
      <x:c r="O23" s="76" t="str">
        <x:f>IF('05_Form_Qualite_Air'!$P23="Validé humainement",'05_Form_Qualite_Air'!O23,"")</x:f>
      </x:c>
      <x:c r="P23" s="76" t="str">
        <x:f>IF('05_Form_Qualite_Air'!$P23="Validé humainement",'05_Form_Qualite_Air'!P23,"")</x:f>
      </x:c>
      <x:c r="Q23" s="78" t="str">
        <x:f>IF('05_Form_Qualite_Air'!$P23="Validé humainement",'05_Form_Qualite_Air'!Q23,"")</x:f>
      </x:c>
      <x:c r="R23" s="76" t="str">
        <x:f>IF('05_Form_Qualite_Air'!$P23="Validé humainement",'05_Form_Qualite_Air'!R23,"")</x:f>
      </x:c>
      <x:c r="S23" s="76" t="str">
        <x:f>IF('05_Form_Qualite_Air'!$P23="Validé humainement",'05_Form_Qualite_Air'!S23,"")</x:f>
      </x:c>
      <x:c r="T23" s="76" t="str">
        <x:f>IF('05_Form_Qualite_Air'!$P23="Validé humainement",'05_Form_Qualite_Air'!T23,"")</x:f>
      </x:c>
    </x:row>
    <x:row r="24">
      <x:c r="A24" s="76" t="str">
        <x:f>IF('05_Form_Qualite_Air'!$P24="Validé humainement",'05_Form_Qualite_Air'!A24,"")</x:f>
      </x:c>
      <x:c r="B24" s="76" t="str">
        <x:f>IF('05_Form_Qualite_Air'!$P24="Validé humainement",'05_Form_Qualite_Air'!B24,"")</x:f>
      </x:c>
      <x:c r="C24" s="76" t="str">
        <x:f>IF('05_Form_Qualite_Air'!$P24="Validé humainement",'05_Form_Qualite_Air'!C24,"")</x:f>
      </x:c>
      <x:c r="D24" s="76" t="str">
        <x:f>IF('05_Form_Qualite_Air'!$P24="Validé humainement",'05_Form_Qualite_Air'!D24,"")</x:f>
      </x:c>
      <x:c r="E24" s="80" t="str">
        <x:f>IF('05_Form_Qualite_Air'!$P24="Validé humainement",'05_Form_Qualite_Air'!E24,"")</x:f>
      </x:c>
      <x:c r="F24" s="80" t="str">
        <x:f>IF('05_Form_Qualite_Air'!$P24="Validé humainement",'05_Form_Qualite_Air'!F24,"")</x:f>
      </x:c>
      <x:c r="G24" s="80" t="str">
        <x:f>IF('05_Form_Qualite_Air'!$P24="Validé humainement",'05_Form_Qualite_Air'!G24,"")</x:f>
      </x:c>
      <x:c r="H24" s="80" t="str">
        <x:f>IF('05_Form_Qualite_Air'!$P24="Validé humainement",'05_Form_Qualite_Air'!H24,"")</x:f>
      </x:c>
      <x:c r="I24" s="80" t="str">
        <x:f>IF('05_Form_Qualite_Air'!$P24="Validé humainement",'05_Form_Qualite_Air'!I24,"")</x:f>
      </x:c>
      <x:c r="J24" s="80" t="str">
        <x:f>IF('05_Form_Qualite_Air'!$P24="Validé humainement",'05_Form_Qualite_Air'!J24,"")</x:f>
      </x:c>
      <x:c r="K24" s="80" t="str">
        <x:f>IF('05_Form_Qualite_Air'!$P24="Validé humainement",'05_Form_Qualite_Air'!K24,"")</x:f>
      </x:c>
      <x:c r="L24" s="76" t="str">
        <x:f>IF('05_Form_Qualite_Air'!$P24="Validé humainement",'05_Form_Qualite_Air'!L24,"")</x:f>
      </x:c>
      <x:c r="M24" s="76" t="str">
        <x:f>IF('05_Form_Qualite_Air'!$P24="Validé humainement",'05_Form_Qualite_Air'!M24,"")</x:f>
      </x:c>
      <x:c r="N24" s="76" t="str">
        <x:f>IF('05_Form_Qualite_Air'!$P24="Validé humainement",'05_Form_Qualite_Air'!N24,"")</x:f>
      </x:c>
      <x:c r="O24" s="76" t="str">
        <x:f>IF('05_Form_Qualite_Air'!$P24="Validé humainement",'05_Form_Qualite_Air'!O24,"")</x:f>
      </x:c>
      <x:c r="P24" s="76" t="str">
        <x:f>IF('05_Form_Qualite_Air'!$P24="Validé humainement",'05_Form_Qualite_Air'!P24,"")</x:f>
      </x:c>
      <x:c r="Q24" s="78" t="str">
        <x:f>IF('05_Form_Qualite_Air'!$P24="Validé humainement",'05_Form_Qualite_Air'!Q24,"")</x:f>
      </x:c>
      <x:c r="R24" s="76" t="str">
        <x:f>IF('05_Form_Qualite_Air'!$P24="Validé humainement",'05_Form_Qualite_Air'!R24,"")</x:f>
      </x:c>
      <x:c r="S24" s="76" t="str">
        <x:f>IF('05_Form_Qualite_Air'!$P24="Validé humainement",'05_Form_Qualite_Air'!S24,"")</x:f>
      </x:c>
      <x:c r="T24" s="76" t="str">
        <x:f>IF('05_Form_Qualite_Air'!$P24="Validé humainement",'05_Form_Qualite_Air'!T24,"")</x:f>
      </x:c>
    </x:row>
    <x:row r="25">
      <x:c r="A25" s="76" t="str">
        <x:f>IF('05_Form_Qualite_Air'!$P25="Validé humainement",'05_Form_Qualite_Air'!A25,"")</x:f>
      </x:c>
      <x:c r="B25" s="76" t="str">
        <x:f>IF('05_Form_Qualite_Air'!$P25="Validé humainement",'05_Form_Qualite_Air'!B25,"")</x:f>
      </x:c>
      <x:c r="C25" s="76" t="str">
        <x:f>IF('05_Form_Qualite_Air'!$P25="Validé humainement",'05_Form_Qualite_Air'!C25,"")</x:f>
      </x:c>
      <x:c r="D25" s="76" t="str">
        <x:f>IF('05_Form_Qualite_Air'!$P25="Validé humainement",'05_Form_Qualite_Air'!D25,"")</x:f>
      </x:c>
      <x:c r="E25" s="80" t="str">
        <x:f>IF('05_Form_Qualite_Air'!$P25="Validé humainement",'05_Form_Qualite_Air'!E25,"")</x:f>
      </x:c>
      <x:c r="F25" s="80" t="str">
        <x:f>IF('05_Form_Qualite_Air'!$P25="Validé humainement",'05_Form_Qualite_Air'!F25,"")</x:f>
      </x:c>
      <x:c r="G25" s="80" t="str">
        <x:f>IF('05_Form_Qualite_Air'!$P25="Validé humainement",'05_Form_Qualite_Air'!G25,"")</x:f>
      </x:c>
      <x:c r="H25" s="80" t="str">
        <x:f>IF('05_Form_Qualite_Air'!$P25="Validé humainement",'05_Form_Qualite_Air'!H25,"")</x:f>
      </x:c>
      <x:c r="I25" s="80" t="str">
        <x:f>IF('05_Form_Qualite_Air'!$P25="Validé humainement",'05_Form_Qualite_Air'!I25,"")</x:f>
      </x:c>
      <x:c r="J25" s="80" t="str">
        <x:f>IF('05_Form_Qualite_Air'!$P25="Validé humainement",'05_Form_Qualite_Air'!J25,"")</x:f>
      </x:c>
      <x:c r="K25" s="80" t="str">
        <x:f>IF('05_Form_Qualite_Air'!$P25="Validé humainement",'05_Form_Qualite_Air'!K25,"")</x:f>
      </x:c>
      <x:c r="L25" s="76" t="str">
        <x:f>IF('05_Form_Qualite_Air'!$P25="Validé humainement",'05_Form_Qualite_Air'!L25,"")</x:f>
      </x:c>
      <x:c r="M25" s="76" t="str">
        <x:f>IF('05_Form_Qualite_Air'!$P25="Validé humainement",'05_Form_Qualite_Air'!M25,"")</x:f>
      </x:c>
      <x:c r="N25" s="76" t="str">
        <x:f>IF('05_Form_Qualite_Air'!$P25="Validé humainement",'05_Form_Qualite_Air'!N25,"")</x:f>
      </x:c>
      <x:c r="O25" s="76" t="str">
        <x:f>IF('05_Form_Qualite_Air'!$P25="Validé humainement",'05_Form_Qualite_Air'!O25,"")</x:f>
      </x:c>
      <x:c r="P25" s="76" t="str">
        <x:f>IF('05_Form_Qualite_Air'!$P25="Validé humainement",'05_Form_Qualite_Air'!P25,"")</x:f>
      </x:c>
      <x:c r="Q25" s="78" t="str">
        <x:f>IF('05_Form_Qualite_Air'!$P25="Validé humainement",'05_Form_Qualite_Air'!Q25,"")</x:f>
      </x:c>
      <x:c r="R25" s="76" t="str">
        <x:f>IF('05_Form_Qualite_Air'!$P25="Validé humainement",'05_Form_Qualite_Air'!R25,"")</x:f>
      </x:c>
      <x:c r="S25" s="76" t="str">
        <x:f>IF('05_Form_Qualite_Air'!$P25="Validé humainement",'05_Form_Qualite_Air'!S25,"")</x:f>
      </x:c>
      <x:c r="T25" s="76" t="str">
        <x:f>IF('05_Form_Qualite_Air'!$P25="Validé humainement",'05_Form_Qualite_Air'!T25,"")</x:f>
      </x:c>
    </x:row>
    <x:row r="26">
      <x:c r="A26" s="76" t="str">
        <x:f>IF('05_Form_Qualite_Air'!$P26="Validé humainement",'05_Form_Qualite_Air'!A26,"")</x:f>
      </x:c>
      <x:c r="B26" s="76" t="str">
        <x:f>IF('05_Form_Qualite_Air'!$P26="Validé humainement",'05_Form_Qualite_Air'!B26,"")</x:f>
      </x:c>
      <x:c r="C26" s="76" t="str">
        <x:f>IF('05_Form_Qualite_Air'!$P26="Validé humainement",'05_Form_Qualite_Air'!C26,"")</x:f>
      </x:c>
      <x:c r="D26" s="76" t="str">
        <x:f>IF('05_Form_Qualite_Air'!$P26="Validé humainement",'05_Form_Qualite_Air'!D26,"")</x:f>
      </x:c>
      <x:c r="E26" s="80" t="str">
        <x:f>IF('05_Form_Qualite_Air'!$P26="Validé humainement",'05_Form_Qualite_Air'!E26,"")</x:f>
      </x:c>
      <x:c r="F26" s="80" t="str">
        <x:f>IF('05_Form_Qualite_Air'!$P26="Validé humainement",'05_Form_Qualite_Air'!F26,"")</x:f>
      </x:c>
      <x:c r="G26" s="80" t="str">
        <x:f>IF('05_Form_Qualite_Air'!$P26="Validé humainement",'05_Form_Qualite_Air'!G26,"")</x:f>
      </x:c>
      <x:c r="H26" s="80" t="str">
        <x:f>IF('05_Form_Qualite_Air'!$P26="Validé humainement",'05_Form_Qualite_Air'!H26,"")</x:f>
      </x:c>
      <x:c r="I26" s="80" t="str">
        <x:f>IF('05_Form_Qualite_Air'!$P26="Validé humainement",'05_Form_Qualite_Air'!I26,"")</x:f>
      </x:c>
      <x:c r="J26" s="80" t="str">
        <x:f>IF('05_Form_Qualite_Air'!$P26="Validé humainement",'05_Form_Qualite_Air'!J26,"")</x:f>
      </x:c>
      <x:c r="K26" s="80" t="str">
        <x:f>IF('05_Form_Qualite_Air'!$P26="Validé humainement",'05_Form_Qualite_Air'!K26,"")</x:f>
      </x:c>
      <x:c r="L26" s="76" t="str">
        <x:f>IF('05_Form_Qualite_Air'!$P26="Validé humainement",'05_Form_Qualite_Air'!L26,"")</x:f>
      </x:c>
      <x:c r="M26" s="76" t="str">
        <x:f>IF('05_Form_Qualite_Air'!$P26="Validé humainement",'05_Form_Qualite_Air'!M26,"")</x:f>
      </x:c>
      <x:c r="N26" s="76" t="str">
        <x:f>IF('05_Form_Qualite_Air'!$P26="Validé humainement",'05_Form_Qualite_Air'!N26,"")</x:f>
      </x:c>
      <x:c r="O26" s="76" t="str">
        <x:f>IF('05_Form_Qualite_Air'!$P26="Validé humainement",'05_Form_Qualite_Air'!O26,"")</x:f>
      </x:c>
      <x:c r="P26" s="76" t="str">
        <x:f>IF('05_Form_Qualite_Air'!$P26="Validé humainement",'05_Form_Qualite_Air'!P26,"")</x:f>
      </x:c>
      <x:c r="Q26" s="78" t="str">
        <x:f>IF('05_Form_Qualite_Air'!$P26="Validé humainement",'05_Form_Qualite_Air'!Q26,"")</x:f>
      </x:c>
      <x:c r="R26" s="76" t="str">
        <x:f>IF('05_Form_Qualite_Air'!$P26="Validé humainement",'05_Form_Qualite_Air'!R26,"")</x:f>
      </x:c>
      <x:c r="S26" s="76" t="str">
        <x:f>IF('05_Form_Qualite_Air'!$P26="Validé humainement",'05_Form_Qualite_Air'!S26,"")</x:f>
      </x:c>
      <x:c r="T26" s="76" t="str">
        <x:f>IF('05_Form_Qualite_Air'!$P26="Validé humainement",'05_Form_Qualite_Air'!T26,"")</x:f>
      </x:c>
    </x:row>
    <x:row r="27">
      <x:c r="A27" s="76" t="str">
        <x:f>IF('05_Form_Qualite_Air'!$P27="Validé humainement",'05_Form_Qualite_Air'!A27,"")</x:f>
      </x:c>
      <x:c r="B27" s="76" t="str">
        <x:f>IF('05_Form_Qualite_Air'!$P27="Validé humainement",'05_Form_Qualite_Air'!B27,"")</x:f>
      </x:c>
      <x:c r="C27" s="76" t="str">
        <x:f>IF('05_Form_Qualite_Air'!$P27="Validé humainement",'05_Form_Qualite_Air'!C27,"")</x:f>
      </x:c>
      <x:c r="D27" s="76" t="str">
        <x:f>IF('05_Form_Qualite_Air'!$P27="Validé humainement",'05_Form_Qualite_Air'!D27,"")</x:f>
      </x:c>
      <x:c r="E27" s="80" t="str">
        <x:f>IF('05_Form_Qualite_Air'!$P27="Validé humainement",'05_Form_Qualite_Air'!E27,"")</x:f>
      </x:c>
      <x:c r="F27" s="80" t="str">
        <x:f>IF('05_Form_Qualite_Air'!$P27="Validé humainement",'05_Form_Qualite_Air'!F27,"")</x:f>
      </x:c>
      <x:c r="G27" s="80" t="str">
        <x:f>IF('05_Form_Qualite_Air'!$P27="Validé humainement",'05_Form_Qualite_Air'!G27,"")</x:f>
      </x:c>
      <x:c r="H27" s="80" t="str">
        <x:f>IF('05_Form_Qualite_Air'!$P27="Validé humainement",'05_Form_Qualite_Air'!H27,"")</x:f>
      </x:c>
      <x:c r="I27" s="80" t="str">
        <x:f>IF('05_Form_Qualite_Air'!$P27="Validé humainement",'05_Form_Qualite_Air'!I27,"")</x:f>
      </x:c>
      <x:c r="J27" s="80" t="str">
        <x:f>IF('05_Form_Qualite_Air'!$P27="Validé humainement",'05_Form_Qualite_Air'!J27,"")</x:f>
      </x:c>
      <x:c r="K27" s="80" t="str">
        <x:f>IF('05_Form_Qualite_Air'!$P27="Validé humainement",'05_Form_Qualite_Air'!K27,"")</x:f>
      </x:c>
      <x:c r="L27" s="76" t="str">
        <x:f>IF('05_Form_Qualite_Air'!$P27="Validé humainement",'05_Form_Qualite_Air'!L27,"")</x:f>
      </x:c>
      <x:c r="M27" s="76" t="str">
        <x:f>IF('05_Form_Qualite_Air'!$P27="Validé humainement",'05_Form_Qualite_Air'!M27,"")</x:f>
      </x:c>
      <x:c r="N27" s="76" t="str">
        <x:f>IF('05_Form_Qualite_Air'!$P27="Validé humainement",'05_Form_Qualite_Air'!N27,"")</x:f>
      </x:c>
      <x:c r="O27" s="76" t="str">
        <x:f>IF('05_Form_Qualite_Air'!$P27="Validé humainement",'05_Form_Qualite_Air'!O27,"")</x:f>
      </x:c>
      <x:c r="P27" s="76" t="str">
        <x:f>IF('05_Form_Qualite_Air'!$P27="Validé humainement",'05_Form_Qualite_Air'!P27,"")</x:f>
      </x:c>
      <x:c r="Q27" s="78" t="str">
        <x:f>IF('05_Form_Qualite_Air'!$P27="Validé humainement",'05_Form_Qualite_Air'!Q27,"")</x:f>
      </x:c>
      <x:c r="R27" s="76" t="str">
        <x:f>IF('05_Form_Qualite_Air'!$P27="Validé humainement",'05_Form_Qualite_Air'!R27,"")</x:f>
      </x:c>
      <x:c r="S27" s="76" t="str">
        <x:f>IF('05_Form_Qualite_Air'!$P27="Validé humainement",'05_Form_Qualite_Air'!S27,"")</x:f>
      </x:c>
      <x:c r="T27" s="76" t="str">
        <x:f>IF('05_Form_Qualite_Air'!$P27="Validé humainement",'05_Form_Qualite_Air'!T27,"")</x:f>
      </x:c>
    </x:row>
    <x:row r="28">
      <x:c r="A28" s="76" t="str">
        <x:f>IF('05_Form_Qualite_Air'!$P28="Validé humainement",'05_Form_Qualite_Air'!A28,"")</x:f>
      </x:c>
      <x:c r="B28" s="76" t="str">
        <x:f>IF('05_Form_Qualite_Air'!$P28="Validé humainement",'05_Form_Qualite_Air'!B28,"")</x:f>
      </x:c>
      <x:c r="C28" s="76" t="str">
        <x:f>IF('05_Form_Qualite_Air'!$P28="Validé humainement",'05_Form_Qualite_Air'!C28,"")</x:f>
      </x:c>
      <x:c r="D28" s="76" t="str">
        <x:f>IF('05_Form_Qualite_Air'!$P28="Validé humainement",'05_Form_Qualite_Air'!D28,"")</x:f>
      </x:c>
      <x:c r="E28" s="80" t="str">
        <x:f>IF('05_Form_Qualite_Air'!$P28="Validé humainement",'05_Form_Qualite_Air'!E28,"")</x:f>
      </x:c>
      <x:c r="F28" s="80" t="str">
        <x:f>IF('05_Form_Qualite_Air'!$P28="Validé humainement",'05_Form_Qualite_Air'!F28,"")</x:f>
      </x:c>
      <x:c r="G28" s="80" t="str">
        <x:f>IF('05_Form_Qualite_Air'!$P28="Validé humainement",'05_Form_Qualite_Air'!G28,"")</x:f>
      </x:c>
      <x:c r="H28" s="80" t="str">
        <x:f>IF('05_Form_Qualite_Air'!$P28="Validé humainement",'05_Form_Qualite_Air'!H28,"")</x:f>
      </x:c>
      <x:c r="I28" s="80" t="str">
        <x:f>IF('05_Form_Qualite_Air'!$P28="Validé humainement",'05_Form_Qualite_Air'!I28,"")</x:f>
      </x:c>
      <x:c r="J28" s="80" t="str">
        <x:f>IF('05_Form_Qualite_Air'!$P28="Validé humainement",'05_Form_Qualite_Air'!J28,"")</x:f>
      </x:c>
      <x:c r="K28" s="80" t="str">
        <x:f>IF('05_Form_Qualite_Air'!$P28="Validé humainement",'05_Form_Qualite_Air'!K28,"")</x:f>
      </x:c>
      <x:c r="L28" s="76" t="str">
        <x:f>IF('05_Form_Qualite_Air'!$P28="Validé humainement",'05_Form_Qualite_Air'!L28,"")</x:f>
      </x:c>
      <x:c r="M28" s="76" t="str">
        <x:f>IF('05_Form_Qualite_Air'!$P28="Validé humainement",'05_Form_Qualite_Air'!M28,"")</x:f>
      </x:c>
      <x:c r="N28" s="76" t="str">
        <x:f>IF('05_Form_Qualite_Air'!$P28="Validé humainement",'05_Form_Qualite_Air'!N28,"")</x:f>
      </x:c>
      <x:c r="O28" s="76" t="str">
        <x:f>IF('05_Form_Qualite_Air'!$P28="Validé humainement",'05_Form_Qualite_Air'!O28,"")</x:f>
      </x:c>
      <x:c r="P28" s="76" t="str">
        <x:f>IF('05_Form_Qualite_Air'!$P28="Validé humainement",'05_Form_Qualite_Air'!P28,"")</x:f>
      </x:c>
      <x:c r="Q28" s="78" t="str">
        <x:f>IF('05_Form_Qualite_Air'!$P28="Validé humainement",'05_Form_Qualite_Air'!Q28,"")</x:f>
      </x:c>
      <x:c r="R28" s="76" t="str">
        <x:f>IF('05_Form_Qualite_Air'!$P28="Validé humainement",'05_Form_Qualite_Air'!R28,"")</x:f>
      </x:c>
      <x:c r="S28" s="76" t="str">
        <x:f>IF('05_Form_Qualite_Air'!$P28="Validé humainement",'05_Form_Qualite_Air'!S28,"")</x:f>
      </x:c>
      <x:c r="T28" s="76" t="str">
        <x:f>IF('05_Form_Qualite_Air'!$P28="Validé humainement",'05_Form_Qualite_Air'!T28,"")</x:f>
      </x:c>
    </x:row>
    <x:row r="29">
      <x:c r="A29" s="76" t="str">
        <x:f>IF('05_Form_Qualite_Air'!$P29="Validé humainement",'05_Form_Qualite_Air'!A29,"")</x:f>
      </x:c>
      <x:c r="B29" s="76" t="str">
        <x:f>IF('05_Form_Qualite_Air'!$P29="Validé humainement",'05_Form_Qualite_Air'!B29,"")</x:f>
      </x:c>
      <x:c r="C29" s="76" t="str">
        <x:f>IF('05_Form_Qualite_Air'!$P29="Validé humainement",'05_Form_Qualite_Air'!C29,"")</x:f>
      </x:c>
      <x:c r="D29" s="76" t="str">
        <x:f>IF('05_Form_Qualite_Air'!$P29="Validé humainement",'05_Form_Qualite_Air'!D29,"")</x:f>
      </x:c>
      <x:c r="E29" s="80" t="str">
        <x:f>IF('05_Form_Qualite_Air'!$P29="Validé humainement",'05_Form_Qualite_Air'!E29,"")</x:f>
      </x:c>
      <x:c r="F29" s="80" t="str">
        <x:f>IF('05_Form_Qualite_Air'!$P29="Validé humainement",'05_Form_Qualite_Air'!F29,"")</x:f>
      </x:c>
      <x:c r="G29" s="80" t="str">
        <x:f>IF('05_Form_Qualite_Air'!$P29="Validé humainement",'05_Form_Qualite_Air'!G29,"")</x:f>
      </x:c>
      <x:c r="H29" s="80" t="str">
        <x:f>IF('05_Form_Qualite_Air'!$P29="Validé humainement",'05_Form_Qualite_Air'!H29,"")</x:f>
      </x:c>
      <x:c r="I29" s="80" t="str">
        <x:f>IF('05_Form_Qualite_Air'!$P29="Validé humainement",'05_Form_Qualite_Air'!I29,"")</x:f>
      </x:c>
      <x:c r="J29" s="80" t="str">
        <x:f>IF('05_Form_Qualite_Air'!$P29="Validé humainement",'05_Form_Qualite_Air'!J29,"")</x:f>
      </x:c>
      <x:c r="K29" s="80" t="str">
        <x:f>IF('05_Form_Qualite_Air'!$P29="Validé humainement",'05_Form_Qualite_Air'!K29,"")</x:f>
      </x:c>
      <x:c r="L29" s="76" t="str">
        <x:f>IF('05_Form_Qualite_Air'!$P29="Validé humainement",'05_Form_Qualite_Air'!L29,"")</x:f>
      </x:c>
      <x:c r="M29" s="76" t="str">
        <x:f>IF('05_Form_Qualite_Air'!$P29="Validé humainement",'05_Form_Qualite_Air'!M29,"")</x:f>
      </x:c>
      <x:c r="N29" s="76" t="str">
        <x:f>IF('05_Form_Qualite_Air'!$P29="Validé humainement",'05_Form_Qualite_Air'!N29,"")</x:f>
      </x:c>
      <x:c r="O29" s="76" t="str">
        <x:f>IF('05_Form_Qualite_Air'!$P29="Validé humainement",'05_Form_Qualite_Air'!O29,"")</x:f>
      </x:c>
      <x:c r="P29" s="76" t="str">
        <x:f>IF('05_Form_Qualite_Air'!$P29="Validé humainement",'05_Form_Qualite_Air'!P29,"")</x:f>
      </x:c>
      <x:c r="Q29" s="78" t="str">
        <x:f>IF('05_Form_Qualite_Air'!$P29="Validé humainement",'05_Form_Qualite_Air'!Q29,"")</x:f>
      </x:c>
      <x:c r="R29" s="76" t="str">
        <x:f>IF('05_Form_Qualite_Air'!$P29="Validé humainement",'05_Form_Qualite_Air'!R29,"")</x:f>
      </x:c>
      <x:c r="S29" s="76" t="str">
        <x:f>IF('05_Form_Qualite_Air'!$P29="Validé humainement",'05_Form_Qualite_Air'!S29,"")</x:f>
      </x:c>
      <x:c r="T29" s="76" t="str">
        <x:f>IF('05_Form_Qualite_Air'!$P29="Validé humainement",'05_Form_Qualite_Air'!T29,"")</x:f>
      </x:c>
    </x:row>
    <x:row r="30">
      <x:c r="A30" s="76" t="str">
        <x:f>IF('05_Form_Qualite_Air'!$P30="Validé humainement",'05_Form_Qualite_Air'!A30,"")</x:f>
      </x:c>
      <x:c r="B30" s="76" t="str">
        <x:f>IF('05_Form_Qualite_Air'!$P30="Validé humainement",'05_Form_Qualite_Air'!B30,"")</x:f>
      </x:c>
      <x:c r="C30" s="76" t="str">
        <x:f>IF('05_Form_Qualite_Air'!$P30="Validé humainement",'05_Form_Qualite_Air'!C30,"")</x:f>
      </x:c>
      <x:c r="D30" s="76" t="str">
        <x:f>IF('05_Form_Qualite_Air'!$P30="Validé humainement",'05_Form_Qualite_Air'!D30,"")</x:f>
      </x:c>
      <x:c r="E30" s="80" t="str">
        <x:f>IF('05_Form_Qualite_Air'!$P30="Validé humainement",'05_Form_Qualite_Air'!E30,"")</x:f>
      </x:c>
      <x:c r="F30" s="80" t="str">
        <x:f>IF('05_Form_Qualite_Air'!$P30="Validé humainement",'05_Form_Qualite_Air'!F30,"")</x:f>
      </x:c>
      <x:c r="G30" s="80" t="str">
        <x:f>IF('05_Form_Qualite_Air'!$P30="Validé humainement",'05_Form_Qualite_Air'!G30,"")</x:f>
      </x:c>
      <x:c r="H30" s="80" t="str">
        <x:f>IF('05_Form_Qualite_Air'!$P30="Validé humainement",'05_Form_Qualite_Air'!H30,"")</x:f>
      </x:c>
      <x:c r="I30" s="80" t="str">
        <x:f>IF('05_Form_Qualite_Air'!$P30="Validé humainement",'05_Form_Qualite_Air'!I30,"")</x:f>
      </x:c>
      <x:c r="J30" s="80" t="str">
        <x:f>IF('05_Form_Qualite_Air'!$P30="Validé humainement",'05_Form_Qualite_Air'!J30,"")</x:f>
      </x:c>
      <x:c r="K30" s="80" t="str">
        <x:f>IF('05_Form_Qualite_Air'!$P30="Validé humainement",'05_Form_Qualite_Air'!K30,"")</x:f>
      </x:c>
      <x:c r="L30" s="76" t="str">
        <x:f>IF('05_Form_Qualite_Air'!$P30="Validé humainement",'05_Form_Qualite_Air'!L30,"")</x:f>
      </x:c>
      <x:c r="M30" s="76" t="str">
        <x:f>IF('05_Form_Qualite_Air'!$P30="Validé humainement",'05_Form_Qualite_Air'!M30,"")</x:f>
      </x:c>
      <x:c r="N30" s="76" t="str">
        <x:f>IF('05_Form_Qualite_Air'!$P30="Validé humainement",'05_Form_Qualite_Air'!N30,"")</x:f>
      </x:c>
      <x:c r="O30" s="76" t="str">
        <x:f>IF('05_Form_Qualite_Air'!$P30="Validé humainement",'05_Form_Qualite_Air'!O30,"")</x:f>
      </x:c>
      <x:c r="P30" s="76" t="str">
        <x:f>IF('05_Form_Qualite_Air'!$P30="Validé humainement",'05_Form_Qualite_Air'!P30,"")</x:f>
      </x:c>
      <x:c r="Q30" s="78" t="str">
        <x:f>IF('05_Form_Qualite_Air'!$P30="Validé humainement",'05_Form_Qualite_Air'!Q30,"")</x:f>
      </x:c>
      <x:c r="R30" s="76" t="str">
        <x:f>IF('05_Form_Qualite_Air'!$P30="Validé humainement",'05_Form_Qualite_Air'!R30,"")</x:f>
      </x:c>
      <x:c r="S30" s="76" t="str">
        <x:f>IF('05_Form_Qualite_Air'!$P30="Validé humainement",'05_Form_Qualite_Air'!S30,"")</x:f>
      </x:c>
      <x:c r="T30" s="76" t="str">
        <x:f>IF('05_Form_Qualite_Air'!$P30="Validé humainement",'05_Form_Qualite_Air'!T30,"")</x:f>
      </x:c>
    </x:row>
    <x:row r="31">
      <x:c r="A31" s="76" t="str">
        <x:f>IF('05_Form_Qualite_Air'!$P31="Validé humainement",'05_Form_Qualite_Air'!A31,"")</x:f>
      </x:c>
      <x:c r="B31" s="76" t="str">
        <x:f>IF('05_Form_Qualite_Air'!$P31="Validé humainement",'05_Form_Qualite_Air'!B31,"")</x:f>
      </x:c>
      <x:c r="C31" s="76" t="str">
        <x:f>IF('05_Form_Qualite_Air'!$P31="Validé humainement",'05_Form_Qualite_Air'!C31,"")</x:f>
      </x:c>
      <x:c r="D31" s="76" t="str">
        <x:f>IF('05_Form_Qualite_Air'!$P31="Validé humainement",'05_Form_Qualite_Air'!D31,"")</x:f>
      </x:c>
      <x:c r="E31" s="80" t="str">
        <x:f>IF('05_Form_Qualite_Air'!$P31="Validé humainement",'05_Form_Qualite_Air'!E31,"")</x:f>
      </x:c>
      <x:c r="F31" s="80" t="str">
        <x:f>IF('05_Form_Qualite_Air'!$P31="Validé humainement",'05_Form_Qualite_Air'!F31,"")</x:f>
      </x:c>
      <x:c r="G31" s="80" t="str">
        <x:f>IF('05_Form_Qualite_Air'!$P31="Validé humainement",'05_Form_Qualite_Air'!G31,"")</x:f>
      </x:c>
      <x:c r="H31" s="80" t="str">
        <x:f>IF('05_Form_Qualite_Air'!$P31="Validé humainement",'05_Form_Qualite_Air'!H31,"")</x:f>
      </x:c>
      <x:c r="I31" s="80" t="str">
        <x:f>IF('05_Form_Qualite_Air'!$P31="Validé humainement",'05_Form_Qualite_Air'!I31,"")</x:f>
      </x:c>
      <x:c r="J31" s="80" t="str">
        <x:f>IF('05_Form_Qualite_Air'!$P31="Validé humainement",'05_Form_Qualite_Air'!J31,"")</x:f>
      </x:c>
      <x:c r="K31" s="80" t="str">
        <x:f>IF('05_Form_Qualite_Air'!$P31="Validé humainement",'05_Form_Qualite_Air'!K31,"")</x:f>
      </x:c>
      <x:c r="L31" s="76" t="str">
        <x:f>IF('05_Form_Qualite_Air'!$P31="Validé humainement",'05_Form_Qualite_Air'!L31,"")</x:f>
      </x:c>
      <x:c r="M31" s="76" t="str">
        <x:f>IF('05_Form_Qualite_Air'!$P31="Validé humainement",'05_Form_Qualite_Air'!M31,"")</x:f>
      </x:c>
      <x:c r="N31" s="76" t="str">
        <x:f>IF('05_Form_Qualite_Air'!$P31="Validé humainement",'05_Form_Qualite_Air'!N31,"")</x:f>
      </x:c>
      <x:c r="O31" s="76" t="str">
        <x:f>IF('05_Form_Qualite_Air'!$P31="Validé humainement",'05_Form_Qualite_Air'!O31,"")</x:f>
      </x:c>
      <x:c r="P31" s="76" t="str">
        <x:f>IF('05_Form_Qualite_Air'!$P31="Validé humainement",'05_Form_Qualite_Air'!P31,"")</x:f>
      </x:c>
      <x:c r="Q31" s="78" t="str">
        <x:f>IF('05_Form_Qualite_Air'!$P31="Validé humainement",'05_Form_Qualite_Air'!Q31,"")</x:f>
      </x:c>
      <x:c r="R31" s="76" t="str">
        <x:f>IF('05_Form_Qualite_Air'!$P31="Validé humainement",'05_Form_Qualite_Air'!R31,"")</x:f>
      </x:c>
      <x:c r="S31" s="76" t="str">
        <x:f>IF('05_Form_Qualite_Air'!$P31="Validé humainement",'05_Form_Qualite_Air'!S31,"")</x:f>
      </x:c>
      <x:c r="T31" s="76" t="str">
        <x:f>IF('05_Form_Qualite_Air'!$P31="Validé humainement",'05_Form_Qualite_Air'!T31,"")</x:f>
      </x:c>
    </x:row>
    <x:row r="32">
      <x:c r="A32" s="76" t="str">
        <x:f>IF('05_Form_Qualite_Air'!$P32="Validé humainement",'05_Form_Qualite_Air'!A32,"")</x:f>
      </x:c>
      <x:c r="B32" s="76" t="str">
        <x:f>IF('05_Form_Qualite_Air'!$P32="Validé humainement",'05_Form_Qualite_Air'!B32,"")</x:f>
      </x:c>
      <x:c r="C32" s="76" t="str">
        <x:f>IF('05_Form_Qualite_Air'!$P32="Validé humainement",'05_Form_Qualite_Air'!C32,"")</x:f>
      </x:c>
      <x:c r="D32" s="76" t="str">
        <x:f>IF('05_Form_Qualite_Air'!$P32="Validé humainement",'05_Form_Qualite_Air'!D32,"")</x:f>
      </x:c>
      <x:c r="E32" s="80" t="str">
        <x:f>IF('05_Form_Qualite_Air'!$P32="Validé humainement",'05_Form_Qualite_Air'!E32,"")</x:f>
      </x:c>
      <x:c r="F32" s="80" t="str">
        <x:f>IF('05_Form_Qualite_Air'!$P32="Validé humainement",'05_Form_Qualite_Air'!F32,"")</x:f>
      </x:c>
      <x:c r="G32" s="80" t="str">
        <x:f>IF('05_Form_Qualite_Air'!$P32="Validé humainement",'05_Form_Qualite_Air'!G32,"")</x:f>
      </x:c>
      <x:c r="H32" s="80" t="str">
        <x:f>IF('05_Form_Qualite_Air'!$P32="Validé humainement",'05_Form_Qualite_Air'!H32,"")</x:f>
      </x:c>
      <x:c r="I32" s="80" t="str">
        <x:f>IF('05_Form_Qualite_Air'!$P32="Validé humainement",'05_Form_Qualite_Air'!I32,"")</x:f>
      </x:c>
      <x:c r="J32" s="80" t="str">
        <x:f>IF('05_Form_Qualite_Air'!$P32="Validé humainement",'05_Form_Qualite_Air'!J32,"")</x:f>
      </x:c>
      <x:c r="K32" s="80" t="str">
        <x:f>IF('05_Form_Qualite_Air'!$P32="Validé humainement",'05_Form_Qualite_Air'!K32,"")</x:f>
      </x:c>
      <x:c r="L32" s="76" t="str">
        <x:f>IF('05_Form_Qualite_Air'!$P32="Validé humainement",'05_Form_Qualite_Air'!L32,"")</x:f>
      </x:c>
      <x:c r="M32" s="76" t="str">
        <x:f>IF('05_Form_Qualite_Air'!$P32="Validé humainement",'05_Form_Qualite_Air'!M32,"")</x:f>
      </x:c>
      <x:c r="N32" s="76" t="str">
        <x:f>IF('05_Form_Qualite_Air'!$P32="Validé humainement",'05_Form_Qualite_Air'!N32,"")</x:f>
      </x:c>
      <x:c r="O32" s="76" t="str">
        <x:f>IF('05_Form_Qualite_Air'!$P32="Validé humainement",'05_Form_Qualite_Air'!O32,"")</x:f>
      </x:c>
      <x:c r="P32" s="76" t="str">
        <x:f>IF('05_Form_Qualite_Air'!$P32="Validé humainement",'05_Form_Qualite_Air'!P32,"")</x:f>
      </x:c>
      <x:c r="Q32" s="78" t="str">
        <x:f>IF('05_Form_Qualite_Air'!$P32="Validé humainement",'05_Form_Qualite_Air'!Q32,"")</x:f>
      </x:c>
      <x:c r="R32" s="76" t="str">
        <x:f>IF('05_Form_Qualite_Air'!$P32="Validé humainement",'05_Form_Qualite_Air'!R32,"")</x:f>
      </x:c>
      <x:c r="S32" s="76" t="str">
        <x:f>IF('05_Form_Qualite_Air'!$P32="Validé humainement",'05_Form_Qualite_Air'!S32,"")</x:f>
      </x:c>
      <x:c r="T32" s="76" t="str">
        <x:f>IF('05_Form_Qualite_Air'!$P32="Validé humainement",'05_Form_Qualite_Air'!T32,"")</x:f>
      </x:c>
    </x:row>
    <x:row r="33">
      <x:c r="A33" s="76" t="str">
        <x:f>IF('05_Form_Qualite_Air'!$P33="Validé humainement",'05_Form_Qualite_Air'!A33,"")</x:f>
      </x:c>
      <x:c r="B33" s="76" t="str">
        <x:f>IF('05_Form_Qualite_Air'!$P33="Validé humainement",'05_Form_Qualite_Air'!B33,"")</x:f>
      </x:c>
      <x:c r="C33" s="76" t="str">
        <x:f>IF('05_Form_Qualite_Air'!$P33="Validé humainement",'05_Form_Qualite_Air'!C33,"")</x:f>
      </x:c>
      <x:c r="D33" s="76" t="str">
        <x:f>IF('05_Form_Qualite_Air'!$P33="Validé humainement",'05_Form_Qualite_Air'!D33,"")</x:f>
      </x:c>
      <x:c r="E33" s="80" t="str">
        <x:f>IF('05_Form_Qualite_Air'!$P33="Validé humainement",'05_Form_Qualite_Air'!E33,"")</x:f>
      </x:c>
      <x:c r="F33" s="80" t="str">
        <x:f>IF('05_Form_Qualite_Air'!$P33="Validé humainement",'05_Form_Qualite_Air'!F33,"")</x:f>
      </x:c>
      <x:c r="G33" s="80" t="str">
        <x:f>IF('05_Form_Qualite_Air'!$P33="Validé humainement",'05_Form_Qualite_Air'!G33,"")</x:f>
      </x:c>
      <x:c r="H33" s="80" t="str">
        <x:f>IF('05_Form_Qualite_Air'!$P33="Validé humainement",'05_Form_Qualite_Air'!H33,"")</x:f>
      </x:c>
      <x:c r="I33" s="80" t="str">
        <x:f>IF('05_Form_Qualite_Air'!$P33="Validé humainement",'05_Form_Qualite_Air'!I33,"")</x:f>
      </x:c>
      <x:c r="J33" s="80" t="str">
        <x:f>IF('05_Form_Qualite_Air'!$P33="Validé humainement",'05_Form_Qualite_Air'!J33,"")</x:f>
      </x:c>
      <x:c r="K33" s="80" t="str">
        <x:f>IF('05_Form_Qualite_Air'!$P33="Validé humainement",'05_Form_Qualite_Air'!K33,"")</x:f>
      </x:c>
      <x:c r="L33" s="76" t="str">
        <x:f>IF('05_Form_Qualite_Air'!$P33="Validé humainement",'05_Form_Qualite_Air'!L33,"")</x:f>
      </x:c>
      <x:c r="M33" s="76" t="str">
        <x:f>IF('05_Form_Qualite_Air'!$P33="Validé humainement",'05_Form_Qualite_Air'!M33,"")</x:f>
      </x:c>
      <x:c r="N33" s="76" t="str">
        <x:f>IF('05_Form_Qualite_Air'!$P33="Validé humainement",'05_Form_Qualite_Air'!N33,"")</x:f>
      </x:c>
      <x:c r="O33" s="76" t="str">
        <x:f>IF('05_Form_Qualite_Air'!$P33="Validé humainement",'05_Form_Qualite_Air'!O33,"")</x:f>
      </x:c>
      <x:c r="P33" s="76" t="str">
        <x:f>IF('05_Form_Qualite_Air'!$P33="Validé humainement",'05_Form_Qualite_Air'!P33,"")</x:f>
      </x:c>
      <x:c r="Q33" s="78" t="str">
        <x:f>IF('05_Form_Qualite_Air'!$P33="Validé humainement",'05_Form_Qualite_Air'!Q33,"")</x:f>
      </x:c>
      <x:c r="R33" s="76" t="str">
        <x:f>IF('05_Form_Qualite_Air'!$P33="Validé humainement",'05_Form_Qualite_Air'!R33,"")</x:f>
      </x:c>
      <x:c r="S33" s="76" t="str">
        <x:f>IF('05_Form_Qualite_Air'!$P33="Validé humainement",'05_Form_Qualite_Air'!S33,"")</x:f>
      </x:c>
      <x:c r="T33" s="76" t="str">
        <x:f>IF('05_Form_Qualite_Air'!$P33="Validé humainement",'05_Form_Qualite_Air'!T33,"")</x:f>
      </x:c>
    </x:row>
    <x:row r="34">
      <x:c r="A34" s="76" t="str">
        <x:f>IF('05_Form_Qualite_Air'!$P34="Validé humainement",'05_Form_Qualite_Air'!A34,"")</x:f>
      </x:c>
      <x:c r="B34" s="76" t="str">
        <x:f>IF('05_Form_Qualite_Air'!$P34="Validé humainement",'05_Form_Qualite_Air'!B34,"")</x:f>
      </x:c>
      <x:c r="C34" s="76" t="str">
        <x:f>IF('05_Form_Qualite_Air'!$P34="Validé humainement",'05_Form_Qualite_Air'!C34,"")</x:f>
      </x:c>
      <x:c r="D34" s="76" t="str">
        <x:f>IF('05_Form_Qualite_Air'!$P34="Validé humainement",'05_Form_Qualite_Air'!D34,"")</x:f>
      </x:c>
      <x:c r="E34" s="80" t="str">
        <x:f>IF('05_Form_Qualite_Air'!$P34="Validé humainement",'05_Form_Qualite_Air'!E34,"")</x:f>
      </x:c>
      <x:c r="F34" s="80" t="str">
        <x:f>IF('05_Form_Qualite_Air'!$P34="Validé humainement",'05_Form_Qualite_Air'!F34,"")</x:f>
      </x:c>
      <x:c r="G34" s="80" t="str">
        <x:f>IF('05_Form_Qualite_Air'!$P34="Validé humainement",'05_Form_Qualite_Air'!G34,"")</x:f>
      </x:c>
      <x:c r="H34" s="80" t="str">
        <x:f>IF('05_Form_Qualite_Air'!$P34="Validé humainement",'05_Form_Qualite_Air'!H34,"")</x:f>
      </x:c>
      <x:c r="I34" s="80" t="str">
        <x:f>IF('05_Form_Qualite_Air'!$P34="Validé humainement",'05_Form_Qualite_Air'!I34,"")</x:f>
      </x:c>
      <x:c r="J34" s="80" t="str">
        <x:f>IF('05_Form_Qualite_Air'!$P34="Validé humainement",'05_Form_Qualite_Air'!J34,"")</x:f>
      </x:c>
      <x:c r="K34" s="80" t="str">
        <x:f>IF('05_Form_Qualite_Air'!$P34="Validé humainement",'05_Form_Qualite_Air'!K34,"")</x:f>
      </x:c>
      <x:c r="L34" s="76" t="str">
        <x:f>IF('05_Form_Qualite_Air'!$P34="Validé humainement",'05_Form_Qualite_Air'!L34,"")</x:f>
      </x:c>
      <x:c r="M34" s="76" t="str">
        <x:f>IF('05_Form_Qualite_Air'!$P34="Validé humainement",'05_Form_Qualite_Air'!M34,"")</x:f>
      </x:c>
      <x:c r="N34" s="76" t="str">
        <x:f>IF('05_Form_Qualite_Air'!$P34="Validé humainement",'05_Form_Qualite_Air'!N34,"")</x:f>
      </x:c>
      <x:c r="O34" s="76" t="str">
        <x:f>IF('05_Form_Qualite_Air'!$P34="Validé humainement",'05_Form_Qualite_Air'!O34,"")</x:f>
      </x:c>
      <x:c r="P34" s="76" t="str">
        <x:f>IF('05_Form_Qualite_Air'!$P34="Validé humainement",'05_Form_Qualite_Air'!P34,"")</x:f>
      </x:c>
      <x:c r="Q34" s="78" t="str">
        <x:f>IF('05_Form_Qualite_Air'!$P34="Validé humainement",'05_Form_Qualite_Air'!Q34,"")</x:f>
      </x:c>
      <x:c r="R34" s="76" t="str">
        <x:f>IF('05_Form_Qualite_Air'!$P34="Validé humainement",'05_Form_Qualite_Air'!R34,"")</x:f>
      </x:c>
      <x:c r="S34" s="76" t="str">
        <x:f>IF('05_Form_Qualite_Air'!$P34="Validé humainement",'05_Form_Qualite_Air'!S34,"")</x:f>
      </x:c>
      <x:c r="T34" s="76" t="str">
        <x:f>IF('05_Form_Qualite_Air'!$P34="Validé humainement",'05_Form_Qualite_Air'!T34,"")</x:f>
      </x:c>
    </x:row>
    <x:row r="35">
      <x:c r="A35" s="76" t="str">
        <x:f>IF('05_Form_Qualite_Air'!$P35="Validé humainement",'05_Form_Qualite_Air'!A35,"")</x:f>
      </x:c>
      <x:c r="B35" s="76" t="str">
        <x:f>IF('05_Form_Qualite_Air'!$P35="Validé humainement",'05_Form_Qualite_Air'!B35,"")</x:f>
      </x:c>
      <x:c r="C35" s="76" t="str">
        <x:f>IF('05_Form_Qualite_Air'!$P35="Validé humainement",'05_Form_Qualite_Air'!C35,"")</x:f>
      </x:c>
      <x:c r="D35" s="76" t="str">
        <x:f>IF('05_Form_Qualite_Air'!$P35="Validé humainement",'05_Form_Qualite_Air'!D35,"")</x:f>
      </x:c>
      <x:c r="E35" s="80" t="str">
        <x:f>IF('05_Form_Qualite_Air'!$P35="Validé humainement",'05_Form_Qualite_Air'!E35,"")</x:f>
      </x:c>
      <x:c r="F35" s="80" t="str">
        <x:f>IF('05_Form_Qualite_Air'!$P35="Validé humainement",'05_Form_Qualite_Air'!F35,"")</x:f>
      </x:c>
      <x:c r="G35" s="80" t="str">
        <x:f>IF('05_Form_Qualite_Air'!$P35="Validé humainement",'05_Form_Qualite_Air'!G35,"")</x:f>
      </x:c>
      <x:c r="H35" s="80" t="str">
        <x:f>IF('05_Form_Qualite_Air'!$P35="Validé humainement",'05_Form_Qualite_Air'!H35,"")</x:f>
      </x:c>
      <x:c r="I35" s="80" t="str">
        <x:f>IF('05_Form_Qualite_Air'!$P35="Validé humainement",'05_Form_Qualite_Air'!I35,"")</x:f>
      </x:c>
      <x:c r="J35" s="80" t="str">
        <x:f>IF('05_Form_Qualite_Air'!$P35="Validé humainement",'05_Form_Qualite_Air'!J35,"")</x:f>
      </x:c>
      <x:c r="K35" s="80" t="str">
        <x:f>IF('05_Form_Qualite_Air'!$P35="Validé humainement",'05_Form_Qualite_Air'!K35,"")</x:f>
      </x:c>
      <x:c r="L35" s="76" t="str">
        <x:f>IF('05_Form_Qualite_Air'!$P35="Validé humainement",'05_Form_Qualite_Air'!L35,"")</x:f>
      </x:c>
      <x:c r="M35" s="76" t="str">
        <x:f>IF('05_Form_Qualite_Air'!$P35="Validé humainement",'05_Form_Qualite_Air'!M35,"")</x:f>
      </x:c>
      <x:c r="N35" s="76" t="str">
        <x:f>IF('05_Form_Qualite_Air'!$P35="Validé humainement",'05_Form_Qualite_Air'!N35,"")</x:f>
      </x:c>
      <x:c r="O35" s="76" t="str">
        <x:f>IF('05_Form_Qualite_Air'!$P35="Validé humainement",'05_Form_Qualite_Air'!O35,"")</x:f>
      </x:c>
      <x:c r="P35" s="76" t="str">
        <x:f>IF('05_Form_Qualite_Air'!$P35="Validé humainement",'05_Form_Qualite_Air'!P35,"")</x:f>
      </x:c>
      <x:c r="Q35" s="78" t="str">
        <x:f>IF('05_Form_Qualite_Air'!$P35="Validé humainement",'05_Form_Qualite_Air'!Q35,"")</x:f>
      </x:c>
      <x:c r="R35" s="76" t="str">
        <x:f>IF('05_Form_Qualite_Air'!$P35="Validé humainement",'05_Form_Qualite_Air'!R35,"")</x:f>
      </x:c>
      <x:c r="S35" s="76" t="str">
        <x:f>IF('05_Form_Qualite_Air'!$P35="Validé humainement",'05_Form_Qualite_Air'!S35,"")</x:f>
      </x:c>
      <x:c r="T35" s="76" t="str">
        <x:f>IF('05_Form_Qualite_Air'!$P35="Validé humainement",'05_Form_Qualite_Air'!T35,"")</x:f>
      </x:c>
    </x:row>
    <x:row r="36">
      <x:c r="A36" s="76" t="str">
        <x:f>IF('05_Form_Qualite_Air'!$P36="Validé humainement",'05_Form_Qualite_Air'!A36,"")</x:f>
      </x:c>
      <x:c r="B36" s="76" t="str">
        <x:f>IF('05_Form_Qualite_Air'!$P36="Validé humainement",'05_Form_Qualite_Air'!B36,"")</x:f>
      </x:c>
      <x:c r="C36" s="76" t="str">
        <x:f>IF('05_Form_Qualite_Air'!$P36="Validé humainement",'05_Form_Qualite_Air'!C36,"")</x:f>
      </x:c>
      <x:c r="D36" s="76" t="str">
        <x:f>IF('05_Form_Qualite_Air'!$P36="Validé humainement",'05_Form_Qualite_Air'!D36,"")</x:f>
      </x:c>
      <x:c r="E36" s="80" t="str">
        <x:f>IF('05_Form_Qualite_Air'!$P36="Validé humainement",'05_Form_Qualite_Air'!E36,"")</x:f>
      </x:c>
      <x:c r="F36" s="80" t="str">
        <x:f>IF('05_Form_Qualite_Air'!$P36="Validé humainement",'05_Form_Qualite_Air'!F36,"")</x:f>
      </x:c>
      <x:c r="G36" s="80" t="str">
        <x:f>IF('05_Form_Qualite_Air'!$P36="Validé humainement",'05_Form_Qualite_Air'!G36,"")</x:f>
      </x:c>
      <x:c r="H36" s="80" t="str">
        <x:f>IF('05_Form_Qualite_Air'!$P36="Validé humainement",'05_Form_Qualite_Air'!H36,"")</x:f>
      </x:c>
      <x:c r="I36" s="80" t="str">
        <x:f>IF('05_Form_Qualite_Air'!$P36="Validé humainement",'05_Form_Qualite_Air'!I36,"")</x:f>
      </x:c>
      <x:c r="J36" s="80" t="str">
        <x:f>IF('05_Form_Qualite_Air'!$P36="Validé humainement",'05_Form_Qualite_Air'!J36,"")</x:f>
      </x:c>
      <x:c r="K36" s="80" t="str">
        <x:f>IF('05_Form_Qualite_Air'!$P36="Validé humainement",'05_Form_Qualite_Air'!K36,"")</x:f>
      </x:c>
      <x:c r="L36" s="76" t="str">
        <x:f>IF('05_Form_Qualite_Air'!$P36="Validé humainement",'05_Form_Qualite_Air'!L36,"")</x:f>
      </x:c>
      <x:c r="M36" s="76" t="str">
        <x:f>IF('05_Form_Qualite_Air'!$P36="Validé humainement",'05_Form_Qualite_Air'!M36,"")</x:f>
      </x:c>
      <x:c r="N36" s="76" t="str">
        <x:f>IF('05_Form_Qualite_Air'!$P36="Validé humainement",'05_Form_Qualite_Air'!N36,"")</x:f>
      </x:c>
      <x:c r="O36" s="76" t="str">
        <x:f>IF('05_Form_Qualite_Air'!$P36="Validé humainement",'05_Form_Qualite_Air'!O36,"")</x:f>
      </x:c>
      <x:c r="P36" s="76" t="str">
        <x:f>IF('05_Form_Qualite_Air'!$P36="Validé humainement",'05_Form_Qualite_Air'!P36,"")</x:f>
      </x:c>
      <x:c r="Q36" s="78" t="str">
        <x:f>IF('05_Form_Qualite_Air'!$P36="Validé humainement",'05_Form_Qualite_Air'!Q36,"")</x:f>
      </x:c>
      <x:c r="R36" s="76" t="str">
        <x:f>IF('05_Form_Qualite_Air'!$P36="Validé humainement",'05_Form_Qualite_Air'!R36,"")</x:f>
      </x:c>
      <x:c r="S36" s="76" t="str">
        <x:f>IF('05_Form_Qualite_Air'!$P36="Validé humainement",'05_Form_Qualite_Air'!S36,"")</x:f>
      </x:c>
      <x:c r="T36" s="76" t="str">
        <x:f>IF('05_Form_Qualite_Air'!$P36="Validé humainement",'05_Form_Qualite_Air'!T36,"")</x:f>
      </x:c>
    </x:row>
    <x:row r="37">
      <x:c r="A37" s="76" t="str">
        <x:f>IF('05_Form_Qualite_Air'!$P37="Validé humainement",'05_Form_Qualite_Air'!A37,"")</x:f>
      </x:c>
      <x:c r="B37" s="76" t="str">
        <x:f>IF('05_Form_Qualite_Air'!$P37="Validé humainement",'05_Form_Qualite_Air'!B37,"")</x:f>
      </x:c>
      <x:c r="C37" s="76" t="str">
        <x:f>IF('05_Form_Qualite_Air'!$P37="Validé humainement",'05_Form_Qualite_Air'!C37,"")</x:f>
      </x:c>
      <x:c r="D37" s="76" t="str">
        <x:f>IF('05_Form_Qualite_Air'!$P37="Validé humainement",'05_Form_Qualite_Air'!D37,"")</x:f>
      </x:c>
      <x:c r="E37" s="80" t="str">
        <x:f>IF('05_Form_Qualite_Air'!$P37="Validé humainement",'05_Form_Qualite_Air'!E37,"")</x:f>
      </x:c>
      <x:c r="F37" s="80" t="str">
        <x:f>IF('05_Form_Qualite_Air'!$P37="Validé humainement",'05_Form_Qualite_Air'!F37,"")</x:f>
      </x:c>
      <x:c r="G37" s="80" t="str">
        <x:f>IF('05_Form_Qualite_Air'!$P37="Validé humainement",'05_Form_Qualite_Air'!G37,"")</x:f>
      </x:c>
      <x:c r="H37" s="80" t="str">
        <x:f>IF('05_Form_Qualite_Air'!$P37="Validé humainement",'05_Form_Qualite_Air'!H37,"")</x:f>
      </x:c>
      <x:c r="I37" s="80" t="str">
        <x:f>IF('05_Form_Qualite_Air'!$P37="Validé humainement",'05_Form_Qualite_Air'!I37,"")</x:f>
      </x:c>
      <x:c r="J37" s="80" t="str">
        <x:f>IF('05_Form_Qualite_Air'!$P37="Validé humainement",'05_Form_Qualite_Air'!J37,"")</x:f>
      </x:c>
      <x:c r="K37" s="80" t="str">
        <x:f>IF('05_Form_Qualite_Air'!$P37="Validé humainement",'05_Form_Qualite_Air'!K37,"")</x:f>
      </x:c>
      <x:c r="L37" s="76" t="str">
        <x:f>IF('05_Form_Qualite_Air'!$P37="Validé humainement",'05_Form_Qualite_Air'!L37,"")</x:f>
      </x:c>
      <x:c r="M37" s="76" t="str">
        <x:f>IF('05_Form_Qualite_Air'!$P37="Validé humainement",'05_Form_Qualite_Air'!M37,"")</x:f>
      </x:c>
      <x:c r="N37" s="76" t="str">
        <x:f>IF('05_Form_Qualite_Air'!$P37="Validé humainement",'05_Form_Qualite_Air'!N37,"")</x:f>
      </x:c>
      <x:c r="O37" s="76" t="str">
        <x:f>IF('05_Form_Qualite_Air'!$P37="Validé humainement",'05_Form_Qualite_Air'!O37,"")</x:f>
      </x:c>
      <x:c r="P37" s="76" t="str">
        <x:f>IF('05_Form_Qualite_Air'!$P37="Validé humainement",'05_Form_Qualite_Air'!P37,"")</x:f>
      </x:c>
      <x:c r="Q37" s="78" t="str">
        <x:f>IF('05_Form_Qualite_Air'!$P37="Validé humainement",'05_Form_Qualite_Air'!Q37,"")</x:f>
      </x:c>
      <x:c r="R37" s="76" t="str">
        <x:f>IF('05_Form_Qualite_Air'!$P37="Validé humainement",'05_Form_Qualite_Air'!R37,"")</x:f>
      </x:c>
      <x:c r="S37" s="76" t="str">
        <x:f>IF('05_Form_Qualite_Air'!$P37="Validé humainement",'05_Form_Qualite_Air'!S37,"")</x:f>
      </x:c>
      <x:c r="T37" s="76" t="str">
        <x:f>IF('05_Form_Qualite_Air'!$P37="Validé humainement",'05_Form_Qualite_Air'!T37,"")</x:f>
      </x:c>
    </x:row>
    <x:row r="38">
      <x:c r="A38" s="76" t="str">
        <x:f>IF('05_Form_Qualite_Air'!$P38="Validé humainement",'05_Form_Qualite_Air'!A38,"")</x:f>
      </x:c>
      <x:c r="B38" s="76" t="str">
        <x:f>IF('05_Form_Qualite_Air'!$P38="Validé humainement",'05_Form_Qualite_Air'!B38,"")</x:f>
      </x:c>
      <x:c r="C38" s="76" t="str">
        <x:f>IF('05_Form_Qualite_Air'!$P38="Validé humainement",'05_Form_Qualite_Air'!C38,"")</x:f>
      </x:c>
      <x:c r="D38" s="76" t="str">
        <x:f>IF('05_Form_Qualite_Air'!$P38="Validé humainement",'05_Form_Qualite_Air'!D38,"")</x:f>
      </x:c>
      <x:c r="E38" s="80" t="str">
        <x:f>IF('05_Form_Qualite_Air'!$P38="Validé humainement",'05_Form_Qualite_Air'!E38,"")</x:f>
      </x:c>
      <x:c r="F38" s="80" t="str">
        <x:f>IF('05_Form_Qualite_Air'!$P38="Validé humainement",'05_Form_Qualite_Air'!F38,"")</x:f>
      </x:c>
      <x:c r="G38" s="80" t="str">
        <x:f>IF('05_Form_Qualite_Air'!$P38="Validé humainement",'05_Form_Qualite_Air'!G38,"")</x:f>
      </x:c>
      <x:c r="H38" s="80" t="str">
        <x:f>IF('05_Form_Qualite_Air'!$P38="Validé humainement",'05_Form_Qualite_Air'!H38,"")</x:f>
      </x:c>
      <x:c r="I38" s="80" t="str">
        <x:f>IF('05_Form_Qualite_Air'!$P38="Validé humainement",'05_Form_Qualite_Air'!I38,"")</x:f>
      </x:c>
      <x:c r="J38" s="80" t="str">
        <x:f>IF('05_Form_Qualite_Air'!$P38="Validé humainement",'05_Form_Qualite_Air'!J38,"")</x:f>
      </x:c>
      <x:c r="K38" s="80" t="str">
        <x:f>IF('05_Form_Qualite_Air'!$P38="Validé humainement",'05_Form_Qualite_Air'!K38,"")</x:f>
      </x:c>
      <x:c r="L38" s="76" t="str">
        <x:f>IF('05_Form_Qualite_Air'!$P38="Validé humainement",'05_Form_Qualite_Air'!L38,"")</x:f>
      </x:c>
      <x:c r="M38" s="76" t="str">
        <x:f>IF('05_Form_Qualite_Air'!$P38="Validé humainement",'05_Form_Qualite_Air'!M38,"")</x:f>
      </x:c>
      <x:c r="N38" s="76" t="str">
        <x:f>IF('05_Form_Qualite_Air'!$P38="Validé humainement",'05_Form_Qualite_Air'!N38,"")</x:f>
      </x:c>
      <x:c r="O38" s="76" t="str">
        <x:f>IF('05_Form_Qualite_Air'!$P38="Validé humainement",'05_Form_Qualite_Air'!O38,"")</x:f>
      </x:c>
      <x:c r="P38" s="76" t="str">
        <x:f>IF('05_Form_Qualite_Air'!$P38="Validé humainement",'05_Form_Qualite_Air'!P38,"")</x:f>
      </x:c>
      <x:c r="Q38" s="78" t="str">
        <x:f>IF('05_Form_Qualite_Air'!$P38="Validé humainement",'05_Form_Qualite_Air'!Q38,"")</x:f>
      </x:c>
      <x:c r="R38" s="76" t="str">
        <x:f>IF('05_Form_Qualite_Air'!$P38="Validé humainement",'05_Form_Qualite_Air'!R38,"")</x:f>
      </x:c>
      <x:c r="S38" s="76" t="str">
        <x:f>IF('05_Form_Qualite_Air'!$P38="Validé humainement",'05_Form_Qualite_Air'!S38,"")</x:f>
      </x:c>
      <x:c r="T38" s="76" t="str">
        <x:f>IF('05_Form_Qualite_Air'!$P38="Validé humainement",'05_Form_Qualite_Air'!T38,"")</x:f>
      </x:c>
    </x:row>
    <x:row r="39">
      <x:c r="A39" s="76" t="str">
        <x:f>IF('05_Form_Qualite_Air'!$P39="Validé humainement",'05_Form_Qualite_Air'!A39,"")</x:f>
      </x:c>
      <x:c r="B39" s="76" t="str">
        <x:f>IF('05_Form_Qualite_Air'!$P39="Validé humainement",'05_Form_Qualite_Air'!B39,"")</x:f>
      </x:c>
      <x:c r="C39" s="76" t="str">
        <x:f>IF('05_Form_Qualite_Air'!$P39="Validé humainement",'05_Form_Qualite_Air'!C39,"")</x:f>
      </x:c>
      <x:c r="D39" s="76" t="str">
        <x:f>IF('05_Form_Qualite_Air'!$P39="Validé humainement",'05_Form_Qualite_Air'!D39,"")</x:f>
      </x:c>
      <x:c r="E39" s="80" t="str">
        <x:f>IF('05_Form_Qualite_Air'!$P39="Validé humainement",'05_Form_Qualite_Air'!E39,"")</x:f>
      </x:c>
      <x:c r="F39" s="80" t="str">
        <x:f>IF('05_Form_Qualite_Air'!$P39="Validé humainement",'05_Form_Qualite_Air'!F39,"")</x:f>
      </x:c>
      <x:c r="G39" s="80" t="str">
        <x:f>IF('05_Form_Qualite_Air'!$P39="Validé humainement",'05_Form_Qualite_Air'!G39,"")</x:f>
      </x:c>
      <x:c r="H39" s="80" t="str">
        <x:f>IF('05_Form_Qualite_Air'!$P39="Validé humainement",'05_Form_Qualite_Air'!H39,"")</x:f>
      </x:c>
      <x:c r="I39" s="80" t="str">
        <x:f>IF('05_Form_Qualite_Air'!$P39="Validé humainement",'05_Form_Qualite_Air'!I39,"")</x:f>
      </x:c>
      <x:c r="J39" s="80" t="str">
        <x:f>IF('05_Form_Qualite_Air'!$P39="Validé humainement",'05_Form_Qualite_Air'!J39,"")</x:f>
      </x:c>
      <x:c r="K39" s="80" t="str">
        <x:f>IF('05_Form_Qualite_Air'!$P39="Validé humainement",'05_Form_Qualite_Air'!K39,"")</x:f>
      </x:c>
      <x:c r="L39" s="76" t="str">
        <x:f>IF('05_Form_Qualite_Air'!$P39="Validé humainement",'05_Form_Qualite_Air'!L39,"")</x:f>
      </x:c>
      <x:c r="M39" s="76" t="str">
        <x:f>IF('05_Form_Qualite_Air'!$P39="Validé humainement",'05_Form_Qualite_Air'!M39,"")</x:f>
      </x:c>
      <x:c r="N39" s="76" t="str">
        <x:f>IF('05_Form_Qualite_Air'!$P39="Validé humainement",'05_Form_Qualite_Air'!N39,"")</x:f>
      </x:c>
      <x:c r="O39" s="76" t="str">
        <x:f>IF('05_Form_Qualite_Air'!$P39="Validé humainement",'05_Form_Qualite_Air'!O39,"")</x:f>
      </x:c>
      <x:c r="P39" s="76" t="str">
        <x:f>IF('05_Form_Qualite_Air'!$P39="Validé humainement",'05_Form_Qualite_Air'!P39,"")</x:f>
      </x:c>
      <x:c r="Q39" s="78" t="str">
        <x:f>IF('05_Form_Qualite_Air'!$P39="Validé humainement",'05_Form_Qualite_Air'!Q39,"")</x:f>
      </x:c>
      <x:c r="R39" s="76" t="str">
        <x:f>IF('05_Form_Qualite_Air'!$P39="Validé humainement",'05_Form_Qualite_Air'!R39,"")</x:f>
      </x:c>
      <x:c r="S39" s="76" t="str">
        <x:f>IF('05_Form_Qualite_Air'!$P39="Validé humainement",'05_Form_Qualite_Air'!S39,"")</x:f>
      </x:c>
      <x:c r="T39" s="76" t="str">
        <x:f>IF('05_Form_Qualite_Air'!$P39="Validé humainement",'05_Form_Qualite_Air'!T39,"")</x:f>
      </x:c>
    </x:row>
    <x:row r="40">
      <x:c r="A40" s="76" t="str">
        <x:f>IF('05_Form_Qualite_Air'!$P40="Validé humainement",'05_Form_Qualite_Air'!A40,"")</x:f>
      </x:c>
      <x:c r="B40" s="76" t="str">
        <x:f>IF('05_Form_Qualite_Air'!$P40="Validé humainement",'05_Form_Qualite_Air'!B40,"")</x:f>
      </x:c>
      <x:c r="C40" s="76" t="str">
        <x:f>IF('05_Form_Qualite_Air'!$P40="Validé humainement",'05_Form_Qualite_Air'!C40,"")</x:f>
      </x:c>
      <x:c r="D40" s="76" t="str">
        <x:f>IF('05_Form_Qualite_Air'!$P40="Validé humainement",'05_Form_Qualite_Air'!D40,"")</x:f>
      </x:c>
      <x:c r="E40" s="80" t="str">
        <x:f>IF('05_Form_Qualite_Air'!$P40="Validé humainement",'05_Form_Qualite_Air'!E40,"")</x:f>
      </x:c>
      <x:c r="F40" s="80" t="str">
        <x:f>IF('05_Form_Qualite_Air'!$P40="Validé humainement",'05_Form_Qualite_Air'!F40,"")</x:f>
      </x:c>
      <x:c r="G40" s="80" t="str">
        <x:f>IF('05_Form_Qualite_Air'!$P40="Validé humainement",'05_Form_Qualite_Air'!G40,"")</x:f>
      </x:c>
      <x:c r="H40" s="80" t="str">
        <x:f>IF('05_Form_Qualite_Air'!$P40="Validé humainement",'05_Form_Qualite_Air'!H40,"")</x:f>
      </x:c>
      <x:c r="I40" s="80" t="str">
        <x:f>IF('05_Form_Qualite_Air'!$P40="Validé humainement",'05_Form_Qualite_Air'!I40,"")</x:f>
      </x:c>
      <x:c r="J40" s="80" t="str">
        <x:f>IF('05_Form_Qualite_Air'!$P40="Validé humainement",'05_Form_Qualite_Air'!J40,"")</x:f>
      </x:c>
      <x:c r="K40" s="80" t="str">
        <x:f>IF('05_Form_Qualite_Air'!$P40="Validé humainement",'05_Form_Qualite_Air'!K40,"")</x:f>
      </x:c>
      <x:c r="L40" s="76" t="str">
        <x:f>IF('05_Form_Qualite_Air'!$P40="Validé humainement",'05_Form_Qualite_Air'!L40,"")</x:f>
      </x:c>
      <x:c r="M40" s="76" t="str">
        <x:f>IF('05_Form_Qualite_Air'!$P40="Validé humainement",'05_Form_Qualite_Air'!M40,"")</x:f>
      </x:c>
      <x:c r="N40" s="76" t="str">
        <x:f>IF('05_Form_Qualite_Air'!$P40="Validé humainement",'05_Form_Qualite_Air'!N40,"")</x:f>
      </x:c>
      <x:c r="O40" s="76" t="str">
        <x:f>IF('05_Form_Qualite_Air'!$P40="Validé humainement",'05_Form_Qualite_Air'!O40,"")</x:f>
      </x:c>
      <x:c r="P40" s="76" t="str">
        <x:f>IF('05_Form_Qualite_Air'!$P40="Validé humainement",'05_Form_Qualite_Air'!P40,"")</x:f>
      </x:c>
      <x:c r="Q40" s="78" t="str">
        <x:f>IF('05_Form_Qualite_Air'!$P40="Validé humainement",'05_Form_Qualite_Air'!Q40,"")</x:f>
      </x:c>
      <x:c r="R40" s="76" t="str">
        <x:f>IF('05_Form_Qualite_Air'!$P40="Validé humainement",'05_Form_Qualite_Air'!R40,"")</x:f>
      </x:c>
      <x:c r="S40" s="76" t="str">
        <x:f>IF('05_Form_Qualite_Air'!$P40="Validé humainement",'05_Form_Qualite_Air'!S40,"")</x:f>
      </x:c>
      <x:c r="T40" s="76" t="str">
        <x:f>IF('05_Form_Qualite_Air'!$P40="Validé humainement",'05_Form_Qualite_Air'!T40,"")</x:f>
      </x:c>
    </x:row>
    <x:row r="41">
      <x:c r="A41" s="76" t="str">
        <x:f>IF('05_Form_Qualite_Air'!$P41="Validé humainement",'05_Form_Qualite_Air'!A41,"")</x:f>
      </x:c>
      <x:c r="B41" s="76" t="str">
        <x:f>IF('05_Form_Qualite_Air'!$P41="Validé humainement",'05_Form_Qualite_Air'!B41,"")</x:f>
      </x:c>
      <x:c r="C41" s="76" t="str">
        <x:f>IF('05_Form_Qualite_Air'!$P41="Validé humainement",'05_Form_Qualite_Air'!C41,"")</x:f>
      </x:c>
      <x:c r="D41" s="76" t="str">
        <x:f>IF('05_Form_Qualite_Air'!$P41="Validé humainement",'05_Form_Qualite_Air'!D41,"")</x:f>
      </x:c>
      <x:c r="E41" s="80" t="str">
        <x:f>IF('05_Form_Qualite_Air'!$P41="Validé humainement",'05_Form_Qualite_Air'!E41,"")</x:f>
      </x:c>
      <x:c r="F41" s="80" t="str">
        <x:f>IF('05_Form_Qualite_Air'!$P41="Validé humainement",'05_Form_Qualite_Air'!F41,"")</x:f>
      </x:c>
      <x:c r="G41" s="80" t="str">
        <x:f>IF('05_Form_Qualite_Air'!$P41="Validé humainement",'05_Form_Qualite_Air'!G41,"")</x:f>
      </x:c>
      <x:c r="H41" s="80" t="str">
        <x:f>IF('05_Form_Qualite_Air'!$P41="Validé humainement",'05_Form_Qualite_Air'!H41,"")</x:f>
      </x:c>
      <x:c r="I41" s="80" t="str">
        <x:f>IF('05_Form_Qualite_Air'!$P41="Validé humainement",'05_Form_Qualite_Air'!I41,"")</x:f>
      </x:c>
      <x:c r="J41" s="80" t="str">
        <x:f>IF('05_Form_Qualite_Air'!$P41="Validé humainement",'05_Form_Qualite_Air'!J41,"")</x:f>
      </x:c>
      <x:c r="K41" s="80" t="str">
        <x:f>IF('05_Form_Qualite_Air'!$P41="Validé humainement",'05_Form_Qualite_Air'!K41,"")</x:f>
      </x:c>
      <x:c r="L41" s="76" t="str">
        <x:f>IF('05_Form_Qualite_Air'!$P41="Validé humainement",'05_Form_Qualite_Air'!L41,"")</x:f>
      </x:c>
      <x:c r="M41" s="76" t="str">
        <x:f>IF('05_Form_Qualite_Air'!$P41="Validé humainement",'05_Form_Qualite_Air'!M41,"")</x:f>
      </x:c>
      <x:c r="N41" s="76" t="str">
        <x:f>IF('05_Form_Qualite_Air'!$P41="Validé humainement",'05_Form_Qualite_Air'!N41,"")</x:f>
      </x:c>
      <x:c r="O41" s="76" t="str">
        <x:f>IF('05_Form_Qualite_Air'!$P41="Validé humainement",'05_Form_Qualite_Air'!O41,"")</x:f>
      </x:c>
      <x:c r="P41" s="76" t="str">
        <x:f>IF('05_Form_Qualite_Air'!$P41="Validé humainement",'05_Form_Qualite_Air'!P41,"")</x:f>
      </x:c>
      <x:c r="Q41" s="78" t="str">
        <x:f>IF('05_Form_Qualite_Air'!$P41="Validé humainement",'05_Form_Qualite_Air'!Q41,"")</x:f>
      </x:c>
      <x:c r="R41" s="76" t="str">
        <x:f>IF('05_Form_Qualite_Air'!$P41="Validé humainement",'05_Form_Qualite_Air'!R41,"")</x:f>
      </x:c>
      <x:c r="S41" s="76" t="str">
        <x:f>IF('05_Form_Qualite_Air'!$P41="Validé humainement",'05_Form_Qualite_Air'!S41,"")</x:f>
      </x:c>
      <x:c r="T41" s="76" t="str">
        <x:f>IF('05_Form_Qualite_Air'!$P41="Validé humainement",'05_Form_Qualite_Air'!T41,"")</x:f>
      </x:c>
    </x:row>
    <x:row r="42">
      <x:c r="A42" s="76" t="str">
        <x:f>IF('05_Form_Qualite_Air'!$P42="Validé humainement",'05_Form_Qualite_Air'!A42,"")</x:f>
      </x:c>
      <x:c r="B42" s="76" t="str">
        <x:f>IF('05_Form_Qualite_Air'!$P42="Validé humainement",'05_Form_Qualite_Air'!B42,"")</x:f>
      </x:c>
      <x:c r="C42" s="76" t="str">
        <x:f>IF('05_Form_Qualite_Air'!$P42="Validé humainement",'05_Form_Qualite_Air'!C42,"")</x:f>
      </x:c>
      <x:c r="D42" s="76" t="str">
        <x:f>IF('05_Form_Qualite_Air'!$P42="Validé humainement",'05_Form_Qualite_Air'!D42,"")</x:f>
      </x:c>
      <x:c r="E42" s="80" t="str">
        <x:f>IF('05_Form_Qualite_Air'!$P42="Validé humainement",'05_Form_Qualite_Air'!E42,"")</x:f>
      </x:c>
      <x:c r="F42" s="80" t="str">
        <x:f>IF('05_Form_Qualite_Air'!$P42="Validé humainement",'05_Form_Qualite_Air'!F42,"")</x:f>
      </x:c>
      <x:c r="G42" s="80" t="str">
        <x:f>IF('05_Form_Qualite_Air'!$P42="Validé humainement",'05_Form_Qualite_Air'!G42,"")</x:f>
      </x:c>
      <x:c r="H42" s="80" t="str">
        <x:f>IF('05_Form_Qualite_Air'!$P42="Validé humainement",'05_Form_Qualite_Air'!H42,"")</x:f>
      </x:c>
      <x:c r="I42" s="80" t="str">
        <x:f>IF('05_Form_Qualite_Air'!$P42="Validé humainement",'05_Form_Qualite_Air'!I42,"")</x:f>
      </x:c>
      <x:c r="J42" s="80" t="str">
        <x:f>IF('05_Form_Qualite_Air'!$P42="Validé humainement",'05_Form_Qualite_Air'!J42,"")</x:f>
      </x:c>
      <x:c r="K42" s="80" t="str">
        <x:f>IF('05_Form_Qualite_Air'!$P42="Validé humainement",'05_Form_Qualite_Air'!K42,"")</x:f>
      </x:c>
      <x:c r="L42" s="76" t="str">
        <x:f>IF('05_Form_Qualite_Air'!$P42="Validé humainement",'05_Form_Qualite_Air'!L42,"")</x:f>
      </x:c>
      <x:c r="M42" s="76" t="str">
        <x:f>IF('05_Form_Qualite_Air'!$P42="Validé humainement",'05_Form_Qualite_Air'!M42,"")</x:f>
      </x:c>
      <x:c r="N42" s="76" t="str">
        <x:f>IF('05_Form_Qualite_Air'!$P42="Validé humainement",'05_Form_Qualite_Air'!N42,"")</x:f>
      </x:c>
      <x:c r="O42" s="76" t="str">
        <x:f>IF('05_Form_Qualite_Air'!$P42="Validé humainement",'05_Form_Qualite_Air'!O42,"")</x:f>
      </x:c>
      <x:c r="P42" s="76" t="str">
        <x:f>IF('05_Form_Qualite_Air'!$P42="Validé humainement",'05_Form_Qualite_Air'!P42,"")</x:f>
      </x:c>
      <x:c r="Q42" s="78" t="str">
        <x:f>IF('05_Form_Qualite_Air'!$P42="Validé humainement",'05_Form_Qualite_Air'!Q42,"")</x:f>
      </x:c>
      <x:c r="R42" s="76" t="str">
        <x:f>IF('05_Form_Qualite_Air'!$P42="Validé humainement",'05_Form_Qualite_Air'!R42,"")</x:f>
      </x:c>
      <x:c r="S42" s="76" t="str">
        <x:f>IF('05_Form_Qualite_Air'!$P42="Validé humainement",'05_Form_Qualite_Air'!S42,"")</x:f>
      </x:c>
      <x:c r="T42" s="76" t="str">
        <x:f>IF('05_Form_Qualite_Air'!$P42="Validé humainement",'05_Form_Qualite_Air'!T42,"")</x:f>
      </x:c>
    </x:row>
    <x:row r="43">
      <x:c r="A43" s="76" t="str">
        <x:f>IF('05_Form_Qualite_Air'!$P43="Validé humainement",'05_Form_Qualite_Air'!A43,"")</x:f>
      </x:c>
      <x:c r="B43" s="76" t="str">
        <x:f>IF('05_Form_Qualite_Air'!$P43="Validé humainement",'05_Form_Qualite_Air'!B43,"")</x:f>
      </x:c>
      <x:c r="C43" s="76" t="str">
        <x:f>IF('05_Form_Qualite_Air'!$P43="Validé humainement",'05_Form_Qualite_Air'!C43,"")</x:f>
      </x:c>
      <x:c r="D43" s="76" t="str">
        <x:f>IF('05_Form_Qualite_Air'!$P43="Validé humainement",'05_Form_Qualite_Air'!D43,"")</x:f>
      </x:c>
      <x:c r="E43" s="80" t="str">
        <x:f>IF('05_Form_Qualite_Air'!$P43="Validé humainement",'05_Form_Qualite_Air'!E43,"")</x:f>
      </x:c>
      <x:c r="F43" s="80" t="str">
        <x:f>IF('05_Form_Qualite_Air'!$P43="Validé humainement",'05_Form_Qualite_Air'!F43,"")</x:f>
      </x:c>
      <x:c r="G43" s="80" t="str">
        <x:f>IF('05_Form_Qualite_Air'!$P43="Validé humainement",'05_Form_Qualite_Air'!G43,"")</x:f>
      </x:c>
      <x:c r="H43" s="80" t="str">
        <x:f>IF('05_Form_Qualite_Air'!$P43="Validé humainement",'05_Form_Qualite_Air'!H43,"")</x:f>
      </x:c>
      <x:c r="I43" s="80" t="str">
        <x:f>IF('05_Form_Qualite_Air'!$P43="Validé humainement",'05_Form_Qualite_Air'!I43,"")</x:f>
      </x:c>
      <x:c r="J43" s="80" t="str">
        <x:f>IF('05_Form_Qualite_Air'!$P43="Validé humainement",'05_Form_Qualite_Air'!J43,"")</x:f>
      </x:c>
      <x:c r="K43" s="80" t="str">
        <x:f>IF('05_Form_Qualite_Air'!$P43="Validé humainement",'05_Form_Qualite_Air'!K43,"")</x:f>
      </x:c>
      <x:c r="L43" s="76" t="str">
        <x:f>IF('05_Form_Qualite_Air'!$P43="Validé humainement",'05_Form_Qualite_Air'!L43,"")</x:f>
      </x:c>
      <x:c r="M43" s="76" t="str">
        <x:f>IF('05_Form_Qualite_Air'!$P43="Validé humainement",'05_Form_Qualite_Air'!M43,"")</x:f>
      </x:c>
      <x:c r="N43" s="76" t="str">
        <x:f>IF('05_Form_Qualite_Air'!$P43="Validé humainement",'05_Form_Qualite_Air'!N43,"")</x:f>
      </x:c>
      <x:c r="O43" s="76" t="str">
        <x:f>IF('05_Form_Qualite_Air'!$P43="Validé humainement",'05_Form_Qualite_Air'!O43,"")</x:f>
      </x:c>
      <x:c r="P43" s="76" t="str">
        <x:f>IF('05_Form_Qualite_Air'!$P43="Validé humainement",'05_Form_Qualite_Air'!P43,"")</x:f>
      </x:c>
      <x:c r="Q43" s="78" t="str">
        <x:f>IF('05_Form_Qualite_Air'!$P43="Validé humainement",'05_Form_Qualite_Air'!Q43,"")</x:f>
      </x:c>
      <x:c r="R43" s="76" t="str">
        <x:f>IF('05_Form_Qualite_Air'!$P43="Validé humainement",'05_Form_Qualite_Air'!R43,"")</x:f>
      </x:c>
      <x:c r="S43" s="76" t="str">
        <x:f>IF('05_Form_Qualite_Air'!$P43="Validé humainement",'05_Form_Qualite_Air'!S43,"")</x:f>
      </x:c>
      <x:c r="T43" s="76" t="str">
        <x:f>IF('05_Form_Qualite_Air'!$P43="Validé humainement",'05_Form_Qualite_Air'!T43,"")</x:f>
      </x:c>
    </x:row>
    <x:row r="44">
      <x:c r="A44" s="76" t="str">
        <x:f>IF('05_Form_Qualite_Air'!$P44="Validé humainement",'05_Form_Qualite_Air'!A44,"")</x:f>
      </x:c>
      <x:c r="B44" s="76" t="str">
        <x:f>IF('05_Form_Qualite_Air'!$P44="Validé humainement",'05_Form_Qualite_Air'!B44,"")</x:f>
      </x:c>
      <x:c r="C44" s="76" t="str">
        <x:f>IF('05_Form_Qualite_Air'!$P44="Validé humainement",'05_Form_Qualite_Air'!C44,"")</x:f>
      </x:c>
      <x:c r="D44" s="76" t="str">
        <x:f>IF('05_Form_Qualite_Air'!$P44="Validé humainement",'05_Form_Qualite_Air'!D44,"")</x:f>
      </x:c>
      <x:c r="E44" s="80" t="str">
        <x:f>IF('05_Form_Qualite_Air'!$P44="Validé humainement",'05_Form_Qualite_Air'!E44,"")</x:f>
      </x:c>
      <x:c r="F44" s="80" t="str">
        <x:f>IF('05_Form_Qualite_Air'!$P44="Validé humainement",'05_Form_Qualite_Air'!F44,"")</x:f>
      </x:c>
      <x:c r="G44" s="80" t="str">
        <x:f>IF('05_Form_Qualite_Air'!$P44="Validé humainement",'05_Form_Qualite_Air'!G44,"")</x:f>
      </x:c>
      <x:c r="H44" s="80" t="str">
        <x:f>IF('05_Form_Qualite_Air'!$P44="Validé humainement",'05_Form_Qualite_Air'!H44,"")</x:f>
      </x:c>
      <x:c r="I44" s="80" t="str">
        <x:f>IF('05_Form_Qualite_Air'!$P44="Validé humainement",'05_Form_Qualite_Air'!I44,"")</x:f>
      </x:c>
      <x:c r="J44" s="80" t="str">
        <x:f>IF('05_Form_Qualite_Air'!$P44="Validé humainement",'05_Form_Qualite_Air'!J44,"")</x:f>
      </x:c>
      <x:c r="K44" s="80" t="str">
        <x:f>IF('05_Form_Qualite_Air'!$P44="Validé humainement",'05_Form_Qualite_Air'!K44,"")</x:f>
      </x:c>
      <x:c r="L44" s="76" t="str">
        <x:f>IF('05_Form_Qualite_Air'!$P44="Validé humainement",'05_Form_Qualite_Air'!L44,"")</x:f>
      </x:c>
      <x:c r="M44" s="76" t="str">
        <x:f>IF('05_Form_Qualite_Air'!$P44="Validé humainement",'05_Form_Qualite_Air'!M44,"")</x:f>
      </x:c>
      <x:c r="N44" s="76" t="str">
        <x:f>IF('05_Form_Qualite_Air'!$P44="Validé humainement",'05_Form_Qualite_Air'!N44,"")</x:f>
      </x:c>
      <x:c r="O44" s="76" t="str">
        <x:f>IF('05_Form_Qualite_Air'!$P44="Validé humainement",'05_Form_Qualite_Air'!O44,"")</x:f>
      </x:c>
      <x:c r="P44" s="76" t="str">
        <x:f>IF('05_Form_Qualite_Air'!$P44="Validé humainement",'05_Form_Qualite_Air'!P44,"")</x:f>
      </x:c>
      <x:c r="Q44" s="78" t="str">
        <x:f>IF('05_Form_Qualite_Air'!$P44="Validé humainement",'05_Form_Qualite_Air'!Q44,"")</x:f>
      </x:c>
      <x:c r="R44" s="76" t="str">
        <x:f>IF('05_Form_Qualite_Air'!$P44="Validé humainement",'05_Form_Qualite_Air'!R44,"")</x:f>
      </x:c>
      <x:c r="S44" s="76" t="str">
        <x:f>IF('05_Form_Qualite_Air'!$P44="Validé humainement",'05_Form_Qualite_Air'!S44,"")</x:f>
      </x:c>
      <x:c r="T44" s="76" t="str">
        <x:f>IF('05_Form_Qualite_Air'!$P44="Validé humainement",'05_Form_Qualite_Air'!T44,"")</x:f>
      </x:c>
    </x:row>
    <x:row r="45">
      <x:c r="A45" s="76" t="str">
        <x:f>IF('05_Form_Qualite_Air'!$P45="Validé humainement",'05_Form_Qualite_Air'!A45,"")</x:f>
      </x:c>
      <x:c r="B45" s="76" t="str">
        <x:f>IF('05_Form_Qualite_Air'!$P45="Validé humainement",'05_Form_Qualite_Air'!B45,"")</x:f>
      </x:c>
      <x:c r="C45" s="76" t="str">
        <x:f>IF('05_Form_Qualite_Air'!$P45="Validé humainement",'05_Form_Qualite_Air'!C45,"")</x:f>
      </x:c>
      <x:c r="D45" s="76" t="str">
        <x:f>IF('05_Form_Qualite_Air'!$P45="Validé humainement",'05_Form_Qualite_Air'!D45,"")</x:f>
      </x:c>
      <x:c r="E45" s="80" t="str">
        <x:f>IF('05_Form_Qualite_Air'!$P45="Validé humainement",'05_Form_Qualite_Air'!E45,"")</x:f>
      </x:c>
      <x:c r="F45" s="80" t="str">
        <x:f>IF('05_Form_Qualite_Air'!$P45="Validé humainement",'05_Form_Qualite_Air'!F45,"")</x:f>
      </x:c>
      <x:c r="G45" s="80" t="str">
        <x:f>IF('05_Form_Qualite_Air'!$P45="Validé humainement",'05_Form_Qualite_Air'!G45,"")</x:f>
      </x:c>
      <x:c r="H45" s="80" t="str">
        <x:f>IF('05_Form_Qualite_Air'!$P45="Validé humainement",'05_Form_Qualite_Air'!H45,"")</x:f>
      </x:c>
      <x:c r="I45" s="80" t="str">
        <x:f>IF('05_Form_Qualite_Air'!$P45="Validé humainement",'05_Form_Qualite_Air'!I45,"")</x:f>
      </x:c>
      <x:c r="J45" s="80" t="str">
        <x:f>IF('05_Form_Qualite_Air'!$P45="Validé humainement",'05_Form_Qualite_Air'!J45,"")</x:f>
      </x:c>
      <x:c r="K45" s="80" t="str">
        <x:f>IF('05_Form_Qualite_Air'!$P45="Validé humainement",'05_Form_Qualite_Air'!K45,"")</x:f>
      </x:c>
      <x:c r="L45" s="76" t="str">
        <x:f>IF('05_Form_Qualite_Air'!$P45="Validé humainement",'05_Form_Qualite_Air'!L45,"")</x:f>
      </x:c>
      <x:c r="M45" s="76" t="str">
        <x:f>IF('05_Form_Qualite_Air'!$P45="Validé humainement",'05_Form_Qualite_Air'!M45,"")</x:f>
      </x:c>
      <x:c r="N45" s="76" t="str">
        <x:f>IF('05_Form_Qualite_Air'!$P45="Validé humainement",'05_Form_Qualite_Air'!N45,"")</x:f>
      </x:c>
      <x:c r="O45" s="76" t="str">
        <x:f>IF('05_Form_Qualite_Air'!$P45="Validé humainement",'05_Form_Qualite_Air'!O45,"")</x:f>
      </x:c>
      <x:c r="P45" s="76" t="str">
        <x:f>IF('05_Form_Qualite_Air'!$P45="Validé humainement",'05_Form_Qualite_Air'!P45,"")</x:f>
      </x:c>
      <x:c r="Q45" s="78" t="str">
        <x:f>IF('05_Form_Qualite_Air'!$P45="Validé humainement",'05_Form_Qualite_Air'!Q45,"")</x:f>
      </x:c>
      <x:c r="R45" s="76" t="str">
        <x:f>IF('05_Form_Qualite_Air'!$P45="Validé humainement",'05_Form_Qualite_Air'!R45,"")</x:f>
      </x:c>
      <x:c r="S45" s="76" t="str">
        <x:f>IF('05_Form_Qualite_Air'!$P45="Validé humainement",'05_Form_Qualite_Air'!S45,"")</x:f>
      </x:c>
      <x:c r="T45" s="76" t="str">
        <x:f>IF('05_Form_Qualite_Air'!$P45="Validé humainement",'05_Form_Qualite_Air'!T45,"")</x:f>
      </x:c>
    </x:row>
    <x:row r="46">
      <x:c r="A46" s="76" t="str">
        <x:f>IF('05_Form_Qualite_Air'!$P46="Validé humainement",'05_Form_Qualite_Air'!A46,"")</x:f>
      </x:c>
      <x:c r="B46" s="76" t="str">
        <x:f>IF('05_Form_Qualite_Air'!$P46="Validé humainement",'05_Form_Qualite_Air'!B46,"")</x:f>
      </x:c>
      <x:c r="C46" s="76" t="str">
        <x:f>IF('05_Form_Qualite_Air'!$P46="Validé humainement",'05_Form_Qualite_Air'!C46,"")</x:f>
      </x:c>
      <x:c r="D46" s="76" t="str">
        <x:f>IF('05_Form_Qualite_Air'!$P46="Validé humainement",'05_Form_Qualite_Air'!D46,"")</x:f>
      </x:c>
      <x:c r="E46" s="80" t="str">
        <x:f>IF('05_Form_Qualite_Air'!$P46="Validé humainement",'05_Form_Qualite_Air'!E46,"")</x:f>
      </x:c>
      <x:c r="F46" s="80" t="str">
        <x:f>IF('05_Form_Qualite_Air'!$P46="Validé humainement",'05_Form_Qualite_Air'!F46,"")</x:f>
      </x:c>
      <x:c r="G46" s="80" t="str">
        <x:f>IF('05_Form_Qualite_Air'!$P46="Validé humainement",'05_Form_Qualite_Air'!G46,"")</x:f>
      </x:c>
      <x:c r="H46" s="80" t="str">
        <x:f>IF('05_Form_Qualite_Air'!$P46="Validé humainement",'05_Form_Qualite_Air'!H46,"")</x:f>
      </x:c>
      <x:c r="I46" s="80" t="str">
        <x:f>IF('05_Form_Qualite_Air'!$P46="Validé humainement",'05_Form_Qualite_Air'!I46,"")</x:f>
      </x:c>
      <x:c r="J46" s="80" t="str">
        <x:f>IF('05_Form_Qualite_Air'!$P46="Validé humainement",'05_Form_Qualite_Air'!J46,"")</x:f>
      </x:c>
      <x:c r="K46" s="80" t="str">
        <x:f>IF('05_Form_Qualite_Air'!$P46="Validé humainement",'05_Form_Qualite_Air'!K46,"")</x:f>
      </x:c>
      <x:c r="L46" s="76" t="str">
        <x:f>IF('05_Form_Qualite_Air'!$P46="Validé humainement",'05_Form_Qualite_Air'!L46,"")</x:f>
      </x:c>
      <x:c r="M46" s="76" t="str">
        <x:f>IF('05_Form_Qualite_Air'!$P46="Validé humainement",'05_Form_Qualite_Air'!M46,"")</x:f>
      </x:c>
      <x:c r="N46" s="76" t="str">
        <x:f>IF('05_Form_Qualite_Air'!$P46="Validé humainement",'05_Form_Qualite_Air'!N46,"")</x:f>
      </x:c>
      <x:c r="O46" s="76" t="str">
        <x:f>IF('05_Form_Qualite_Air'!$P46="Validé humainement",'05_Form_Qualite_Air'!O46,"")</x:f>
      </x:c>
      <x:c r="P46" s="76" t="str">
        <x:f>IF('05_Form_Qualite_Air'!$P46="Validé humainement",'05_Form_Qualite_Air'!P46,"")</x:f>
      </x:c>
      <x:c r="Q46" s="78" t="str">
        <x:f>IF('05_Form_Qualite_Air'!$P46="Validé humainement",'05_Form_Qualite_Air'!Q46,"")</x:f>
      </x:c>
      <x:c r="R46" s="76" t="str">
        <x:f>IF('05_Form_Qualite_Air'!$P46="Validé humainement",'05_Form_Qualite_Air'!R46,"")</x:f>
      </x:c>
      <x:c r="S46" s="76" t="str">
        <x:f>IF('05_Form_Qualite_Air'!$P46="Validé humainement",'05_Form_Qualite_Air'!S46,"")</x:f>
      </x:c>
      <x:c r="T46" s="76" t="str">
        <x:f>IF('05_Form_Qualite_Air'!$P46="Validé humainement",'05_Form_Qualite_Air'!T46,"")</x:f>
      </x:c>
    </x:row>
    <x:row r="47">
      <x:c r="A47" s="76" t="str">
        <x:f>IF('05_Form_Qualite_Air'!$P47="Validé humainement",'05_Form_Qualite_Air'!A47,"")</x:f>
      </x:c>
      <x:c r="B47" s="76" t="str">
        <x:f>IF('05_Form_Qualite_Air'!$P47="Validé humainement",'05_Form_Qualite_Air'!B47,"")</x:f>
      </x:c>
      <x:c r="C47" s="76" t="str">
        <x:f>IF('05_Form_Qualite_Air'!$P47="Validé humainement",'05_Form_Qualite_Air'!C47,"")</x:f>
      </x:c>
      <x:c r="D47" s="76" t="str">
        <x:f>IF('05_Form_Qualite_Air'!$P47="Validé humainement",'05_Form_Qualite_Air'!D47,"")</x:f>
      </x:c>
      <x:c r="E47" s="80" t="str">
        <x:f>IF('05_Form_Qualite_Air'!$P47="Validé humainement",'05_Form_Qualite_Air'!E47,"")</x:f>
      </x:c>
      <x:c r="F47" s="80" t="str">
        <x:f>IF('05_Form_Qualite_Air'!$P47="Validé humainement",'05_Form_Qualite_Air'!F47,"")</x:f>
      </x:c>
      <x:c r="G47" s="80" t="str">
        <x:f>IF('05_Form_Qualite_Air'!$P47="Validé humainement",'05_Form_Qualite_Air'!G47,"")</x:f>
      </x:c>
      <x:c r="H47" s="80" t="str">
        <x:f>IF('05_Form_Qualite_Air'!$P47="Validé humainement",'05_Form_Qualite_Air'!H47,"")</x:f>
      </x:c>
      <x:c r="I47" s="80" t="str">
        <x:f>IF('05_Form_Qualite_Air'!$P47="Validé humainement",'05_Form_Qualite_Air'!I47,"")</x:f>
      </x:c>
      <x:c r="J47" s="80" t="str">
        <x:f>IF('05_Form_Qualite_Air'!$P47="Validé humainement",'05_Form_Qualite_Air'!J47,"")</x:f>
      </x:c>
      <x:c r="K47" s="80" t="str">
        <x:f>IF('05_Form_Qualite_Air'!$P47="Validé humainement",'05_Form_Qualite_Air'!K47,"")</x:f>
      </x:c>
      <x:c r="L47" s="76" t="str">
        <x:f>IF('05_Form_Qualite_Air'!$P47="Validé humainement",'05_Form_Qualite_Air'!L47,"")</x:f>
      </x:c>
      <x:c r="M47" s="76" t="str">
        <x:f>IF('05_Form_Qualite_Air'!$P47="Validé humainement",'05_Form_Qualite_Air'!M47,"")</x:f>
      </x:c>
      <x:c r="N47" s="76" t="str">
        <x:f>IF('05_Form_Qualite_Air'!$P47="Validé humainement",'05_Form_Qualite_Air'!N47,"")</x:f>
      </x:c>
      <x:c r="O47" s="76" t="str">
        <x:f>IF('05_Form_Qualite_Air'!$P47="Validé humainement",'05_Form_Qualite_Air'!O47,"")</x:f>
      </x:c>
      <x:c r="P47" s="76" t="str">
        <x:f>IF('05_Form_Qualite_Air'!$P47="Validé humainement",'05_Form_Qualite_Air'!P47,"")</x:f>
      </x:c>
      <x:c r="Q47" s="78" t="str">
        <x:f>IF('05_Form_Qualite_Air'!$P47="Validé humainement",'05_Form_Qualite_Air'!Q47,"")</x:f>
      </x:c>
      <x:c r="R47" s="76" t="str">
        <x:f>IF('05_Form_Qualite_Air'!$P47="Validé humainement",'05_Form_Qualite_Air'!R47,"")</x:f>
      </x:c>
      <x:c r="S47" s="76" t="str">
        <x:f>IF('05_Form_Qualite_Air'!$P47="Validé humainement",'05_Form_Qualite_Air'!S47,"")</x:f>
      </x:c>
      <x:c r="T47" s="76" t="str">
        <x:f>IF('05_Form_Qualite_Air'!$P47="Validé humainement",'05_Form_Qualite_Air'!T47,"")</x:f>
      </x:c>
    </x:row>
    <x:row r="48">
      <x:c r="A48" s="76" t="str">
        <x:f>IF('05_Form_Qualite_Air'!$P48="Validé humainement",'05_Form_Qualite_Air'!A48,"")</x:f>
      </x:c>
      <x:c r="B48" s="76" t="str">
        <x:f>IF('05_Form_Qualite_Air'!$P48="Validé humainement",'05_Form_Qualite_Air'!B48,"")</x:f>
      </x:c>
      <x:c r="C48" s="76" t="str">
        <x:f>IF('05_Form_Qualite_Air'!$P48="Validé humainement",'05_Form_Qualite_Air'!C48,"")</x:f>
      </x:c>
      <x:c r="D48" s="76" t="str">
        <x:f>IF('05_Form_Qualite_Air'!$P48="Validé humainement",'05_Form_Qualite_Air'!D48,"")</x:f>
      </x:c>
      <x:c r="E48" s="80" t="str">
        <x:f>IF('05_Form_Qualite_Air'!$P48="Validé humainement",'05_Form_Qualite_Air'!E48,"")</x:f>
      </x:c>
      <x:c r="F48" s="80" t="str">
        <x:f>IF('05_Form_Qualite_Air'!$P48="Validé humainement",'05_Form_Qualite_Air'!F48,"")</x:f>
      </x:c>
      <x:c r="G48" s="80" t="str">
        <x:f>IF('05_Form_Qualite_Air'!$P48="Validé humainement",'05_Form_Qualite_Air'!G48,"")</x:f>
      </x:c>
      <x:c r="H48" s="80" t="str">
        <x:f>IF('05_Form_Qualite_Air'!$P48="Validé humainement",'05_Form_Qualite_Air'!H48,"")</x:f>
      </x:c>
      <x:c r="I48" s="80" t="str">
        <x:f>IF('05_Form_Qualite_Air'!$P48="Validé humainement",'05_Form_Qualite_Air'!I48,"")</x:f>
      </x:c>
      <x:c r="J48" s="80" t="str">
        <x:f>IF('05_Form_Qualite_Air'!$P48="Validé humainement",'05_Form_Qualite_Air'!J48,"")</x:f>
      </x:c>
      <x:c r="K48" s="80" t="str">
        <x:f>IF('05_Form_Qualite_Air'!$P48="Validé humainement",'05_Form_Qualite_Air'!K48,"")</x:f>
      </x:c>
      <x:c r="L48" s="76" t="str">
        <x:f>IF('05_Form_Qualite_Air'!$P48="Validé humainement",'05_Form_Qualite_Air'!L48,"")</x:f>
      </x:c>
      <x:c r="M48" s="76" t="str">
        <x:f>IF('05_Form_Qualite_Air'!$P48="Validé humainement",'05_Form_Qualite_Air'!M48,"")</x:f>
      </x:c>
      <x:c r="N48" s="76" t="str">
        <x:f>IF('05_Form_Qualite_Air'!$P48="Validé humainement",'05_Form_Qualite_Air'!N48,"")</x:f>
      </x:c>
      <x:c r="O48" s="76" t="str">
        <x:f>IF('05_Form_Qualite_Air'!$P48="Validé humainement",'05_Form_Qualite_Air'!O48,"")</x:f>
      </x:c>
      <x:c r="P48" s="76" t="str">
        <x:f>IF('05_Form_Qualite_Air'!$P48="Validé humainement",'05_Form_Qualite_Air'!P48,"")</x:f>
      </x:c>
      <x:c r="Q48" s="78" t="str">
        <x:f>IF('05_Form_Qualite_Air'!$P48="Validé humainement",'05_Form_Qualite_Air'!Q48,"")</x:f>
      </x:c>
      <x:c r="R48" s="76" t="str">
        <x:f>IF('05_Form_Qualite_Air'!$P48="Validé humainement",'05_Form_Qualite_Air'!R48,"")</x:f>
      </x:c>
      <x:c r="S48" s="76" t="str">
        <x:f>IF('05_Form_Qualite_Air'!$P48="Validé humainement",'05_Form_Qualite_Air'!S48,"")</x:f>
      </x:c>
      <x:c r="T48" s="76" t="str">
        <x:f>IF('05_Form_Qualite_Air'!$P48="Validé humainement",'05_Form_Qualite_Air'!T48,"")</x:f>
      </x:c>
    </x:row>
    <x:row r="49">
      <x:c r="A49" s="76" t="str">
        <x:f>IF('05_Form_Qualite_Air'!$P49="Validé humainement",'05_Form_Qualite_Air'!A49,"")</x:f>
      </x:c>
      <x:c r="B49" s="76" t="str">
        <x:f>IF('05_Form_Qualite_Air'!$P49="Validé humainement",'05_Form_Qualite_Air'!B49,"")</x:f>
      </x:c>
      <x:c r="C49" s="76" t="str">
        <x:f>IF('05_Form_Qualite_Air'!$P49="Validé humainement",'05_Form_Qualite_Air'!C49,"")</x:f>
      </x:c>
      <x:c r="D49" s="76" t="str">
        <x:f>IF('05_Form_Qualite_Air'!$P49="Validé humainement",'05_Form_Qualite_Air'!D49,"")</x:f>
      </x:c>
      <x:c r="E49" s="80" t="str">
        <x:f>IF('05_Form_Qualite_Air'!$P49="Validé humainement",'05_Form_Qualite_Air'!E49,"")</x:f>
      </x:c>
      <x:c r="F49" s="80" t="str">
        <x:f>IF('05_Form_Qualite_Air'!$P49="Validé humainement",'05_Form_Qualite_Air'!F49,"")</x:f>
      </x:c>
      <x:c r="G49" s="80" t="str">
        <x:f>IF('05_Form_Qualite_Air'!$P49="Validé humainement",'05_Form_Qualite_Air'!G49,"")</x:f>
      </x:c>
      <x:c r="H49" s="80" t="str">
        <x:f>IF('05_Form_Qualite_Air'!$P49="Validé humainement",'05_Form_Qualite_Air'!H49,"")</x:f>
      </x:c>
      <x:c r="I49" s="80" t="str">
        <x:f>IF('05_Form_Qualite_Air'!$P49="Validé humainement",'05_Form_Qualite_Air'!I49,"")</x:f>
      </x:c>
      <x:c r="J49" s="80" t="str">
        <x:f>IF('05_Form_Qualite_Air'!$P49="Validé humainement",'05_Form_Qualite_Air'!J49,"")</x:f>
      </x:c>
      <x:c r="K49" s="80" t="str">
        <x:f>IF('05_Form_Qualite_Air'!$P49="Validé humainement",'05_Form_Qualite_Air'!K49,"")</x:f>
      </x:c>
      <x:c r="L49" s="76" t="str">
        <x:f>IF('05_Form_Qualite_Air'!$P49="Validé humainement",'05_Form_Qualite_Air'!L49,"")</x:f>
      </x:c>
      <x:c r="M49" s="76" t="str">
        <x:f>IF('05_Form_Qualite_Air'!$P49="Validé humainement",'05_Form_Qualite_Air'!M49,"")</x:f>
      </x:c>
      <x:c r="N49" s="76" t="str">
        <x:f>IF('05_Form_Qualite_Air'!$P49="Validé humainement",'05_Form_Qualite_Air'!N49,"")</x:f>
      </x:c>
      <x:c r="O49" s="76" t="str">
        <x:f>IF('05_Form_Qualite_Air'!$P49="Validé humainement",'05_Form_Qualite_Air'!O49,"")</x:f>
      </x:c>
      <x:c r="P49" s="76" t="str">
        <x:f>IF('05_Form_Qualite_Air'!$P49="Validé humainement",'05_Form_Qualite_Air'!P49,"")</x:f>
      </x:c>
      <x:c r="Q49" s="78" t="str">
        <x:f>IF('05_Form_Qualite_Air'!$P49="Validé humainement",'05_Form_Qualite_Air'!Q49,"")</x:f>
      </x:c>
      <x:c r="R49" s="76" t="str">
        <x:f>IF('05_Form_Qualite_Air'!$P49="Validé humainement",'05_Form_Qualite_Air'!R49,"")</x:f>
      </x:c>
      <x:c r="S49" s="76" t="str">
        <x:f>IF('05_Form_Qualite_Air'!$P49="Validé humainement",'05_Form_Qualite_Air'!S49,"")</x:f>
      </x:c>
      <x:c r="T49" s="76" t="str">
        <x:f>IF('05_Form_Qualite_Air'!$P49="Validé humainement",'05_Form_Qualite_Air'!T49,"")</x:f>
      </x:c>
    </x:row>
    <x:row r="50">
      <x:c r="A50" s="76" t="str">
        <x:f>IF('05_Form_Qualite_Air'!$P50="Validé humainement",'05_Form_Qualite_Air'!A50,"")</x:f>
      </x:c>
      <x:c r="B50" s="76" t="str">
        <x:f>IF('05_Form_Qualite_Air'!$P50="Validé humainement",'05_Form_Qualite_Air'!B50,"")</x:f>
      </x:c>
      <x:c r="C50" s="76" t="str">
        <x:f>IF('05_Form_Qualite_Air'!$P50="Validé humainement",'05_Form_Qualite_Air'!C50,"")</x:f>
      </x:c>
      <x:c r="D50" s="76" t="str">
        <x:f>IF('05_Form_Qualite_Air'!$P50="Validé humainement",'05_Form_Qualite_Air'!D50,"")</x:f>
      </x:c>
      <x:c r="E50" s="80" t="str">
        <x:f>IF('05_Form_Qualite_Air'!$P50="Validé humainement",'05_Form_Qualite_Air'!E50,"")</x:f>
      </x:c>
      <x:c r="F50" s="80" t="str">
        <x:f>IF('05_Form_Qualite_Air'!$P50="Validé humainement",'05_Form_Qualite_Air'!F50,"")</x:f>
      </x:c>
      <x:c r="G50" s="80" t="str">
        <x:f>IF('05_Form_Qualite_Air'!$P50="Validé humainement",'05_Form_Qualite_Air'!G50,"")</x:f>
      </x:c>
      <x:c r="H50" s="80" t="str">
        <x:f>IF('05_Form_Qualite_Air'!$P50="Validé humainement",'05_Form_Qualite_Air'!H50,"")</x:f>
      </x:c>
      <x:c r="I50" s="80" t="str">
        <x:f>IF('05_Form_Qualite_Air'!$P50="Validé humainement",'05_Form_Qualite_Air'!I50,"")</x:f>
      </x:c>
      <x:c r="J50" s="80" t="str">
        <x:f>IF('05_Form_Qualite_Air'!$P50="Validé humainement",'05_Form_Qualite_Air'!J50,"")</x:f>
      </x:c>
      <x:c r="K50" s="80" t="str">
        <x:f>IF('05_Form_Qualite_Air'!$P50="Validé humainement",'05_Form_Qualite_Air'!K50,"")</x:f>
      </x:c>
      <x:c r="L50" s="76" t="str">
        <x:f>IF('05_Form_Qualite_Air'!$P50="Validé humainement",'05_Form_Qualite_Air'!L50,"")</x:f>
      </x:c>
      <x:c r="M50" s="76" t="str">
        <x:f>IF('05_Form_Qualite_Air'!$P50="Validé humainement",'05_Form_Qualite_Air'!M50,"")</x:f>
      </x:c>
      <x:c r="N50" s="76" t="str">
        <x:f>IF('05_Form_Qualite_Air'!$P50="Validé humainement",'05_Form_Qualite_Air'!N50,"")</x:f>
      </x:c>
      <x:c r="O50" s="76" t="str">
        <x:f>IF('05_Form_Qualite_Air'!$P50="Validé humainement",'05_Form_Qualite_Air'!O50,"")</x:f>
      </x:c>
      <x:c r="P50" s="76" t="str">
        <x:f>IF('05_Form_Qualite_Air'!$P50="Validé humainement",'05_Form_Qualite_Air'!P50,"")</x:f>
      </x:c>
      <x:c r="Q50" s="78" t="str">
        <x:f>IF('05_Form_Qualite_Air'!$P50="Validé humainement",'05_Form_Qualite_Air'!Q50,"")</x:f>
      </x:c>
      <x:c r="R50" s="76" t="str">
        <x:f>IF('05_Form_Qualite_Air'!$P50="Validé humainement",'05_Form_Qualite_Air'!R50,"")</x:f>
      </x:c>
      <x:c r="S50" s="76" t="str">
        <x:f>IF('05_Form_Qualite_Air'!$P50="Validé humainement",'05_Form_Qualite_Air'!S50,"")</x:f>
      </x:c>
      <x:c r="T50" s="76" t="str">
        <x:f>IF('05_Form_Qualite_Air'!$P50="Validé humainement",'05_Form_Qualite_Air'!T50,"")</x:f>
      </x:c>
    </x:row>
    <x:row r="51">
      <x:c r="A51" s="76" t="str">
        <x:f>IF('05_Form_Qualite_Air'!$P51="Validé humainement",'05_Form_Qualite_Air'!A51,"")</x:f>
      </x:c>
      <x:c r="B51" s="76" t="str">
        <x:f>IF('05_Form_Qualite_Air'!$P51="Validé humainement",'05_Form_Qualite_Air'!B51,"")</x:f>
      </x:c>
      <x:c r="C51" s="76" t="str">
        <x:f>IF('05_Form_Qualite_Air'!$P51="Validé humainement",'05_Form_Qualite_Air'!C51,"")</x:f>
      </x:c>
      <x:c r="D51" s="76" t="str">
        <x:f>IF('05_Form_Qualite_Air'!$P51="Validé humainement",'05_Form_Qualite_Air'!D51,"")</x:f>
      </x:c>
      <x:c r="E51" s="80" t="str">
        <x:f>IF('05_Form_Qualite_Air'!$P51="Validé humainement",'05_Form_Qualite_Air'!E51,"")</x:f>
      </x:c>
      <x:c r="F51" s="80" t="str">
        <x:f>IF('05_Form_Qualite_Air'!$P51="Validé humainement",'05_Form_Qualite_Air'!F51,"")</x:f>
      </x:c>
      <x:c r="G51" s="80" t="str">
        <x:f>IF('05_Form_Qualite_Air'!$P51="Validé humainement",'05_Form_Qualite_Air'!G51,"")</x:f>
      </x:c>
      <x:c r="H51" s="80" t="str">
        <x:f>IF('05_Form_Qualite_Air'!$P51="Validé humainement",'05_Form_Qualite_Air'!H51,"")</x:f>
      </x:c>
      <x:c r="I51" s="80" t="str">
        <x:f>IF('05_Form_Qualite_Air'!$P51="Validé humainement",'05_Form_Qualite_Air'!I51,"")</x:f>
      </x:c>
      <x:c r="J51" s="80" t="str">
        <x:f>IF('05_Form_Qualite_Air'!$P51="Validé humainement",'05_Form_Qualite_Air'!J51,"")</x:f>
      </x:c>
      <x:c r="K51" s="80" t="str">
        <x:f>IF('05_Form_Qualite_Air'!$P51="Validé humainement",'05_Form_Qualite_Air'!K51,"")</x:f>
      </x:c>
      <x:c r="L51" s="76" t="str">
        <x:f>IF('05_Form_Qualite_Air'!$P51="Validé humainement",'05_Form_Qualite_Air'!L51,"")</x:f>
      </x:c>
      <x:c r="M51" s="76" t="str">
        <x:f>IF('05_Form_Qualite_Air'!$P51="Validé humainement",'05_Form_Qualite_Air'!M51,"")</x:f>
      </x:c>
      <x:c r="N51" s="76" t="str">
        <x:f>IF('05_Form_Qualite_Air'!$P51="Validé humainement",'05_Form_Qualite_Air'!N51,"")</x:f>
      </x:c>
      <x:c r="O51" s="76" t="str">
        <x:f>IF('05_Form_Qualite_Air'!$P51="Validé humainement",'05_Form_Qualite_Air'!O51,"")</x:f>
      </x:c>
      <x:c r="P51" s="76" t="str">
        <x:f>IF('05_Form_Qualite_Air'!$P51="Validé humainement",'05_Form_Qualite_Air'!P51,"")</x:f>
      </x:c>
      <x:c r="Q51" s="78" t="str">
        <x:f>IF('05_Form_Qualite_Air'!$P51="Validé humainement",'05_Form_Qualite_Air'!Q51,"")</x:f>
      </x:c>
      <x:c r="R51" s="76" t="str">
        <x:f>IF('05_Form_Qualite_Air'!$P51="Validé humainement",'05_Form_Qualite_Air'!R51,"")</x:f>
      </x:c>
      <x:c r="S51" s="76" t="str">
        <x:f>IF('05_Form_Qualite_Air'!$P51="Validé humainement",'05_Form_Qualite_Air'!S51,"")</x:f>
      </x:c>
      <x:c r="T51" s="76" t="str">
        <x:f>IF('05_Form_Qualite_Air'!$P51="Validé humainement",'05_Form_Qualite_Air'!T51,"")</x:f>
      </x:c>
    </x:row>
    <x:row r="52">
      <x:c r="A52" s="76" t="str">
        <x:f>IF('05_Form_Qualite_Air'!$P52="Validé humainement",'05_Form_Qualite_Air'!A52,"")</x:f>
      </x:c>
      <x:c r="B52" s="76" t="str">
        <x:f>IF('05_Form_Qualite_Air'!$P52="Validé humainement",'05_Form_Qualite_Air'!B52,"")</x:f>
      </x:c>
      <x:c r="C52" s="76" t="str">
        <x:f>IF('05_Form_Qualite_Air'!$P52="Validé humainement",'05_Form_Qualite_Air'!C52,"")</x:f>
      </x:c>
      <x:c r="D52" s="76" t="str">
        <x:f>IF('05_Form_Qualite_Air'!$P52="Validé humainement",'05_Form_Qualite_Air'!D52,"")</x:f>
      </x:c>
      <x:c r="E52" s="80" t="str">
        <x:f>IF('05_Form_Qualite_Air'!$P52="Validé humainement",'05_Form_Qualite_Air'!E52,"")</x:f>
      </x:c>
      <x:c r="F52" s="80" t="str">
        <x:f>IF('05_Form_Qualite_Air'!$P52="Validé humainement",'05_Form_Qualite_Air'!F52,"")</x:f>
      </x:c>
      <x:c r="G52" s="80" t="str">
        <x:f>IF('05_Form_Qualite_Air'!$P52="Validé humainement",'05_Form_Qualite_Air'!G52,"")</x:f>
      </x:c>
      <x:c r="H52" s="80" t="str">
        <x:f>IF('05_Form_Qualite_Air'!$P52="Validé humainement",'05_Form_Qualite_Air'!H52,"")</x:f>
      </x:c>
      <x:c r="I52" s="80" t="str">
        <x:f>IF('05_Form_Qualite_Air'!$P52="Validé humainement",'05_Form_Qualite_Air'!I52,"")</x:f>
      </x:c>
      <x:c r="J52" s="80" t="str">
        <x:f>IF('05_Form_Qualite_Air'!$P52="Validé humainement",'05_Form_Qualite_Air'!J52,"")</x:f>
      </x:c>
      <x:c r="K52" s="80" t="str">
        <x:f>IF('05_Form_Qualite_Air'!$P52="Validé humainement",'05_Form_Qualite_Air'!K52,"")</x:f>
      </x:c>
      <x:c r="L52" s="76" t="str">
        <x:f>IF('05_Form_Qualite_Air'!$P52="Validé humainement",'05_Form_Qualite_Air'!L52,"")</x:f>
      </x:c>
      <x:c r="M52" s="76" t="str">
        <x:f>IF('05_Form_Qualite_Air'!$P52="Validé humainement",'05_Form_Qualite_Air'!M52,"")</x:f>
      </x:c>
      <x:c r="N52" s="76" t="str">
        <x:f>IF('05_Form_Qualite_Air'!$P52="Validé humainement",'05_Form_Qualite_Air'!N52,"")</x:f>
      </x:c>
      <x:c r="O52" s="76" t="str">
        <x:f>IF('05_Form_Qualite_Air'!$P52="Validé humainement",'05_Form_Qualite_Air'!O52,"")</x:f>
      </x:c>
      <x:c r="P52" s="76" t="str">
        <x:f>IF('05_Form_Qualite_Air'!$P52="Validé humainement",'05_Form_Qualite_Air'!P52,"")</x:f>
      </x:c>
      <x:c r="Q52" s="78" t="str">
        <x:f>IF('05_Form_Qualite_Air'!$P52="Validé humainement",'05_Form_Qualite_Air'!Q52,"")</x:f>
      </x:c>
      <x:c r="R52" s="76" t="str">
        <x:f>IF('05_Form_Qualite_Air'!$P52="Validé humainement",'05_Form_Qualite_Air'!R52,"")</x:f>
      </x:c>
      <x:c r="S52" s="76" t="str">
        <x:f>IF('05_Form_Qualite_Air'!$P52="Validé humainement",'05_Form_Qualite_Air'!S52,"")</x:f>
      </x:c>
      <x:c r="T52" s="76" t="str">
        <x:f>IF('05_Form_Qualite_Air'!$P52="Validé humainement",'05_Form_Qualite_Air'!T52,"")</x:f>
      </x:c>
    </x:row>
    <x:row r="53">
      <x:c r="A53" s="76" t="str">
        <x:f>IF('05_Form_Qualite_Air'!$P53="Validé humainement",'05_Form_Qualite_Air'!A53,"")</x:f>
      </x:c>
      <x:c r="B53" s="76" t="str">
        <x:f>IF('05_Form_Qualite_Air'!$P53="Validé humainement",'05_Form_Qualite_Air'!B53,"")</x:f>
      </x:c>
      <x:c r="C53" s="76" t="str">
        <x:f>IF('05_Form_Qualite_Air'!$P53="Validé humainement",'05_Form_Qualite_Air'!C53,"")</x:f>
      </x:c>
      <x:c r="D53" s="76" t="str">
        <x:f>IF('05_Form_Qualite_Air'!$P53="Validé humainement",'05_Form_Qualite_Air'!D53,"")</x:f>
      </x:c>
      <x:c r="E53" s="80" t="str">
        <x:f>IF('05_Form_Qualite_Air'!$P53="Validé humainement",'05_Form_Qualite_Air'!E53,"")</x:f>
      </x:c>
      <x:c r="F53" s="80" t="str">
        <x:f>IF('05_Form_Qualite_Air'!$P53="Validé humainement",'05_Form_Qualite_Air'!F53,"")</x:f>
      </x:c>
      <x:c r="G53" s="80" t="str">
        <x:f>IF('05_Form_Qualite_Air'!$P53="Validé humainement",'05_Form_Qualite_Air'!G53,"")</x:f>
      </x:c>
      <x:c r="H53" s="80" t="str">
        <x:f>IF('05_Form_Qualite_Air'!$P53="Validé humainement",'05_Form_Qualite_Air'!H53,"")</x:f>
      </x:c>
      <x:c r="I53" s="80" t="str">
        <x:f>IF('05_Form_Qualite_Air'!$P53="Validé humainement",'05_Form_Qualite_Air'!I53,"")</x:f>
      </x:c>
      <x:c r="J53" s="80" t="str">
        <x:f>IF('05_Form_Qualite_Air'!$P53="Validé humainement",'05_Form_Qualite_Air'!J53,"")</x:f>
      </x:c>
      <x:c r="K53" s="80" t="str">
        <x:f>IF('05_Form_Qualite_Air'!$P53="Validé humainement",'05_Form_Qualite_Air'!K53,"")</x:f>
      </x:c>
      <x:c r="L53" s="76" t="str">
        <x:f>IF('05_Form_Qualite_Air'!$P53="Validé humainement",'05_Form_Qualite_Air'!L53,"")</x:f>
      </x:c>
      <x:c r="M53" s="76" t="str">
        <x:f>IF('05_Form_Qualite_Air'!$P53="Validé humainement",'05_Form_Qualite_Air'!M53,"")</x:f>
      </x:c>
      <x:c r="N53" s="76" t="str">
        <x:f>IF('05_Form_Qualite_Air'!$P53="Validé humainement",'05_Form_Qualite_Air'!N53,"")</x:f>
      </x:c>
      <x:c r="O53" s="76" t="str">
        <x:f>IF('05_Form_Qualite_Air'!$P53="Validé humainement",'05_Form_Qualite_Air'!O53,"")</x:f>
      </x:c>
      <x:c r="P53" s="76" t="str">
        <x:f>IF('05_Form_Qualite_Air'!$P53="Validé humainement",'05_Form_Qualite_Air'!P53,"")</x:f>
      </x:c>
      <x:c r="Q53" s="78" t="str">
        <x:f>IF('05_Form_Qualite_Air'!$P53="Validé humainement",'05_Form_Qualite_Air'!Q53,"")</x:f>
      </x:c>
      <x:c r="R53" s="76" t="str">
        <x:f>IF('05_Form_Qualite_Air'!$P53="Validé humainement",'05_Form_Qualite_Air'!R53,"")</x:f>
      </x:c>
      <x:c r="S53" s="76" t="str">
        <x:f>IF('05_Form_Qualite_Air'!$P53="Validé humainement",'05_Form_Qualite_Air'!S53,"")</x:f>
      </x:c>
      <x:c r="T53" s="76" t="str">
        <x:f>IF('05_Form_Qualite_Air'!$P53="Validé humainement",'05_Form_Qualite_Air'!T53,"")</x:f>
      </x:c>
    </x:row>
    <x:row r="54">
      <x:c r="A54" s="76" t="str">
        <x:f>IF('05_Form_Qualite_Air'!$P54="Validé humainement",'05_Form_Qualite_Air'!A54,"")</x:f>
      </x:c>
      <x:c r="B54" s="76" t="str">
        <x:f>IF('05_Form_Qualite_Air'!$P54="Validé humainement",'05_Form_Qualite_Air'!B54,"")</x:f>
      </x:c>
      <x:c r="C54" s="76" t="str">
        <x:f>IF('05_Form_Qualite_Air'!$P54="Validé humainement",'05_Form_Qualite_Air'!C54,"")</x:f>
      </x:c>
      <x:c r="D54" s="76" t="str">
        <x:f>IF('05_Form_Qualite_Air'!$P54="Validé humainement",'05_Form_Qualite_Air'!D54,"")</x:f>
      </x:c>
      <x:c r="E54" s="80" t="str">
        <x:f>IF('05_Form_Qualite_Air'!$P54="Validé humainement",'05_Form_Qualite_Air'!E54,"")</x:f>
      </x:c>
      <x:c r="F54" s="80" t="str">
        <x:f>IF('05_Form_Qualite_Air'!$P54="Validé humainement",'05_Form_Qualite_Air'!F54,"")</x:f>
      </x:c>
      <x:c r="G54" s="80" t="str">
        <x:f>IF('05_Form_Qualite_Air'!$P54="Validé humainement",'05_Form_Qualite_Air'!G54,"")</x:f>
      </x:c>
      <x:c r="H54" s="80" t="str">
        <x:f>IF('05_Form_Qualite_Air'!$P54="Validé humainement",'05_Form_Qualite_Air'!H54,"")</x:f>
      </x:c>
      <x:c r="I54" s="80" t="str">
        <x:f>IF('05_Form_Qualite_Air'!$P54="Validé humainement",'05_Form_Qualite_Air'!I54,"")</x:f>
      </x:c>
      <x:c r="J54" s="80" t="str">
        <x:f>IF('05_Form_Qualite_Air'!$P54="Validé humainement",'05_Form_Qualite_Air'!J54,"")</x:f>
      </x:c>
      <x:c r="K54" s="80" t="str">
        <x:f>IF('05_Form_Qualite_Air'!$P54="Validé humainement",'05_Form_Qualite_Air'!K54,"")</x:f>
      </x:c>
      <x:c r="L54" s="76" t="str">
        <x:f>IF('05_Form_Qualite_Air'!$P54="Validé humainement",'05_Form_Qualite_Air'!L54,"")</x:f>
      </x:c>
      <x:c r="M54" s="76" t="str">
        <x:f>IF('05_Form_Qualite_Air'!$P54="Validé humainement",'05_Form_Qualite_Air'!M54,"")</x:f>
      </x:c>
      <x:c r="N54" s="76" t="str">
        <x:f>IF('05_Form_Qualite_Air'!$P54="Validé humainement",'05_Form_Qualite_Air'!N54,"")</x:f>
      </x:c>
      <x:c r="O54" s="76" t="str">
        <x:f>IF('05_Form_Qualite_Air'!$P54="Validé humainement",'05_Form_Qualite_Air'!O54,"")</x:f>
      </x:c>
      <x:c r="P54" s="76" t="str">
        <x:f>IF('05_Form_Qualite_Air'!$P54="Validé humainement",'05_Form_Qualite_Air'!P54,"")</x:f>
      </x:c>
      <x:c r="Q54" s="78" t="str">
        <x:f>IF('05_Form_Qualite_Air'!$P54="Validé humainement",'05_Form_Qualite_Air'!Q54,"")</x:f>
      </x:c>
      <x:c r="R54" s="76" t="str">
        <x:f>IF('05_Form_Qualite_Air'!$P54="Validé humainement",'05_Form_Qualite_Air'!R54,"")</x:f>
      </x:c>
      <x:c r="S54" s="76" t="str">
        <x:f>IF('05_Form_Qualite_Air'!$P54="Validé humainement",'05_Form_Qualite_Air'!S54,"")</x:f>
      </x:c>
      <x:c r="T54" s="76" t="str">
        <x:f>IF('05_Form_Qualite_Air'!$P54="Validé humainement",'05_Form_Qualite_Air'!T54,"")</x:f>
      </x:c>
    </x:row>
    <x:row r="55">
      <x:c r="A55" s="76" t="str">
        <x:f>IF('05_Form_Qualite_Air'!$P55="Validé humainement",'05_Form_Qualite_Air'!A55,"")</x:f>
      </x:c>
      <x:c r="B55" s="76" t="str">
        <x:f>IF('05_Form_Qualite_Air'!$P55="Validé humainement",'05_Form_Qualite_Air'!B55,"")</x:f>
      </x:c>
      <x:c r="C55" s="76" t="str">
        <x:f>IF('05_Form_Qualite_Air'!$P55="Validé humainement",'05_Form_Qualite_Air'!C55,"")</x:f>
      </x:c>
      <x:c r="D55" s="76" t="str">
        <x:f>IF('05_Form_Qualite_Air'!$P55="Validé humainement",'05_Form_Qualite_Air'!D55,"")</x:f>
      </x:c>
      <x:c r="E55" s="80" t="str">
        <x:f>IF('05_Form_Qualite_Air'!$P55="Validé humainement",'05_Form_Qualite_Air'!E55,"")</x:f>
      </x:c>
      <x:c r="F55" s="80" t="str">
        <x:f>IF('05_Form_Qualite_Air'!$P55="Validé humainement",'05_Form_Qualite_Air'!F55,"")</x:f>
      </x:c>
      <x:c r="G55" s="80" t="str">
        <x:f>IF('05_Form_Qualite_Air'!$P55="Validé humainement",'05_Form_Qualite_Air'!G55,"")</x:f>
      </x:c>
      <x:c r="H55" s="80" t="str">
        <x:f>IF('05_Form_Qualite_Air'!$P55="Validé humainement",'05_Form_Qualite_Air'!H55,"")</x:f>
      </x:c>
      <x:c r="I55" s="80" t="str">
        <x:f>IF('05_Form_Qualite_Air'!$P55="Validé humainement",'05_Form_Qualite_Air'!I55,"")</x:f>
      </x:c>
      <x:c r="J55" s="80" t="str">
        <x:f>IF('05_Form_Qualite_Air'!$P55="Validé humainement",'05_Form_Qualite_Air'!J55,"")</x:f>
      </x:c>
      <x:c r="K55" s="80" t="str">
        <x:f>IF('05_Form_Qualite_Air'!$P55="Validé humainement",'05_Form_Qualite_Air'!K55,"")</x:f>
      </x:c>
      <x:c r="L55" s="76" t="str">
        <x:f>IF('05_Form_Qualite_Air'!$P55="Validé humainement",'05_Form_Qualite_Air'!L55,"")</x:f>
      </x:c>
      <x:c r="M55" s="76" t="str">
        <x:f>IF('05_Form_Qualite_Air'!$P55="Validé humainement",'05_Form_Qualite_Air'!M55,"")</x:f>
      </x:c>
      <x:c r="N55" s="76" t="str">
        <x:f>IF('05_Form_Qualite_Air'!$P55="Validé humainement",'05_Form_Qualite_Air'!N55,"")</x:f>
      </x:c>
      <x:c r="O55" s="76" t="str">
        <x:f>IF('05_Form_Qualite_Air'!$P55="Validé humainement",'05_Form_Qualite_Air'!O55,"")</x:f>
      </x:c>
      <x:c r="P55" s="76" t="str">
        <x:f>IF('05_Form_Qualite_Air'!$P55="Validé humainement",'05_Form_Qualite_Air'!P55,"")</x:f>
      </x:c>
      <x:c r="Q55" s="78" t="str">
        <x:f>IF('05_Form_Qualite_Air'!$P55="Validé humainement",'05_Form_Qualite_Air'!Q55,"")</x:f>
      </x:c>
      <x:c r="R55" s="76" t="str">
        <x:f>IF('05_Form_Qualite_Air'!$P55="Validé humainement",'05_Form_Qualite_Air'!R55,"")</x:f>
      </x:c>
      <x:c r="S55" s="76" t="str">
        <x:f>IF('05_Form_Qualite_Air'!$P55="Validé humainement",'05_Form_Qualite_Air'!S55,"")</x:f>
      </x:c>
      <x:c r="T55" s="76" t="str">
        <x:f>IF('05_Form_Qualite_Air'!$P55="Validé humainement",'05_Form_Qualite_Air'!T55,"")</x:f>
      </x:c>
    </x:row>
    <x:row r="56">
      <x:c r="A56" s="76" t="str">
        <x:f>IF('05_Form_Qualite_Air'!$P56="Validé humainement",'05_Form_Qualite_Air'!A56,"")</x:f>
      </x:c>
      <x:c r="B56" s="76" t="str">
        <x:f>IF('05_Form_Qualite_Air'!$P56="Validé humainement",'05_Form_Qualite_Air'!B56,"")</x:f>
      </x:c>
      <x:c r="C56" s="76" t="str">
        <x:f>IF('05_Form_Qualite_Air'!$P56="Validé humainement",'05_Form_Qualite_Air'!C56,"")</x:f>
      </x:c>
      <x:c r="D56" s="76" t="str">
        <x:f>IF('05_Form_Qualite_Air'!$P56="Validé humainement",'05_Form_Qualite_Air'!D56,"")</x:f>
      </x:c>
      <x:c r="E56" s="80" t="str">
        <x:f>IF('05_Form_Qualite_Air'!$P56="Validé humainement",'05_Form_Qualite_Air'!E56,"")</x:f>
      </x:c>
      <x:c r="F56" s="80" t="str">
        <x:f>IF('05_Form_Qualite_Air'!$P56="Validé humainement",'05_Form_Qualite_Air'!F56,"")</x:f>
      </x:c>
      <x:c r="G56" s="80" t="str">
        <x:f>IF('05_Form_Qualite_Air'!$P56="Validé humainement",'05_Form_Qualite_Air'!G56,"")</x:f>
      </x:c>
      <x:c r="H56" s="80" t="str">
        <x:f>IF('05_Form_Qualite_Air'!$P56="Validé humainement",'05_Form_Qualite_Air'!H56,"")</x:f>
      </x:c>
      <x:c r="I56" s="80" t="str">
        <x:f>IF('05_Form_Qualite_Air'!$P56="Validé humainement",'05_Form_Qualite_Air'!I56,"")</x:f>
      </x:c>
      <x:c r="J56" s="80" t="str">
        <x:f>IF('05_Form_Qualite_Air'!$P56="Validé humainement",'05_Form_Qualite_Air'!J56,"")</x:f>
      </x:c>
      <x:c r="K56" s="80" t="str">
        <x:f>IF('05_Form_Qualite_Air'!$P56="Validé humainement",'05_Form_Qualite_Air'!K56,"")</x:f>
      </x:c>
      <x:c r="L56" s="76" t="str">
        <x:f>IF('05_Form_Qualite_Air'!$P56="Validé humainement",'05_Form_Qualite_Air'!L56,"")</x:f>
      </x:c>
      <x:c r="M56" s="76" t="str">
        <x:f>IF('05_Form_Qualite_Air'!$P56="Validé humainement",'05_Form_Qualite_Air'!M56,"")</x:f>
      </x:c>
      <x:c r="N56" s="76" t="str">
        <x:f>IF('05_Form_Qualite_Air'!$P56="Validé humainement",'05_Form_Qualite_Air'!N56,"")</x:f>
      </x:c>
      <x:c r="O56" s="76" t="str">
        <x:f>IF('05_Form_Qualite_Air'!$P56="Validé humainement",'05_Form_Qualite_Air'!O56,"")</x:f>
      </x:c>
      <x:c r="P56" s="76" t="str">
        <x:f>IF('05_Form_Qualite_Air'!$P56="Validé humainement",'05_Form_Qualite_Air'!P56,"")</x:f>
      </x:c>
      <x:c r="Q56" s="78" t="str">
        <x:f>IF('05_Form_Qualite_Air'!$P56="Validé humainement",'05_Form_Qualite_Air'!Q56,"")</x:f>
      </x:c>
      <x:c r="R56" s="76" t="str">
        <x:f>IF('05_Form_Qualite_Air'!$P56="Validé humainement",'05_Form_Qualite_Air'!R56,"")</x:f>
      </x:c>
      <x:c r="S56" s="76" t="str">
        <x:f>IF('05_Form_Qualite_Air'!$P56="Validé humainement",'05_Form_Qualite_Air'!S56,"")</x:f>
      </x:c>
      <x:c r="T56" s="76" t="str">
        <x:f>IF('05_Form_Qualite_Air'!$P56="Validé humainement",'05_Form_Qualite_Air'!T56,"")</x:f>
      </x:c>
    </x:row>
    <x:row r="57">
      <x:c r="A57" s="76" t="str">
        <x:f>IF('05_Form_Qualite_Air'!$P57="Validé humainement",'05_Form_Qualite_Air'!A57,"")</x:f>
      </x:c>
      <x:c r="B57" s="76" t="str">
        <x:f>IF('05_Form_Qualite_Air'!$P57="Validé humainement",'05_Form_Qualite_Air'!B57,"")</x:f>
      </x:c>
      <x:c r="C57" s="76" t="str">
        <x:f>IF('05_Form_Qualite_Air'!$P57="Validé humainement",'05_Form_Qualite_Air'!C57,"")</x:f>
      </x:c>
      <x:c r="D57" s="76" t="str">
        <x:f>IF('05_Form_Qualite_Air'!$P57="Validé humainement",'05_Form_Qualite_Air'!D57,"")</x:f>
      </x:c>
      <x:c r="E57" s="80" t="str">
        <x:f>IF('05_Form_Qualite_Air'!$P57="Validé humainement",'05_Form_Qualite_Air'!E57,"")</x:f>
      </x:c>
      <x:c r="F57" s="80" t="str">
        <x:f>IF('05_Form_Qualite_Air'!$P57="Validé humainement",'05_Form_Qualite_Air'!F57,"")</x:f>
      </x:c>
      <x:c r="G57" s="80" t="str">
        <x:f>IF('05_Form_Qualite_Air'!$P57="Validé humainement",'05_Form_Qualite_Air'!G57,"")</x:f>
      </x:c>
      <x:c r="H57" s="80" t="str">
        <x:f>IF('05_Form_Qualite_Air'!$P57="Validé humainement",'05_Form_Qualite_Air'!H57,"")</x:f>
      </x:c>
      <x:c r="I57" s="80" t="str">
        <x:f>IF('05_Form_Qualite_Air'!$P57="Validé humainement",'05_Form_Qualite_Air'!I57,"")</x:f>
      </x:c>
      <x:c r="J57" s="80" t="str">
        <x:f>IF('05_Form_Qualite_Air'!$P57="Validé humainement",'05_Form_Qualite_Air'!J57,"")</x:f>
      </x:c>
      <x:c r="K57" s="80" t="str">
        <x:f>IF('05_Form_Qualite_Air'!$P57="Validé humainement",'05_Form_Qualite_Air'!K57,"")</x:f>
      </x:c>
      <x:c r="L57" s="76" t="str">
        <x:f>IF('05_Form_Qualite_Air'!$P57="Validé humainement",'05_Form_Qualite_Air'!L57,"")</x:f>
      </x:c>
      <x:c r="M57" s="76" t="str">
        <x:f>IF('05_Form_Qualite_Air'!$P57="Validé humainement",'05_Form_Qualite_Air'!M57,"")</x:f>
      </x:c>
      <x:c r="N57" s="76" t="str">
        <x:f>IF('05_Form_Qualite_Air'!$P57="Validé humainement",'05_Form_Qualite_Air'!N57,"")</x:f>
      </x:c>
      <x:c r="O57" s="76" t="str">
        <x:f>IF('05_Form_Qualite_Air'!$P57="Validé humainement",'05_Form_Qualite_Air'!O57,"")</x:f>
      </x:c>
      <x:c r="P57" s="76" t="str">
        <x:f>IF('05_Form_Qualite_Air'!$P57="Validé humainement",'05_Form_Qualite_Air'!P57,"")</x:f>
      </x:c>
      <x:c r="Q57" s="78" t="str">
        <x:f>IF('05_Form_Qualite_Air'!$P57="Validé humainement",'05_Form_Qualite_Air'!Q57,"")</x:f>
      </x:c>
      <x:c r="R57" s="76" t="str">
        <x:f>IF('05_Form_Qualite_Air'!$P57="Validé humainement",'05_Form_Qualite_Air'!R57,"")</x:f>
      </x:c>
      <x:c r="S57" s="76" t="str">
        <x:f>IF('05_Form_Qualite_Air'!$P57="Validé humainement",'05_Form_Qualite_Air'!S57,"")</x:f>
      </x:c>
      <x:c r="T57" s="76" t="str">
        <x:f>IF('05_Form_Qualite_Air'!$P57="Validé humainement",'05_Form_Qualite_Air'!T57,"")</x:f>
      </x:c>
    </x:row>
    <x:row r="58">
      <x:c r="A58" s="76" t="str">
        <x:f>IF('05_Form_Qualite_Air'!$P58="Validé humainement",'05_Form_Qualite_Air'!A58,"")</x:f>
      </x:c>
      <x:c r="B58" s="76" t="str">
        <x:f>IF('05_Form_Qualite_Air'!$P58="Validé humainement",'05_Form_Qualite_Air'!B58,"")</x:f>
      </x:c>
      <x:c r="C58" s="76" t="str">
        <x:f>IF('05_Form_Qualite_Air'!$P58="Validé humainement",'05_Form_Qualite_Air'!C58,"")</x:f>
      </x:c>
      <x:c r="D58" s="76" t="str">
        <x:f>IF('05_Form_Qualite_Air'!$P58="Validé humainement",'05_Form_Qualite_Air'!D58,"")</x:f>
      </x:c>
      <x:c r="E58" s="80" t="str">
        <x:f>IF('05_Form_Qualite_Air'!$P58="Validé humainement",'05_Form_Qualite_Air'!E58,"")</x:f>
      </x:c>
      <x:c r="F58" s="80" t="str">
        <x:f>IF('05_Form_Qualite_Air'!$P58="Validé humainement",'05_Form_Qualite_Air'!F58,"")</x:f>
      </x:c>
      <x:c r="G58" s="80" t="str">
        <x:f>IF('05_Form_Qualite_Air'!$P58="Validé humainement",'05_Form_Qualite_Air'!G58,"")</x:f>
      </x:c>
      <x:c r="H58" s="80" t="str">
        <x:f>IF('05_Form_Qualite_Air'!$P58="Validé humainement",'05_Form_Qualite_Air'!H58,"")</x:f>
      </x:c>
      <x:c r="I58" s="80" t="str">
        <x:f>IF('05_Form_Qualite_Air'!$P58="Validé humainement",'05_Form_Qualite_Air'!I58,"")</x:f>
      </x:c>
      <x:c r="J58" s="80" t="str">
        <x:f>IF('05_Form_Qualite_Air'!$P58="Validé humainement",'05_Form_Qualite_Air'!J58,"")</x:f>
      </x:c>
      <x:c r="K58" s="80" t="str">
        <x:f>IF('05_Form_Qualite_Air'!$P58="Validé humainement",'05_Form_Qualite_Air'!K58,"")</x:f>
      </x:c>
      <x:c r="L58" s="76" t="str">
        <x:f>IF('05_Form_Qualite_Air'!$P58="Validé humainement",'05_Form_Qualite_Air'!L58,"")</x:f>
      </x:c>
      <x:c r="M58" s="76" t="str">
        <x:f>IF('05_Form_Qualite_Air'!$P58="Validé humainement",'05_Form_Qualite_Air'!M58,"")</x:f>
      </x:c>
      <x:c r="N58" s="76" t="str">
        <x:f>IF('05_Form_Qualite_Air'!$P58="Validé humainement",'05_Form_Qualite_Air'!N58,"")</x:f>
      </x:c>
      <x:c r="O58" s="76" t="str">
        <x:f>IF('05_Form_Qualite_Air'!$P58="Validé humainement",'05_Form_Qualite_Air'!O58,"")</x:f>
      </x:c>
      <x:c r="P58" s="76" t="str">
        <x:f>IF('05_Form_Qualite_Air'!$P58="Validé humainement",'05_Form_Qualite_Air'!P58,"")</x:f>
      </x:c>
      <x:c r="Q58" s="78" t="str">
        <x:f>IF('05_Form_Qualite_Air'!$P58="Validé humainement",'05_Form_Qualite_Air'!Q58,"")</x:f>
      </x:c>
      <x:c r="R58" s="76" t="str">
        <x:f>IF('05_Form_Qualite_Air'!$P58="Validé humainement",'05_Form_Qualite_Air'!R58,"")</x:f>
      </x:c>
      <x:c r="S58" s="76" t="str">
        <x:f>IF('05_Form_Qualite_Air'!$P58="Validé humainement",'05_Form_Qualite_Air'!S58,"")</x:f>
      </x:c>
      <x:c r="T58" s="76" t="str">
        <x:f>IF('05_Form_Qualite_Air'!$P58="Validé humainement",'05_Form_Qualite_Air'!T58,"")</x:f>
      </x:c>
    </x:row>
    <x:row r="59">
      <x:c r="A59" s="76" t="str">
        <x:f>IF('05_Form_Qualite_Air'!$P59="Validé humainement",'05_Form_Qualite_Air'!A59,"")</x:f>
      </x:c>
      <x:c r="B59" s="76" t="str">
        <x:f>IF('05_Form_Qualite_Air'!$P59="Validé humainement",'05_Form_Qualite_Air'!B59,"")</x:f>
      </x:c>
      <x:c r="C59" s="76" t="str">
        <x:f>IF('05_Form_Qualite_Air'!$P59="Validé humainement",'05_Form_Qualite_Air'!C59,"")</x:f>
      </x:c>
      <x:c r="D59" s="76" t="str">
        <x:f>IF('05_Form_Qualite_Air'!$P59="Validé humainement",'05_Form_Qualite_Air'!D59,"")</x:f>
      </x:c>
      <x:c r="E59" s="80" t="str">
        <x:f>IF('05_Form_Qualite_Air'!$P59="Validé humainement",'05_Form_Qualite_Air'!E59,"")</x:f>
      </x:c>
      <x:c r="F59" s="80" t="str">
        <x:f>IF('05_Form_Qualite_Air'!$P59="Validé humainement",'05_Form_Qualite_Air'!F59,"")</x:f>
      </x:c>
      <x:c r="G59" s="80" t="str">
        <x:f>IF('05_Form_Qualite_Air'!$P59="Validé humainement",'05_Form_Qualite_Air'!G59,"")</x:f>
      </x:c>
      <x:c r="H59" s="80" t="str">
        <x:f>IF('05_Form_Qualite_Air'!$P59="Validé humainement",'05_Form_Qualite_Air'!H59,"")</x:f>
      </x:c>
      <x:c r="I59" s="80" t="str">
        <x:f>IF('05_Form_Qualite_Air'!$P59="Validé humainement",'05_Form_Qualite_Air'!I59,"")</x:f>
      </x:c>
      <x:c r="J59" s="80" t="str">
        <x:f>IF('05_Form_Qualite_Air'!$P59="Validé humainement",'05_Form_Qualite_Air'!J59,"")</x:f>
      </x:c>
      <x:c r="K59" s="80" t="str">
        <x:f>IF('05_Form_Qualite_Air'!$P59="Validé humainement",'05_Form_Qualite_Air'!K59,"")</x:f>
      </x:c>
      <x:c r="L59" s="76" t="str">
        <x:f>IF('05_Form_Qualite_Air'!$P59="Validé humainement",'05_Form_Qualite_Air'!L59,"")</x:f>
      </x:c>
      <x:c r="M59" s="76" t="str">
        <x:f>IF('05_Form_Qualite_Air'!$P59="Validé humainement",'05_Form_Qualite_Air'!M59,"")</x:f>
      </x:c>
      <x:c r="N59" s="76" t="str">
        <x:f>IF('05_Form_Qualite_Air'!$P59="Validé humainement",'05_Form_Qualite_Air'!N59,"")</x:f>
      </x:c>
      <x:c r="O59" s="76" t="str">
        <x:f>IF('05_Form_Qualite_Air'!$P59="Validé humainement",'05_Form_Qualite_Air'!O59,"")</x:f>
      </x:c>
      <x:c r="P59" s="76" t="str">
        <x:f>IF('05_Form_Qualite_Air'!$P59="Validé humainement",'05_Form_Qualite_Air'!P59,"")</x:f>
      </x:c>
      <x:c r="Q59" s="78" t="str">
        <x:f>IF('05_Form_Qualite_Air'!$P59="Validé humainement",'05_Form_Qualite_Air'!Q59,"")</x:f>
      </x:c>
      <x:c r="R59" s="76" t="str">
        <x:f>IF('05_Form_Qualite_Air'!$P59="Validé humainement",'05_Form_Qualite_Air'!R59,"")</x:f>
      </x:c>
      <x:c r="S59" s="76" t="str">
        <x:f>IF('05_Form_Qualite_Air'!$P59="Validé humainement",'05_Form_Qualite_Air'!S59,"")</x:f>
      </x:c>
      <x:c r="T59" s="76" t="str">
        <x:f>IF('05_Form_Qualite_Air'!$P59="Validé humainement",'05_Form_Qualite_Air'!T59,"")</x:f>
      </x:c>
    </x:row>
    <x:row r="60">
      <x:c r="A60" s="76" t="str">
        <x:f>IF('05_Form_Qualite_Air'!$P60="Validé humainement",'05_Form_Qualite_Air'!A60,"")</x:f>
      </x:c>
      <x:c r="B60" s="76" t="str">
        <x:f>IF('05_Form_Qualite_Air'!$P60="Validé humainement",'05_Form_Qualite_Air'!B60,"")</x:f>
      </x:c>
      <x:c r="C60" s="76" t="str">
        <x:f>IF('05_Form_Qualite_Air'!$P60="Validé humainement",'05_Form_Qualite_Air'!C60,"")</x:f>
      </x:c>
      <x:c r="D60" s="76" t="str">
        <x:f>IF('05_Form_Qualite_Air'!$P60="Validé humainement",'05_Form_Qualite_Air'!D60,"")</x:f>
      </x:c>
      <x:c r="E60" s="80" t="str">
        <x:f>IF('05_Form_Qualite_Air'!$P60="Validé humainement",'05_Form_Qualite_Air'!E60,"")</x:f>
      </x:c>
      <x:c r="F60" s="80" t="str">
        <x:f>IF('05_Form_Qualite_Air'!$P60="Validé humainement",'05_Form_Qualite_Air'!F60,"")</x:f>
      </x:c>
      <x:c r="G60" s="80" t="str">
        <x:f>IF('05_Form_Qualite_Air'!$P60="Validé humainement",'05_Form_Qualite_Air'!G60,"")</x:f>
      </x:c>
      <x:c r="H60" s="80" t="str">
        <x:f>IF('05_Form_Qualite_Air'!$P60="Validé humainement",'05_Form_Qualite_Air'!H60,"")</x:f>
      </x:c>
      <x:c r="I60" s="80" t="str">
        <x:f>IF('05_Form_Qualite_Air'!$P60="Validé humainement",'05_Form_Qualite_Air'!I60,"")</x:f>
      </x:c>
      <x:c r="J60" s="80" t="str">
        <x:f>IF('05_Form_Qualite_Air'!$P60="Validé humainement",'05_Form_Qualite_Air'!J60,"")</x:f>
      </x:c>
      <x:c r="K60" s="80" t="str">
        <x:f>IF('05_Form_Qualite_Air'!$P60="Validé humainement",'05_Form_Qualite_Air'!K60,"")</x:f>
      </x:c>
      <x:c r="L60" s="76" t="str">
        <x:f>IF('05_Form_Qualite_Air'!$P60="Validé humainement",'05_Form_Qualite_Air'!L60,"")</x:f>
      </x:c>
      <x:c r="M60" s="76" t="str">
        <x:f>IF('05_Form_Qualite_Air'!$P60="Validé humainement",'05_Form_Qualite_Air'!M60,"")</x:f>
      </x:c>
      <x:c r="N60" s="76" t="str">
        <x:f>IF('05_Form_Qualite_Air'!$P60="Validé humainement",'05_Form_Qualite_Air'!N60,"")</x:f>
      </x:c>
      <x:c r="O60" s="76" t="str">
        <x:f>IF('05_Form_Qualite_Air'!$P60="Validé humainement",'05_Form_Qualite_Air'!O60,"")</x:f>
      </x:c>
      <x:c r="P60" s="76" t="str">
        <x:f>IF('05_Form_Qualite_Air'!$P60="Validé humainement",'05_Form_Qualite_Air'!P60,"")</x:f>
      </x:c>
      <x:c r="Q60" s="78" t="str">
        <x:f>IF('05_Form_Qualite_Air'!$P60="Validé humainement",'05_Form_Qualite_Air'!Q60,"")</x:f>
      </x:c>
      <x:c r="R60" s="76" t="str">
        <x:f>IF('05_Form_Qualite_Air'!$P60="Validé humainement",'05_Form_Qualite_Air'!R60,"")</x:f>
      </x:c>
      <x:c r="S60" s="76" t="str">
        <x:f>IF('05_Form_Qualite_Air'!$P60="Validé humainement",'05_Form_Qualite_Air'!S60,"")</x:f>
      </x:c>
      <x:c r="T60" s="76" t="str">
        <x:f>IF('05_Form_Qualite_Air'!$P60="Validé humainement",'05_Form_Qualite_Air'!T60,"")</x:f>
      </x:c>
    </x:row>
    <x:row r="61">
      <x:c r="A61" s="76" t="str">
        <x:f>IF('05_Form_Qualite_Air'!$P61="Validé humainement",'05_Form_Qualite_Air'!A61,"")</x:f>
      </x:c>
      <x:c r="B61" s="76" t="str">
        <x:f>IF('05_Form_Qualite_Air'!$P61="Validé humainement",'05_Form_Qualite_Air'!B61,"")</x:f>
      </x:c>
      <x:c r="C61" s="76" t="str">
        <x:f>IF('05_Form_Qualite_Air'!$P61="Validé humainement",'05_Form_Qualite_Air'!C61,"")</x:f>
      </x:c>
      <x:c r="D61" s="76" t="str">
        <x:f>IF('05_Form_Qualite_Air'!$P61="Validé humainement",'05_Form_Qualite_Air'!D61,"")</x:f>
      </x:c>
      <x:c r="E61" s="80" t="str">
        <x:f>IF('05_Form_Qualite_Air'!$P61="Validé humainement",'05_Form_Qualite_Air'!E61,"")</x:f>
      </x:c>
      <x:c r="F61" s="80" t="str">
        <x:f>IF('05_Form_Qualite_Air'!$P61="Validé humainement",'05_Form_Qualite_Air'!F61,"")</x:f>
      </x:c>
      <x:c r="G61" s="80" t="str">
        <x:f>IF('05_Form_Qualite_Air'!$P61="Validé humainement",'05_Form_Qualite_Air'!G61,"")</x:f>
      </x:c>
      <x:c r="H61" s="80" t="str">
        <x:f>IF('05_Form_Qualite_Air'!$P61="Validé humainement",'05_Form_Qualite_Air'!H61,"")</x:f>
      </x:c>
      <x:c r="I61" s="80" t="str">
        <x:f>IF('05_Form_Qualite_Air'!$P61="Validé humainement",'05_Form_Qualite_Air'!I61,"")</x:f>
      </x:c>
      <x:c r="J61" s="80" t="str">
        <x:f>IF('05_Form_Qualite_Air'!$P61="Validé humainement",'05_Form_Qualite_Air'!J61,"")</x:f>
      </x:c>
      <x:c r="K61" s="80" t="str">
        <x:f>IF('05_Form_Qualite_Air'!$P61="Validé humainement",'05_Form_Qualite_Air'!K61,"")</x:f>
      </x:c>
      <x:c r="L61" s="76" t="str">
        <x:f>IF('05_Form_Qualite_Air'!$P61="Validé humainement",'05_Form_Qualite_Air'!L61,"")</x:f>
      </x:c>
      <x:c r="M61" s="76" t="str">
        <x:f>IF('05_Form_Qualite_Air'!$P61="Validé humainement",'05_Form_Qualite_Air'!M61,"")</x:f>
      </x:c>
      <x:c r="N61" s="76" t="str">
        <x:f>IF('05_Form_Qualite_Air'!$P61="Validé humainement",'05_Form_Qualite_Air'!N61,"")</x:f>
      </x:c>
      <x:c r="O61" s="76" t="str">
        <x:f>IF('05_Form_Qualite_Air'!$P61="Validé humainement",'05_Form_Qualite_Air'!O61,"")</x:f>
      </x:c>
      <x:c r="P61" s="76" t="str">
        <x:f>IF('05_Form_Qualite_Air'!$P61="Validé humainement",'05_Form_Qualite_Air'!P61,"")</x:f>
      </x:c>
      <x:c r="Q61" s="78" t="str">
        <x:f>IF('05_Form_Qualite_Air'!$P61="Validé humainement",'05_Form_Qualite_Air'!Q61,"")</x:f>
      </x:c>
      <x:c r="R61" s="76" t="str">
        <x:f>IF('05_Form_Qualite_Air'!$P61="Validé humainement",'05_Form_Qualite_Air'!R61,"")</x:f>
      </x:c>
      <x:c r="S61" s="76" t="str">
        <x:f>IF('05_Form_Qualite_Air'!$P61="Validé humainement",'05_Form_Qualite_Air'!S61,"")</x:f>
      </x:c>
      <x:c r="T61" s="76" t="str">
        <x:f>IF('05_Form_Qualite_Air'!$P61="Validé humainement",'05_Form_Qualite_Air'!T61,"")</x:f>
      </x:c>
    </x:row>
    <x:row r="62">
      <x:c r="A62" s="76" t="str">
        <x:f>IF('05_Form_Qualite_Air'!$P62="Validé humainement",'05_Form_Qualite_Air'!A62,"")</x:f>
      </x:c>
      <x:c r="B62" s="76" t="str">
        <x:f>IF('05_Form_Qualite_Air'!$P62="Validé humainement",'05_Form_Qualite_Air'!B62,"")</x:f>
      </x:c>
      <x:c r="C62" s="76" t="str">
        <x:f>IF('05_Form_Qualite_Air'!$P62="Validé humainement",'05_Form_Qualite_Air'!C62,"")</x:f>
      </x:c>
      <x:c r="D62" s="76" t="str">
        <x:f>IF('05_Form_Qualite_Air'!$P62="Validé humainement",'05_Form_Qualite_Air'!D62,"")</x:f>
      </x:c>
      <x:c r="E62" s="80" t="str">
        <x:f>IF('05_Form_Qualite_Air'!$P62="Validé humainement",'05_Form_Qualite_Air'!E62,"")</x:f>
      </x:c>
      <x:c r="F62" s="80" t="str">
        <x:f>IF('05_Form_Qualite_Air'!$P62="Validé humainement",'05_Form_Qualite_Air'!F62,"")</x:f>
      </x:c>
      <x:c r="G62" s="80" t="str">
        <x:f>IF('05_Form_Qualite_Air'!$P62="Validé humainement",'05_Form_Qualite_Air'!G62,"")</x:f>
      </x:c>
      <x:c r="H62" s="80" t="str">
        <x:f>IF('05_Form_Qualite_Air'!$P62="Validé humainement",'05_Form_Qualite_Air'!H62,"")</x:f>
      </x:c>
      <x:c r="I62" s="80" t="str">
        <x:f>IF('05_Form_Qualite_Air'!$P62="Validé humainement",'05_Form_Qualite_Air'!I62,"")</x:f>
      </x:c>
      <x:c r="J62" s="80" t="str">
        <x:f>IF('05_Form_Qualite_Air'!$P62="Validé humainement",'05_Form_Qualite_Air'!J62,"")</x:f>
      </x:c>
      <x:c r="K62" s="80" t="str">
        <x:f>IF('05_Form_Qualite_Air'!$P62="Validé humainement",'05_Form_Qualite_Air'!K62,"")</x:f>
      </x:c>
      <x:c r="L62" s="76" t="str">
        <x:f>IF('05_Form_Qualite_Air'!$P62="Validé humainement",'05_Form_Qualite_Air'!L62,"")</x:f>
      </x:c>
      <x:c r="M62" s="76" t="str">
        <x:f>IF('05_Form_Qualite_Air'!$P62="Validé humainement",'05_Form_Qualite_Air'!M62,"")</x:f>
      </x:c>
      <x:c r="N62" s="76" t="str">
        <x:f>IF('05_Form_Qualite_Air'!$P62="Validé humainement",'05_Form_Qualite_Air'!N62,"")</x:f>
      </x:c>
      <x:c r="O62" s="76" t="str">
        <x:f>IF('05_Form_Qualite_Air'!$P62="Validé humainement",'05_Form_Qualite_Air'!O62,"")</x:f>
      </x:c>
      <x:c r="P62" s="76" t="str">
        <x:f>IF('05_Form_Qualite_Air'!$P62="Validé humainement",'05_Form_Qualite_Air'!P62,"")</x:f>
      </x:c>
      <x:c r="Q62" s="78" t="str">
        <x:f>IF('05_Form_Qualite_Air'!$P62="Validé humainement",'05_Form_Qualite_Air'!Q62,"")</x:f>
      </x:c>
      <x:c r="R62" s="76" t="str">
        <x:f>IF('05_Form_Qualite_Air'!$P62="Validé humainement",'05_Form_Qualite_Air'!R62,"")</x:f>
      </x:c>
      <x:c r="S62" s="76" t="str">
        <x:f>IF('05_Form_Qualite_Air'!$P62="Validé humainement",'05_Form_Qualite_Air'!S62,"")</x:f>
      </x:c>
      <x:c r="T62" s="76" t="str">
        <x:f>IF('05_Form_Qualite_Air'!$P62="Validé humainement",'05_Form_Qualite_Air'!T62,"")</x:f>
      </x:c>
    </x:row>
    <x:row r="63">
      <x:c r="A63" s="76" t="str">
        <x:f>IF('05_Form_Qualite_Air'!$P63="Validé humainement",'05_Form_Qualite_Air'!A63,"")</x:f>
      </x:c>
      <x:c r="B63" s="76" t="str">
        <x:f>IF('05_Form_Qualite_Air'!$P63="Validé humainement",'05_Form_Qualite_Air'!B63,"")</x:f>
      </x:c>
      <x:c r="C63" s="76" t="str">
        <x:f>IF('05_Form_Qualite_Air'!$P63="Validé humainement",'05_Form_Qualite_Air'!C63,"")</x:f>
      </x:c>
      <x:c r="D63" s="76" t="str">
        <x:f>IF('05_Form_Qualite_Air'!$P63="Validé humainement",'05_Form_Qualite_Air'!D63,"")</x:f>
      </x:c>
      <x:c r="E63" s="80" t="str">
        <x:f>IF('05_Form_Qualite_Air'!$P63="Validé humainement",'05_Form_Qualite_Air'!E63,"")</x:f>
      </x:c>
      <x:c r="F63" s="80" t="str">
        <x:f>IF('05_Form_Qualite_Air'!$P63="Validé humainement",'05_Form_Qualite_Air'!F63,"")</x:f>
      </x:c>
      <x:c r="G63" s="80" t="str">
        <x:f>IF('05_Form_Qualite_Air'!$P63="Validé humainement",'05_Form_Qualite_Air'!G63,"")</x:f>
      </x:c>
      <x:c r="H63" s="80" t="str">
        <x:f>IF('05_Form_Qualite_Air'!$P63="Validé humainement",'05_Form_Qualite_Air'!H63,"")</x:f>
      </x:c>
      <x:c r="I63" s="80" t="str">
        <x:f>IF('05_Form_Qualite_Air'!$P63="Validé humainement",'05_Form_Qualite_Air'!I63,"")</x:f>
      </x:c>
      <x:c r="J63" s="80" t="str">
        <x:f>IF('05_Form_Qualite_Air'!$P63="Validé humainement",'05_Form_Qualite_Air'!J63,"")</x:f>
      </x:c>
      <x:c r="K63" s="80" t="str">
        <x:f>IF('05_Form_Qualite_Air'!$P63="Validé humainement",'05_Form_Qualite_Air'!K63,"")</x:f>
      </x:c>
      <x:c r="L63" s="76" t="str">
        <x:f>IF('05_Form_Qualite_Air'!$P63="Validé humainement",'05_Form_Qualite_Air'!L63,"")</x:f>
      </x:c>
      <x:c r="M63" s="76" t="str">
        <x:f>IF('05_Form_Qualite_Air'!$P63="Validé humainement",'05_Form_Qualite_Air'!M63,"")</x:f>
      </x:c>
      <x:c r="N63" s="76" t="str">
        <x:f>IF('05_Form_Qualite_Air'!$P63="Validé humainement",'05_Form_Qualite_Air'!N63,"")</x:f>
      </x:c>
      <x:c r="O63" s="76" t="str">
        <x:f>IF('05_Form_Qualite_Air'!$P63="Validé humainement",'05_Form_Qualite_Air'!O63,"")</x:f>
      </x:c>
      <x:c r="P63" s="76" t="str">
        <x:f>IF('05_Form_Qualite_Air'!$P63="Validé humainement",'05_Form_Qualite_Air'!P63,"")</x:f>
      </x:c>
      <x:c r="Q63" s="78" t="str">
        <x:f>IF('05_Form_Qualite_Air'!$P63="Validé humainement",'05_Form_Qualite_Air'!Q63,"")</x:f>
      </x:c>
      <x:c r="R63" s="76" t="str">
        <x:f>IF('05_Form_Qualite_Air'!$P63="Validé humainement",'05_Form_Qualite_Air'!R63,"")</x:f>
      </x:c>
      <x:c r="S63" s="76" t="str">
        <x:f>IF('05_Form_Qualite_Air'!$P63="Validé humainement",'05_Form_Qualite_Air'!S63,"")</x:f>
      </x:c>
      <x:c r="T63" s="76" t="str">
        <x:f>IF('05_Form_Qualite_Air'!$P63="Validé humainement",'05_Form_Qualite_Air'!T63,"")</x:f>
      </x:c>
    </x:row>
    <x:row r="64">
      <x:c r="A64" s="76" t="str">
        <x:f>IF('05_Form_Qualite_Air'!$P64="Validé humainement",'05_Form_Qualite_Air'!A64,"")</x:f>
      </x:c>
      <x:c r="B64" s="76" t="str">
        <x:f>IF('05_Form_Qualite_Air'!$P64="Validé humainement",'05_Form_Qualite_Air'!B64,"")</x:f>
      </x:c>
      <x:c r="C64" s="76" t="str">
        <x:f>IF('05_Form_Qualite_Air'!$P64="Validé humainement",'05_Form_Qualite_Air'!C64,"")</x:f>
      </x:c>
      <x:c r="D64" s="76" t="str">
        <x:f>IF('05_Form_Qualite_Air'!$P64="Validé humainement",'05_Form_Qualite_Air'!D64,"")</x:f>
      </x:c>
      <x:c r="E64" s="80" t="str">
        <x:f>IF('05_Form_Qualite_Air'!$P64="Validé humainement",'05_Form_Qualite_Air'!E64,"")</x:f>
      </x:c>
      <x:c r="F64" s="80" t="str">
        <x:f>IF('05_Form_Qualite_Air'!$P64="Validé humainement",'05_Form_Qualite_Air'!F64,"")</x:f>
      </x:c>
      <x:c r="G64" s="80" t="str">
        <x:f>IF('05_Form_Qualite_Air'!$P64="Validé humainement",'05_Form_Qualite_Air'!G64,"")</x:f>
      </x:c>
      <x:c r="H64" s="80" t="str">
        <x:f>IF('05_Form_Qualite_Air'!$P64="Validé humainement",'05_Form_Qualite_Air'!H64,"")</x:f>
      </x:c>
      <x:c r="I64" s="80" t="str">
        <x:f>IF('05_Form_Qualite_Air'!$P64="Validé humainement",'05_Form_Qualite_Air'!I64,"")</x:f>
      </x:c>
      <x:c r="J64" s="80" t="str">
        <x:f>IF('05_Form_Qualite_Air'!$P64="Validé humainement",'05_Form_Qualite_Air'!J64,"")</x:f>
      </x:c>
      <x:c r="K64" s="80" t="str">
        <x:f>IF('05_Form_Qualite_Air'!$P64="Validé humainement",'05_Form_Qualite_Air'!K64,"")</x:f>
      </x:c>
      <x:c r="L64" s="76" t="str">
        <x:f>IF('05_Form_Qualite_Air'!$P64="Validé humainement",'05_Form_Qualite_Air'!L64,"")</x:f>
      </x:c>
      <x:c r="M64" s="76" t="str">
        <x:f>IF('05_Form_Qualite_Air'!$P64="Validé humainement",'05_Form_Qualite_Air'!M64,"")</x:f>
      </x:c>
      <x:c r="N64" s="76" t="str">
        <x:f>IF('05_Form_Qualite_Air'!$P64="Validé humainement",'05_Form_Qualite_Air'!N64,"")</x:f>
      </x:c>
      <x:c r="O64" s="76" t="str">
        <x:f>IF('05_Form_Qualite_Air'!$P64="Validé humainement",'05_Form_Qualite_Air'!O64,"")</x:f>
      </x:c>
      <x:c r="P64" s="76" t="str">
        <x:f>IF('05_Form_Qualite_Air'!$P64="Validé humainement",'05_Form_Qualite_Air'!P64,"")</x:f>
      </x:c>
      <x:c r="Q64" s="78" t="str">
        <x:f>IF('05_Form_Qualite_Air'!$P64="Validé humainement",'05_Form_Qualite_Air'!Q64,"")</x:f>
      </x:c>
      <x:c r="R64" s="76" t="str">
        <x:f>IF('05_Form_Qualite_Air'!$P64="Validé humainement",'05_Form_Qualite_Air'!R64,"")</x:f>
      </x:c>
      <x:c r="S64" s="76" t="str">
        <x:f>IF('05_Form_Qualite_Air'!$P64="Validé humainement",'05_Form_Qualite_Air'!S64,"")</x:f>
      </x:c>
      <x:c r="T64" s="76" t="str">
        <x:f>IF('05_Form_Qualite_Air'!$P64="Validé humainement",'05_Form_Qualite_Air'!T64,"")</x:f>
      </x:c>
    </x:row>
    <x:row r="65">
      <x:c r="A65" s="76" t="str">
        <x:f>IF('05_Form_Qualite_Air'!$P65="Validé humainement",'05_Form_Qualite_Air'!A65,"")</x:f>
      </x:c>
      <x:c r="B65" s="76" t="str">
        <x:f>IF('05_Form_Qualite_Air'!$P65="Validé humainement",'05_Form_Qualite_Air'!B65,"")</x:f>
      </x:c>
      <x:c r="C65" s="76" t="str">
        <x:f>IF('05_Form_Qualite_Air'!$P65="Validé humainement",'05_Form_Qualite_Air'!C65,"")</x:f>
      </x:c>
      <x:c r="D65" s="76" t="str">
        <x:f>IF('05_Form_Qualite_Air'!$P65="Validé humainement",'05_Form_Qualite_Air'!D65,"")</x:f>
      </x:c>
      <x:c r="E65" s="80" t="str">
        <x:f>IF('05_Form_Qualite_Air'!$P65="Validé humainement",'05_Form_Qualite_Air'!E65,"")</x:f>
      </x:c>
      <x:c r="F65" s="80" t="str">
        <x:f>IF('05_Form_Qualite_Air'!$P65="Validé humainement",'05_Form_Qualite_Air'!F65,"")</x:f>
      </x:c>
      <x:c r="G65" s="80" t="str">
        <x:f>IF('05_Form_Qualite_Air'!$P65="Validé humainement",'05_Form_Qualite_Air'!G65,"")</x:f>
      </x:c>
      <x:c r="H65" s="80" t="str">
        <x:f>IF('05_Form_Qualite_Air'!$P65="Validé humainement",'05_Form_Qualite_Air'!H65,"")</x:f>
      </x:c>
      <x:c r="I65" s="80" t="str">
        <x:f>IF('05_Form_Qualite_Air'!$P65="Validé humainement",'05_Form_Qualite_Air'!I65,"")</x:f>
      </x:c>
      <x:c r="J65" s="80" t="str">
        <x:f>IF('05_Form_Qualite_Air'!$P65="Validé humainement",'05_Form_Qualite_Air'!J65,"")</x:f>
      </x:c>
      <x:c r="K65" s="80" t="str">
        <x:f>IF('05_Form_Qualite_Air'!$P65="Validé humainement",'05_Form_Qualite_Air'!K65,"")</x:f>
      </x:c>
      <x:c r="L65" s="76" t="str">
        <x:f>IF('05_Form_Qualite_Air'!$P65="Validé humainement",'05_Form_Qualite_Air'!L65,"")</x:f>
      </x:c>
      <x:c r="M65" s="76" t="str">
        <x:f>IF('05_Form_Qualite_Air'!$P65="Validé humainement",'05_Form_Qualite_Air'!M65,"")</x:f>
      </x:c>
      <x:c r="N65" s="76" t="str">
        <x:f>IF('05_Form_Qualite_Air'!$P65="Validé humainement",'05_Form_Qualite_Air'!N65,"")</x:f>
      </x:c>
      <x:c r="O65" s="76" t="str">
        <x:f>IF('05_Form_Qualite_Air'!$P65="Validé humainement",'05_Form_Qualite_Air'!O65,"")</x:f>
      </x:c>
      <x:c r="P65" s="76" t="str">
        <x:f>IF('05_Form_Qualite_Air'!$P65="Validé humainement",'05_Form_Qualite_Air'!P65,"")</x:f>
      </x:c>
      <x:c r="Q65" s="78" t="str">
        <x:f>IF('05_Form_Qualite_Air'!$P65="Validé humainement",'05_Form_Qualite_Air'!Q65,"")</x:f>
      </x:c>
      <x:c r="R65" s="76" t="str">
        <x:f>IF('05_Form_Qualite_Air'!$P65="Validé humainement",'05_Form_Qualite_Air'!R65,"")</x:f>
      </x:c>
      <x:c r="S65" s="76" t="str">
        <x:f>IF('05_Form_Qualite_Air'!$P65="Validé humainement",'05_Form_Qualite_Air'!S65,"")</x:f>
      </x:c>
      <x:c r="T65" s="76" t="str">
        <x:f>IF('05_Form_Qualite_Air'!$P65="Validé humainement",'05_Form_Qualite_Air'!T65,"")</x:f>
      </x:c>
    </x:row>
    <x:row r="66">
      <x:c r="A66" s="76" t="str">
        <x:f>IF('05_Form_Qualite_Air'!$P66="Validé humainement",'05_Form_Qualite_Air'!A66,"")</x:f>
      </x:c>
      <x:c r="B66" s="76" t="str">
        <x:f>IF('05_Form_Qualite_Air'!$P66="Validé humainement",'05_Form_Qualite_Air'!B66,"")</x:f>
      </x:c>
      <x:c r="C66" s="76" t="str">
        <x:f>IF('05_Form_Qualite_Air'!$P66="Validé humainement",'05_Form_Qualite_Air'!C66,"")</x:f>
      </x:c>
      <x:c r="D66" s="76" t="str">
        <x:f>IF('05_Form_Qualite_Air'!$P66="Validé humainement",'05_Form_Qualite_Air'!D66,"")</x:f>
      </x:c>
      <x:c r="E66" s="80" t="str">
        <x:f>IF('05_Form_Qualite_Air'!$P66="Validé humainement",'05_Form_Qualite_Air'!E66,"")</x:f>
      </x:c>
      <x:c r="F66" s="80" t="str">
        <x:f>IF('05_Form_Qualite_Air'!$P66="Validé humainement",'05_Form_Qualite_Air'!F66,"")</x:f>
      </x:c>
      <x:c r="G66" s="80" t="str">
        <x:f>IF('05_Form_Qualite_Air'!$P66="Validé humainement",'05_Form_Qualite_Air'!G66,"")</x:f>
      </x:c>
      <x:c r="H66" s="80" t="str">
        <x:f>IF('05_Form_Qualite_Air'!$P66="Validé humainement",'05_Form_Qualite_Air'!H66,"")</x:f>
      </x:c>
      <x:c r="I66" s="80" t="str">
        <x:f>IF('05_Form_Qualite_Air'!$P66="Validé humainement",'05_Form_Qualite_Air'!I66,"")</x:f>
      </x:c>
      <x:c r="J66" s="80" t="str">
        <x:f>IF('05_Form_Qualite_Air'!$P66="Validé humainement",'05_Form_Qualite_Air'!J66,"")</x:f>
      </x:c>
      <x:c r="K66" s="80" t="str">
        <x:f>IF('05_Form_Qualite_Air'!$P66="Validé humainement",'05_Form_Qualite_Air'!K66,"")</x:f>
      </x:c>
      <x:c r="L66" s="76" t="str">
        <x:f>IF('05_Form_Qualite_Air'!$P66="Validé humainement",'05_Form_Qualite_Air'!L66,"")</x:f>
      </x:c>
      <x:c r="M66" s="76" t="str">
        <x:f>IF('05_Form_Qualite_Air'!$P66="Validé humainement",'05_Form_Qualite_Air'!M66,"")</x:f>
      </x:c>
      <x:c r="N66" s="76" t="str">
        <x:f>IF('05_Form_Qualite_Air'!$P66="Validé humainement",'05_Form_Qualite_Air'!N66,"")</x:f>
      </x:c>
      <x:c r="O66" s="76" t="str">
        <x:f>IF('05_Form_Qualite_Air'!$P66="Validé humainement",'05_Form_Qualite_Air'!O66,"")</x:f>
      </x:c>
      <x:c r="P66" s="76" t="str">
        <x:f>IF('05_Form_Qualite_Air'!$P66="Validé humainement",'05_Form_Qualite_Air'!P66,"")</x:f>
      </x:c>
      <x:c r="Q66" s="78" t="str">
        <x:f>IF('05_Form_Qualite_Air'!$P66="Validé humainement",'05_Form_Qualite_Air'!Q66,"")</x:f>
      </x:c>
      <x:c r="R66" s="76" t="str">
        <x:f>IF('05_Form_Qualite_Air'!$P66="Validé humainement",'05_Form_Qualite_Air'!R66,"")</x:f>
      </x:c>
      <x:c r="S66" s="76" t="str">
        <x:f>IF('05_Form_Qualite_Air'!$P66="Validé humainement",'05_Form_Qualite_Air'!S66,"")</x:f>
      </x:c>
      <x:c r="T66" s="76" t="str">
        <x:f>IF('05_Form_Qualite_Air'!$P66="Validé humainement",'05_Form_Qualite_Air'!T66,"")</x:f>
      </x:c>
    </x:row>
    <x:row r="67">
      <x:c r="A67" s="76" t="str">
        <x:f>IF('05_Form_Qualite_Air'!$P67="Validé humainement",'05_Form_Qualite_Air'!A67,"")</x:f>
      </x:c>
      <x:c r="B67" s="76" t="str">
        <x:f>IF('05_Form_Qualite_Air'!$P67="Validé humainement",'05_Form_Qualite_Air'!B67,"")</x:f>
      </x:c>
      <x:c r="C67" s="76" t="str">
        <x:f>IF('05_Form_Qualite_Air'!$P67="Validé humainement",'05_Form_Qualite_Air'!C67,"")</x:f>
      </x:c>
      <x:c r="D67" s="76" t="str">
        <x:f>IF('05_Form_Qualite_Air'!$P67="Validé humainement",'05_Form_Qualite_Air'!D67,"")</x:f>
      </x:c>
      <x:c r="E67" s="80" t="str">
        <x:f>IF('05_Form_Qualite_Air'!$P67="Validé humainement",'05_Form_Qualite_Air'!E67,"")</x:f>
      </x:c>
      <x:c r="F67" s="80" t="str">
        <x:f>IF('05_Form_Qualite_Air'!$P67="Validé humainement",'05_Form_Qualite_Air'!F67,"")</x:f>
      </x:c>
      <x:c r="G67" s="80" t="str">
        <x:f>IF('05_Form_Qualite_Air'!$P67="Validé humainement",'05_Form_Qualite_Air'!G67,"")</x:f>
      </x:c>
      <x:c r="H67" s="80" t="str">
        <x:f>IF('05_Form_Qualite_Air'!$P67="Validé humainement",'05_Form_Qualite_Air'!H67,"")</x:f>
      </x:c>
      <x:c r="I67" s="80" t="str">
        <x:f>IF('05_Form_Qualite_Air'!$P67="Validé humainement",'05_Form_Qualite_Air'!I67,"")</x:f>
      </x:c>
      <x:c r="J67" s="80" t="str">
        <x:f>IF('05_Form_Qualite_Air'!$P67="Validé humainement",'05_Form_Qualite_Air'!J67,"")</x:f>
      </x:c>
      <x:c r="K67" s="80" t="str">
        <x:f>IF('05_Form_Qualite_Air'!$P67="Validé humainement",'05_Form_Qualite_Air'!K67,"")</x:f>
      </x:c>
      <x:c r="L67" s="76" t="str">
        <x:f>IF('05_Form_Qualite_Air'!$P67="Validé humainement",'05_Form_Qualite_Air'!L67,"")</x:f>
      </x:c>
      <x:c r="M67" s="76" t="str">
        <x:f>IF('05_Form_Qualite_Air'!$P67="Validé humainement",'05_Form_Qualite_Air'!M67,"")</x:f>
      </x:c>
      <x:c r="N67" s="76" t="str">
        <x:f>IF('05_Form_Qualite_Air'!$P67="Validé humainement",'05_Form_Qualite_Air'!N67,"")</x:f>
      </x:c>
      <x:c r="O67" s="76" t="str">
        <x:f>IF('05_Form_Qualite_Air'!$P67="Validé humainement",'05_Form_Qualite_Air'!O67,"")</x:f>
      </x:c>
      <x:c r="P67" s="76" t="str">
        <x:f>IF('05_Form_Qualite_Air'!$P67="Validé humainement",'05_Form_Qualite_Air'!P67,"")</x:f>
      </x:c>
      <x:c r="Q67" s="78" t="str">
        <x:f>IF('05_Form_Qualite_Air'!$P67="Validé humainement",'05_Form_Qualite_Air'!Q67,"")</x:f>
      </x:c>
      <x:c r="R67" s="76" t="str">
        <x:f>IF('05_Form_Qualite_Air'!$P67="Validé humainement",'05_Form_Qualite_Air'!R67,"")</x:f>
      </x:c>
      <x:c r="S67" s="76" t="str">
        <x:f>IF('05_Form_Qualite_Air'!$P67="Validé humainement",'05_Form_Qualite_Air'!S67,"")</x:f>
      </x:c>
      <x:c r="T67" s="76" t="str">
        <x:f>IF('05_Form_Qualite_Air'!$P67="Validé humainement",'05_Form_Qualite_Air'!T67,"")</x:f>
      </x:c>
    </x:row>
    <x:row r="68">
      <x:c r="A68" s="76" t="str">
        <x:f>IF('05_Form_Qualite_Air'!$P68="Validé humainement",'05_Form_Qualite_Air'!A68,"")</x:f>
      </x:c>
      <x:c r="B68" s="76" t="str">
        <x:f>IF('05_Form_Qualite_Air'!$P68="Validé humainement",'05_Form_Qualite_Air'!B68,"")</x:f>
      </x:c>
      <x:c r="C68" s="76" t="str">
        <x:f>IF('05_Form_Qualite_Air'!$P68="Validé humainement",'05_Form_Qualite_Air'!C68,"")</x:f>
      </x:c>
      <x:c r="D68" s="76" t="str">
        <x:f>IF('05_Form_Qualite_Air'!$P68="Validé humainement",'05_Form_Qualite_Air'!D68,"")</x:f>
      </x:c>
      <x:c r="E68" s="80" t="str">
        <x:f>IF('05_Form_Qualite_Air'!$P68="Validé humainement",'05_Form_Qualite_Air'!E68,"")</x:f>
      </x:c>
      <x:c r="F68" s="80" t="str">
        <x:f>IF('05_Form_Qualite_Air'!$P68="Validé humainement",'05_Form_Qualite_Air'!F68,"")</x:f>
      </x:c>
      <x:c r="G68" s="80" t="str">
        <x:f>IF('05_Form_Qualite_Air'!$P68="Validé humainement",'05_Form_Qualite_Air'!G68,"")</x:f>
      </x:c>
      <x:c r="H68" s="80" t="str">
        <x:f>IF('05_Form_Qualite_Air'!$P68="Validé humainement",'05_Form_Qualite_Air'!H68,"")</x:f>
      </x:c>
      <x:c r="I68" s="80" t="str">
        <x:f>IF('05_Form_Qualite_Air'!$P68="Validé humainement",'05_Form_Qualite_Air'!I68,"")</x:f>
      </x:c>
      <x:c r="J68" s="80" t="str">
        <x:f>IF('05_Form_Qualite_Air'!$P68="Validé humainement",'05_Form_Qualite_Air'!J68,"")</x:f>
      </x:c>
      <x:c r="K68" s="80" t="str">
        <x:f>IF('05_Form_Qualite_Air'!$P68="Validé humainement",'05_Form_Qualite_Air'!K68,"")</x:f>
      </x:c>
      <x:c r="L68" s="76" t="str">
        <x:f>IF('05_Form_Qualite_Air'!$P68="Validé humainement",'05_Form_Qualite_Air'!L68,"")</x:f>
      </x:c>
      <x:c r="M68" s="76" t="str">
        <x:f>IF('05_Form_Qualite_Air'!$P68="Validé humainement",'05_Form_Qualite_Air'!M68,"")</x:f>
      </x:c>
      <x:c r="N68" s="76" t="str">
        <x:f>IF('05_Form_Qualite_Air'!$P68="Validé humainement",'05_Form_Qualite_Air'!N68,"")</x:f>
      </x:c>
      <x:c r="O68" s="76" t="str">
        <x:f>IF('05_Form_Qualite_Air'!$P68="Validé humainement",'05_Form_Qualite_Air'!O68,"")</x:f>
      </x:c>
      <x:c r="P68" s="76" t="str">
        <x:f>IF('05_Form_Qualite_Air'!$P68="Validé humainement",'05_Form_Qualite_Air'!P68,"")</x:f>
      </x:c>
      <x:c r="Q68" s="78" t="str">
        <x:f>IF('05_Form_Qualite_Air'!$P68="Validé humainement",'05_Form_Qualite_Air'!Q68,"")</x:f>
      </x:c>
      <x:c r="R68" s="76" t="str">
        <x:f>IF('05_Form_Qualite_Air'!$P68="Validé humainement",'05_Form_Qualite_Air'!R68,"")</x:f>
      </x:c>
      <x:c r="S68" s="76" t="str">
        <x:f>IF('05_Form_Qualite_Air'!$P68="Validé humainement",'05_Form_Qualite_Air'!S68,"")</x:f>
      </x:c>
      <x:c r="T68" s="76" t="str">
        <x:f>IF('05_Form_Qualite_Air'!$P68="Validé humainement",'05_Form_Qualite_Air'!T68,"")</x:f>
      </x:c>
    </x:row>
    <x:row r="69">
      <x:c r="A69" s="76" t="str">
        <x:f>IF('05_Form_Qualite_Air'!$P69="Validé humainement",'05_Form_Qualite_Air'!A69,"")</x:f>
      </x:c>
      <x:c r="B69" s="76" t="str">
        <x:f>IF('05_Form_Qualite_Air'!$P69="Validé humainement",'05_Form_Qualite_Air'!B69,"")</x:f>
      </x:c>
      <x:c r="C69" s="76" t="str">
        <x:f>IF('05_Form_Qualite_Air'!$P69="Validé humainement",'05_Form_Qualite_Air'!C69,"")</x:f>
      </x:c>
      <x:c r="D69" s="76" t="str">
        <x:f>IF('05_Form_Qualite_Air'!$P69="Validé humainement",'05_Form_Qualite_Air'!D69,"")</x:f>
      </x:c>
      <x:c r="E69" s="80" t="str">
        <x:f>IF('05_Form_Qualite_Air'!$P69="Validé humainement",'05_Form_Qualite_Air'!E69,"")</x:f>
      </x:c>
      <x:c r="F69" s="80" t="str">
        <x:f>IF('05_Form_Qualite_Air'!$P69="Validé humainement",'05_Form_Qualite_Air'!F69,"")</x:f>
      </x:c>
      <x:c r="G69" s="80" t="str">
        <x:f>IF('05_Form_Qualite_Air'!$P69="Validé humainement",'05_Form_Qualite_Air'!G69,"")</x:f>
      </x:c>
      <x:c r="H69" s="80" t="str">
        <x:f>IF('05_Form_Qualite_Air'!$P69="Validé humainement",'05_Form_Qualite_Air'!H69,"")</x:f>
      </x:c>
      <x:c r="I69" s="80" t="str">
        <x:f>IF('05_Form_Qualite_Air'!$P69="Validé humainement",'05_Form_Qualite_Air'!I69,"")</x:f>
      </x:c>
      <x:c r="J69" s="80" t="str">
        <x:f>IF('05_Form_Qualite_Air'!$P69="Validé humainement",'05_Form_Qualite_Air'!J69,"")</x:f>
      </x:c>
      <x:c r="K69" s="80" t="str">
        <x:f>IF('05_Form_Qualite_Air'!$P69="Validé humainement",'05_Form_Qualite_Air'!K69,"")</x:f>
      </x:c>
      <x:c r="L69" s="76" t="str">
        <x:f>IF('05_Form_Qualite_Air'!$P69="Validé humainement",'05_Form_Qualite_Air'!L69,"")</x:f>
      </x:c>
      <x:c r="M69" s="76" t="str">
        <x:f>IF('05_Form_Qualite_Air'!$P69="Validé humainement",'05_Form_Qualite_Air'!M69,"")</x:f>
      </x:c>
      <x:c r="N69" s="76" t="str">
        <x:f>IF('05_Form_Qualite_Air'!$P69="Validé humainement",'05_Form_Qualite_Air'!N69,"")</x:f>
      </x:c>
      <x:c r="O69" s="76" t="str">
        <x:f>IF('05_Form_Qualite_Air'!$P69="Validé humainement",'05_Form_Qualite_Air'!O69,"")</x:f>
      </x:c>
      <x:c r="P69" s="76" t="str">
        <x:f>IF('05_Form_Qualite_Air'!$P69="Validé humainement",'05_Form_Qualite_Air'!P69,"")</x:f>
      </x:c>
      <x:c r="Q69" s="78" t="str">
        <x:f>IF('05_Form_Qualite_Air'!$P69="Validé humainement",'05_Form_Qualite_Air'!Q69,"")</x:f>
      </x:c>
      <x:c r="R69" s="76" t="str">
        <x:f>IF('05_Form_Qualite_Air'!$P69="Validé humainement",'05_Form_Qualite_Air'!R69,"")</x:f>
      </x:c>
      <x:c r="S69" s="76" t="str">
        <x:f>IF('05_Form_Qualite_Air'!$P69="Validé humainement",'05_Form_Qualite_Air'!S69,"")</x:f>
      </x:c>
      <x:c r="T69" s="76" t="str">
        <x:f>IF('05_Form_Qualite_Air'!$P69="Validé humainement",'05_Form_Qualite_Air'!T69,"")</x:f>
      </x:c>
    </x:row>
    <x:row r="70">
      <x:c r="A70" s="76" t="str">
        <x:f>IF('05_Form_Qualite_Air'!$P70="Validé humainement",'05_Form_Qualite_Air'!A70,"")</x:f>
      </x:c>
      <x:c r="B70" s="76" t="str">
        <x:f>IF('05_Form_Qualite_Air'!$P70="Validé humainement",'05_Form_Qualite_Air'!B70,"")</x:f>
      </x:c>
      <x:c r="C70" s="76" t="str">
        <x:f>IF('05_Form_Qualite_Air'!$P70="Validé humainement",'05_Form_Qualite_Air'!C70,"")</x:f>
      </x:c>
      <x:c r="D70" s="76" t="str">
        <x:f>IF('05_Form_Qualite_Air'!$P70="Validé humainement",'05_Form_Qualite_Air'!D70,"")</x:f>
      </x:c>
      <x:c r="E70" s="80" t="str">
        <x:f>IF('05_Form_Qualite_Air'!$P70="Validé humainement",'05_Form_Qualite_Air'!E70,"")</x:f>
      </x:c>
      <x:c r="F70" s="80" t="str">
        <x:f>IF('05_Form_Qualite_Air'!$P70="Validé humainement",'05_Form_Qualite_Air'!F70,"")</x:f>
      </x:c>
      <x:c r="G70" s="80" t="str">
        <x:f>IF('05_Form_Qualite_Air'!$P70="Validé humainement",'05_Form_Qualite_Air'!G70,"")</x:f>
      </x:c>
      <x:c r="H70" s="80" t="str">
        <x:f>IF('05_Form_Qualite_Air'!$P70="Validé humainement",'05_Form_Qualite_Air'!H70,"")</x:f>
      </x:c>
      <x:c r="I70" s="80" t="str">
        <x:f>IF('05_Form_Qualite_Air'!$P70="Validé humainement",'05_Form_Qualite_Air'!I70,"")</x:f>
      </x:c>
      <x:c r="J70" s="80" t="str">
        <x:f>IF('05_Form_Qualite_Air'!$P70="Validé humainement",'05_Form_Qualite_Air'!J70,"")</x:f>
      </x:c>
      <x:c r="K70" s="80" t="str">
        <x:f>IF('05_Form_Qualite_Air'!$P70="Validé humainement",'05_Form_Qualite_Air'!K70,"")</x:f>
      </x:c>
      <x:c r="L70" s="76" t="str">
        <x:f>IF('05_Form_Qualite_Air'!$P70="Validé humainement",'05_Form_Qualite_Air'!L70,"")</x:f>
      </x:c>
      <x:c r="M70" s="76" t="str">
        <x:f>IF('05_Form_Qualite_Air'!$P70="Validé humainement",'05_Form_Qualite_Air'!M70,"")</x:f>
      </x:c>
      <x:c r="N70" s="76" t="str">
        <x:f>IF('05_Form_Qualite_Air'!$P70="Validé humainement",'05_Form_Qualite_Air'!N70,"")</x:f>
      </x:c>
      <x:c r="O70" s="76" t="str">
        <x:f>IF('05_Form_Qualite_Air'!$P70="Validé humainement",'05_Form_Qualite_Air'!O70,"")</x:f>
      </x:c>
      <x:c r="P70" s="76" t="str">
        <x:f>IF('05_Form_Qualite_Air'!$P70="Validé humainement",'05_Form_Qualite_Air'!P70,"")</x:f>
      </x:c>
      <x:c r="Q70" s="78" t="str">
        <x:f>IF('05_Form_Qualite_Air'!$P70="Validé humainement",'05_Form_Qualite_Air'!Q70,"")</x:f>
      </x:c>
      <x:c r="R70" s="76" t="str">
        <x:f>IF('05_Form_Qualite_Air'!$P70="Validé humainement",'05_Form_Qualite_Air'!R70,"")</x:f>
      </x:c>
      <x:c r="S70" s="76" t="str">
        <x:f>IF('05_Form_Qualite_Air'!$P70="Validé humainement",'05_Form_Qualite_Air'!S70,"")</x:f>
      </x:c>
      <x:c r="T70" s="76" t="str">
        <x:f>IF('05_Form_Qualite_Air'!$P70="Validé humainement",'05_Form_Qualite_Air'!T70,"")</x:f>
      </x:c>
    </x:row>
    <x:row r="71">
      <x:c r="A71" s="76" t="str">
        <x:f>IF('05_Form_Qualite_Air'!$P71="Validé humainement",'05_Form_Qualite_Air'!A71,"")</x:f>
      </x:c>
      <x:c r="B71" s="76" t="str">
        <x:f>IF('05_Form_Qualite_Air'!$P71="Validé humainement",'05_Form_Qualite_Air'!B71,"")</x:f>
      </x:c>
      <x:c r="C71" s="76" t="str">
        <x:f>IF('05_Form_Qualite_Air'!$P71="Validé humainement",'05_Form_Qualite_Air'!C71,"")</x:f>
      </x:c>
      <x:c r="D71" s="76" t="str">
        <x:f>IF('05_Form_Qualite_Air'!$P71="Validé humainement",'05_Form_Qualite_Air'!D71,"")</x:f>
      </x:c>
      <x:c r="E71" s="80" t="str">
        <x:f>IF('05_Form_Qualite_Air'!$P71="Validé humainement",'05_Form_Qualite_Air'!E71,"")</x:f>
      </x:c>
      <x:c r="F71" s="80" t="str">
        <x:f>IF('05_Form_Qualite_Air'!$P71="Validé humainement",'05_Form_Qualite_Air'!F71,"")</x:f>
      </x:c>
      <x:c r="G71" s="80" t="str">
        <x:f>IF('05_Form_Qualite_Air'!$P71="Validé humainement",'05_Form_Qualite_Air'!G71,"")</x:f>
      </x:c>
      <x:c r="H71" s="80" t="str">
        <x:f>IF('05_Form_Qualite_Air'!$P71="Validé humainement",'05_Form_Qualite_Air'!H71,"")</x:f>
      </x:c>
      <x:c r="I71" s="80" t="str">
        <x:f>IF('05_Form_Qualite_Air'!$P71="Validé humainement",'05_Form_Qualite_Air'!I71,"")</x:f>
      </x:c>
      <x:c r="J71" s="80" t="str">
        <x:f>IF('05_Form_Qualite_Air'!$P71="Validé humainement",'05_Form_Qualite_Air'!J71,"")</x:f>
      </x:c>
      <x:c r="K71" s="80" t="str">
        <x:f>IF('05_Form_Qualite_Air'!$P71="Validé humainement",'05_Form_Qualite_Air'!K71,"")</x:f>
      </x:c>
      <x:c r="L71" s="76" t="str">
        <x:f>IF('05_Form_Qualite_Air'!$P71="Validé humainement",'05_Form_Qualite_Air'!L71,"")</x:f>
      </x:c>
      <x:c r="M71" s="76" t="str">
        <x:f>IF('05_Form_Qualite_Air'!$P71="Validé humainement",'05_Form_Qualite_Air'!M71,"")</x:f>
      </x:c>
      <x:c r="N71" s="76" t="str">
        <x:f>IF('05_Form_Qualite_Air'!$P71="Validé humainement",'05_Form_Qualite_Air'!N71,"")</x:f>
      </x:c>
      <x:c r="O71" s="76" t="str">
        <x:f>IF('05_Form_Qualite_Air'!$P71="Validé humainement",'05_Form_Qualite_Air'!O71,"")</x:f>
      </x:c>
      <x:c r="P71" s="76" t="str">
        <x:f>IF('05_Form_Qualite_Air'!$P71="Validé humainement",'05_Form_Qualite_Air'!P71,"")</x:f>
      </x:c>
      <x:c r="Q71" s="78" t="str">
        <x:f>IF('05_Form_Qualite_Air'!$P71="Validé humainement",'05_Form_Qualite_Air'!Q71,"")</x:f>
      </x:c>
      <x:c r="R71" s="76" t="str">
        <x:f>IF('05_Form_Qualite_Air'!$P71="Validé humainement",'05_Form_Qualite_Air'!R71,"")</x:f>
      </x:c>
      <x:c r="S71" s="76" t="str">
        <x:f>IF('05_Form_Qualite_Air'!$P71="Validé humainement",'05_Form_Qualite_Air'!S71,"")</x:f>
      </x:c>
      <x:c r="T71" s="76" t="str">
        <x:f>IF('05_Form_Qualite_Air'!$P71="Validé humainement",'05_Form_Qualite_Air'!T71,"")</x:f>
      </x:c>
    </x:row>
    <x:row r="72">
      <x:c r="A72" s="76" t="str">
        <x:f>IF('05_Form_Qualite_Air'!$P72="Validé humainement",'05_Form_Qualite_Air'!A72,"")</x:f>
      </x:c>
      <x:c r="B72" s="76" t="str">
        <x:f>IF('05_Form_Qualite_Air'!$P72="Validé humainement",'05_Form_Qualite_Air'!B72,"")</x:f>
      </x:c>
      <x:c r="C72" s="76" t="str">
        <x:f>IF('05_Form_Qualite_Air'!$P72="Validé humainement",'05_Form_Qualite_Air'!C72,"")</x:f>
      </x:c>
      <x:c r="D72" s="76" t="str">
        <x:f>IF('05_Form_Qualite_Air'!$P72="Validé humainement",'05_Form_Qualite_Air'!D72,"")</x:f>
      </x:c>
      <x:c r="E72" s="80" t="str">
        <x:f>IF('05_Form_Qualite_Air'!$P72="Validé humainement",'05_Form_Qualite_Air'!E72,"")</x:f>
      </x:c>
      <x:c r="F72" s="80" t="str">
        <x:f>IF('05_Form_Qualite_Air'!$P72="Validé humainement",'05_Form_Qualite_Air'!F72,"")</x:f>
      </x:c>
      <x:c r="G72" s="80" t="str">
        <x:f>IF('05_Form_Qualite_Air'!$P72="Validé humainement",'05_Form_Qualite_Air'!G72,"")</x:f>
      </x:c>
      <x:c r="H72" s="80" t="str">
        <x:f>IF('05_Form_Qualite_Air'!$P72="Validé humainement",'05_Form_Qualite_Air'!H72,"")</x:f>
      </x:c>
      <x:c r="I72" s="80" t="str">
        <x:f>IF('05_Form_Qualite_Air'!$P72="Validé humainement",'05_Form_Qualite_Air'!I72,"")</x:f>
      </x:c>
      <x:c r="J72" s="80" t="str">
        <x:f>IF('05_Form_Qualite_Air'!$P72="Validé humainement",'05_Form_Qualite_Air'!J72,"")</x:f>
      </x:c>
      <x:c r="K72" s="80" t="str">
        <x:f>IF('05_Form_Qualite_Air'!$P72="Validé humainement",'05_Form_Qualite_Air'!K72,"")</x:f>
      </x:c>
      <x:c r="L72" s="76" t="str">
        <x:f>IF('05_Form_Qualite_Air'!$P72="Validé humainement",'05_Form_Qualite_Air'!L72,"")</x:f>
      </x:c>
      <x:c r="M72" s="76" t="str">
        <x:f>IF('05_Form_Qualite_Air'!$P72="Validé humainement",'05_Form_Qualite_Air'!M72,"")</x:f>
      </x:c>
      <x:c r="N72" s="76" t="str">
        <x:f>IF('05_Form_Qualite_Air'!$P72="Validé humainement",'05_Form_Qualite_Air'!N72,"")</x:f>
      </x:c>
      <x:c r="O72" s="76" t="str">
        <x:f>IF('05_Form_Qualite_Air'!$P72="Validé humainement",'05_Form_Qualite_Air'!O72,"")</x:f>
      </x:c>
      <x:c r="P72" s="76" t="str">
        <x:f>IF('05_Form_Qualite_Air'!$P72="Validé humainement",'05_Form_Qualite_Air'!P72,"")</x:f>
      </x:c>
      <x:c r="Q72" s="78" t="str">
        <x:f>IF('05_Form_Qualite_Air'!$P72="Validé humainement",'05_Form_Qualite_Air'!Q72,"")</x:f>
      </x:c>
      <x:c r="R72" s="76" t="str">
        <x:f>IF('05_Form_Qualite_Air'!$P72="Validé humainement",'05_Form_Qualite_Air'!R72,"")</x:f>
      </x:c>
      <x:c r="S72" s="76" t="str">
        <x:f>IF('05_Form_Qualite_Air'!$P72="Validé humainement",'05_Form_Qualite_Air'!S72,"")</x:f>
      </x:c>
      <x:c r="T72" s="76" t="str">
        <x:f>IF('05_Form_Qualite_Air'!$P72="Validé humainement",'05_Form_Qualite_Air'!T72,"")</x:f>
      </x:c>
    </x:row>
    <x:row r="73">
      <x:c r="A73" s="76" t="str">
        <x:f>IF('05_Form_Qualite_Air'!$P73="Validé humainement",'05_Form_Qualite_Air'!A73,"")</x:f>
      </x:c>
      <x:c r="B73" s="76" t="str">
        <x:f>IF('05_Form_Qualite_Air'!$P73="Validé humainement",'05_Form_Qualite_Air'!B73,"")</x:f>
      </x:c>
      <x:c r="C73" s="76" t="str">
        <x:f>IF('05_Form_Qualite_Air'!$P73="Validé humainement",'05_Form_Qualite_Air'!C73,"")</x:f>
      </x:c>
      <x:c r="D73" s="76" t="str">
        <x:f>IF('05_Form_Qualite_Air'!$P73="Validé humainement",'05_Form_Qualite_Air'!D73,"")</x:f>
      </x:c>
      <x:c r="E73" s="80" t="str">
        <x:f>IF('05_Form_Qualite_Air'!$P73="Validé humainement",'05_Form_Qualite_Air'!E73,"")</x:f>
      </x:c>
      <x:c r="F73" s="80" t="str">
        <x:f>IF('05_Form_Qualite_Air'!$P73="Validé humainement",'05_Form_Qualite_Air'!F73,"")</x:f>
      </x:c>
      <x:c r="G73" s="80" t="str">
        <x:f>IF('05_Form_Qualite_Air'!$P73="Validé humainement",'05_Form_Qualite_Air'!G73,"")</x:f>
      </x:c>
      <x:c r="H73" s="80" t="str">
        <x:f>IF('05_Form_Qualite_Air'!$P73="Validé humainement",'05_Form_Qualite_Air'!H73,"")</x:f>
      </x:c>
      <x:c r="I73" s="80" t="str">
        <x:f>IF('05_Form_Qualite_Air'!$P73="Validé humainement",'05_Form_Qualite_Air'!I73,"")</x:f>
      </x:c>
      <x:c r="J73" s="80" t="str">
        <x:f>IF('05_Form_Qualite_Air'!$P73="Validé humainement",'05_Form_Qualite_Air'!J73,"")</x:f>
      </x:c>
      <x:c r="K73" s="80" t="str">
        <x:f>IF('05_Form_Qualite_Air'!$P73="Validé humainement",'05_Form_Qualite_Air'!K73,"")</x:f>
      </x:c>
      <x:c r="L73" s="76" t="str">
        <x:f>IF('05_Form_Qualite_Air'!$P73="Validé humainement",'05_Form_Qualite_Air'!L73,"")</x:f>
      </x:c>
      <x:c r="M73" s="76" t="str">
        <x:f>IF('05_Form_Qualite_Air'!$P73="Validé humainement",'05_Form_Qualite_Air'!M73,"")</x:f>
      </x:c>
      <x:c r="N73" s="76" t="str">
        <x:f>IF('05_Form_Qualite_Air'!$P73="Validé humainement",'05_Form_Qualite_Air'!N73,"")</x:f>
      </x:c>
      <x:c r="O73" s="76" t="str">
        <x:f>IF('05_Form_Qualite_Air'!$P73="Validé humainement",'05_Form_Qualite_Air'!O73,"")</x:f>
      </x:c>
      <x:c r="P73" s="76" t="str">
        <x:f>IF('05_Form_Qualite_Air'!$P73="Validé humainement",'05_Form_Qualite_Air'!P73,"")</x:f>
      </x:c>
      <x:c r="Q73" s="78" t="str">
        <x:f>IF('05_Form_Qualite_Air'!$P73="Validé humainement",'05_Form_Qualite_Air'!Q73,"")</x:f>
      </x:c>
      <x:c r="R73" s="76" t="str">
        <x:f>IF('05_Form_Qualite_Air'!$P73="Validé humainement",'05_Form_Qualite_Air'!R73,"")</x:f>
      </x:c>
      <x:c r="S73" s="76" t="str">
        <x:f>IF('05_Form_Qualite_Air'!$P73="Validé humainement",'05_Form_Qualite_Air'!S73,"")</x:f>
      </x:c>
      <x:c r="T73" s="76" t="str">
        <x:f>IF('05_Form_Qualite_Air'!$P73="Validé humainement",'05_Form_Qualite_Air'!T73,"")</x:f>
      </x:c>
    </x:row>
    <x:row r="74">
      <x:c r="A74" s="76" t="str">
        <x:f>IF('05_Form_Qualite_Air'!$P74="Validé humainement",'05_Form_Qualite_Air'!A74,"")</x:f>
      </x:c>
      <x:c r="B74" s="76" t="str">
        <x:f>IF('05_Form_Qualite_Air'!$P74="Validé humainement",'05_Form_Qualite_Air'!B74,"")</x:f>
      </x:c>
      <x:c r="C74" s="76" t="str">
        <x:f>IF('05_Form_Qualite_Air'!$P74="Validé humainement",'05_Form_Qualite_Air'!C74,"")</x:f>
      </x:c>
      <x:c r="D74" s="76" t="str">
        <x:f>IF('05_Form_Qualite_Air'!$P74="Validé humainement",'05_Form_Qualite_Air'!D74,"")</x:f>
      </x:c>
      <x:c r="E74" s="80" t="str">
        <x:f>IF('05_Form_Qualite_Air'!$P74="Validé humainement",'05_Form_Qualite_Air'!E74,"")</x:f>
      </x:c>
      <x:c r="F74" s="80" t="str">
        <x:f>IF('05_Form_Qualite_Air'!$P74="Validé humainement",'05_Form_Qualite_Air'!F74,"")</x:f>
      </x:c>
      <x:c r="G74" s="80" t="str">
        <x:f>IF('05_Form_Qualite_Air'!$P74="Validé humainement",'05_Form_Qualite_Air'!G74,"")</x:f>
      </x:c>
      <x:c r="H74" s="80" t="str">
        <x:f>IF('05_Form_Qualite_Air'!$P74="Validé humainement",'05_Form_Qualite_Air'!H74,"")</x:f>
      </x:c>
      <x:c r="I74" s="80" t="str">
        <x:f>IF('05_Form_Qualite_Air'!$P74="Validé humainement",'05_Form_Qualite_Air'!I74,"")</x:f>
      </x:c>
      <x:c r="J74" s="80" t="str">
        <x:f>IF('05_Form_Qualite_Air'!$P74="Validé humainement",'05_Form_Qualite_Air'!J74,"")</x:f>
      </x:c>
      <x:c r="K74" s="80" t="str">
        <x:f>IF('05_Form_Qualite_Air'!$P74="Validé humainement",'05_Form_Qualite_Air'!K74,"")</x:f>
      </x:c>
      <x:c r="L74" s="76" t="str">
        <x:f>IF('05_Form_Qualite_Air'!$P74="Validé humainement",'05_Form_Qualite_Air'!L74,"")</x:f>
      </x:c>
      <x:c r="M74" s="76" t="str">
        <x:f>IF('05_Form_Qualite_Air'!$P74="Validé humainement",'05_Form_Qualite_Air'!M74,"")</x:f>
      </x:c>
      <x:c r="N74" s="76" t="str">
        <x:f>IF('05_Form_Qualite_Air'!$P74="Validé humainement",'05_Form_Qualite_Air'!N74,"")</x:f>
      </x:c>
      <x:c r="O74" s="76" t="str">
        <x:f>IF('05_Form_Qualite_Air'!$P74="Validé humainement",'05_Form_Qualite_Air'!O74,"")</x:f>
      </x:c>
      <x:c r="P74" s="76" t="str">
        <x:f>IF('05_Form_Qualite_Air'!$P74="Validé humainement",'05_Form_Qualite_Air'!P74,"")</x:f>
      </x:c>
      <x:c r="Q74" s="78" t="str">
        <x:f>IF('05_Form_Qualite_Air'!$P74="Validé humainement",'05_Form_Qualite_Air'!Q74,"")</x:f>
      </x:c>
      <x:c r="R74" s="76" t="str">
        <x:f>IF('05_Form_Qualite_Air'!$P74="Validé humainement",'05_Form_Qualite_Air'!R74,"")</x:f>
      </x:c>
      <x:c r="S74" s="76" t="str">
        <x:f>IF('05_Form_Qualite_Air'!$P74="Validé humainement",'05_Form_Qualite_Air'!S74,"")</x:f>
      </x:c>
      <x:c r="T74" s="76" t="str">
        <x:f>IF('05_Form_Qualite_Air'!$P74="Validé humainement",'05_Form_Qualite_Air'!T74,"")</x:f>
      </x:c>
    </x:row>
    <x:row r="75">
      <x:c r="A75" s="76" t="str">
        <x:f>IF('05_Form_Qualite_Air'!$P75="Validé humainement",'05_Form_Qualite_Air'!A75,"")</x:f>
      </x:c>
      <x:c r="B75" s="76" t="str">
        <x:f>IF('05_Form_Qualite_Air'!$P75="Validé humainement",'05_Form_Qualite_Air'!B75,"")</x:f>
      </x:c>
      <x:c r="C75" s="76" t="str">
        <x:f>IF('05_Form_Qualite_Air'!$P75="Validé humainement",'05_Form_Qualite_Air'!C75,"")</x:f>
      </x:c>
      <x:c r="D75" s="76" t="str">
        <x:f>IF('05_Form_Qualite_Air'!$P75="Validé humainement",'05_Form_Qualite_Air'!D75,"")</x:f>
      </x:c>
      <x:c r="E75" s="80" t="str">
        <x:f>IF('05_Form_Qualite_Air'!$P75="Validé humainement",'05_Form_Qualite_Air'!E75,"")</x:f>
      </x:c>
      <x:c r="F75" s="80" t="str">
        <x:f>IF('05_Form_Qualite_Air'!$P75="Validé humainement",'05_Form_Qualite_Air'!F75,"")</x:f>
      </x:c>
      <x:c r="G75" s="80" t="str">
        <x:f>IF('05_Form_Qualite_Air'!$P75="Validé humainement",'05_Form_Qualite_Air'!G75,"")</x:f>
      </x:c>
      <x:c r="H75" s="80" t="str">
        <x:f>IF('05_Form_Qualite_Air'!$P75="Validé humainement",'05_Form_Qualite_Air'!H75,"")</x:f>
      </x:c>
      <x:c r="I75" s="80" t="str">
        <x:f>IF('05_Form_Qualite_Air'!$P75="Validé humainement",'05_Form_Qualite_Air'!I75,"")</x:f>
      </x:c>
      <x:c r="J75" s="80" t="str">
        <x:f>IF('05_Form_Qualite_Air'!$P75="Validé humainement",'05_Form_Qualite_Air'!J75,"")</x:f>
      </x:c>
      <x:c r="K75" s="80" t="str">
        <x:f>IF('05_Form_Qualite_Air'!$P75="Validé humainement",'05_Form_Qualite_Air'!K75,"")</x:f>
      </x:c>
      <x:c r="L75" s="76" t="str">
        <x:f>IF('05_Form_Qualite_Air'!$P75="Validé humainement",'05_Form_Qualite_Air'!L75,"")</x:f>
      </x:c>
      <x:c r="M75" s="76" t="str">
        <x:f>IF('05_Form_Qualite_Air'!$P75="Validé humainement",'05_Form_Qualite_Air'!M75,"")</x:f>
      </x:c>
      <x:c r="N75" s="76" t="str">
        <x:f>IF('05_Form_Qualite_Air'!$P75="Validé humainement",'05_Form_Qualite_Air'!N75,"")</x:f>
      </x:c>
      <x:c r="O75" s="76" t="str">
        <x:f>IF('05_Form_Qualite_Air'!$P75="Validé humainement",'05_Form_Qualite_Air'!O75,"")</x:f>
      </x:c>
      <x:c r="P75" s="76" t="str">
        <x:f>IF('05_Form_Qualite_Air'!$P75="Validé humainement",'05_Form_Qualite_Air'!P75,"")</x:f>
      </x:c>
      <x:c r="Q75" s="78" t="str">
        <x:f>IF('05_Form_Qualite_Air'!$P75="Validé humainement",'05_Form_Qualite_Air'!Q75,"")</x:f>
      </x:c>
      <x:c r="R75" s="76" t="str">
        <x:f>IF('05_Form_Qualite_Air'!$P75="Validé humainement",'05_Form_Qualite_Air'!R75,"")</x:f>
      </x:c>
      <x:c r="S75" s="76" t="str">
        <x:f>IF('05_Form_Qualite_Air'!$P75="Validé humainement",'05_Form_Qualite_Air'!S75,"")</x:f>
      </x:c>
      <x:c r="T75" s="76" t="str">
        <x:f>IF('05_Form_Qualite_Air'!$P75="Validé humainement",'05_Form_Qualite_Air'!T75,"")</x:f>
      </x:c>
    </x:row>
    <x:row r="76">
      <x:c r="A76" s="76" t="str">
        <x:f>IF('05_Form_Qualite_Air'!$P76="Validé humainement",'05_Form_Qualite_Air'!A76,"")</x:f>
      </x:c>
      <x:c r="B76" s="76" t="str">
        <x:f>IF('05_Form_Qualite_Air'!$P76="Validé humainement",'05_Form_Qualite_Air'!B76,"")</x:f>
      </x:c>
      <x:c r="C76" s="76" t="str">
        <x:f>IF('05_Form_Qualite_Air'!$P76="Validé humainement",'05_Form_Qualite_Air'!C76,"")</x:f>
      </x:c>
      <x:c r="D76" s="76" t="str">
        <x:f>IF('05_Form_Qualite_Air'!$P76="Validé humainement",'05_Form_Qualite_Air'!D76,"")</x:f>
      </x:c>
      <x:c r="E76" s="80" t="str">
        <x:f>IF('05_Form_Qualite_Air'!$P76="Validé humainement",'05_Form_Qualite_Air'!E76,"")</x:f>
      </x:c>
      <x:c r="F76" s="80" t="str">
        <x:f>IF('05_Form_Qualite_Air'!$P76="Validé humainement",'05_Form_Qualite_Air'!F76,"")</x:f>
      </x:c>
      <x:c r="G76" s="80" t="str">
        <x:f>IF('05_Form_Qualite_Air'!$P76="Validé humainement",'05_Form_Qualite_Air'!G76,"")</x:f>
      </x:c>
      <x:c r="H76" s="80" t="str">
        <x:f>IF('05_Form_Qualite_Air'!$P76="Validé humainement",'05_Form_Qualite_Air'!H76,"")</x:f>
      </x:c>
      <x:c r="I76" s="80" t="str">
        <x:f>IF('05_Form_Qualite_Air'!$P76="Validé humainement",'05_Form_Qualite_Air'!I76,"")</x:f>
      </x:c>
      <x:c r="J76" s="80" t="str">
        <x:f>IF('05_Form_Qualite_Air'!$P76="Validé humainement",'05_Form_Qualite_Air'!J76,"")</x:f>
      </x:c>
      <x:c r="K76" s="80" t="str">
        <x:f>IF('05_Form_Qualite_Air'!$P76="Validé humainement",'05_Form_Qualite_Air'!K76,"")</x:f>
      </x:c>
      <x:c r="L76" s="76" t="str">
        <x:f>IF('05_Form_Qualite_Air'!$P76="Validé humainement",'05_Form_Qualite_Air'!L76,"")</x:f>
      </x:c>
      <x:c r="M76" s="76" t="str">
        <x:f>IF('05_Form_Qualite_Air'!$P76="Validé humainement",'05_Form_Qualite_Air'!M76,"")</x:f>
      </x:c>
      <x:c r="N76" s="76" t="str">
        <x:f>IF('05_Form_Qualite_Air'!$P76="Validé humainement",'05_Form_Qualite_Air'!N76,"")</x:f>
      </x:c>
      <x:c r="O76" s="76" t="str">
        <x:f>IF('05_Form_Qualite_Air'!$P76="Validé humainement",'05_Form_Qualite_Air'!O76,"")</x:f>
      </x:c>
      <x:c r="P76" s="76" t="str">
        <x:f>IF('05_Form_Qualite_Air'!$P76="Validé humainement",'05_Form_Qualite_Air'!P76,"")</x:f>
      </x:c>
      <x:c r="Q76" s="78" t="str">
        <x:f>IF('05_Form_Qualite_Air'!$P76="Validé humainement",'05_Form_Qualite_Air'!Q76,"")</x:f>
      </x:c>
      <x:c r="R76" s="76" t="str">
        <x:f>IF('05_Form_Qualite_Air'!$P76="Validé humainement",'05_Form_Qualite_Air'!R76,"")</x:f>
      </x:c>
      <x:c r="S76" s="76" t="str">
        <x:f>IF('05_Form_Qualite_Air'!$P76="Validé humainement",'05_Form_Qualite_Air'!S76,"")</x:f>
      </x:c>
      <x:c r="T76" s="76" t="str">
        <x:f>IF('05_Form_Qualite_Air'!$P76="Validé humainement",'05_Form_Qualite_Air'!T76,"")</x:f>
      </x:c>
    </x:row>
    <x:row r="77">
      <x:c r="A77" s="76" t="str">
        <x:f>IF('05_Form_Qualite_Air'!$P77="Validé humainement",'05_Form_Qualite_Air'!A77,"")</x:f>
      </x:c>
      <x:c r="B77" s="76" t="str">
        <x:f>IF('05_Form_Qualite_Air'!$P77="Validé humainement",'05_Form_Qualite_Air'!B77,"")</x:f>
      </x:c>
      <x:c r="C77" s="76" t="str">
        <x:f>IF('05_Form_Qualite_Air'!$P77="Validé humainement",'05_Form_Qualite_Air'!C77,"")</x:f>
      </x:c>
      <x:c r="D77" s="76" t="str">
        <x:f>IF('05_Form_Qualite_Air'!$P77="Validé humainement",'05_Form_Qualite_Air'!D77,"")</x:f>
      </x:c>
      <x:c r="E77" s="80" t="str">
        <x:f>IF('05_Form_Qualite_Air'!$P77="Validé humainement",'05_Form_Qualite_Air'!E77,"")</x:f>
      </x:c>
      <x:c r="F77" s="80" t="str">
        <x:f>IF('05_Form_Qualite_Air'!$P77="Validé humainement",'05_Form_Qualite_Air'!F77,"")</x:f>
      </x:c>
      <x:c r="G77" s="80" t="str">
        <x:f>IF('05_Form_Qualite_Air'!$P77="Validé humainement",'05_Form_Qualite_Air'!G77,"")</x:f>
      </x:c>
      <x:c r="H77" s="80" t="str">
        <x:f>IF('05_Form_Qualite_Air'!$P77="Validé humainement",'05_Form_Qualite_Air'!H77,"")</x:f>
      </x:c>
      <x:c r="I77" s="80" t="str">
        <x:f>IF('05_Form_Qualite_Air'!$P77="Validé humainement",'05_Form_Qualite_Air'!I77,"")</x:f>
      </x:c>
      <x:c r="J77" s="80" t="str">
        <x:f>IF('05_Form_Qualite_Air'!$P77="Validé humainement",'05_Form_Qualite_Air'!J77,"")</x:f>
      </x:c>
      <x:c r="K77" s="80" t="str">
        <x:f>IF('05_Form_Qualite_Air'!$P77="Validé humainement",'05_Form_Qualite_Air'!K77,"")</x:f>
      </x:c>
      <x:c r="L77" s="76" t="str">
        <x:f>IF('05_Form_Qualite_Air'!$P77="Validé humainement",'05_Form_Qualite_Air'!L77,"")</x:f>
      </x:c>
      <x:c r="M77" s="76" t="str">
        <x:f>IF('05_Form_Qualite_Air'!$P77="Validé humainement",'05_Form_Qualite_Air'!M77,"")</x:f>
      </x:c>
      <x:c r="N77" s="76" t="str">
        <x:f>IF('05_Form_Qualite_Air'!$P77="Validé humainement",'05_Form_Qualite_Air'!N77,"")</x:f>
      </x:c>
      <x:c r="O77" s="76" t="str">
        <x:f>IF('05_Form_Qualite_Air'!$P77="Validé humainement",'05_Form_Qualite_Air'!O77,"")</x:f>
      </x:c>
      <x:c r="P77" s="76" t="str">
        <x:f>IF('05_Form_Qualite_Air'!$P77="Validé humainement",'05_Form_Qualite_Air'!P77,"")</x:f>
      </x:c>
      <x:c r="Q77" s="78" t="str">
        <x:f>IF('05_Form_Qualite_Air'!$P77="Validé humainement",'05_Form_Qualite_Air'!Q77,"")</x:f>
      </x:c>
      <x:c r="R77" s="76" t="str">
        <x:f>IF('05_Form_Qualite_Air'!$P77="Validé humainement",'05_Form_Qualite_Air'!R77,"")</x:f>
      </x:c>
      <x:c r="S77" s="76" t="str">
        <x:f>IF('05_Form_Qualite_Air'!$P77="Validé humainement",'05_Form_Qualite_Air'!S77,"")</x:f>
      </x:c>
      <x:c r="T77" s="76" t="str">
        <x:f>IF('05_Form_Qualite_Air'!$P77="Validé humainement",'05_Form_Qualite_Air'!T77,"")</x:f>
      </x:c>
    </x:row>
    <x:row r="78">
      <x:c r="A78" s="76" t="str">
        <x:f>IF('05_Form_Qualite_Air'!$P78="Validé humainement",'05_Form_Qualite_Air'!A78,"")</x:f>
      </x:c>
      <x:c r="B78" s="76" t="str">
        <x:f>IF('05_Form_Qualite_Air'!$P78="Validé humainement",'05_Form_Qualite_Air'!B78,"")</x:f>
      </x:c>
      <x:c r="C78" s="76" t="str">
        <x:f>IF('05_Form_Qualite_Air'!$P78="Validé humainement",'05_Form_Qualite_Air'!C78,"")</x:f>
      </x:c>
      <x:c r="D78" s="76" t="str">
        <x:f>IF('05_Form_Qualite_Air'!$P78="Validé humainement",'05_Form_Qualite_Air'!D78,"")</x:f>
      </x:c>
      <x:c r="E78" s="80" t="str">
        <x:f>IF('05_Form_Qualite_Air'!$P78="Validé humainement",'05_Form_Qualite_Air'!E78,"")</x:f>
      </x:c>
      <x:c r="F78" s="80" t="str">
        <x:f>IF('05_Form_Qualite_Air'!$P78="Validé humainement",'05_Form_Qualite_Air'!F78,"")</x:f>
      </x:c>
      <x:c r="G78" s="80" t="str">
        <x:f>IF('05_Form_Qualite_Air'!$P78="Validé humainement",'05_Form_Qualite_Air'!G78,"")</x:f>
      </x:c>
      <x:c r="H78" s="80" t="str">
        <x:f>IF('05_Form_Qualite_Air'!$P78="Validé humainement",'05_Form_Qualite_Air'!H78,"")</x:f>
      </x:c>
      <x:c r="I78" s="80" t="str">
        <x:f>IF('05_Form_Qualite_Air'!$P78="Validé humainement",'05_Form_Qualite_Air'!I78,"")</x:f>
      </x:c>
      <x:c r="J78" s="80" t="str">
        <x:f>IF('05_Form_Qualite_Air'!$P78="Validé humainement",'05_Form_Qualite_Air'!J78,"")</x:f>
      </x:c>
      <x:c r="K78" s="80" t="str">
        <x:f>IF('05_Form_Qualite_Air'!$P78="Validé humainement",'05_Form_Qualite_Air'!K78,"")</x:f>
      </x:c>
      <x:c r="L78" s="76" t="str">
        <x:f>IF('05_Form_Qualite_Air'!$P78="Validé humainement",'05_Form_Qualite_Air'!L78,"")</x:f>
      </x:c>
      <x:c r="M78" s="76" t="str">
        <x:f>IF('05_Form_Qualite_Air'!$P78="Validé humainement",'05_Form_Qualite_Air'!M78,"")</x:f>
      </x:c>
      <x:c r="N78" s="76" t="str">
        <x:f>IF('05_Form_Qualite_Air'!$P78="Validé humainement",'05_Form_Qualite_Air'!N78,"")</x:f>
      </x:c>
      <x:c r="O78" s="76" t="str">
        <x:f>IF('05_Form_Qualite_Air'!$P78="Validé humainement",'05_Form_Qualite_Air'!O78,"")</x:f>
      </x:c>
      <x:c r="P78" s="76" t="str">
        <x:f>IF('05_Form_Qualite_Air'!$P78="Validé humainement",'05_Form_Qualite_Air'!P78,"")</x:f>
      </x:c>
      <x:c r="Q78" s="78" t="str">
        <x:f>IF('05_Form_Qualite_Air'!$P78="Validé humainement",'05_Form_Qualite_Air'!Q78,"")</x:f>
      </x:c>
      <x:c r="R78" s="76" t="str">
        <x:f>IF('05_Form_Qualite_Air'!$P78="Validé humainement",'05_Form_Qualite_Air'!R78,"")</x:f>
      </x:c>
      <x:c r="S78" s="76" t="str">
        <x:f>IF('05_Form_Qualite_Air'!$P78="Validé humainement",'05_Form_Qualite_Air'!S78,"")</x:f>
      </x:c>
      <x:c r="T78" s="76" t="str">
        <x:f>IF('05_Form_Qualite_Air'!$P78="Validé humainement",'05_Form_Qualite_Air'!T78,"")</x:f>
      </x:c>
    </x:row>
    <x:row r="79">
      <x:c r="A79" s="76" t="str">
        <x:f>IF('05_Form_Qualite_Air'!$P79="Validé humainement",'05_Form_Qualite_Air'!A79,"")</x:f>
      </x:c>
      <x:c r="B79" s="76" t="str">
        <x:f>IF('05_Form_Qualite_Air'!$P79="Validé humainement",'05_Form_Qualite_Air'!B79,"")</x:f>
      </x:c>
      <x:c r="C79" s="76" t="str">
        <x:f>IF('05_Form_Qualite_Air'!$P79="Validé humainement",'05_Form_Qualite_Air'!C79,"")</x:f>
      </x:c>
      <x:c r="D79" s="76" t="str">
        <x:f>IF('05_Form_Qualite_Air'!$P79="Validé humainement",'05_Form_Qualite_Air'!D79,"")</x:f>
      </x:c>
      <x:c r="E79" s="80" t="str">
        <x:f>IF('05_Form_Qualite_Air'!$P79="Validé humainement",'05_Form_Qualite_Air'!E79,"")</x:f>
      </x:c>
      <x:c r="F79" s="80" t="str">
        <x:f>IF('05_Form_Qualite_Air'!$P79="Validé humainement",'05_Form_Qualite_Air'!F79,"")</x:f>
      </x:c>
      <x:c r="G79" s="80" t="str">
        <x:f>IF('05_Form_Qualite_Air'!$P79="Validé humainement",'05_Form_Qualite_Air'!G79,"")</x:f>
      </x:c>
      <x:c r="H79" s="80" t="str">
        <x:f>IF('05_Form_Qualite_Air'!$P79="Validé humainement",'05_Form_Qualite_Air'!H79,"")</x:f>
      </x:c>
      <x:c r="I79" s="80" t="str">
        <x:f>IF('05_Form_Qualite_Air'!$P79="Validé humainement",'05_Form_Qualite_Air'!I79,"")</x:f>
      </x:c>
      <x:c r="J79" s="80" t="str">
        <x:f>IF('05_Form_Qualite_Air'!$P79="Validé humainement",'05_Form_Qualite_Air'!J79,"")</x:f>
      </x:c>
      <x:c r="K79" s="80" t="str">
        <x:f>IF('05_Form_Qualite_Air'!$P79="Validé humainement",'05_Form_Qualite_Air'!K79,"")</x:f>
      </x:c>
      <x:c r="L79" s="76" t="str">
        <x:f>IF('05_Form_Qualite_Air'!$P79="Validé humainement",'05_Form_Qualite_Air'!L79,"")</x:f>
      </x:c>
      <x:c r="M79" s="76" t="str">
        <x:f>IF('05_Form_Qualite_Air'!$P79="Validé humainement",'05_Form_Qualite_Air'!M79,"")</x:f>
      </x:c>
      <x:c r="N79" s="76" t="str">
        <x:f>IF('05_Form_Qualite_Air'!$P79="Validé humainement",'05_Form_Qualite_Air'!N79,"")</x:f>
      </x:c>
      <x:c r="O79" s="76" t="str">
        <x:f>IF('05_Form_Qualite_Air'!$P79="Validé humainement",'05_Form_Qualite_Air'!O79,"")</x:f>
      </x:c>
      <x:c r="P79" s="76" t="str">
        <x:f>IF('05_Form_Qualite_Air'!$P79="Validé humainement",'05_Form_Qualite_Air'!P79,"")</x:f>
      </x:c>
      <x:c r="Q79" s="78" t="str">
        <x:f>IF('05_Form_Qualite_Air'!$P79="Validé humainement",'05_Form_Qualite_Air'!Q79,"")</x:f>
      </x:c>
      <x:c r="R79" s="76" t="str">
        <x:f>IF('05_Form_Qualite_Air'!$P79="Validé humainement",'05_Form_Qualite_Air'!R79,"")</x:f>
      </x:c>
      <x:c r="S79" s="76" t="str">
        <x:f>IF('05_Form_Qualite_Air'!$P79="Validé humainement",'05_Form_Qualite_Air'!S79,"")</x:f>
      </x:c>
      <x:c r="T79" s="76" t="str">
        <x:f>IF('05_Form_Qualite_Air'!$P79="Validé humainement",'05_Form_Qualite_Air'!T79,"")</x:f>
      </x:c>
    </x:row>
    <x:row r="80">
      <x:c r="A80" s="76" t="str">
        <x:f>IF('05_Form_Qualite_Air'!$P80="Validé humainement",'05_Form_Qualite_Air'!A80,"")</x:f>
      </x:c>
      <x:c r="B80" s="76" t="str">
        <x:f>IF('05_Form_Qualite_Air'!$P80="Validé humainement",'05_Form_Qualite_Air'!B80,"")</x:f>
      </x:c>
      <x:c r="C80" s="76" t="str">
        <x:f>IF('05_Form_Qualite_Air'!$P80="Validé humainement",'05_Form_Qualite_Air'!C80,"")</x:f>
      </x:c>
      <x:c r="D80" s="76" t="str">
        <x:f>IF('05_Form_Qualite_Air'!$P80="Validé humainement",'05_Form_Qualite_Air'!D80,"")</x:f>
      </x:c>
      <x:c r="E80" s="80" t="str">
        <x:f>IF('05_Form_Qualite_Air'!$P80="Validé humainement",'05_Form_Qualite_Air'!E80,"")</x:f>
      </x:c>
      <x:c r="F80" s="80" t="str">
        <x:f>IF('05_Form_Qualite_Air'!$P80="Validé humainement",'05_Form_Qualite_Air'!F80,"")</x:f>
      </x:c>
      <x:c r="G80" s="80" t="str">
        <x:f>IF('05_Form_Qualite_Air'!$P80="Validé humainement",'05_Form_Qualite_Air'!G80,"")</x:f>
      </x:c>
      <x:c r="H80" s="80" t="str">
        <x:f>IF('05_Form_Qualite_Air'!$P80="Validé humainement",'05_Form_Qualite_Air'!H80,"")</x:f>
      </x:c>
      <x:c r="I80" s="80" t="str">
        <x:f>IF('05_Form_Qualite_Air'!$P80="Validé humainement",'05_Form_Qualite_Air'!I80,"")</x:f>
      </x:c>
      <x:c r="J80" s="80" t="str">
        <x:f>IF('05_Form_Qualite_Air'!$P80="Validé humainement",'05_Form_Qualite_Air'!J80,"")</x:f>
      </x:c>
      <x:c r="K80" s="80" t="str">
        <x:f>IF('05_Form_Qualite_Air'!$P80="Validé humainement",'05_Form_Qualite_Air'!K80,"")</x:f>
      </x:c>
      <x:c r="L80" s="76" t="str">
        <x:f>IF('05_Form_Qualite_Air'!$P80="Validé humainement",'05_Form_Qualite_Air'!L80,"")</x:f>
      </x:c>
      <x:c r="M80" s="76" t="str">
        <x:f>IF('05_Form_Qualite_Air'!$P80="Validé humainement",'05_Form_Qualite_Air'!M80,"")</x:f>
      </x:c>
      <x:c r="N80" s="76" t="str">
        <x:f>IF('05_Form_Qualite_Air'!$P80="Validé humainement",'05_Form_Qualite_Air'!N80,"")</x:f>
      </x:c>
      <x:c r="O80" s="76" t="str">
        <x:f>IF('05_Form_Qualite_Air'!$P80="Validé humainement",'05_Form_Qualite_Air'!O80,"")</x:f>
      </x:c>
      <x:c r="P80" s="76" t="str">
        <x:f>IF('05_Form_Qualite_Air'!$P80="Validé humainement",'05_Form_Qualite_Air'!P80,"")</x:f>
      </x:c>
      <x:c r="Q80" s="78" t="str">
        <x:f>IF('05_Form_Qualite_Air'!$P80="Validé humainement",'05_Form_Qualite_Air'!Q80,"")</x:f>
      </x:c>
      <x:c r="R80" s="76" t="str">
        <x:f>IF('05_Form_Qualite_Air'!$P80="Validé humainement",'05_Form_Qualite_Air'!R80,"")</x:f>
      </x:c>
      <x:c r="S80" s="76" t="str">
        <x:f>IF('05_Form_Qualite_Air'!$P80="Validé humainement",'05_Form_Qualite_Air'!S80,"")</x:f>
      </x:c>
      <x:c r="T80" s="76" t="str">
        <x:f>IF('05_Form_Qualite_Air'!$P80="Validé humainement",'05_Form_Qualite_Air'!T80,"")</x:f>
      </x:c>
    </x:row>
    <x:row r="81">
      <x:c r="A81" s="76" t="str">
        <x:f>IF('05_Form_Qualite_Air'!$P81="Validé humainement",'05_Form_Qualite_Air'!A81,"")</x:f>
      </x:c>
      <x:c r="B81" s="76" t="str">
        <x:f>IF('05_Form_Qualite_Air'!$P81="Validé humainement",'05_Form_Qualite_Air'!B81,"")</x:f>
      </x:c>
      <x:c r="C81" s="76" t="str">
        <x:f>IF('05_Form_Qualite_Air'!$P81="Validé humainement",'05_Form_Qualite_Air'!C81,"")</x:f>
      </x:c>
      <x:c r="D81" s="76" t="str">
        <x:f>IF('05_Form_Qualite_Air'!$P81="Validé humainement",'05_Form_Qualite_Air'!D81,"")</x:f>
      </x:c>
      <x:c r="E81" s="80" t="str">
        <x:f>IF('05_Form_Qualite_Air'!$P81="Validé humainement",'05_Form_Qualite_Air'!E81,"")</x:f>
      </x:c>
      <x:c r="F81" s="80" t="str">
        <x:f>IF('05_Form_Qualite_Air'!$P81="Validé humainement",'05_Form_Qualite_Air'!F81,"")</x:f>
      </x:c>
      <x:c r="G81" s="80" t="str">
        <x:f>IF('05_Form_Qualite_Air'!$P81="Validé humainement",'05_Form_Qualite_Air'!G81,"")</x:f>
      </x:c>
      <x:c r="H81" s="80" t="str">
        <x:f>IF('05_Form_Qualite_Air'!$P81="Validé humainement",'05_Form_Qualite_Air'!H81,"")</x:f>
      </x:c>
      <x:c r="I81" s="80" t="str">
        <x:f>IF('05_Form_Qualite_Air'!$P81="Validé humainement",'05_Form_Qualite_Air'!I81,"")</x:f>
      </x:c>
      <x:c r="J81" s="80" t="str">
        <x:f>IF('05_Form_Qualite_Air'!$P81="Validé humainement",'05_Form_Qualite_Air'!J81,"")</x:f>
      </x:c>
      <x:c r="K81" s="80" t="str">
        <x:f>IF('05_Form_Qualite_Air'!$P81="Validé humainement",'05_Form_Qualite_Air'!K81,"")</x:f>
      </x:c>
      <x:c r="L81" s="76" t="str">
        <x:f>IF('05_Form_Qualite_Air'!$P81="Validé humainement",'05_Form_Qualite_Air'!L81,"")</x:f>
      </x:c>
      <x:c r="M81" s="76" t="str">
        <x:f>IF('05_Form_Qualite_Air'!$P81="Validé humainement",'05_Form_Qualite_Air'!M81,"")</x:f>
      </x:c>
      <x:c r="N81" s="76" t="str">
        <x:f>IF('05_Form_Qualite_Air'!$P81="Validé humainement",'05_Form_Qualite_Air'!N81,"")</x:f>
      </x:c>
      <x:c r="O81" s="76" t="str">
        <x:f>IF('05_Form_Qualite_Air'!$P81="Validé humainement",'05_Form_Qualite_Air'!O81,"")</x:f>
      </x:c>
      <x:c r="P81" s="76" t="str">
        <x:f>IF('05_Form_Qualite_Air'!$P81="Validé humainement",'05_Form_Qualite_Air'!P81,"")</x:f>
      </x:c>
      <x:c r="Q81" s="78" t="str">
        <x:f>IF('05_Form_Qualite_Air'!$P81="Validé humainement",'05_Form_Qualite_Air'!Q81,"")</x:f>
      </x:c>
      <x:c r="R81" s="76" t="str">
        <x:f>IF('05_Form_Qualite_Air'!$P81="Validé humainement",'05_Form_Qualite_Air'!R81,"")</x:f>
      </x:c>
      <x:c r="S81" s="76" t="str">
        <x:f>IF('05_Form_Qualite_Air'!$P81="Validé humainement",'05_Form_Qualite_Air'!S81,"")</x:f>
      </x:c>
      <x:c r="T81" s="76" t="str">
        <x:f>IF('05_Form_Qualite_Air'!$P81="Validé humainement",'05_Form_Qualite_Air'!T81,"")</x:f>
      </x:c>
    </x:row>
    <x:row r="82">
      <x:c r="A82" s="76" t="str">
        <x:f>IF('05_Form_Qualite_Air'!$P82="Validé humainement",'05_Form_Qualite_Air'!A82,"")</x:f>
      </x:c>
      <x:c r="B82" s="76" t="str">
        <x:f>IF('05_Form_Qualite_Air'!$P82="Validé humainement",'05_Form_Qualite_Air'!B82,"")</x:f>
      </x:c>
      <x:c r="C82" s="76" t="str">
        <x:f>IF('05_Form_Qualite_Air'!$P82="Validé humainement",'05_Form_Qualite_Air'!C82,"")</x:f>
      </x:c>
      <x:c r="D82" s="76" t="str">
        <x:f>IF('05_Form_Qualite_Air'!$P82="Validé humainement",'05_Form_Qualite_Air'!D82,"")</x:f>
      </x:c>
      <x:c r="E82" s="80" t="str">
        <x:f>IF('05_Form_Qualite_Air'!$P82="Validé humainement",'05_Form_Qualite_Air'!E82,"")</x:f>
      </x:c>
      <x:c r="F82" s="80" t="str">
        <x:f>IF('05_Form_Qualite_Air'!$P82="Validé humainement",'05_Form_Qualite_Air'!F82,"")</x:f>
      </x:c>
      <x:c r="G82" s="80" t="str">
        <x:f>IF('05_Form_Qualite_Air'!$P82="Validé humainement",'05_Form_Qualite_Air'!G82,"")</x:f>
      </x:c>
      <x:c r="H82" s="80" t="str">
        <x:f>IF('05_Form_Qualite_Air'!$P82="Validé humainement",'05_Form_Qualite_Air'!H82,"")</x:f>
      </x:c>
      <x:c r="I82" s="80" t="str">
        <x:f>IF('05_Form_Qualite_Air'!$P82="Validé humainement",'05_Form_Qualite_Air'!I82,"")</x:f>
      </x:c>
      <x:c r="J82" s="80" t="str">
        <x:f>IF('05_Form_Qualite_Air'!$P82="Validé humainement",'05_Form_Qualite_Air'!J82,"")</x:f>
      </x:c>
      <x:c r="K82" s="80" t="str">
        <x:f>IF('05_Form_Qualite_Air'!$P82="Validé humainement",'05_Form_Qualite_Air'!K82,"")</x:f>
      </x:c>
      <x:c r="L82" s="76" t="str">
        <x:f>IF('05_Form_Qualite_Air'!$P82="Validé humainement",'05_Form_Qualite_Air'!L82,"")</x:f>
      </x:c>
      <x:c r="M82" s="76" t="str">
        <x:f>IF('05_Form_Qualite_Air'!$P82="Validé humainement",'05_Form_Qualite_Air'!M82,"")</x:f>
      </x:c>
      <x:c r="N82" s="76" t="str">
        <x:f>IF('05_Form_Qualite_Air'!$P82="Validé humainement",'05_Form_Qualite_Air'!N82,"")</x:f>
      </x:c>
      <x:c r="O82" s="76" t="str">
        <x:f>IF('05_Form_Qualite_Air'!$P82="Validé humainement",'05_Form_Qualite_Air'!O82,"")</x:f>
      </x:c>
      <x:c r="P82" s="76" t="str">
        <x:f>IF('05_Form_Qualite_Air'!$P82="Validé humainement",'05_Form_Qualite_Air'!P82,"")</x:f>
      </x:c>
      <x:c r="Q82" s="78" t="str">
        <x:f>IF('05_Form_Qualite_Air'!$P82="Validé humainement",'05_Form_Qualite_Air'!Q82,"")</x:f>
      </x:c>
      <x:c r="R82" s="76" t="str">
        <x:f>IF('05_Form_Qualite_Air'!$P82="Validé humainement",'05_Form_Qualite_Air'!R82,"")</x:f>
      </x:c>
      <x:c r="S82" s="76" t="str">
        <x:f>IF('05_Form_Qualite_Air'!$P82="Validé humainement",'05_Form_Qualite_Air'!S82,"")</x:f>
      </x:c>
      <x:c r="T82" s="76" t="str">
        <x:f>IF('05_Form_Qualite_Air'!$P82="Validé humainement",'05_Form_Qualite_Air'!T82,"")</x:f>
      </x:c>
    </x:row>
    <x:row r="83">
      <x:c r="A83" s="76" t="str">
        <x:f>IF('05_Form_Qualite_Air'!$P83="Validé humainement",'05_Form_Qualite_Air'!A83,"")</x:f>
      </x:c>
      <x:c r="B83" s="76" t="str">
        <x:f>IF('05_Form_Qualite_Air'!$P83="Validé humainement",'05_Form_Qualite_Air'!B83,"")</x:f>
      </x:c>
      <x:c r="C83" s="76" t="str">
        <x:f>IF('05_Form_Qualite_Air'!$P83="Validé humainement",'05_Form_Qualite_Air'!C83,"")</x:f>
      </x:c>
      <x:c r="D83" s="76" t="str">
        <x:f>IF('05_Form_Qualite_Air'!$P83="Validé humainement",'05_Form_Qualite_Air'!D83,"")</x:f>
      </x:c>
      <x:c r="E83" s="80" t="str">
        <x:f>IF('05_Form_Qualite_Air'!$P83="Validé humainement",'05_Form_Qualite_Air'!E83,"")</x:f>
      </x:c>
      <x:c r="F83" s="80" t="str">
        <x:f>IF('05_Form_Qualite_Air'!$P83="Validé humainement",'05_Form_Qualite_Air'!F83,"")</x:f>
      </x:c>
      <x:c r="G83" s="80" t="str">
        <x:f>IF('05_Form_Qualite_Air'!$P83="Validé humainement",'05_Form_Qualite_Air'!G83,"")</x:f>
      </x:c>
      <x:c r="H83" s="80" t="str">
        <x:f>IF('05_Form_Qualite_Air'!$P83="Validé humainement",'05_Form_Qualite_Air'!H83,"")</x:f>
      </x:c>
      <x:c r="I83" s="80" t="str">
        <x:f>IF('05_Form_Qualite_Air'!$P83="Validé humainement",'05_Form_Qualite_Air'!I83,"")</x:f>
      </x:c>
      <x:c r="J83" s="80" t="str">
        <x:f>IF('05_Form_Qualite_Air'!$P83="Validé humainement",'05_Form_Qualite_Air'!J83,"")</x:f>
      </x:c>
      <x:c r="K83" s="80" t="str">
        <x:f>IF('05_Form_Qualite_Air'!$P83="Validé humainement",'05_Form_Qualite_Air'!K83,"")</x:f>
      </x:c>
      <x:c r="L83" s="76" t="str">
        <x:f>IF('05_Form_Qualite_Air'!$P83="Validé humainement",'05_Form_Qualite_Air'!L83,"")</x:f>
      </x:c>
      <x:c r="M83" s="76" t="str">
        <x:f>IF('05_Form_Qualite_Air'!$P83="Validé humainement",'05_Form_Qualite_Air'!M83,"")</x:f>
      </x:c>
      <x:c r="N83" s="76" t="str">
        <x:f>IF('05_Form_Qualite_Air'!$P83="Validé humainement",'05_Form_Qualite_Air'!N83,"")</x:f>
      </x:c>
      <x:c r="O83" s="76" t="str">
        <x:f>IF('05_Form_Qualite_Air'!$P83="Validé humainement",'05_Form_Qualite_Air'!O83,"")</x:f>
      </x:c>
      <x:c r="P83" s="76" t="str">
        <x:f>IF('05_Form_Qualite_Air'!$P83="Validé humainement",'05_Form_Qualite_Air'!P83,"")</x:f>
      </x:c>
      <x:c r="Q83" s="78" t="str">
        <x:f>IF('05_Form_Qualite_Air'!$P83="Validé humainement",'05_Form_Qualite_Air'!Q83,"")</x:f>
      </x:c>
      <x:c r="R83" s="76" t="str">
        <x:f>IF('05_Form_Qualite_Air'!$P83="Validé humainement",'05_Form_Qualite_Air'!R83,"")</x:f>
      </x:c>
      <x:c r="S83" s="76" t="str">
        <x:f>IF('05_Form_Qualite_Air'!$P83="Validé humainement",'05_Form_Qualite_Air'!S83,"")</x:f>
      </x:c>
      <x:c r="T83" s="76" t="str">
        <x:f>IF('05_Form_Qualite_Air'!$P83="Validé humainement",'05_Form_Qualite_Air'!T83,"")</x:f>
      </x:c>
    </x:row>
    <x:row r="84">
      <x:c r="A84" s="76" t="str">
        <x:f>IF('05_Form_Qualite_Air'!$P84="Validé humainement",'05_Form_Qualite_Air'!A84,"")</x:f>
      </x:c>
      <x:c r="B84" s="76" t="str">
        <x:f>IF('05_Form_Qualite_Air'!$P84="Validé humainement",'05_Form_Qualite_Air'!B84,"")</x:f>
      </x:c>
      <x:c r="C84" s="76" t="str">
        <x:f>IF('05_Form_Qualite_Air'!$P84="Validé humainement",'05_Form_Qualite_Air'!C84,"")</x:f>
      </x:c>
      <x:c r="D84" s="76" t="str">
        <x:f>IF('05_Form_Qualite_Air'!$P84="Validé humainement",'05_Form_Qualite_Air'!D84,"")</x:f>
      </x:c>
      <x:c r="E84" s="80" t="str">
        <x:f>IF('05_Form_Qualite_Air'!$P84="Validé humainement",'05_Form_Qualite_Air'!E84,"")</x:f>
      </x:c>
      <x:c r="F84" s="80" t="str">
        <x:f>IF('05_Form_Qualite_Air'!$P84="Validé humainement",'05_Form_Qualite_Air'!F84,"")</x:f>
      </x:c>
      <x:c r="G84" s="80" t="str">
        <x:f>IF('05_Form_Qualite_Air'!$P84="Validé humainement",'05_Form_Qualite_Air'!G84,"")</x:f>
      </x:c>
      <x:c r="H84" s="80" t="str">
        <x:f>IF('05_Form_Qualite_Air'!$P84="Validé humainement",'05_Form_Qualite_Air'!H84,"")</x:f>
      </x:c>
      <x:c r="I84" s="80" t="str">
        <x:f>IF('05_Form_Qualite_Air'!$P84="Validé humainement",'05_Form_Qualite_Air'!I84,"")</x:f>
      </x:c>
      <x:c r="J84" s="80" t="str">
        <x:f>IF('05_Form_Qualite_Air'!$P84="Validé humainement",'05_Form_Qualite_Air'!J84,"")</x:f>
      </x:c>
      <x:c r="K84" s="80" t="str">
        <x:f>IF('05_Form_Qualite_Air'!$P84="Validé humainement",'05_Form_Qualite_Air'!K84,"")</x:f>
      </x:c>
      <x:c r="L84" s="76" t="str">
        <x:f>IF('05_Form_Qualite_Air'!$P84="Validé humainement",'05_Form_Qualite_Air'!L84,"")</x:f>
      </x:c>
      <x:c r="M84" s="76" t="str">
        <x:f>IF('05_Form_Qualite_Air'!$P84="Validé humainement",'05_Form_Qualite_Air'!M84,"")</x:f>
      </x:c>
      <x:c r="N84" s="76" t="str">
        <x:f>IF('05_Form_Qualite_Air'!$P84="Validé humainement",'05_Form_Qualite_Air'!N84,"")</x:f>
      </x:c>
      <x:c r="O84" s="76" t="str">
        <x:f>IF('05_Form_Qualite_Air'!$P84="Validé humainement",'05_Form_Qualite_Air'!O84,"")</x:f>
      </x:c>
      <x:c r="P84" s="76" t="str">
        <x:f>IF('05_Form_Qualite_Air'!$P84="Validé humainement",'05_Form_Qualite_Air'!P84,"")</x:f>
      </x:c>
      <x:c r="Q84" s="78" t="str">
        <x:f>IF('05_Form_Qualite_Air'!$P84="Validé humainement",'05_Form_Qualite_Air'!Q84,"")</x:f>
      </x:c>
      <x:c r="R84" s="76" t="str">
        <x:f>IF('05_Form_Qualite_Air'!$P84="Validé humainement",'05_Form_Qualite_Air'!R84,"")</x:f>
      </x:c>
      <x:c r="S84" s="76" t="str">
        <x:f>IF('05_Form_Qualite_Air'!$P84="Validé humainement",'05_Form_Qualite_Air'!S84,"")</x:f>
      </x:c>
      <x:c r="T84" s="76" t="str">
        <x:f>IF('05_Form_Qualite_Air'!$P84="Validé humainement",'05_Form_Qualite_Air'!T84,"")</x:f>
      </x:c>
    </x:row>
    <x:row r="85">
      <x:c r="A85" s="76" t="str">
        <x:f>IF('05_Form_Qualite_Air'!$P85="Validé humainement",'05_Form_Qualite_Air'!A85,"")</x:f>
      </x:c>
      <x:c r="B85" s="76" t="str">
        <x:f>IF('05_Form_Qualite_Air'!$P85="Validé humainement",'05_Form_Qualite_Air'!B85,"")</x:f>
      </x:c>
      <x:c r="C85" s="76" t="str">
        <x:f>IF('05_Form_Qualite_Air'!$P85="Validé humainement",'05_Form_Qualite_Air'!C85,"")</x:f>
      </x:c>
      <x:c r="D85" s="76" t="str">
        <x:f>IF('05_Form_Qualite_Air'!$P85="Validé humainement",'05_Form_Qualite_Air'!D85,"")</x:f>
      </x:c>
      <x:c r="E85" s="80" t="str">
        <x:f>IF('05_Form_Qualite_Air'!$P85="Validé humainement",'05_Form_Qualite_Air'!E85,"")</x:f>
      </x:c>
      <x:c r="F85" s="80" t="str">
        <x:f>IF('05_Form_Qualite_Air'!$P85="Validé humainement",'05_Form_Qualite_Air'!F85,"")</x:f>
      </x:c>
      <x:c r="G85" s="80" t="str">
        <x:f>IF('05_Form_Qualite_Air'!$P85="Validé humainement",'05_Form_Qualite_Air'!G85,"")</x:f>
      </x:c>
      <x:c r="H85" s="80" t="str">
        <x:f>IF('05_Form_Qualite_Air'!$P85="Validé humainement",'05_Form_Qualite_Air'!H85,"")</x:f>
      </x:c>
      <x:c r="I85" s="80" t="str">
        <x:f>IF('05_Form_Qualite_Air'!$P85="Validé humainement",'05_Form_Qualite_Air'!I85,"")</x:f>
      </x:c>
      <x:c r="J85" s="80" t="str">
        <x:f>IF('05_Form_Qualite_Air'!$P85="Validé humainement",'05_Form_Qualite_Air'!J85,"")</x:f>
      </x:c>
      <x:c r="K85" s="80" t="str">
        <x:f>IF('05_Form_Qualite_Air'!$P85="Validé humainement",'05_Form_Qualite_Air'!K85,"")</x:f>
      </x:c>
      <x:c r="L85" s="76" t="str">
        <x:f>IF('05_Form_Qualite_Air'!$P85="Validé humainement",'05_Form_Qualite_Air'!L85,"")</x:f>
      </x:c>
      <x:c r="M85" s="76" t="str">
        <x:f>IF('05_Form_Qualite_Air'!$P85="Validé humainement",'05_Form_Qualite_Air'!M85,"")</x:f>
      </x:c>
      <x:c r="N85" s="76" t="str">
        <x:f>IF('05_Form_Qualite_Air'!$P85="Validé humainement",'05_Form_Qualite_Air'!N85,"")</x:f>
      </x:c>
      <x:c r="O85" s="76" t="str">
        <x:f>IF('05_Form_Qualite_Air'!$P85="Validé humainement",'05_Form_Qualite_Air'!O85,"")</x:f>
      </x:c>
      <x:c r="P85" s="76" t="str">
        <x:f>IF('05_Form_Qualite_Air'!$P85="Validé humainement",'05_Form_Qualite_Air'!P85,"")</x:f>
      </x:c>
      <x:c r="Q85" s="78" t="str">
        <x:f>IF('05_Form_Qualite_Air'!$P85="Validé humainement",'05_Form_Qualite_Air'!Q85,"")</x:f>
      </x:c>
      <x:c r="R85" s="76" t="str">
        <x:f>IF('05_Form_Qualite_Air'!$P85="Validé humainement",'05_Form_Qualite_Air'!R85,"")</x:f>
      </x:c>
      <x:c r="S85" s="76" t="str">
        <x:f>IF('05_Form_Qualite_Air'!$P85="Validé humainement",'05_Form_Qualite_Air'!S85,"")</x:f>
      </x:c>
      <x:c r="T85" s="76" t="str">
        <x:f>IF('05_Form_Qualite_Air'!$P85="Validé humainement",'05_Form_Qualite_Air'!T85,"")</x:f>
      </x:c>
    </x:row>
    <x:row r="86">
      <x:c r="A86" s="76" t="str">
        <x:f>IF('05_Form_Qualite_Air'!$P86="Validé humainement",'05_Form_Qualite_Air'!A86,"")</x:f>
      </x:c>
      <x:c r="B86" s="76" t="str">
        <x:f>IF('05_Form_Qualite_Air'!$P86="Validé humainement",'05_Form_Qualite_Air'!B86,"")</x:f>
      </x:c>
      <x:c r="C86" s="76" t="str">
        <x:f>IF('05_Form_Qualite_Air'!$P86="Validé humainement",'05_Form_Qualite_Air'!C86,"")</x:f>
      </x:c>
      <x:c r="D86" s="76" t="str">
        <x:f>IF('05_Form_Qualite_Air'!$P86="Validé humainement",'05_Form_Qualite_Air'!D86,"")</x:f>
      </x:c>
      <x:c r="E86" s="80" t="str">
        <x:f>IF('05_Form_Qualite_Air'!$P86="Validé humainement",'05_Form_Qualite_Air'!E86,"")</x:f>
      </x:c>
      <x:c r="F86" s="80" t="str">
        <x:f>IF('05_Form_Qualite_Air'!$P86="Validé humainement",'05_Form_Qualite_Air'!F86,"")</x:f>
      </x:c>
      <x:c r="G86" s="80" t="str">
        <x:f>IF('05_Form_Qualite_Air'!$P86="Validé humainement",'05_Form_Qualite_Air'!G86,"")</x:f>
      </x:c>
      <x:c r="H86" s="80" t="str">
        <x:f>IF('05_Form_Qualite_Air'!$P86="Validé humainement",'05_Form_Qualite_Air'!H86,"")</x:f>
      </x:c>
      <x:c r="I86" s="80" t="str">
        <x:f>IF('05_Form_Qualite_Air'!$P86="Validé humainement",'05_Form_Qualite_Air'!I86,"")</x:f>
      </x:c>
      <x:c r="J86" s="80" t="str">
        <x:f>IF('05_Form_Qualite_Air'!$P86="Validé humainement",'05_Form_Qualite_Air'!J86,"")</x:f>
      </x:c>
      <x:c r="K86" s="80" t="str">
        <x:f>IF('05_Form_Qualite_Air'!$P86="Validé humainement",'05_Form_Qualite_Air'!K86,"")</x:f>
      </x:c>
      <x:c r="L86" s="76" t="str">
        <x:f>IF('05_Form_Qualite_Air'!$P86="Validé humainement",'05_Form_Qualite_Air'!L86,"")</x:f>
      </x:c>
      <x:c r="M86" s="76" t="str">
        <x:f>IF('05_Form_Qualite_Air'!$P86="Validé humainement",'05_Form_Qualite_Air'!M86,"")</x:f>
      </x:c>
      <x:c r="N86" s="76" t="str">
        <x:f>IF('05_Form_Qualite_Air'!$P86="Validé humainement",'05_Form_Qualite_Air'!N86,"")</x:f>
      </x:c>
      <x:c r="O86" s="76" t="str">
        <x:f>IF('05_Form_Qualite_Air'!$P86="Validé humainement",'05_Form_Qualite_Air'!O86,"")</x:f>
      </x:c>
      <x:c r="P86" s="76" t="str">
        <x:f>IF('05_Form_Qualite_Air'!$P86="Validé humainement",'05_Form_Qualite_Air'!P86,"")</x:f>
      </x:c>
      <x:c r="Q86" s="78" t="str">
        <x:f>IF('05_Form_Qualite_Air'!$P86="Validé humainement",'05_Form_Qualite_Air'!Q86,"")</x:f>
      </x:c>
      <x:c r="R86" s="76" t="str">
        <x:f>IF('05_Form_Qualite_Air'!$P86="Validé humainement",'05_Form_Qualite_Air'!R86,"")</x:f>
      </x:c>
      <x:c r="S86" s="76" t="str">
        <x:f>IF('05_Form_Qualite_Air'!$P86="Validé humainement",'05_Form_Qualite_Air'!S86,"")</x:f>
      </x:c>
      <x:c r="T86" s="76" t="str">
        <x:f>IF('05_Form_Qualite_Air'!$P86="Validé humainement",'05_Form_Qualite_Air'!T86,"")</x:f>
      </x:c>
    </x:row>
    <x:row r="87">
      <x:c r="A87" s="76" t="str">
        <x:f>IF('05_Form_Qualite_Air'!$P87="Validé humainement",'05_Form_Qualite_Air'!A87,"")</x:f>
      </x:c>
      <x:c r="B87" s="76" t="str">
        <x:f>IF('05_Form_Qualite_Air'!$P87="Validé humainement",'05_Form_Qualite_Air'!B87,"")</x:f>
      </x:c>
      <x:c r="C87" s="76" t="str">
        <x:f>IF('05_Form_Qualite_Air'!$P87="Validé humainement",'05_Form_Qualite_Air'!C87,"")</x:f>
      </x:c>
      <x:c r="D87" s="76" t="str">
        <x:f>IF('05_Form_Qualite_Air'!$P87="Validé humainement",'05_Form_Qualite_Air'!D87,"")</x:f>
      </x:c>
      <x:c r="E87" s="80" t="str">
        <x:f>IF('05_Form_Qualite_Air'!$P87="Validé humainement",'05_Form_Qualite_Air'!E87,"")</x:f>
      </x:c>
      <x:c r="F87" s="80" t="str">
        <x:f>IF('05_Form_Qualite_Air'!$P87="Validé humainement",'05_Form_Qualite_Air'!F87,"")</x:f>
      </x:c>
      <x:c r="G87" s="80" t="str">
        <x:f>IF('05_Form_Qualite_Air'!$P87="Validé humainement",'05_Form_Qualite_Air'!G87,"")</x:f>
      </x:c>
      <x:c r="H87" s="80" t="str">
        <x:f>IF('05_Form_Qualite_Air'!$P87="Validé humainement",'05_Form_Qualite_Air'!H87,"")</x:f>
      </x:c>
      <x:c r="I87" s="80" t="str">
        <x:f>IF('05_Form_Qualite_Air'!$P87="Validé humainement",'05_Form_Qualite_Air'!I87,"")</x:f>
      </x:c>
      <x:c r="J87" s="80" t="str">
        <x:f>IF('05_Form_Qualite_Air'!$P87="Validé humainement",'05_Form_Qualite_Air'!J87,"")</x:f>
      </x:c>
      <x:c r="K87" s="80" t="str">
        <x:f>IF('05_Form_Qualite_Air'!$P87="Validé humainement",'05_Form_Qualite_Air'!K87,"")</x:f>
      </x:c>
      <x:c r="L87" s="76" t="str">
        <x:f>IF('05_Form_Qualite_Air'!$P87="Validé humainement",'05_Form_Qualite_Air'!L87,"")</x:f>
      </x:c>
      <x:c r="M87" s="76" t="str">
        <x:f>IF('05_Form_Qualite_Air'!$P87="Validé humainement",'05_Form_Qualite_Air'!M87,"")</x:f>
      </x:c>
      <x:c r="N87" s="76" t="str">
        <x:f>IF('05_Form_Qualite_Air'!$P87="Validé humainement",'05_Form_Qualite_Air'!N87,"")</x:f>
      </x:c>
      <x:c r="O87" s="76" t="str">
        <x:f>IF('05_Form_Qualite_Air'!$P87="Validé humainement",'05_Form_Qualite_Air'!O87,"")</x:f>
      </x:c>
      <x:c r="P87" s="76" t="str">
        <x:f>IF('05_Form_Qualite_Air'!$P87="Validé humainement",'05_Form_Qualite_Air'!P87,"")</x:f>
      </x:c>
      <x:c r="Q87" s="78" t="str">
        <x:f>IF('05_Form_Qualite_Air'!$P87="Validé humainement",'05_Form_Qualite_Air'!Q87,"")</x:f>
      </x:c>
      <x:c r="R87" s="76" t="str">
        <x:f>IF('05_Form_Qualite_Air'!$P87="Validé humainement",'05_Form_Qualite_Air'!R87,"")</x:f>
      </x:c>
      <x:c r="S87" s="76" t="str">
        <x:f>IF('05_Form_Qualite_Air'!$P87="Validé humainement",'05_Form_Qualite_Air'!S87,"")</x:f>
      </x:c>
      <x:c r="T87" s="76" t="str">
        <x:f>IF('05_Form_Qualite_Air'!$P87="Validé humainement",'05_Form_Qualite_Air'!T87,"")</x:f>
      </x:c>
    </x:row>
    <x:row r="88">
      <x:c r="A88" s="76" t="str">
        <x:f>IF('05_Form_Qualite_Air'!$P88="Validé humainement",'05_Form_Qualite_Air'!A88,"")</x:f>
      </x:c>
      <x:c r="B88" s="76" t="str">
        <x:f>IF('05_Form_Qualite_Air'!$P88="Validé humainement",'05_Form_Qualite_Air'!B88,"")</x:f>
      </x:c>
      <x:c r="C88" s="76" t="str">
        <x:f>IF('05_Form_Qualite_Air'!$P88="Validé humainement",'05_Form_Qualite_Air'!C88,"")</x:f>
      </x:c>
      <x:c r="D88" s="76" t="str">
        <x:f>IF('05_Form_Qualite_Air'!$P88="Validé humainement",'05_Form_Qualite_Air'!D88,"")</x:f>
      </x:c>
      <x:c r="E88" s="80" t="str">
        <x:f>IF('05_Form_Qualite_Air'!$P88="Validé humainement",'05_Form_Qualite_Air'!E88,"")</x:f>
      </x:c>
      <x:c r="F88" s="80" t="str">
        <x:f>IF('05_Form_Qualite_Air'!$P88="Validé humainement",'05_Form_Qualite_Air'!F88,"")</x:f>
      </x:c>
      <x:c r="G88" s="80" t="str">
        <x:f>IF('05_Form_Qualite_Air'!$P88="Validé humainement",'05_Form_Qualite_Air'!G88,"")</x:f>
      </x:c>
      <x:c r="H88" s="80" t="str">
        <x:f>IF('05_Form_Qualite_Air'!$P88="Validé humainement",'05_Form_Qualite_Air'!H88,"")</x:f>
      </x:c>
      <x:c r="I88" s="80" t="str">
        <x:f>IF('05_Form_Qualite_Air'!$P88="Validé humainement",'05_Form_Qualite_Air'!I88,"")</x:f>
      </x:c>
      <x:c r="J88" s="80" t="str">
        <x:f>IF('05_Form_Qualite_Air'!$P88="Validé humainement",'05_Form_Qualite_Air'!J88,"")</x:f>
      </x:c>
      <x:c r="K88" s="80" t="str">
        <x:f>IF('05_Form_Qualite_Air'!$P88="Validé humainement",'05_Form_Qualite_Air'!K88,"")</x:f>
      </x:c>
      <x:c r="L88" s="76" t="str">
        <x:f>IF('05_Form_Qualite_Air'!$P88="Validé humainement",'05_Form_Qualite_Air'!L88,"")</x:f>
      </x:c>
      <x:c r="M88" s="76" t="str">
        <x:f>IF('05_Form_Qualite_Air'!$P88="Validé humainement",'05_Form_Qualite_Air'!M88,"")</x:f>
      </x:c>
      <x:c r="N88" s="76" t="str">
        <x:f>IF('05_Form_Qualite_Air'!$P88="Validé humainement",'05_Form_Qualite_Air'!N88,"")</x:f>
      </x:c>
      <x:c r="O88" s="76" t="str">
        <x:f>IF('05_Form_Qualite_Air'!$P88="Validé humainement",'05_Form_Qualite_Air'!O88,"")</x:f>
      </x:c>
      <x:c r="P88" s="76" t="str">
        <x:f>IF('05_Form_Qualite_Air'!$P88="Validé humainement",'05_Form_Qualite_Air'!P88,"")</x:f>
      </x:c>
      <x:c r="Q88" s="78" t="str">
        <x:f>IF('05_Form_Qualite_Air'!$P88="Validé humainement",'05_Form_Qualite_Air'!Q88,"")</x:f>
      </x:c>
      <x:c r="R88" s="76" t="str">
        <x:f>IF('05_Form_Qualite_Air'!$P88="Validé humainement",'05_Form_Qualite_Air'!R88,"")</x:f>
      </x:c>
      <x:c r="S88" s="76" t="str">
        <x:f>IF('05_Form_Qualite_Air'!$P88="Validé humainement",'05_Form_Qualite_Air'!S88,"")</x:f>
      </x:c>
      <x:c r="T88" s="76" t="str">
        <x:f>IF('05_Form_Qualite_Air'!$P88="Validé humainement",'05_Form_Qualite_Air'!T88,"")</x:f>
      </x:c>
    </x:row>
    <x:row r="89">
      <x:c r="A89" s="76" t="str">
        <x:f>IF('05_Form_Qualite_Air'!$P89="Validé humainement",'05_Form_Qualite_Air'!A89,"")</x:f>
      </x:c>
      <x:c r="B89" s="76" t="str">
        <x:f>IF('05_Form_Qualite_Air'!$P89="Validé humainement",'05_Form_Qualite_Air'!B89,"")</x:f>
      </x:c>
      <x:c r="C89" s="76" t="str">
        <x:f>IF('05_Form_Qualite_Air'!$P89="Validé humainement",'05_Form_Qualite_Air'!C89,"")</x:f>
      </x:c>
      <x:c r="D89" s="76" t="str">
        <x:f>IF('05_Form_Qualite_Air'!$P89="Validé humainement",'05_Form_Qualite_Air'!D89,"")</x:f>
      </x:c>
      <x:c r="E89" s="80" t="str">
        <x:f>IF('05_Form_Qualite_Air'!$P89="Validé humainement",'05_Form_Qualite_Air'!E89,"")</x:f>
      </x:c>
      <x:c r="F89" s="80" t="str">
        <x:f>IF('05_Form_Qualite_Air'!$P89="Validé humainement",'05_Form_Qualite_Air'!F89,"")</x:f>
      </x:c>
      <x:c r="G89" s="80" t="str">
        <x:f>IF('05_Form_Qualite_Air'!$P89="Validé humainement",'05_Form_Qualite_Air'!G89,"")</x:f>
      </x:c>
      <x:c r="H89" s="80" t="str">
        <x:f>IF('05_Form_Qualite_Air'!$P89="Validé humainement",'05_Form_Qualite_Air'!H89,"")</x:f>
      </x:c>
      <x:c r="I89" s="80" t="str">
        <x:f>IF('05_Form_Qualite_Air'!$P89="Validé humainement",'05_Form_Qualite_Air'!I89,"")</x:f>
      </x:c>
      <x:c r="J89" s="80" t="str">
        <x:f>IF('05_Form_Qualite_Air'!$P89="Validé humainement",'05_Form_Qualite_Air'!J89,"")</x:f>
      </x:c>
      <x:c r="K89" s="80" t="str">
        <x:f>IF('05_Form_Qualite_Air'!$P89="Validé humainement",'05_Form_Qualite_Air'!K89,"")</x:f>
      </x:c>
      <x:c r="L89" s="76" t="str">
        <x:f>IF('05_Form_Qualite_Air'!$P89="Validé humainement",'05_Form_Qualite_Air'!L89,"")</x:f>
      </x:c>
      <x:c r="M89" s="76" t="str">
        <x:f>IF('05_Form_Qualite_Air'!$P89="Validé humainement",'05_Form_Qualite_Air'!M89,"")</x:f>
      </x:c>
      <x:c r="N89" s="76" t="str">
        <x:f>IF('05_Form_Qualite_Air'!$P89="Validé humainement",'05_Form_Qualite_Air'!N89,"")</x:f>
      </x:c>
      <x:c r="O89" s="76" t="str">
        <x:f>IF('05_Form_Qualite_Air'!$P89="Validé humainement",'05_Form_Qualite_Air'!O89,"")</x:f>
      </x:c>
      <x:c r="P89" s="76" t="str">
        <x:f>IF('05_Form_Qualite_Air'!$P89="Validé humainement",'05_Form_Qualite_Air'!P89,"")</x:f>
      </x:c>
      <x:c r="Q89" s="78" t="str">
        <x:f>IF('05_Form_Qualite_Air'!$P89="Validé humainement",'05_Form_Qualite_Air'!Q89,"")</x:f>
      </x:c>
      <x:c r="R89" s="76" t="str">
        <x:f>IF('05_Form_Qualite_Air'!$P89="Validé humainement",'05_Form_Qualite_Air'!R89,"")</x:f>
      </x:c>
      <x:c r="S89" s="76" t="str">
        <x:f>IF('05_Form_Qualite_Air'!$P89="Validé humainement",'05_Form_Qualite_Air'!S89,"")</x:f>
      </x:c>
      <x:c r="T89" s="76" t="str">
        <x:f>IF('05_Form_Qualite_Air'!$P89="Validé humainement",'05_Form_Qualite_Air'!T89,"")</x:f>
      </x:c>
    </x:row>
    <x:row r="90">
      <x:c r="A90" s="76" t="str">
        <x:f>IF('05_Form_Qualite_Air'!$P90="Validé humainement",'05_Form_Qualite_Air'!A90,"")</x:f>
      </x:c>
      <x:c r="B90" s="76" t="str">
        <x:f>IF('05_Form_Qualite_Air'!$P90="Validé humainement",'05_Form_Qualite_Air'!B90,"")</x:f>
      </x:c>
      <x:c r="C90" s="76" t="str">
        <x:f>IF('05_Form_Qualite_Air'!$P90="Validé humainement",'05_Form_Qualite_Air'!C90,"")</x:f>
      </x:c>
      <x:c r="D90" s="76" t="str">
        <x:f>IF('05_Form_Qualite_Air'!$P90="Validé humainement",'05_Form_Qualite_Air'!D90,"")</x:f>
      </x:c>
      <x:c r="E90" s="80" t="str">
        <x:f>IF('05_Form_Qualite_Air'!$P90="Validé humainement",'05_Form_Qualite_Air'!E90,"")</x:f>
      </x:c>
      <x:c r="F90" s="80" t="str">
        <x:f>IF('05_Form_Qualite_Air'!$P90="Validé humainement",'05_Form_Qualite_Air'!F90,"")</x:f>
      </x:c>
      <x:c r="G90" s="80" t="str">
        <x:f>IF('05_Form_Qualite_Air'!$P90="Validé humainement",'05_Form_Qualite_Air'!G90,"")</x:f>
      </x:c>
      <x:c r="H90" s="80" t="str">
        <x:f>IF('05_Form_Qualite_Air'!$P90="Validé humainement",'05_Form_Qualite_Air'!H90,"")</x:f>
      </x:c>
      <x:c r="I90" s="80" t="str">
        <x:f>IF('05_Form_Qualite_Air'!$P90="Validé humainement",'05_Form_Qualite_Air'!I90,"")</x:f>
      </x:c>
      <x:c r="J90" s="80" t="str">
        <x:f>IF('05_Form_Qualite_Air'!$P90="Validé humainement",'05_Form_Qualite_Air'!J90,"")</x:f>
      </x:c>
      <x:c r="K90" s="80" t="str">
        <x:f>IF('05_Form_Qualite_Air'!$P90="Validé humainement",'05_Form_Qualite_Air'!K90,"")</x:f>
      </x:c>
      <x:c r="L90" s="76" t="str">
        <x:f>IF('05_Form_Qualite_Air'!$P90="Validé humainement",'05_Form_Qualite_Air'!L90,"")</x:f>
      </x:c>
      <x:c r="M90" s="76" t="str">
        <x:f>IF('05_Form_Qualite_Air'!$P90="Validé humainement",'05_Form_Qualite_Air'!M90,"")</x:f>
      </x:c>
      <x:c r="N90" s="76" t="str">
        <x:f>IF('05_Form_Qualite_Air'!$P90="Validé humainement",'05_Form_Qualite_Air'!N90,"")</x:f>
      </x:c>
      <x:c r="O90" s="76" t="str">
        <x:f>IF('05_Form_Qualite_Air'!$P90="Validé humainement",'05_Form_Qualite_Air'!O90,"")</x:f>
      </x:c>
      <x:c r="P90" s="76" t="str">
        <x:f>IF('05_Form_Qualite_Air'!$P90="Validé humainement",'05_Form_Qualite_Air'!P90,"")</x:f>
      </x:c>
      <x:c r="Q90" s="78" t="str">
        <x:f>IF('05_Form_Qualite_Air'!$P90="Validé humainement",'05_Form_Qualite_Air'!Q90,"")</x:f>
      </x:c>
      <x:c r="R90" s="76" t="str">
        <x:f>IF('05_Form_Qualite_Air'!$P90="Validé humainement",'05_Form_Qualite_Air'!R90,"")</x:f>
      </x:c>
      <x:c r="S90" s="76" t="str">
        <x:f>IF('05_Form_Qualite_Air'!$P90="Validé humainement",'05_Form_Qualite_Air'!S90,"")</x:f>
      </x:c>
      <x:c r="T90" s="76" t="str">
        <x:f>IF('05_Form_Qualite_Air'!$P90="Validé humainement",'05_Form_Qualite_Air'!T90,"")</x:f>
      </x:c>
    </x:row>
    <x:row r="91">
      <x:c r="A91" s="76" t="str">
        <x:f>IF('05_Form_Qualite_Air'!$P91="Validé humainement",'05_Form_Qualite_Air'!A91,"")</x:f>
      </x:c>
      <x:c r="B91" s="76" t="str">
        <x:f>IF('05_Form_Qualite_Air'!$P91="Validé humainement",'05_Form_Qualite_Air'!B91,"")</x:f>
      </x:c>
      <x:c r="C91" s="76" t="str">
        <x:f>IF('05_Form_Qualite_Air'!$P91="Validé humainement",'05_Form_Qualite_Air'!C91,"")</x:f>
      </x:c>
      <x:c r="D91" s="76" t="str">
        <x:f>IF('05_Form_Qualite_Air'!$P91="Validé humainement",'05_Form_Qualite_Air'!D91,"")</x:f>
      </x:c>
      <x:c r="E91" s="80" t="str">
        <x:f>IF('05_Form_Qualite_Air'!$P91="Validé humainement",'05_Form_Qualite_Air'!E91,"")</x:f>
      </x:c>
      <x:c r="F91" s="80" t="str">
        <x:f>IF('05_Form_Qualite_Air'!$P91="Validé humainement",'05_Form_Qualite_Air'!F91,"")</x:f>
      </x:c>
      <x:c r="G91" s="80" t="str">
        <x:f>IF('05_Form_Qualite_Air'!$P91="Validé humainement",'05_Form_Qualite_Air'!G91,"")</x:f>
      </x:c>
      <x:c r="H91" s="80" t="str">
        <x:f>IF('05_Form_Qualite_Air'!$P91="Validé humainement",'05_Form_Qualite_Air'!H91,"")</x:f>
      </x:c>
      <x:c r="I91" s="80" t="str">
        <x:f>IF('05_Form_Qualite_Air'!$P91="Validé humainement",'05_Form_Qualite_Air'!I91,"")</x:f>
      </x:c>
      <x:c r="J91" s="80" t="str">
        <x:f>IF('05_Form_Qualite_Air'!$P91="Validé humainement",'05_Form_Qualite_Air'!J91,"")</x:f>
      </x:c>
      <x:c r="K91" s="80" t="str">
        <x:f>IF('05_Form_Qualite_Air'!$P91="Validé humainement",'05_Form_Qualite_Air'!K91,"")</x:f>
      </x:c>
      <x:c r="L91" s="76" t="str">
        <x:f>IF('05_Form_Qualite_Air'!$P91="Validé humainement",'05_Form_Qualite_Air'!L91,"")</x:f>
      </x:c>
      <x:c r="M91" s="76" t="str">
        <x:f>IF('05_Form_Qualite_Air'!$P91="Validé humainement",'05_Form_Qualite_Air'!M91,"")</x:f>
      </x:c>
      <x:c r="N91" s="76" t="str">
        <x:f>IF('05_Form_Qualite_Air'!$P91="Validé humainement",'05_Form_Qualite_Air'!N91,"")</x:f>
      </x:c>
      <x:c r="O91" s="76" t="str">
        <x:f>IF('05_Form_Qualite_Air'!$P91="Validé humainement",'05_Form_Qualite_Air'!O91,"")</x:f>
      </x:c>
      <x:c r="P91" s="76" t="str">
        <x:f>IF('05_Form_Qualite_Air'!$P91="Validé humainement",'05_Form_Qualite_Air'!P91,"")</x:f>
      </x:c>
      <x:c r="Q91" s="78" t="str">
        <x:f>IF('05_Form_Qualite_Air'!$P91="Validé humainement",'05_Form_Qualite_Air'!Q91,"")</x:f>
      </x:c>
      <x:c r="R91" s="76" t="str">
        <x:f>IF('05_Form_Qualite_Air'!$P91="Validé humainement",'05_Form_Qualite_Air'!R91,"")</x:f>
      </x:c>
      <x:c r="S91" s="76" t="str">
        <x:f>IF('05_Form_Qualite_Air'!$P91="Validé humainement",'05_Form_Qualite_Air'!S91,"")</x:f>
      </x:c>
      <x:c r="T91" s="76" t="str">
        <x:f>IF('05_Form_Qualite_Air'!$P91="Validé humainement",'05_Form_Qualite_Air'!T91,"")</x:f>
      </x:c>
    </x:row>
    <x:row r="92">
      <x:c r="A92" s="76" t="str">
        <x:f>IF('05_Form_Qualite_Air'!$P92="Validé humainement",'05_Form_Qualite_Air'!A92,"")</x:f>
      </x:c>
      <x:c r="B92" s="76" t="str">
        <x:f>IF('05_Form_Qualite_Air'!$P92="Validé humainement",'05_Form_Qualite_Air'!B92,"")</x:f>
      </x:c>
      <x:c r="C92" s="76" t="str">
        <x:f>IF('05_Form_Qualite_Air'!$P92="Validé humainement",'05_Form_Qualite_Air'!C92,"")</x:f>
      </x:c>
      <x:c r="D92" s="76" t="str">
        <x:f>IF('05_Form_Qualite_Air'!$P92="Validé humainement",'05_Form_Qualite_Air'!D92,"")</x:f>
      </x:c>
      <x:c r="E92" s="80" t="str">
        <x:f>IF('05_Form_Qualite_Air'!$P92="Validé humainement",'05_Form_Qualite_Air'!E92,"")</x:f>
      </x:c>
      <x:c r="F92" s="80" t="str">
        <x:f>IF('05_Form_Qualite_Air'!$P92="Validé humainement",'05_Form_Qualite_Air'!F92,"")</x:f>
      </x:c>
      <x:c r="G92" s="80" t="str">
        <x:f>IF('05_Form_Qualite_Air'!$P92="Validé humainement",'05_Form_Qualite_Air'!G92,"")</x:f>
      </x:c>
      <x:c r="H92" s="80" t="str">
        <x:f>IF('05_Form_Qualite_Air'!$P92="Validé humainement",'05_Form_Qualite_Air'!H92,"")</x:f>
      </x:c>
      <x:c r="I92" s="80" t="str">
        <x:f>IF('05_Form_Qualite_Air'!$P92="Validé humainement",'05_Form_Qualite_Air'!I92,"")</x:f>
      </x:c>
      <x:c r="J92" s="80" t="str">
        <x:f>IF('05_Form_Qualite_Air'!$P92="Validé humainement",'05_Form_Qualite_Air'!J92,"")</x:f>
      </x:c>
      <x:c r="K92" s="80" t="str">
        <x:f>IF('05_Form_Qualite_Air'!$P92="Validé humainement",'05_Form_Qualite_Air'!K92,"")</x:f>
      </x:c>
      <x:c r="L92" s="76" t="str">
        <x:f>IF('05_Form_Qualite_Air'!$P92="Validé humainement",'05_Form_Qualite_Air'!L92,"")</x:f>
      </x:c>
      <x:c r="M92" s="76" t="str">
        <x:f>IF('05_Form_Qualite_Air'!$P92="Validé humainement",'05_Form_Qualite_Air'!M92,"")</x:f>
      </x:c>
      <x:c r="N92" s="76" t="str">
        <x:f>IF('05_Form_Qualite_Air'!$P92="Validé humainement",'05_Form_Qualite_Air'!N92,"")</x:f>
      </x:c>
      <x:c r="O92" s="76" t="str">
        <x:f>IF('05_Form_Qualite_Air'!$P92="Validé humainement",'05_Form_Qualite_Air'!O92,"")</x:f>
      </x:c>
      <x:c r="P92" s="76" t="str">
        <x:f>IF('05_Form_Qualite_Air'!$P92="Validé humainement",'05_Form_Qualite_Air'!P92,"")</x:f>
      </x:c>
      <x:c r="Q92" s="78" t="str">
        <x:f>IF('05_Form_Qualite_Air'!$P92="Validé humainement",'05_Form_Qualite_Air'!Q92,"")</x:f>
      </x:c>
      <x:c r="R92" s="76" t="str">
        <x:f>IF('05_Form_Qualite_Air'!$P92="Validé humainement",'05_Form_Qualite_Air'!R92,"")</x:f>
      </x:c>
      <x:c r="S92" s="76" t="str">
        <x:f>IF('05_Form_Qualite_Air'!$P92="Validé humainement",'05_Form_Qualite_Air'!S92,"")</x:f>
      </x:c>
      <x:c r="T92" s="76" t="str">
        <x:f>IF('05_Form_Qualite_Air'!$P92="Validé humainement",'05_Form_Qualite_Air'!T92,"")</x:f>
      </x:c>
    </x:row>
    <x:row r="93">
      <x:c r="A93" s="76" t="str">
        <x:f>IF('05_Form_Qualite_Air'!$P93="Validé humainement",'05_Form_Qualite_Air'!A93,"")</x:f>
      </x:c>
      <x:c r="B93" s="76" t="str">
        <x:f>IF('05_Form_Qualite_Air'!$P93="Validé humainement",'05_Form_Qualite_Air'!B93,"")</x:f>
      </x:c>
      <x:c r="C93" s="76" t="str">
        <x:f>IF('05_Form_Qualite_Air'!$P93="Validé humainement",'05_Form_Qualite_Air'!C93,"")</x:f>
      </x:c>
      <x:c r="D93" s="76" t="str">
        <x:f>IF('05_Form_Qualite_Air'!$P93="Validé humainement",'05_Form_Qualite_Air'!D93,"")</x:f>
      </x:c>
      <x:c r="E93" s="80" t="str">
        <x:f>IF('05_Form_Qualite_Air'!$P93="Validé humainement",'05_Form_Qualite_Air'!E93,"")</x:f>
      </x:c>
      <x:c r="F93" s="80" t="str">
        <x:f>IF('05_Form_Qualite_Air'!$P93="Validé humainement",'05_Form_Qualite_Air'!F93,"")</x:f>
      </x:c>
      <x:c r="G93" s="80" t="str">
        <x:f>IF('05_Form_Qualite_Air'!$P93="Validé humainement",'05_Form_Qualite_Air'!G93,"")</x:f>
      </x:c>
      <x:c r="H93" s="80" t="str">
        <x:f>IF('05_Form_Qualite_Air'!$P93="Validé humainement",'05_Form_Qualite_Air'!H93,"")</x:f>
      </x:c>
      <x:c r="I93" s="80" t="str">
        <x:f>IF('05_Form_Qualite_Air'!$P93="Validé humainement",'05_Form_Qualite_Air'!I93,"")</x:f>
      </x:c>
      <x:c r="J93" s="80" t="str">
        <x:f>IF('05_Form_Qualite_Air'!$P93="Validé humainement",'05_Form_Qualite_Air'!J93,"")</x:f>
      </x:c>
      <x:c r="K93" s="80" t="str">
        <x:f>IF('05_Form_Qualite_Air'!$P93="Validé humainement",'05_Form_Qualite_Air'!K93,"")</x:f>
      </x:c>
      <x:c r="L93" s="76" t="str">
        <x:f>IF('05_Form_Qualite_Air'!$P93="Validé humainement",'05_Form_Qualite_Air'!L93,"")</x:f>
      </x:c>
      <x:c r="M93" s="76" t="str">
        <x:f>IF('05_Form_Qualite_Air'!$P93="Validé humainement",'05_Form_Qualite_Air'!M93,"")</x:f>
      </x:c>
      <x:c r="N93" s="76" t="str">
        <x:f>IF('05_Form_Qualite_Air'!$P93="Validé humainement",'05_Form_Qualite_Air'!N93,"")</x:f>
      </x:c>
      <x:c r="O93" s="76" t="str">
        <x:f>IF('05_Form_Qualite_Air'!$P93="Validé humainement",'05_Form_Qualite_Air'!O93,"")</x:f>
      </x:c>
      <x:c r="P93" s="76" t="str">
        <x:f>IF('05_Form_Qualite_Air'!$P93="Validé humainement",'05_Form_Qualite_Air'!P93,"")</x:f>
      </x:c>
      <x:c r="Q93" s="78" t="str">
        <x:f>IF('05_Form_Qualite_Air'!$P93="Validé humainement",'05_Form_Qualite_Air'!Q93,"")</x:f>
      </x:c>
      <x:c r="R93" s="76" t="str">
        <x:f>IF('05_Form_Qualite_Air'!$P93="Validé humainement",'05_Form_Qualite_Air'!R93,"")</x:f>
      </x:c>
      <x:c r="S93" s="76" t="str">
        <x:f>IF('05_Form_Qualite_Air'!$P93="Validé humainement",'05_Form_Qualite_Air'!S93,"")</x:f>
      </x:c>
      <x:c r="T93" s="76" t="str">
        <x:f>IF('05_Form_Qualite_Air'!$P93="Validé humainement",'05_Form_Qualite_Air'!T93,"")</x:f>
      </x:c>
    </x:row>
    <x:row r="94">
      <x:c r="A94" s="76" t="str">
        <x:f>IF('05_Form_Qualite_Air'!$P94="Validé humainement",'05_Form_Qualite_Air'!A94,"")</x:f>
      </x:c>
      <x:c r="B94" s="76" t="str">
        <x:f>IF('05_Form_Qualite_Air'!$P94="Validé humainement",'05_Form_Qualite_Air'!B94,"")</x:f>
      </x:c>
      <x:c r="C94" s="76" t="str">
        <x:f>IF('05_Form_Qualite_Air'!$P94="Validé humainement",'05_Form_Qualite_Air'!C94,"")</x:f>
      </x:c>
      <x:c r="D94" s="76" t="str">
        <x:f>IF('05_Form_Qualite_Air'!$P94="Validé humainement",'05_Form_Qualite_Air'!D94,"")</x:f>
      </x:c>
      <x:c r="E94" s="80" t="str">
        <x:f>IF('05_Form_Qualite_Air'!$P94="Validé humainement",'05_Form_Qualite_Air'!E94,"")</x:f>
      </x:c>
      <x:c r="F94" s="80" t="str">
        <x:f>IF('05_Form_Qualite_Air'!$P94="Validé humainement",'05_Form_Qualite_Air'!F94,"")</x:f>
      </x:c>
      <x:c r="G94" s="80" t="str">
        <x:f>IF('05_Form_Qualite_Air'!$P94="Validé humainement",'05_Form_Qualite_Air'!G94,"")</x:f>
      </x:c>
      <x:c r="H94" s="80" t="str">
        <x:f>IF('05_Form_Qualite_Air'!$P94="Validé humainement",'05_Form_Qualite_Air'!H94,"")</x:f>
      </x:c>
      <x:c r="I94" s="80" t="str">
        <x:f>IF('05_Form_Qualite_Air'!$P94="Validé humainement",'05_Form_Qualite_Air'!I94,"")</x:f>
      </x:c>
      <x:c r="J94" s="80" t="str">
        <x:f>IF('05_Form_Qualite_Air'!$P94="Validé humainement",'05_Form_Qualite_Air'!J94,"")</x:f>
      </x:c>
      <x:c r="K94" s="80" t="str">
        <x:f>IF('05_Form_Qualite_Air'!$P94="Validé humainement",'05_Form_Qualite_Air'!K94,"")</x:f>
      </x:c>
      <x:c r="L94" s="76" t="str">
        <x:f>IF('05_Form_Qualite_Air'!$P94="Validé humainement",'05_Form_Qualite_Air'!L94,"")</x:f>
      </x:c>
      <x:c r="M94" s="76" t="str">
        <x:f>IF('05_Form_Qualite_Air'!$P94="Validé humainement",'05_Form_Qualite_Air'!M94,"")</x:f>
      </x:c>
      <x:c r="N94" s="76" t="str">
        <x:f>IF('05_Form_Qualite_Air'!$P94="Validé humainement",'05_Form_Qualite_Air'!N94,"")</x:f>
      </x:c>
      <x:c r="O94" s="76" t="str">
        <x:f>IF('05_Form_Qualite_Air'!$P94="Validé humainement",'05_Form_Qualite_Air'!O94,"")</x:f>
      </x:c>
      <x:c r="P94" s="76" t="str">
        <x:f>IF('05_Form_Qualite_Air'!$P94="Validé humainement",'05_Form_Qualite_Air'!P94,"")</x:f>
      </x:c>
      <x:c r="Q94" s="78" t="str">
        <x:f>IF('05_Form_Qualite_Air'!$P94="Validé humainement",'05_Form_Qualite_Air'!Q94,"")</x:f>
      </x:c>
      <x:c r="R94" s="76" t="str">
        <x:f>IF('05_Form_Qualite_Air'!$P94="Validé humainement",'05_Form_Qualite_Air'!R94,"")</x:f>
      </x:c>
      <x:c r="S94" s="76" t="str">
        <x:f>IF('05_Form_Qualite_Air'!$P94="Validé humainement",'05_Form_Qualite_Air'!S94,"")</x:f>
      </x:c>
      <x:c r="T94" s="76" t="str">
        <x:f>IF('05_Form_Qualite_Air'!$P94="Validé humainement",'05_Form_Qualite_Air'!T94,"")</x:f>
      </x:c>
    </x:row>
    <x:row r="95">
      <x:c r="A95" s="76" t="str">
        <x:f>IF('05_Form_Qualite_Air'!$P95="Validé humainement",'05_Form_Qualite_Air'!A95,"")</x:f>
      </x:c>
      <x:c r="B95" s="76" t="str">
        <x:f>IF('05_Form_Qualite_Air'!$P95="Validé humainement",'05_Form_Qualite_Air'!B95,"")</x:f>
      </x:c>
      <x:c r="C95" s="76" t="str">
        <x:f>IF('05_Form_Qualite_Air'!$P95="Validé humainement",'05_Form_Qualite_Air'!C95,"")</x:f>
      </x:c>
      <x:c r="D95" s="76" t="str">
        <x:f>IF('05_Form_Qualite_Air'!$P95="Validé humainement",'05_Form_Qualite_Air'!D95,"")</x:f>
      </x:c>
      <x:c r="E95" s="80" t="str">
        <x:f>IF('05_Form_Qualite_Air'!$P95="Validé humainement",'05_Form_Qualite_Air'!E95,"")</x:f>
      </x:c>
      <x:c r="F95" s="80" t="str">
        <x:f>IF('05_Form_Qualite_Air'!$P95="Validé humainement",'05_Form_Qualite_Air'!F95,"")</x:f>
      </x:c>
      <x:c r="G95" s="80" t="str">
        <x:f>IF('05_Form_Qualite_Air'!$P95="Validé humainement",'05_Form_Qualite_Air'!G95,"")</x:f>
      </x:c>
      <x:c r="H95" s="80" t="str">
        <x:f>IF('05_Form_Qualite_Air'!$P95="Validé humainement",'05_Form_Qualite_Air'!H95,"")</x:f>
      </x:c>
      <x:c r="I95" s="80" t="str">
        <x:f>IF('05_Form_Qualite_Air'!$P95="Validé humainement",'05_Form_Qualite_Air'!I95,"")</x:f>
      </x:c>
      <x:c r="J95" s="80" t="str">
        <x:f>IF('05_Form_Qualite_Air'!$P95="Validé humainement",'05_Form_Qualite_Air'!J95,"")</x:f>
      </x:c>
      <x:c r="K95" s="80" t="str">
        <x:f>IF('05_Form_Qualite_Air'!$P95="Validé humainement",'05_Form_Qualite_Air'!K95,"")</x:f>
      </x:c>
      <x:c r="L95" s="76" t="str">
        <x:f>IF('05_Form_Qualite_Air'!$P95="Validé humainement",'05_Form_Qualite_Air'!L95,"")</x:f>
      </x:c>
      <x:c r="M95" s="76" t="str">
        <x:f>IF('05_Form_Qualite_Air'!$P95="Validé humainement",'05_Form_Qualite_Air'!M95,"")</x:f>
      </x:c>
      <x:c r="N95" s="76" t="str">
        <x:f>IF('05_Form_Qualite_Air'!$P95="Validé humainement",'05_Form_Qualite_Air'!N95,"")</x:f>
      </x:c>
      <x:c r="O95" s="76" t="str">
        <x:f>IF('05_Form_Qualite_Air'!$P95="Validé humainement",'05_Form_Qualite_Air'!O95,"")</x:f>
      </x:c>
      <x:c r="P95" s="76" t="str">
        <x:f>IF('05_Form_Qualite_Air'!$P95="Validé humainement",'05_Form_Qualite_Air'!P95,"")</x:f>
      </x:c>
      <x:c r="Q95" s="78" t="str">
        <x:f>IF('05_Form_Qualite_Air'!$P95="Validé humainement",'05_Form_Qualite_Air'!Q95,"")</x:f>
      </x:c>
      <x:c r="R95" s="76" t="str">
        <x:f>IF('05_Form_Qualite_Air'!$P95="Validé humainement",'05_Form_Qualite_Air'!R95,"")</x:f>
      </x:c>
      <x:c r="S95" s="76" t="str">
        <x:f>IF('05_Form_Qualite_Air'!$P95="Validé humainement",'05_Form_Qualite_Air'!S95,"")</x:f>
      </x:c>
      <x:c r="T95" s="76" t="str">
        <x:f>IF('05_Form_Qualite_Air'!$P95="Validé humainement",'05_Form_Qualite_Air'!T95,"")</x:f>
      </x:c>
    </x:row>
    <x:row r="96">
      <x:c r="A96" s="76" t="str">
        <x:f>IF('05_Form_Qualite_Air'!$P96="Validé humainement",'05_Form_Qualite_Air'!A96,"")</x:f>
      </x:c>
      <x:c r="B96" s="76" t="str">
        <x:f>IF('05_Form_Qualite_Air'!$P96="Validé humainement",'05_Form_Qualite_Air'!B96,"")</x:f>
      </x:c>
      <x:c r="C96" s="76" t="str">
        <x:f>IF('05_Form_Qualite_Air'!$P96="Validé humainement",'05_Form_Qualite_Air'!C96,"")</x:f>
      </x:c>
      <x:c r="D96" s="76" t="str">
        <x:f>IF('05_Form_Qualite_Air'!$P96="Validé humainement",'05_Form_Qualite_Air'!D96,"")</x:f>
      </x:c>
      <x:c r="E96" s="80" t="str">
        <x:f>IF('05_Form_Qualite_Air'!$P96="Validé humainement",'05_Form_Qualite_Air'!E96,"")</x:f>
      </x:c>
      <x:c r="F96" s="80" t="str">
        <x:f>IF('05_Form_Qualite_Air'!$P96="Validé humainement",'05_Form_Qualite_Air'!F96,"")</x:f>
      </x:c>
      <x:c r="G96" s="80" t="str">
        <x:f>IF('05_Form_Qualite_Air'!$P96="Validé humainement",'05_Form_Qualite_Air'!G96,"")</x:f>
      </x:c>
      <x:c r="H96" s="80" t="str">
        <x:f>IF('05_Form_Qualite_Air'!$P96="Validé humainement",'05_Form_Qualite_Air'!H96,"")</x:f>
      </x:c>
      <x:c r="I96" s="80" t="str">
        <x:f>IF('05_Form_Qualite_Air'!$P96="Validé humainement",'05_Form_Qualite_Air'!I96,"")</x:f>
      </x:c>
      <x:c r="J96" s="80" t="str">
        <x:f>IF('05_Form_Qualite_Air'!$P96="Validé humainement",'05_Form_Qualite_Air'!J96,"")</x:f>
      </x:c>
      <x:c r="K96" s="80" t="str">
        <x:f>IF('05_Form_Qualite_Air'!$P96="Validé humainement",'05_Form_Qualite_Air'!K96,"")</x:f>
      </x:c>
      <x:c r="L96" s="76" t="str">
        <x:f>IF('05_Form_Qualite_Air'!$P96="Validé humainement",'05_Form_Qualite_Air'!L96,"")</x:f>
      </x:c>
      <x:c r="M96" s="76" t="str">
        <x:f>IF('05_Form_Qualite_Air'!$P96="Validé humainement",'05_Form_Qualite_Air'!M96,"")</x:f>
      </x:c>
      <x:c r="N96" s="76" t="str">
        <x:f>IF('05_Form_Qualite_Air'!$P96="Validé humainement",'05_Form_Qualite_Air'!N96,"")</x:f>
      </x:c>
      <x:c r="O96" s="76" t="str">
        <x:f>IF('05_Form_Qualite_Air'!$P96="Validé humainement",'05_Form_Qualite_Air'!O96,"")</x:f>
      </x:c>
      <x:c r="P96" s="76" t="str">
        <x:f>IF('05_Form_Qualite_Air'!$P96="Validé humainement",'05_Form_Qualite_Air'!P96,"")</x:f>
      </x:c>
      <x:c r="Q96" s="78" t="str">
        <x:f>IF('05_Form_Qualite_Air'!$P96="Validé humainement",'05_Form_Qualite_Air'!Q96,"")</x:f>
      </x:c>
      <x:c r="R96" s="76" t="str">
        <x:f>IF('05_Form_Qualite_Air'!$P96="Validé humainement",'05_Form_Qualite_Air'!R96,"")</x:f>
      </x:c>
      <x:c r="S96" s="76" t="str">
        <x:f>IF('05_Form_Qualite_Air'!$P96="Validé humainement",'05_Form_Qualite_Air'!S96,"")</x:f>
      </x:c>
      <x:c r="T96" s="76" t="str">
        <x:f>IF('05_Form_Qualite_Air'!$P96="Validé humainement",'05_Form_Qualite_Air'!T96,"")</x:f>
      </x:c>
    </x:row>
    <x:row r="97">
      <x:c r="A97" s="76" t="str">
        <x:f>IF('05_Form_Qualite_Air'!$P97="Validé humainement",'05_Form_Qualite_Air'!A97,"")</x:f>
      </x:c>
      <x:c r="B97" s="76" t="str">
        <x:f>IF('05_Form_Qualite_Air'!$P97="Validé humainement",'05_Form_Qualite_Air'!B97,"")</x:f>
      </x:c>
      <x:c r="C97" s="76" t="str">
        <x:f>IF('05_Form_Qualite_Air'!$P97="Validé humainement",'05_Form_Qualite_Air'!C97,"")</x:f>
      </x:c>
      <x:c r="D97" s="76" t="str">
        <x:f>IF('05_Form_Qualite_Air'!$P97="Validé humainement",'05_Form_Qualite_Air'!D97,"")</x:f>
      </x:c>
      <x:c r="E97" s="80" t="str">
        <x:f>IF('05_Form_Qualite_Air'!$P97="Validé humainement",'05_Form_Qualite_Air'!E97,"")</x:f>
      </x:c>
      <x:c r="F97" s="80" t="str">
        <x:f>IF('05_Form_Qualite_Air'!$P97="Validé humainement",'05_Form_Qualite_Air'!F97,"")</x:f>
      </x:c>
      <x:c r="G97" s="80" t="str">
        <x:f>IF('05_Form_Qualite_Air'!$P97="Validé humainement",'05_Form_Qualite_Air'!G97,"")</x:f>
      </x:c>
      <x:c r="H97" s="80" t="str">
        <x:f>IF('05_Form_Qualite_Air'!$P97="Validé humainement",'05_Form_Qualite_Air'!H97,"")</x:f>
      </x:c>
      <x:c r="I97" s="80" t="str">
        <x:f>IF('05_Form_Qualite_Air'!$P97="Validé humainement",'05_Form_Qualite_Air'!I97,"")</x:f>
      </x:c>
      <x:c r="J97" s="80" t="str">
        <x:f>IF('05_Form_Qualite_Air'!$P97="Validé humainement",'05_Form_Qualite_Air'!J97,"")</x:f>
      </x:c>
      <x:c r="K97" s="80" t="str">
        <x:f>IF('05_Form_Qualite_Air'!$P97="Validé humainement",'05_Form_Qualite_Air'!K97,"")</x:f>
      </x:c>
      <x:c r="L97" s="76" t="str">
        <x:f>IF('05_Form_Qualite_Air'!$P97="Validé humainement",'05_Form_Qualite_Air'!L97,"")</x:f>
      </x:c>
      <x:c r="M97" s="76" t="str">
        <x:f>IF('05_Form_Qualite_Air'!$P97="Validé humainement",'05_Form_Qualite_Air'!M97,"")</x:f>
      </x:c>
      <x:c r="N97" s="76" t="str">
        <x:f>IF('05_Form_Qualite_Air'!$P97="Validé humainement",'05_Form_Qualite_Air'!N97,"")</x:f>
      </x:c>
      <x:c r="O97" s="76" t="str">
        <x:f>IF('05_Form_Qualite_Air'!$P97="Validé humainement",'05_Form_Qualite_Air'!O97,"")</x:f>
      </x:c>
      <x:c r="P97" s="76" t="str">
        <x:f>IF('05_Form_Qualite_Air'!$P97="Validé humainement",'05_Form_Qualite_Air'!P97,"")</x:f>
      </x:c>
      <x:c r="Q97" s="78" t="str">
        <x:f>IF('05_Form_Qualite_Air'!$P97="Validé humainement",'05_Form_Qualite_Air'!Q97,"")</x:f>
      </x:c>
      <x:c r="R97" s="76" t="str">
        <x:f>IF('05_Form_Qualite_Air'!$P97="Validé humainement",'05_Form_Qualite_Air'!R97,"")</x:f>
      </x:c>
      <x:c r="S97" s="76" t="str">
        <x:f>IF('05_Form_Qualite_Air'!$P97="Validé humainement",'05_Form_Qualite_Air'!S97,"")</x:f>
      </x:c>
      <x:c r="T97" s="76" t="str">
        <x:f>IF('05_Form_Qualite_Air'!$P97="Validé humainement",'05_Form_Qualite_Air'!T97,"")</x:f>
      </x:c>
    </x:row>
    <x:row r="98">
      <x:c r="A98" s="76" t="str">
        <x:f>IF('05_Form_Qualite_Air'!$P98="Validé humainement",'05_Form_Qualite_Air'!A98,"")</x:f>
      </x:c>
      <x:c r="B98" s="76" t="str">
        <x:f>IF('05_Form_Qualite_Air'!$P98="Validé humainement",'05_Form_Qualite_Air'!B98,"")</x:f>
      </x:c>
      <x:c r="C98" s="76" t="str">
        <x:f>IF('05_Form_Qualite_Air'!$P98="Validé humainement",'05_Form_Qualite_Air'!C98,"")</x:f>
      </x:c>
      <x:c r="D98" s="76" t="str">
        <x:f>IF('05_Form_Qualite_Air'!$P98="Validé humainement",'05_Form_Qualite_Air'!D98,"")</x:f>
      </x:c>
      <x:c r="E98" s="80" t="str">
        <x:f>IF('05_Form_Qualite_Air'!$P98="Validé humainement",'05_Form_Qualite_Air'!E98,"")</x:f>
      </x:c>
      <x:c r="F98" s="80" t="str">
        <x:f>IF('05_Form_Qualite_Air'!$P98="Validé humainement",'05_Form_Qualite_Air'!F98,"")</x:f>
      </x:c>
      <x:c r="G98" s="80" t="str">
        <x:f>IF('05_Form_Qualite_Air'!$P98="Validé humainement",'05_Form_Qualite_Air'!G98,"")</x:f>
      </x:c>
      <x:c r="H98" s="80" t="str">
        <x:f>IF('05_Form_Qualite_Air'!$P98="Validé humainement",'05_Form_Qualite_Air'!H98,"")</x:f>
      </x:c>
      <x:c r="I98" s="80" t="str">
        <x:f>IF('05_Form_Qualite_Air'!$P98="Validé humainement",'05_Form_Qualite_Air'!I98,"")</x:f>
      </x:c>
      <x:c r="J98" s="80" t="str">
        <x:f>IF('05_Form_Qualite_Air'!$P98="Validé humainement",'05_Form_Qualite_Air'!J98,"")</x:f>
      </x:c>
      <x:c r="K98" s="80" t="str">
        <x:f>IF('05_Form_Qualite_Air'!$P98="Validé humainement",'05_Form_Qualite_Air'!K98,"")</x:f>
      </x:c>
      <x:c r="L98" s="76" t="str">
        <x:f>IF('05_Form_Qualite_Air'!$P98="Validé humainement",'05_Form_Qualite_Air'!L98,"")</x:f>
      </x:c>
      <x:c r="M98" s="76" t="str">
        <x:f>IF('05_Form_Qualite_Air'!$P98="Validé humainement",'05_Form_Qualite_Air'!M98,"")</x:f>
      </x:c>
      <x:c r="N98" s="76" t="str">
        <x:f>IF('05_Form_Qualite_Air'!$P98="Validé humainement",'05_Form_Qualite_Air'!N98,"")</x:f>
      </x:c>
      <x:c r="O98" s="76" t="str">
        <x:f>IF('05_Form_Qualite_Air'!$P98="Validé humainement",'05_Form_Qualite_Air'!O98,"")</x:f>
      </x:c>
      <x:c r="P98" s="76" t="str">
        <x:f>IF('05_Form_Qualite_Air'!$P98="Validé humainement",'05_Form_Qualite_Air'!P98,"")</x:f>
      </x:c>
      <x:c r="Q98" s="78" t="str">
        <x:f>IF('05_Form_Qualite_Air'!$P98="Validé humainement",'05_Form_Qualite_Air'!Q98,"")</x:f>
      </x:c>
      <x:c r="R98" s="76" t="str">
        <x:f>IF('05_Form_Qualite_Air'!$P98="Validé humainement",'05_Form_Qualite_Air'!R98,"")</x:f>
      </x:c>
      <x:c r="S98" s="76" t="str">
        <x:f>IF('05_Form_Qualite_Air'!$P98="Validé humainement",'05_Form_Qualite_Air'!S98,"")</x:f>
      </x:c>
      <x:c r="T98" s="76" t="str">
        <x:f>IF('05_Form_Qualite_Air'!$P98="Validé humainement",'05_Form_Qualite_Air'!T98,"")</x:f>
      </x:c>
    </x:row>
    <x:row r="99">
      <x:c r="A99" s="76" t="str">
        <x:f>IF('05_Form_Qualite_Air'!$P99="Validé humainement",'05_Form_Qualite_Air'!A99,"")</x:f>
      </x:c>
      <x:c r="B99" s="76" t="str">
        <x:f>IF('05_Form_Qualite_Air'!$P99="Validé humainement",'05_Form_Qualite_Air'!B99,"")</x:f>
      </x:c>
      <x:c r="C99" s="76" t="str">
        <x:f>IF('05_Form_Qualite_Air'!$P99="Validé humainement",'05_Form_Qualite_Air'!C99,"")</x:f>
      </x:c>
      <x:c r="D99" s="76" t="str">
        <x:f>IF('05_Form_Qualite_Air'!$P99="Validé humainement",'05_Form_Qualite_Air'!D99,"")</x:f>
      </x:c>
      <x:c r="E99" s="80" t="str">
        <x:f>IF('05_Form_Qualite_Air'!$P99="Validé humainement",'05_Form_Qualite_Air'!E99,"")</x:f>
      </x:c>
      <x:c r="F99" s="80" t="str">
        <x:f>IF('05_Form_Qualite_Air'!$P99="Validé humainement",'05_Form_Qualite_Air'!F99,"")</x:f>
      </x:c>
      <x:c r="G99" s="80" t="str">
        <x:f>IF('05_Form_Qualite_Air'!$P99="Validé humainement",'05_Form_Qualite_Air'!G99,"")</x:f>
      </x:c>
      <x:c r="H99" s="80" t="str">
        <x:f>IF('05_Form_Qualite_Air'!$P99="Validé humainement",'05_Form_Qualite_Air'!H99,"")</x:f>
      </x:c>
      <x:c r="I99" s="80" t="str">
        <x:f>IF('05_Form_Qualite_Air'!$P99="Validé humainement",'05_Form_Qualite_Air'!I99,"")</x:f>
      </x:c>
      <x:c r="J99" s="80" t="str">
        <x:f>IF('05_Form_Qualite_Air'!$P99="Validé humainement",'05_Form_Qualite_Air'!J99,"")</x:f>
      </x:c>
      <x:c r="K99" s="80" t="str">
        <x:f>IF('05_Form_Qualite_Air'!$P99="Validé humainement",'05_Form_Qualite_Air'!K99,"")</x:f>
      </x:c>
      <x:c r="L99" s="76" t="str">
        <x:f>IF('05_Form_Qualite_Air'!$P99="Validé humainement",'05_Form_Qualite_Air'!L99,"")</x:f>
      </x:c>
      <x:c r="M99" s="76" t="str">
        <x:f>IF('05_Form_Qualite_Air'!$P99="Validé humainement",'05_Form_Qualite_Air'!M99,"")</x:f>
      </x:c>
      <x:c r="N99" s="76" t="str">
        <x:f>IF('05_Form_Qualite_Air'!$P99="Validé humainement",'05_Form_Qualite_Air'!N99,"")</x:f>
      </x:c>
      <x:c r="O99" s="76" t="str">
        <x:f>IF('05_Form_Qualite_Air'!$P99="Validé humainement",'05_Form_Qualite_Air'!O99,"")</x:f>
      </x:c>
      <x:c r="P99" s="76" t="str">
        <x:f>IF('05_Form_Qualite_Air'!$P99="Validé humainement",'05_Form_Qualite_Air'!P99,"")</x:f>
      </x:c>
      <x:c r="Q99" s="78" t="str">
        <x:f>IF('05_Form_Qualite_Air'!$P99="Validé humainement",'05_Form_Qualite_Air'!Q99,"")</x:f>
      </x:c>
      <x:c r="R99" s="76" t="str">
        <x:f>IF('05_Form_Qualite_Air'!$P99="Validé humainement",'05_Form_Qualite_Air'!R99,"")</x:f>
      </x:c>
      <x:c r="S99" s="76" t="str">
        <x:f>IF('05_Form_Qualite_Air'!$P99="Validé humainement",'05_Form_Qualite_Air'!S99,"")</x:f>
      </x:c>
      <x:c r="T99" s="76" t="str">
        <x:f>IF('05_Form_Qualite_Air'!$P99="Validé humainement",'05_Form_Qualite_Air'!T99,"")</x:f>
      </x:c>
    </x:row>
    <x:row r="100">
      <x:c r="A100" s="76" t="str">
        <x:f>IF('05_Form_Qualite_Air'!$P100="Validé humainement",'05_Form_Qualite_Air'!A100,"")</x:f>
      </x:c>
      <x:c r="B100" s="76" t="str">
        <x:f>IF('05_Form_Qualite_Air'!$P100="Validé humainement",'05_Form_Qualite_Air'!B100,"")</x:f>
      </x:c>
      <x:c r="C100" s="76" t="str">
        <x:f>IF('05_Form_Qualite_Air'!$P100="Validé humainement",'05_Form_Qualite_Air'!C100,"")</x:f>
      </x:c>
      <x:c r="D100" s="76" t="str">
        <x:f>IF('05_Form_Qualite_Air'!$P100="Validé humainement",'05_Form_Qualite_Air'!D100,"")</x:f>
      </x:c>
      <x:c r="E100" s="80" t="str">
        <x:f>IF('05_Form_Qualite_Air'!$P100="Validé humainement",'05_Form_Qualite_Air'!E100,"")</x:f>
      </x:c>
      <x:c r="F100" s="80" t="str">
        <x:f>IF('05_Form_Qualite_Air'!$P100="Validé humainement",'05_Form_Qualite_Air'!F100,"")</x:f>
      </x:c>
      <x:c r="G100" s="80" t="str">
        <x:f>IF('05_Form_Qualite_Air'!$P100="Validé humainement",'05_Form_Qualite_Air'!G100,"")</x:f>
      </x:c>
      <x:c r="H100" s="80" t="str">
        <x:f>IF('05_Form_Qualite_Air'!$P100="Validé humainement",'05_Form_Qualite_Air'!H100,"")</x:f>
      </x:c>
      <x:c r="I100" s="80" t="str">
        <x:f>IF('05_Form_Qualite_Air'!$P100="Validé humainement",'05_Form_Qualite_Air'!I100,"")</x:f>
      </x:c>
      <x:c r="J100" s="80" t="str">
        <x:f>IF('05_Form_Qualite_Air'!$P100="Validé humainement",'05_Form_Qualite_Air'!J100,"")</x:f>
      </x:c>
      <x:c r="K100" s="80" t="str">
        <x:f>IF('05_Form_Qualite_Air'!$P100="Validé humainement",'05_Form_Qualite_Air'!K100,"")</x:f>
      </x:c>
      <x:c r="L100" s="76" t="str">
        <x:f>IF('05_Form_Qualite_Air'!$P100="Validé humainement",'05_Form_Qualite_Air'!L100,"")</x:f>
      </x:c>
      <x:c r="M100" s="76" t="str">
        <x:f>IF('05_Form_Qualite_Air'!$P100="Validé humainement",'05_Form_Qualite_Air'!M100,"")</x:f>
      </x:c>
      <x:c r="N100" s="76" t="str">
        <x:f>IF('05_Form_Qualite_Air'!$P100="Validé humainement",'05_Form_Qualite_Air'!N100,"")</x:f>
      </x:c>
      <x:c r="O100" s="76" t="str">
        <x:f>IF('05_Form_Qualite_Air'!$P100="Validé humainement",'05_Form_Qualite_Air'!O100,"")</x:f>
      </x:c>
      <x:c r="P100" s="76" t="str">
        <x:f>IF('05_Form_Qualite_Air'!$P100="Validé humainement",'05_Form_Qualite_Air'!P100,"")</x:f>
      </x:c>
      <x:c r="Q100" s="78" t="str">
        <x:f>IF('05_Form_Qualite_Air'!$P100="Validé humainement",'05_Form_Qualite_Air'!Q100,"")</x:f>
      </x:c>
      <x:c r="R100" s="76" t="str">
        <x:f>IF('05_Form_Qualite_Air'!$P100="Validé humainement",'05_Form_Qualite_Air'!R100,"")</x:f>
      </x:c>
      <x:c r="S100" s="76" t="str">
        <x:f>IF('05_Form_Qualite_Air'!$P100="Validé humainement",'05_Form_Qualite_Air'!S100,"")</x:f>
      </x:c>
      <x:c r="T100" s="76" t="str">
        <x:f>IF('05_Form_Qualite_Air'!$P100="Validé humainement",'05_Form_Qualite_Air'!T100,"")</x:f>
      </x:c>
    </x:row>
    <x:row r="101">
      <x:c r="A101" s="76" t="str">
        <x:f>IF('05_Form_Qualite_Air'!$P101="Validé humainement",'05_Form_Qualite_Air'!A101,"")</x:f>
      </x:c>
      <x:c r="B101" s="76" t="str">
        <x:f>IF('05_Form_Qualite_Air'!$P101="Validé humainement",'05_Form_Qualite_Air'!B101,"")</x:f>
      </x:c>
      <x:c r="C101" s="76" t="str">
        <x:f>IF('05_Form_Qualite_Air'!$P101="Validé humainement",'05_Form_Qualite_Air'!C101,"")</x:f>
      </x:c>
      <x:c r="D101" s="76" t="str">
        <x:f>IF('05_Form_Qualite_Air'!$P101="Validé humainement",'05_Form_Qualite_Air'!D101,"")</x:f>
      </x:c>
      <x:c r="E101" s="80" t="str">
        <x:f>IF('05_Form_Qualite_Air'!$P101="Validé humainement",'05_Form_Qualite_Air'!E101,"")</x:f>
      </x:c>
      <x:c r="F101" s="80" t="str">
        <x:f>IF('05_Form_Qualite_Air'!$P101="Validé humainement",'05_Form_Qualite_Air'!F101,"")</x:f>
      </x:c>
      <x:c r="G101" s="80" t="str">
        <x:f>IF('05_Form_Qualite_Air'!$P101="Validé humainement",'05_Form_Qualite_Air'!G101,"")</x:f>
      </x:c>
      <x:c r="H101" s="80" t="str">
        <x:f>IF('05_Form_Qualite_Air'!$P101="Validé humainement",'05_Form_Qualite_Air'!H101,"")</x:f>
      </x:c>
      <x:c r="I101" s="80" t="str">
        <x:f>IF('05_Form_Qualite_Air'!$P101="Validé humainement",'05_Form_Qualite_Air'!I101,"")</x:f>
      </x:c>
      <x:c r="J101" s="80" t="str">
        <x:f>IF('05_Form_Qualite_Air'!$P101="Validé humainement",'05_Form_Qualite_Air'!J101,"")</x:f>
      </x:c>
      <x:c r="K101" s="80" t="str">
        <x:f>IF('05_Form_Qualite_Air'!$P101="Validé humainement",'05_Form_Qualite_Air'!K101,"")</x:f>
      </x:c>
      <x:c r="L101" s="76" t="str">
        <x:f>IF('05_Form_Qualite_Air'!$P101="Validé humainement",'05_Form_Qualite_Air'!L101,"")</x:f>
      </x:c>
      <x:c r="M101" s="76" t="str">
        <x:f>IF('05_Form_Qualite_Air'!$P101="Validé humainement",'05_Form_Qualite_Air'!M101,"")</x:f>
      </x:c>
      <x:c r="N101" s="76" t="str">
        <x:f>IF('05_Form_Qualite_Air'!$P101="Validé humainement",'05_Form_Qualite_Air'!N101,"")</x:f>
      </x:c>
      <x:c r="O101" s="76" t="str">
        <x:f>IF('05_Form_Qualite_Air'!$P101="Validé humainement",'05_Form_Qualite_Air'!O101,"")</x:f>
      </x:c>
      <x:c r="P101" s="76" t="str">
        <x:f>IF('05_Form_Qualite_Air'!$P101="Validé humainement",'05_Form_Qualite_Air'!P101,"")</x:f>
      </x:c>
      <x:c r="Q101" s="78" t="str">
        <x:f>IF('05_Form_Qualite_Air'!$P101="Validé humainement",'05_Form_Qualite_Air'!Q101,"")</x:f>
      </x:c>
      <x:c r="R101" s="76" t="str">
        <x:f>IF('05_Form_Qualite_Air'!$P101="Validé humainement",'05_Form_Qualite_Air'!R101,"")</x:f>
      </x:c>
      <x:c r="S101" s="76" t="str">
        <x:f>IF('05_Form_Qualite_Air'!$P101="Validé humainement",'05_Form_Qualite_Air'!S101,"")</x:f>
      </x:c>
      <x:c r="T101" s="76" t="str">
        <x:f>IF('05_Form_Qualite_Air'!$P101="Validé humainement",'05_Form_Qualite_Air'!T101,"")</x:f>
      </x:c>
    </x:row>
    <x:row r="102">
      <x:c r="A102" s="76" t="str">
        <x:f>IF('05_Form_Qualite_Air'!$P102="Validé humainement",'05_Form_Qualite_Air'!A102,"")</x:f>
      </x:c>
      <x:c r="B102" s="76" t="str">
        <x:f>IF('05_Form_Qualite_Air'!$P102="Validé humainement",'05_Form_Qualite_Air'!B102,"")</x:f>
      </x:c>
      <x:c r="C102" s="76" t="str">
        <x:f>IF('05_Form_Qualite_Air'!$P102="Validé humainement",'05_Form_Qualite_Air'!C102,"")</x:f>
      </x:c>
      <x:c r="D102" s="76" t="str">
        <x:f>IF('05_Form_Qualite_Air'!$P102="Validé humainement",'05_Form_Qualite_Air'!D102,"")</x:f>
      </x:c>
      <x:c r="E102" s="80" t="str">
        <x:f>IF('05_Form_Qualite_Air'!$P102="Validé humainement",'05_Form_Qualite_Air'!E102,"")</x:f>
      </x:c>
      <x:c r="F102" s="80" t="str">
        <x:f>IF('05_Form_Qualite_Air'!$P102="Validé humainement",'05_Form_Qualite_Air'!F102,"")</x:f>
      </x:c>
      <x:c r="G102" s="80" t="str">
        <x:f>IF('05_Form_Qualite_Air'!$P102="Validé humainement",'05_Form_Qualite_Air'!G102,"")</x:f>
      </x:c>
      <x:c r="H102" s="80" t="str">
        <x:f>IF('05_Form_Qualite_Air'!$P102="Validé humainement",'05_Form_Qualite_Air'!H102,"")</x:f>
      </x:c>
      <x:c r="I102" s="80" t="str">
        <x:f>IF('05_Form_Qualite_Air'!$P102="Validé humainement",'05_Form_Qualite_Air'!I102,"")</x:f>
      </x:c>
      <x:c r="J102" s="80" t="str">
        <x:f>IF('05_Form_Qualite_Air'!$P102="Validé humainement",'05_Form_Qualite_Air'!J102,"")</x:f>
      </x:c>
      <x:c r="K102" s="80" t="str">
        <x:f>IF('05_Form_Qualite_Air'!$P102="Validé humainement",'05_Form_Qualite_Air'!K102,"")</x:f>
      </x:c>
      <x:c r="L102" s="76" t="str">
        <x:f>IF('05_Form_Qualite_Air'!$P102="Validé humainement",'05_Form_Qualite_Air'!L102,"")</x:f>
      </x:c>
      <x:c r="M102" s="76" t="str">
        <x:f>IF('05_Form_Qualite_Air'!$P102="Validé humainement",'05_Form_Qualite_Air'!M102,"")</x:f>
      </x:c>
      <x:c r="N102" s="76" t="str">
        <x:f>IF('05_Form_Qualite_Air'!$P102="Validé humainement",'05_Form_Qualite_Air'!N102,"")</x:f>
      </x:c>
      <x:c r="O102" s="76" t="str">
        <x:f>IF('05_Form_Qualite_Air'!$P102="Validé humainement",'05_Form_Qualite_Air'!O102,"")</x:f>
      </x:c>
      <x:c r="P102" s="76" t="str">
        <x:f>IF('05_Form_Qualite_Air'!$P102="Validé humainement",'05_Form_Qualite_Air'!P102,"")</x:f>
      </x:c>
      <x:c r="Q102" s="78" t="str">
        <x:f>IF('05_Form_Qualite_Air'!$P102="Validé humainement",'05_Form_Qualite_Air'!Q102,"")</x:f>
      </x:c>
      <x:c r="R102" s="76" t="str">
        <x:f>IF('05_Form_Qualite_Air'!$P102="Validé humainement",'05_Form_Qualite_Air'!R102,"")</x:f>
      </x:c>
      <x:c r="S102" s="76" t="str">
        <x:f>IF('05_Form_Qualite_Air'!$P102="Validé humainement",'05_Form_Qualite_Air'!S102,"")</x:f>
      </x:c>
      <x:c r="T102" s="76" t="str">
        <x:f>IF('05_Form_Qualite_Air'!$P102="Validé humainement",'05_Form_Qualite_Air'!T102,"")</x:f>
      </x:c>
    </x:row>
    <x:row r="103">
      <x:c r="A103" s="76" t="str">
        <x:f>IF('05_Form_Qualite_Air'!$P103="Validé humainement",'05_Form_Qualite_Air'!A103,"")</x:f>
      </x:c>
      <x:c r="B103" s="76" t="str">
        <x:f>IF('05_Form_Qualite_Air'!$P103="Validé humainement",'05_Form_Qualite_Air'!B103,"")</x:f>
      </x:c>
      <x:c r="C103" s="76" t="str">
        <x:f>IF('05_Form_Qualite_Air'!$P103="Validé humainement",'05_Form_Qualite_Air'!C103,"")</x:f>
      </x:c>
      <x:c r="D103" s="76" t="str">
        <x:f>IF('05_Form_Qualite_Air'!$P103="Validé humainement",'05_Form_Qualite_Air'!D103,"")</x:f>
      </x:c>
      <x:c r="E103" s="80" t="str">
        <x:f>IF('05_Form_Qualite_Air'!$P103="Validé humainement",'05_Form_Qualite_Air'!E103,"")</x:f>
      </x:c>
      <x:c r="F103" s="80" t="str">
        <x:f>IF('05_Form_Qualite_Air'!$P103="Validé humainement",'05_Form_Qualite_Air'!F103,"")</x:f>
      </x:c>
      <x:c r="G103" s="80" t="str">
        <x:f>IF('05_Form_Qualite_Air'!$P103="Validé humainement",'05_Form_Qualite_Air'!G103,"")</x:f>
      </x:c>
      <x:c r="H103" s="80" t="str">
        <x:f>IF('05_Form_Qualite_Air'!$P103="Validé humainement",'05_Form_Qualite_Air'!H103,"")</x:f>
      </x:c>
      <x:c r="I103" s="80" t="str">
        <x:f>IF('05_Form_Qualite_Air'!$P103="Validé humainement",'05_Form_Qualite_Air'!I103,"")</x:f>
      </x:c>
      <x:c r="J103" s="80" t="str">
        <x:f>IF('05_Form_Qualite_Air'!$P103="Validé humainement",'05_Form_Qualite_Air'!J103,"")</x:f>
      </x:c>
      <x:c r="K103" s="80" t="str">
        <x:f>IF('05_Form_Qualite_Air'!$P103="Validé humainement",'05_Form_Qualite_Air'!K103,"")</x:f>
      </x:c>
      <x:c r="L103" s="76" t="str">
        <x:f>IF('05_Form_Qualite_Air'!$P103="Validé humainement",'05_Form_Qualite_Air'!L103,"")</x:f>
      </x:c>
      <x:c r="M103" s="76" t="str">
        <x:f>IF('05_Form_Qualite_Air'!$P103="Validé humainement",'05_Form_Qualite_Air'!M103,"")</x:f>
      </x:c>
      <x:c r="N103" s="76" t="str">
        <x:f>IF('05_Form_Qualite_Air'!$P103="Validé humainement",'05_Form_Qualite_Air'!N103,"")</x:f>
      </x:c>
      <x:c r="O103" s="76" t="str">
        <x:f>IF('05_Form_Qualite_Air'!$P103="Validé humainement",'05_Form_Qualite_Air'!O103,"")</x:f>
      </x:c>
      <x:c r="P103" s="76" t="str">
        <x:f>IF('05_Form_Qualite_Air'!$P103="Validé humainement",'05_Form_Qualite_Air'!P103,"")</x:f>
      </x:c>
      <x:c r="Q103" s="78" t="str">
        <x:f>IF('05_Form_Qualite_Air'!$P103="Validé humainement",'05_Form_Qualite_Air'!Q103,"")</x:f>
      </x:c>
      <x:c r="R103" s="76" t="str">
        <x:f>IF('05_Form_Qualite_Air'!$P103="Validé humainement",'05_Form_Qualite_Air'!R103,"")</x:f>
      </x:c>
      <x:c r="S103" s="76" t="str">
        <x:f>IF('05_Form_Qualite_Air'!$P103="Validé humainement",'05_Form_Qualite_Air'!S103,"")</x:f>
      </x:c>
      <x:c r="T103" s="76" t="str">
        <x:f>IF('05_Form_Qualite_Air'!$P103="Validé humainement",'05_Form_Qualite_Air'!T103,"")</x:f>
      </x:c>
    </x:row>
    <x:row r="104">
      <x:c r="A104" s="76" t="str">
        <x:f>IF('05_Form_Qualite_Air'!$P104="Validé humainement",'05_Form_Qualite_Air'!A104,"")</x:f>
      </x:c>
      <x:c r="B104" s="76" t="str">
        <x:f>IF('05_Form_Qualite_Air'!$P104="Validé humainement",'05_Form_Qualite_Air'!B104,"")</x:f>
      </x:c>
      <x:c r="C104" s="76" t="str">
        <x:f>IF('05_Form_Qualite_Air'!$P104="Validé humainement",'05_Form_Qualite_Air'!C104,"")</x:f>
      </x:c>
      <x:c r="D104" s="76" t="str">
        <x:f>IF('05_Form_Qualite_Air'!$P104="Validé humainement",'05_Form_Qualite_Air'!D104,"")</x:f>
      </x:c>
      <x:c r="E104" s="80" t="str">
        <x:f>IF('05_Form_Qualite_Air'!$P104="Validé humainement",'05_Form_Qualite_Air'!E104,"")</x:f>
      </x:c>
      <x:c r="F104" s="80" t="str">
        <x:f>IF('05_Form_Qualite_Air'!$P104="Validé humainement",'05_Form_Qualite_Air'!F104,"")</x:f>
      </x:c>
      <x:c r="G104" s="80" t="str">
        <x:f>IF('05_Form_Qualite_Air'!$P104="Validé humainement",'05_Form_Qualite_Air'!G104,"")</x:f>
      </x:c>
      <x:c r="H104" s="80" t="str">
        <x:f>IF('05_Form_Qualite_Air'!$P104="Validé humainement",'05_Form_Qualite_Air'!H104,"")</x:f>
      </x:c>
      <x:c r="I104" s="80" t="str">
        <x:f>IF('05_Form_Qualite_Air'!$P104="Validé humainement",'05_Form_Qualite_Air'!I104,"")</x:f>
      </x:c>
      <x:c r="J104" s="80" t="str">
        <x:f>IF('05_Form_Qualite_Air'!$P104="Validé humainement",'05_Form_Qualite_Air'!J104,"")</x:f>
      </x:c>
      <x:c r="K104" s="80" t="str">
        <x:f>IF('05_Form_Qualite_Air'!$P104="Validé humainement",'05_Form_Qualite_Air'!K104,"")</x:f>
      </x:c>
      <x:c r="L104" s="76" t="str">
        <x:f>IF('05_Form_Qualite_Air'!$P104="Validé humainement",'05_Form_Qualite_Air'!L104,"")</x:f>
      </x:c>
      <x:c r="M104" s="76" t="str">
        <x:f>IF('05_Form_Qualite_Air'!$P104="Validé humainement",'05_Form_Qualite_Air'!M104,"")</x:f>
      </x:c>
      <x:c r="N104" s="76" t="str">
        <x:f>IF('05_Form_Qualite_Air'!$P104="Validé humainement",'05_Form_Qualite_Air'!N104,"")</x:f>
      </x:c>
      <x:c r="O104" s="76" t="str">
        <x:f>IF('05_Form_Qualite_Air'!$P104="Validé humainement",'05_Form_Qualite_Air'!O104,"")</x:f>
      </x:c>
      <x:c r="P104" s="76" t="str">
        <x:f>IF('05_Form_Qualite_Air'!$P104="Validé humainement",'05_Form_Qualite_Air'!P104,"")</x:f>
      </x:c>
      <x:c r="Q104" s="78" t="str">
        <x:f>IF('05_Form_Qualite_Air'!$P104="Validé humainement",'05_Form_Qualite_Air'!Q104,"")</x:f>
      </x:c>
      <x:c r="R104" s="76" t="str">
        <x:f>IF('05_Form_Qualite_Air'!$P104="Validé humainement",'05_Form_Qualite_Air'!R104,"")</x:f>
      </x:c>
      <x:c r="S104" s="76" t="str">
        <x:f>IF('05_Form_Qualite_Air'!$P104="Validé humainement",'05_Form_Qualite_Air'!S104,"")</x:f>
      </x:c>
      <x:c r="T104" s="76" t="str">
        <x:f>IF('05_Form_Qualite_Air'!$P104="Validé humainement",'05_Form_Qualite_Air'!T104,"")</x:f>
      </x:c>
    </x:row>
  </x:sheetData>
  <x:mergeCells>
    <x:mergeCell ref="A1:T1"/>
    <x:mergeCell ref="A2:T2"/>
  </x:mergeCells>
  <x:pageMargins left="0.7" right="0.7" top="0.75" bottom="0.75" header="0.3" footer="0.3"/>
  <x:tableParts count="1">
    <x:tablePart xmlns:r="http://schemas.openxmlformats.org/officeDocument/2006/relationships" r:id="R6063e3d3212a47f6"/>
  </x:tableParts>
</x:worksheet>
</file>

<file path=xl/worksheets/sheet59.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21.25" hidden="0" customWidth="1"/>
    <x:col min="4" max="4" width="21.25" hidden="0" customWidth="1"/>
    <x:col min="5" max="5" width="18.1299991607666" hidden="0" customWidth="1"/>
    <x:col min="6" max="6" width="11.880000114440918" hidden="0" customWidth="1"/>
    <x:col min="7" max="7" width="16.8799991607666" hidden="0" customWidth="1"/>
    <x:col min="8" max="8" width="17.5" hidden="0" customWidth="1"/>
    <x:col min="9" max="9" width="20" hidden="0" customWidth="1"/>
    <x:col min="10" max="10" width="18.1299991607666" hidden="0" customWidth="1"/>
    <x:col min="11" max="11" width="26.25" hidden="0" customWidth="1"/>
    <x:col min="12" max="12" width="20" hidden="0" customWidth="1"/>
    <x:col min="13" max="13" width="31.25"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émissions GES</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06_Form_Emissions_GES.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Année</x:v>
      </x:c>
      <x:c r="C4" s="87" t="str">
        <x:v>Secteur</x:v>
      </x:c>
      <x:c r="D4" s="87" t="str">
        <x:v>Sous-secteur</x:v>
      </x:c>
      <x:c r="E4" s="87" t="str">
        <x:v>Donnée d'activité</x:v>
      </x:c>
      <x:c r="F4" s="87" t="str">
        <x:v>Unité</x:v>
      </x:c>
      <x:c r="G4" s="87" t="str">
        <x:v>Facteur d'émission</x:v>
      </x:c>
      <x:c r="H4" s="87" t="str">
        <x:v>Émissions tCO2e</x:v>
      </x:c>
      <x:c r="I4" s="87" t="str">
        <x:v>Méthodologie</x:v>
      </x:c>
      <x:c r="J4" s="87" t="str">
        <x:v>Source</x:v>
      </x:c>
      <x:c r="K4" s="87" t="str">
        <x:v>Document source</x:v>
      </x:c>
      <x:c r="L4" s="87" t="str">
        <x:v>Statut validation</x:v>
      </x:c>
      <x:c r="M4" s="87" t="str">
        <x:v>Observations</x:v>
      </x:c>
      <x:c r="N4" s="87" t="str">
        <x:v>Date de saisie</x:v>
      </x:c>
      <x:c r="O4" s="87" t="str">
        <x:v>Responsable</x:v>
      </x:c>
      <x:c r="P4" s="87" t="str">
        <x:v>Alerte_QC</x:v>
      </x:c>
      <x:c r="Q4" s="87" t="str">
        <x:v>Alimente_Rapports</x:v>
      </x:c>
    </x:row>
    <x:row r="5">
      <x:c r="A5" s="76" t="str">
        <x:f>IF('06_Form_Emissions_GES'!$L5="Validé humainement",'06_Form_Emissions_GES'!A5,"")</x:f>
      </x:c>
      <x:c r="B5" s="76" t="str">
        <x:f>IF('06_Form_Emissions_GES'!$L5="Validé humainement",'06_Form_Emissions_GES'!B5,"")</x:f>
      </x:c>
      <x:c r="C5" s="76" t="str">
        <x:f>IF('06_Form_Emissions_GES'!$L5="Validé humainement",'06_Form_Emissions_GES'!C5,"")</x:f>
      </x:c>
      <x:c r="D5" s="76" t="str">
        <x:f>IF('06_Form_Emissions_GES'!$L5="Validé humainement",'06_Form_Emissions_GES'!D5,"")</x:f>
      </x:c>
      <x:c r="E5" s="77" t="str">
        <x:f>IF('06_Form_Emissions_GES'!$L5="Validé humainement",'06_Form_Emissions_GES'!E5,"")</x:f>
      </x:c>
      <x:c r="F5" s="76" t="str">
        <x:f>IF('06_Form_Emissions_GES'!$L5="Validé humainement",'06_Form_Emissions_GES'!F5,"")</x:f>
      </x:c>
      <x:c r="G5" s="83" t="str">
        <x:f>IF('06_Form_Emissions_GES'!$L5="Validé humainement",'06_Form_Emissions_GES'!G5,"")</x:f>
      </x:c>
      <x:c r="H5" s="77" t="str">
        <x:f>IF('06_Form_Emissions_GES'!$L5="Validé humainement",'06_Form_Emissions_GES'!H5,"")</x:f>
      </x:c>
      <x:c r="I5" s="76" t="str">
        <x:f>IF('06_Form_Emissions_GES'!$L5="Validé humainement",'06_Form_Emissions_GES'!I5,"")</x:f>
      </x:c>
      <x:c r="J5" s="76" t="str">
        <x:f>IF('06_Form_Emissions_GES'!$L5="Validé humainement",'06_Form_Emissions_GES'!J5,"")</x:f>
      </x:c>
      <x:c r="K5" s="76" t="str">
        <x:f>IF('06_Form_Emissions_GES'!$L5="Validé humainement",'06_Form_Emissions_GES'!K5,"")</x:f>
      </x:c>
      <x:c r="L5" s="76" t="str">
        <x:f>IF('06_Form_Emissions_GES'!$L5="Validé humainement",'06_Form_Emissions_GES'!L5,"")</x:f>
      </x:c>
      <x:c r="M5" s="76" t="str">
        <x:f>IF('06_Form_Emissions_GES'!$L5="Validé humainement",'06_Form_Emissions_GES'!M5,"")</x:f>
      </x:c>
      <x:c r="N5" s="78" t="str">
        <x:f>IF('06_Form_Emissions_GES'!$L5="Validé humainement",'06_Form_Emissions_GES'!N5,"")</x:f>
      </x:c>
      <x:c r="O5" s="76" t="str">
        <x:f>IF('06_Form_Emissions_GES'!$L5="Validé humainement",'06_Form_Emissions_GES'!O5,"")</x:f>
      </x:c>
      <x:c r="P5" s="76" t="str">
        <x:f>IF('06_Form_Emissions_GES'!$L5="Validé humainement",'06_Form_Emissions_GES'!P5,"")</x:f>
      </x:c>
      <x:c r="Q5" s="76" t="str">
        <x:f>IF('06_Form_Emissions_GES'!$L5="Validé humainement",'06_Form_Emissions_GES'!Q5,"")</x:f>
      </x:c>
    </x:row>
    <x:row r="6">
      <x:c r="A6" s="76" t="str">
        <x:f>IF('06_Form_Emissions_GES'!$L6="Validé humainement",'06_Form_Emissions_GES'!A6,"")</x:f>
      </x:c>
      <x:c r="B6" s="76" t="str">
        <x:f>IF('06_Form_Emissions_GES'!$L6="Validé humainement",'06_Form_Emissions_GES'!B6,"")</x:f>
      </x:c>
      <x:c r="C6" s="76" t="str">
        <x:f>IF('06_Form_Emissions_GES'!$L6="Validé humainement",'06_Form_Emissions_GES'!C6,"")</x:f>
      </x:c>
      <x:c r="D6" s="76" t="str">
        <x:f>IF('06_Form_Emissions_GES'!$L6="Validé humainement",'06_Form_Emissions_GES'!D6,"")</x:f>
      </x:c>
      <x:c r="E6" s="77" t="str">
        <x:f>IF('06_Form_Emissions_GES'!$L6="Validé humainement",'06_Form_Emissions_GES'!E6,"")</x:f>
      </x:c>
      <x:c r="F6" s="76" t="str">
        <x:f>IF('06_Form_Emissions_GES'!$L6="Validé humainement",'06_Form_Emissions_GES'!F6,"")</x:f>
      </x:c>
      <x:c r="G6" s="83" t="str">
        <x:f>IF('06_Form_Emissions_GES'!$L6="Validé humainement",'06_Form_Emissions_GES'!G6,"")</x:f>
      </x:c>
      <x:c r="H6" s="77" t="str">
        <x:f>IF('06_Form_Emissions_GES'!$L6="Validé humainement",'06_Form_Emissions_GES'!H6,"")</x:f>
      </x:c>
      <x:c r="I6" s="76" t="str">
        <x:f>IF('06_Form_Emissions_GES'!$L6="Validé humainement",'06_Form_Emissions_GES'!I6,"")</x:f>
      </x:c>
      <x:c r="J6" s="76" t="str">
        <x:f>IF('06_Form_Emissions_GES'!$L6="Validé humainement",'06_Form_Emissions_GES'!J6,"")</x:f>
      </x:c>
      <x:c r="K6" s="76" t="str">
        <x:f>IF('06_Form_Emissions_GES'!$L6="Validé humainement",'06_Form_Emissions_GES'!K6,"")</x:f>
      </x:c>
      <x:c r="L6" s="76" t="str">
        <x:f>IF('06_Form_Emissions_GES'!$L6="Validé humainement",'06_Form_Emissions_GES'!L6,"")</x:f>
      </x:c>
      <x:c r="M6" s="76" t="str">
        <x:f>IF('06_Form_Emissions_GES'!$L6="Validé humainement",'06_Form_Emissions_GES'!M6,"")</x:f>
      </x:c>
      <x:c r="N6" s="78" t="str">
        <x:f>IF('06_Form_Emissions_GES'!$L6="Validé humainement",'06_Form_Emissions_GES'!N6,"")</x:f>
      </x:c>
      <x:c r="O6" s="76" t="str">
        <x:f>IF('06_Form_Emissions_GES'!$L6="Validé humainement",'06_Form_Emissions_GES'!O6,"")</x:f>
      </x:c>
      <x:c r="P6" s="76" t="str">
        <x:f>IF('06_Form_Emissions_GES'!$L6="Validé humainement",'06_Form_Emissions_GES'!P6,"")</x:f>
      </x:c>
      <x:c r="Q6" s="76" t="str">
        <x:f>IF('06_Form_Emissions_GES'!$L6="Validé humainement",'06_Form_Emissions_GES'!Q6,"")</x:f>
      </x:c>
    </x:row>
    <x:row r="7">
      <x:c r="A7" s="76" t="str">
        <x:f>IF('06_Form_Emissions_GES'!$L7="Validé humainement",'06_Form_Emissions_GES'!A7,"")</x:f>
      </x:c>
      <x:c r="B7" s="76" t="str">
        <x:f>IF('06_Form_Emissions_GES'!$L7="Validé humainement",'06_Form_Emissions_GES'!B7,"")</x:f>
      </x:c>
      <x:c r="C7" s="76" t="str">
        <x:f>IF('06_Form_Emissions_GES'!$L7="Validé humainement",'06_Form_Emissions_GES'!C7,"")</x:f>
      </x:c>
      <x:c r="D7" s="76" t="str">
        <x:f>IF('06_Form_Emissions_GES'!$L7="Validé humainement",'06_Form_Emissions_GES'!D7,"")</x:f>
      </x:c>
      <x:c r="E7" s="77" t="str">
        <x:f>IF('06_Form_Emissions_GES'!$L7="Validé humainement",'06_Form_Emissions_GES'!E7,"")</x:f>
      </x:c>
      <x:c r="F7" s="76" t="str">
        <x:f>IF('06_Form_Emissions_GES'!$L7="Validé humainement",'06_Form_Emissions_GES'!F7,"")</x:f>
      </x:c>
      <x:c r="G7" s="83" t="str">
        <x:f>IF('06_Form_Emissions_GES'!$L7="Validé humainement",'06_Form_Emissions_GES'!G7,"")</x:f>
      </x:c>
      <x:c r="H7" s="77" t="str">
        <x:f>IF('06_Form_Emissions_GES'!$L7="Validé humainement",'06_Form_Emissions_GES'!H7,"")</x:f>
      </x:c>
      <x:c r="I7" s="76" t="str">
        <x:f>IF('06_Form_Emissions_GES'!$L7="Validé humainement",'06_Form_Emissions_GES'!I7,"")</x:f>
      </x:c>
      <x:c r="J7" s="76" t="str">
        <x:f>IF('06_Form_Emissions_GES'!$L7="Validé humainement",'06_Form_Emissions_GES'!J7,"")</x:f>
      </x:c>
      <x:c r="K7" s="76" t="str">
        <x:f>IF('06_Form_Emissions_GES'!$L7="Validé humainement",'06_Form_Emissions_GES'!K7,"")</x:f>
      </x:c>
      <x:c r="L7" s="76" t="str">
        <x:f>IF('06_Form_Emissions_GES'!$L7="Validé humainement",'06_Form_Emissions_GES'!L7,"")</x:f>
      </x:c>
      <x:c r="M7" s="76" t="str">
        <x:f>IF('06_Form_Emissions_GES'!$L7="Validé humainement",'06_Form_Emissions_GES'!M7,"")</x:f>
      </x:c>
      <x:c r="N7" s="78" t="str">
        <x:f>IF('06_Form_Emissions_GES'!$L7="Validé humainement",'06_Form_Emissions_GES'!N7,"")</x:f>
      </x:c>
      <x:c r="O7" s="76" t="str">
        <x:f>IF('06_Form_Emissions_GES'!$L7="Validé humainement",'06_Form_Emissions_GES'!O7,"")</x:f>
      </x:c>
      <x:c r="P7" s="76" t="str">
        <x:f>IF('06_Form_Emissions_GES'!$L7="Validé humainement",'06_Form_Emissions_GES'!P7,"")</x:f>
      </x:c>
      <x:c r="Q7" s="76" t="str">
        <x:f>IF('06_Form_Emissions_GES'!$L7="Validé humainement",'06_Form_Emissions_GES'!Q7,"")</x:f>
      </x:c>
    </x:row>
    <x:row r="8">
      <x:c r="A8" s="76" t="str">
        <x:f>IF('06_Form_Emissions_GES'!$L8="Validé humainement",'06_Form_Emissions_GES'!A8,"")</x:f>
      </x:c>
      <x:c r="B8" s="76" t="str">
        <x:f>IF('06_Form_Emissions_GES'!$L8="Validé humainement",'06_Form_Emissions_GES'!B8,"")</x:f>
      </x:c>
      <x:c r="C8" s="76" t="str">
        <x:f>IF('06_Form_Emissions_GES'!$L8="Validé humainement",'06_Form_Emissions_GES'!C8,"")</x:f>
      </x:c>
      <x:c r="D8" s="76" t="str">
        <x:f>IF('06_Form_Emissions_GES'!$L8="Validé humainement",'06_Form_Emissions_GES'!D8,"")</x:f>
      </x:c>
      <x:c r="E8" s="77" t="str">
        <x:f>IF('06_Form_Emissions_GES'!$L8="Validé humainement",'06_Form_Emissions_GES'!E8,"")</x:f>
      </x:c>
      <x:c r="F8" s="76" t="str">
        <x:f>IF('06_Form_Emissions_GES'!$L8="Validé humainement",'06_Form_Emissions_GES'!F8,"")</x:f>
      </x:c>
      <x:c r="G8" s="83" t="str">
        <x:f>IF('06_Form_Emissions_GES'!$L8="Validé humainement",'06_Form_Emissions_GES'!G8,"")</x:f>
      </x:c>
      <x:c r="H8" s="77" t="str">
        <x:f>IF('06_Form_Emissions_GES'!$L8="Validé humainement",'06_Form_Emissions_GES'!H8,"")</x:f>
      </x:c>
      <x:c r="I8" s="76" t="str">
        <x:f>IF('06_Form_Emissions_GES'!$L8="Validé humainement",'06_Form_Emissions_GES'!I8,"")</x:f>
      </x:c>
      <x:c r="J8" s="76" t="str">
        <x:f>IF('06_Form_Emissions_GES'!$L8="Validé humainement",'06_Form_Emissions_GES'!J8,"")</x:f>
      </x:c>
      <x:c r="K8" s="76" t="str">
        <x:f>IF('06_Form_Emissions_GES'!$L8="Validé humainement",'06_Form_Emissions_GES'!K8,"")</x:f>
      </x:c>
      <x:c r="L8" s="76" t="str">
        <x:f>IF('06_Form_Emissions_GES'!$L8="Validé humainement",'06_Form_Emissions_GES'!L8,"")</x:f>
      </x:c>
      <x:c r="M8" s="76" t="str">
        <x:f>IF('06_Form_Emissions_GES'!$L8="Validé humainement",'06_Form_Emissions_GES'!M8,"")</x:f>
      </x:c>
      <x:c r="N8" s="78" t="str">
        <x:f>IF('06_Form_Emissions_GES'!$L8="Validé humainement",'06_Form_Emissions_GES'!N8,"")</x:f>
      </x:c>
      <x:c r="O8" s="76" t="str">
        <x:f>IF('06_Form_Emissions_GES'!$L8="Validé humainement",'06_Form_Emissions_GES'!O8,"")</x:f>
      </x:c>
      <x:c r="P8" s="76" t="str">
        <x:f>IF('06_Form_Emissions_GES'!$L8="Validé humainement",'06_Form_Emissions_GES'!P8,"")</x:f>
      </x:c>
      <x:c r="Q8" s="76" t="str">
        <x:f>IF('06_Form_Emissions_GES'!$L8="Validé humainement",'06_Form_Emissions_GES'!Q8,"")</x:f>
      </x:c>
    </x:row>
    <x:row r="9">
      <x:c r="A9" s="76" t="str">
        <x:f>IF('06_Form_Emissions_GES'!$L9="Validé humainement",'06_Form_Emissions_GES'!A9,"")</x:f>
      </x:c>
      <x:c r="B9" s="76" t="str">
        <x:f>IF('06_Form_Emissions_GES'!$L9="Validé humainement",'06_Form_Emissions_GES'!B9,"")</x:f>
      </x:c>
      <x:c r="C9" s="76" t="str">
        <x:f>IF('06_Form_Emissions_GES'!$L9="Validé humainement",'06_Form_Emissions_GES'!C9,"")</x:f>
      </x:c>
      <x:c r="D9" s="76" t="str">
        <x:f>IF('06_Form_Emissions_GES'!$L9="Validé humainement",'06_Form_Emissions_GES'!D9,"")</x:f>
      </x:c>
      <x:c r="E9" s="77" t="str">
        <x:f>IF('06_Form_Emissions_GES'!$L9="Validé humainement",'06_Form_Emissions_GES'!E9,"")</x:f>
      </x:c>
      <x:c r="F9" s="76" t="str">
        <x:f>IF('06_Form_Emissions_GES'!$L9="Validé humainement",'06_Form_Emissions_GES'!F9,"")</x:f>
      </x:c>
      <x:c r="G9" s="83" t="str">
        <x:f>IF('06_Form_Emissions_GES'!$L9="Validé humainement",'06_Form_Emissions_GES'!G9,"")</x:f>
      </x:c>
      <x:c r="H9" s="77" t="str">
        <x:f>IF('06_Form_Emissions_GES'!$L9="Validé humainement",'06_Form_Emissions_GES'!H9,"")</x:f>
      </x:c>
      <x:c r="I9" s="76" t="str">
        <x:f>IF('06_Form_Emissions_GES'!$L9="Validé humainement",'06_Form_Emissions_GES'!I9,"")</x:f>
      </x:c>
      <x:c r="J9" s="76" t="str">
        <x:f>IF('06_Form_Emissions_GES'!$L9="Validé humainement",'06_Form_Emissions_GES'!J9,"")</x:f>
      </x:c>
      <x:c r="K9" s="76" t="str">
        <x:f>IF('06_Form_Emissions_GES'!$L9="Validé humainement",'06_Form_Emissions_GES'!K9,"")</x:f>
      </x:c>
      <x:c r="L9" s="76" t="str">
        <x:f>IF('06_Form_Emissions_GES'!$L9="Validé humainement",'06_Form_Emissions_GES'!L9,"")</x:f>
      </x:c>
      <x:c r="M9" s="76" t="str">
        <x:f>IF('06_Form_Emissions_GES'!$L9="Validé humainement",'06_Form_Emissions_GES'!M9,"")</x:f>
      </x:c>
      <x:c r="N9" s="78" t="str">
        <x:f>IF('06_Form_Emissions_GES'!$L9="Validé humainement",'06_Form_Emissions_GES'!N9,"")</x:f>
      </x:c>
      <x:c r="O9" s="76" t="str">
        <x:f>IF('06_Form_Emissions_GES'!$L9="Validé humainement",'06_Form_Emissions_GES'!O9,"")</x:f>
      </x:c>
      <x:c r="P9" s="76" t="str">
        <x:f>IF('06_Form_Emissions_GES'!$L9="Validé humainement",'06_Form_Emissions_GES'!P9,"")</x:f>
      </x:c>
      <x:c r="Q9" s="76" t="str">
        <x:f>IF('06_Form_Emissions_GES'!$L9="Validé humainement",'06_Form_Emissions_GES'!Q9,"")</x:f>
      </x:c>
    </x:row>
    <x:row r="10">
      <x:c r="A10" s="76" t="str">
        <x:f>IF('06_Form_Emissions_GES'!$L10="Validé humainement",'06_Form_Emissions_GES'!A10,"")</x:f>
      </x:c>
      <x:c r="B10" s="76" t="str">
        <x:f>IF('06_Form_Emissions_GES'!$L10="Validé humainement",'06_Form_Emissions_GES'!B10,"")</x:f>
      </x:c>
      <x:c r="C10" s="76" t="str">
        <x:f>IF('06_Form_Emissions_GES'!$L10="Validé humainement",'06_Form_Emissions_GES'!C10,"")</x:f>
      </x:c>
      <x:c r="D10" s="76" t="str">
        <x:f>IF('06_Form_Emissions_GES'!$L10="Validé humainement",'06_Form_Emissions_GES'!D10,"")</x:f>
      </x:c>
      <x:c r="E10" s="77" t="str">
        <x:f>IF('06_Form_Emissions_GES'!$L10="Validé humainement",'06_Form_Emissions_GES'!E10,"")</x:f>
      </x:c>
      <x:c r="F10" s="76" t="str">
        <x:f>IF('06_Form_Emissions_GES'!$L10="Validé humainement",'06_Form_Emissions_GES'!F10,"")</x:f>
      </x:c>
      <x:c r="G10" s="83" t="str">
        <x:f>IF('06_Form_Emissions_GES'!$L10="Validé humainement",'06_Form_Emissions_GES'!G10,"")</x:f>
      </x:c>
      <x:c r="H10" s="77" t="str">
        <x:f>IF('06_Form_Emissions_GES'!$L10="Validé humainement",'06_Form_Emissions_GES'!H10,"")</x:f>
      </x:c>
      <x:c r="I10" s="76" t="str">
        <x:f>IF('06_Form_Emissions_GES'!$L10="Validé humainement",'06_Form_Emissions_GES'!I10,"")</x:f>
      </x:c>
      <x:c r="J10" s="76" t="str">
        <x:f>IF('06_Form_Emissions_GES'!$L10="Validé humainement",'06_Form_Emissions_GES'!J10,"")</x:f>
      </x:c>
      <x:c r="K10" s="76" t="str">
        <x:f>IF('06_Form_Emissions_GES'!$L10="Validé humainement",'06_Form_Emissions_GES'!K10,"")</x:f>
      </x:c>
      <x:c r="L10" s="76" t="str">
        <x:f>IF('06_Form_Emissions_GES'!$L10="Validé humainement",'06_Form_Emissions_GES'!L10,"")</x:f>
      </x:c>
      <x:c r="M10" s="76" t="str">
        <x:f>IF('06_Form_Emissions_GES'!$L10="Validé humainement",'06_Form_Emissions_GES'!M10,"")</x:f>
      </x:c>
      <x:c r="N10" s="78" t="str">
        <x:f>IF('06_Form_Emissions_GES'!$L10="Validé humainement",'06_Form_Emissions_GES'!N10,"")</x:f>
      </x:c>
      <x:c r="O10" s="76" t="str">
        <x:f>IF('06_Form_Emissions_GES'!$L10="Validé humainement",'06_Form_Emissions_GES'!O10,"")</x:f>
      </x:c>
      <x:c r="P10" s="76" t="str">
        <x:f>IF('06_Form_Emissions_GES'!$L10="Validé humainement",'06_Form_Emissions_GES'!P10,"")</x:f>
      </x:c>
      <x:c r="Q10" s="76" t="str">
        <x:f>IF('06_Form_Emissions_GES'!$L10="Validé humainement",'06_Form_Emissions_GES'!Q10,"")</x:f>
      </x:c>
    </x:row>
    <x:row r="11">
      <x:c r="A11" s="76" t="str">
        <x:f>IF('06_Form_Emissions_GES'!$L11="Validé humainement",'06_Form_Emissions_GES'!A11,"")</x:f>
      </x:c>
      <x:c r="B11" s="76" t="str">
        <x:f>IF('06_Form_Emissions_GES'!$L11="Validé humainement",'06_Form_Emissions_GES'!B11,"")</x:f>
      </x:c>
      <x:c r="C11" s="76" t="str">
        <x:f>IF('06_Form_Emissions_GES'!$L11="Validé humainement",'06_Form_Emissions_GES'!C11,"")</x:f>
      </x:c>
      <x:c r="D11" s="76" t="str">
        <x:f>IF('06_Form_Emissions_GES'!$L11="Validé humainement",'06_Form_Emissions_GES'!D11,"")</x:f>
      </x:c>
      <x:c r="E11" s="77" t="str">
        <x:f>IF('06_Form_Emissions_GES'!$L11="Validé humainement",'06_Form_Emissions_GES'!E11,"")</x:f>
      </x:c>
      <x:c r="F11" s="76" t="str">
        <x:f>IF('06_Form_Emissions_GES'!$L11="Validé humainement",'06_Form_Emissions_GES'!F11,"")</x:f>
      </x:c>
      <x:c r="G11" s="83" t="str">
        <x:f>IF('06_Form_Emissions_GES'!$L11="Validé humainement",'06_Form_Emissions_GES'!G11,"")</x:f>
      </x:c>
      <x:c r="H11" s="77" t="str">
        <x:f>IF('06_Form_Emissions_GES'!$L11="Validé humainement",'06_Form_Emissions_GES'!H11,"")</x:f>
      </x:c>
      <x:c r="I11" s="76" t="str">
        <x:f>IF('06_Form_Emissions_GES'!$L11="Validé humainement",'06_Form_Emissions_GES'!I11,"")</x:f>
      </x:c>
      <x:c r="J11" s="76" t="str">
        <x:f>IF('06_Form_Emissions_GES'!$L11="Validé humainement",'06_Form_Emissions_GES'!J11,"")</x:f>
      </x:c>
      <x:c r="K11" s="76" t="str">
        <x:f>IF('06_Form_Emissions_GES'!$L11="Validé humainement",'06_Form_Emissions_GES'!K11,"")</x:f>
      </x:c>
      <x:c r="L11" s="76" t="str">
        <x:f>IF('06_Form_Emissions_GES'!$L11="Validé humainement",'06_Form_Emissions_GES'!L11,"")</x:f>
      </x:c>
      <x:c r="M11" s="76" t="str">
        <x:f>IF('06_Form_Emissions_GES'!$L11="Validé humainement",'06_Form_Emissions_GES'!M11,"")</x:f>
      </x:c>
      <x:c r="N11" s="78" t="str">
        <x:f>IF('06_Form_Emissions_GES'!$L11="Validé humainement",'06_Form_Emissions_GES'!N11,"")</x:f>
      </x:c>
      <x:c r="O11" s="76" t="str">
        <x:f>IF('06_Form_Emissions_GES'!$L11="Validé humainement",'06_Form_Emissions_GES'!O11,"")</x:f>
      </x:c>
      <x:c r="P11" s="76" t="str">
        <x:f>IF('06_Form_Emissions_GES'!$L11="Validé humainement",'06_Form_Emissions_GES'!P11,"")</x:f>
      </x:c>
      <x:c r="Q11" s="76" t="str">
        <x:f>IF('06_Form_Emissions_GES'!$L11="Validé humainement",'06_Form_Emissions_GES'!Q11,"")</x:f>
      </x:c>
    </x:row>
    <x:row r="12">
      <x:c r="A12" s="76" t="str">
        <x:f>IF('06_Form_Emissions_GES'!$L12="Validé humainement",'06_Form_Emissions_GES'!A12,"")</x:f>
      </x:c>
      <x:c r="B12" s="76" t="str">
        <x:f>IF('06_Form_Emissions_GES'!$L12="Validé humainement",'06_Form_Emissions_GES'!B12,"")</x:f>
      </x:c>
      <x:c r="C12" s="76" t="str">
        <x:f>IF('06_Form_Emissions_GES'!$L12="Validé humainement",'06_Form_Emissions_GES'!C12,"")</x:f>
      </x:c>
      <x:c r="D12" s="76" t="str">
        <x:f>IF('06_Form_Emissions_GES'!$L12="Validé humainement",'06_Form_Emissions_GES'!D12,"")</x:f>
      </x:c>
      <x:c r="E12" s="77" t="str">
        <x:f>IF('06_Form_Emissions_GES'!$L12="Validé humainement",'06_Form_Emissions_GES'!E12,"")</x:f>
      </x:c>
      <x:c r="F12" s="76" t="str">
        <x:f>IF('06_Form_Emissions_GES'!$L12="Validé humainement",'06_Form_Emissions_GES'!F12,"")</x:f>
      </x:c>
      <x:c r="G12" s="83" t="str">
        <x:f>IF('06_Form_Emissions_GES'!$L12="Validé humainement",'06_Form_Emissions_GES'!G12,"")</x:f>
      </x:c>
      <x:c r="H12" s="77" t="str">
        <x:f>IF('06_Form_Emissions_GES'!$L12="Validé humainement",'06_Form_Emissions_GES'!H12,"")</x:f>
      </x:c>
      <x:c r="I12" s="76" t="str">
        <x:f>IF('06_Form_Emissions_GES'!$L12="Validé humainement",'06_Form_Emissions_GES'!I12,"")</x:f>
      </x:c>
      <x:c r="J12" s="76" t="str">
        <x:f>IF('06_Form_Emissions_GES'!$L12="Validé humainement",'06_Form_Emissions_GES'!J12,"")</x:f>
      </x:c>
      <x:c r="K12" s="76" t="str">
        <x:f>IF('06_Form_Emissions_GES'!$L12="Validé humainement",'06_Form_Emissions_GES'!K12,"")</x:f>
      </x:c>
      <x:c r="L12" s="76" t="str">
        <x:f>IF('06_Form_Emissions_GES'!$L12="Validé humainement",'06_Form_Emissions_GES'!L12,"")</x:f>
      </x:c>
      <x:c r="M12" s="76" t="str">
        <x:f>IF('06_Form_Emissions_GES'!$L12="Validé humainement",'06_Form_Emissions_GES'!M12,"")</x:f>
      </x:c>
      <x:c r="N12" s="78" t="str">
        <x:f>IF('06_Form_Emissions_GES'!$L12="Validé humainement",'06_Form_Emissions_GES'!N12,"")</x:f>
      </x:c>
      <x:c r="O12" s="76" t="str">
        <x:f>IF('06_Form_Emissions_GES'!$L12="Validé humainement",'06_Form_Emissions_GES'!O12,"")</x:f>
      </x:c>
      <x:c r="P12" s="76" t="str">
        <x:f>IF('06_Form_Emissions_GES'!$L12="Validé humainement",'06_Form_Emissions_GES'!P12,"")</x:f>
      </x:c>
      <x:c r="Q12" s="76" t="str">
        <x:f>IF('06_Form_Emissions_GES'!$L12="Validé humainement",'06_Form_Emissions_GES'!Q12,"")</x:f>
      </x:c>
    </x:row>
    <x:row r="13">
      <x:c r="A13" s="76" t="str">
        <x:f>IF('06_Form_Emissions_GES'!$L13="Validé humainement",'06_Form_Emissions_GES'!A13,"")</x:f>
      </x:c>
      <x:c r="B13" s="76" t="str">
        <x:f>IF('06_Form_Emissions_GES'!$L13="Validé humainement",'06_Form_Emissions_GES'!B13,"")</x:f>
      </x:c>
      <x:c r="C13" s="76" t="str">
        <x:f>IF('06_Form_Emissions_GES'!$L13="Validé humainement",'06_Form_Emissions_GES'!C13,"")</x:f>
      </x:c>
      <x:c r="D13" s="76" t="str">
        <x:f>IF('06_Form_Emissions_GES'!$L13="Validé humainement",'06_Form_Emissions_GES'!D13,"")</x:f>
      </x:c>
      <x:c r="E13" s="77" t="str">
        <x:f>IF('06_Form_Emissions_GES'!$L13="Validé humainement",'06_Form_Emissions_GES'!E13,"")</x:f>
      </x:c>
      <x:c r="F13" s="76" t="str">
        <x:f>IF('06_Form_Emissions_GES'!$L13="Validé humainement",'06_Form_Emissions_GES'!F13,"")</x:f>
      </x:c>
      <x:c r="G13" s="83" t="str">
        <x:f>IF('06_Form_Emissions_GES'!$L13="Validé humainement",'06_Form_Emissions_GES'!G13,"")</x:f>
      </x:c>
      <x:c r="H13" s="77" t="str">
        <x:f>IF('06_Form_Emissions_GES'!$L13="Validé humainement",'06_Form_Emissions_GES'!H13,"")</x:f>
      </x:c>
      <x:c r="I13" s="76" t="str">
        <x:f>IF('06_Form_Emissions_GES'!$L13="Validé humainement",'06_Form_Emissions_GES'!I13,"")</x:f>
      </x:c>
      <x:c r="J13" s="76" t="str">
        <x:f>IF('06_Form_Emissions_GES'!$L13="Validé humainement",'06_Form_Emissions_GES'!J13,"")</x:f>
      </x:c>
      <x:c r="K13" s="76" t="str">
        <x:f>IF('06_Form_Emissions_GES'!$L13="Validé humainement",'06_Form_Emissions_GES'!K13,"")</x:f>
      </x:c>
      <x:c r="L13" s="76" t="str">
        <x:f>IF('06_Form_Emissions_GES'!$L13="Validé humainement",'06_Form_Emissions_GES'!L13,"")</x:f>
      </x:c>
      <x:c r="M13" s="76" t="str">
        <x:f>IF('06_Form_Emissions_GES'!$L13="Validé humainement",'06_Form_Emissions_GES'!M13,"")</x:f>
      </x:c>
      <x:c r="N13" s="78" t="str">
        <x:f>IF('06_Form_Emissions_GES'!$L13="Validé humainement",'06_Form_Emissions_GES'!N13,"")</x:f>
      </x:c>
      <x:c r="O13" s="76" t="str">
        <x:f>IF('06_Form_Emissions_GES'!$L13="Validé humainement",'06_Form_Emissions_GES'!O13,"")</x:f>
      </x:c>
      <x:c r="P13" s="76" t="str">
        <x:f>IF('06_Form_Emissions_GES'!$L13="Validé humainement",'06_Form_Emissions_GES'!P13,"")</x:f>
      </x:c>
      <x:c r="Q13" s="76" t="str">
        <x:f>IF('06_Form_Emissions_GES'!$L13="Validé humainement",'06_Form_Emissions_GES'!Q13,"")</x:f>
      </x:c>
    </x:row>
    <x:row r="14">
      <x:c r="A14" s="76" t="str">
        <x:f>IF('06_Form_Emissions_GES'!$L14="Validé humainement",'06_Form_Emissions_GES'!A14,"")</x:f>
      </x:c>
      <x:c r="B14" s="76" t="str">
        <x:f>IF('06_Form_Emissions_GES'!$L14="Validé humainement",'06_Form_Emissions_GES'!B14,"")</x:f>
      </x:c>
      <x:c r="C14" s="76" t="str">
        <x:f>IF('06_Form_Emissions_GES'!$L14="Validé humainement",'06_Form_Emissions_GES'!C14,"")</x:f>
      </x:c>
      <x:c r="D14" s="76" t="str">
        <x:f>IF('06_Form_Emissions_GES'!$L14="Validé humainement",'06_Form_Emissions_GES'!D14,"")</x:f>
      </x:c>
      <x:c r="E14" s="77" t="str">
        <x:f>IF('06_Form_Emissions_GES'!$L14="Validé humainement",'06_Form_Emissions_GES'!E14,"")</x:f>
      </x:c>
      <x:c r="F14" s="76" t="str">
        <x:f>IF('06_Form_Emissions_GES'!$L14="Validé humainement",'06_Form_Emissions_GES'!F14,"")</x:f>
      </x:c>
      <x:c r="G14" s="83" t="str">
        <x:f>IF('06_Form_Emissions_GES'!$L14="Validé humainement",'06_Form_Emissions_GES'!G14,"")</x:f>
      </x:c>
      <x:c r="H14" s="77" t="str">
        <x:f>IF('06_Form_Emissions_GES'!$L14="Validé humainement",'06_Form_Emissions_GES'!H14,"")</x:f>
      </x:c>
      <x:c r="I14" s="76" t="str">
        <x:f>IF('06_Form_Emissions_GES'!$L14="Validé humainement",'06_Form_Emissions_GES'!I14,"")</x:f>
      </x:c>
      <x:c r="J14" s="76" t="str">
        <x:f>IF('06_Form_Emissions_GES'!$L14="Validé humainement",'06_Form_Emissions_GES'!J14,"")</x:f>
      </x:c>
      <x:c r="K14" s="76" t="str">
        <x:f>IF('06_Form_Emissions_GES'!$L14="Validé humainement",'06_Form_Emissions_GES'!K14,"")</x:f>
      </x:c>
      <x:c r="L14" s="76" t="str">
        <x:f>IF('06_Form_Emissions_GES'!$L14="Validé humainement",'06_Form_Emissions_GES'!L14,"")</x:f>
      </x:c>
      <x:c r="M14" s="76" t="str">
        <x:f>IF('06_Form_Emissions_GES'!$L14="Validé humainement",'06_Form_Emissions_GES'!M14,"")</x:f>
      </x:c>
      <x:c r="N14" s="78" t="str">
        <x:f>IF('06_Form_Emissions_GES'!$L14="Validé humainement",'06_Form_Emissions_GES'!N14,"")</x:f>
      </x:c>
      <x:c r="O14" s="76" t="str">
        <x:f>IF('06_Form_Emissions_GES'!$L14="Validé humainement",'06_Form_Emissions_GES'!O14,"")</x:f>
      </x:c>
      <x:c r="P14" s="76" t="str">
        <x:f>IF('06_Form_Emissions_GES'!$L14="Validé humainement",'06_Form_Emissions_GES'!P14,"")</x:f>
      </x:c>
      <x:c r="Q14" s="76" t="str">
        <x:f>IF('06_Form_Emissions_GES'!$L14="Validé humainement",'06_Form_Emissions_GES'!Q14,"")</x:f>
      </x:c>
    </x:row>
    <x:row r="15">
      <x:c r="A15" s="76" t="str">
        <x:f>IF('06_Form_Emissions_GES'!$L15="Validé humainement",'06_Form_Emissions_GES'!A15,"")</x:f>
      </x:c>
      <x:c r="B15" s="76" t="str">
        <x:f>IF('06_Form_Emissions_GES'!$L15="Validé humainement",'06_Form_Emissions_GES'!B15,"")</x:f>
      </x:c>
      <x:c r="C15" s="76" t="str">
        <x:f>IF('06_Form_Emissions_GES'!$L15="Validé humainement",'06_Form_Emissions_GES'!C15,"")</x:f>
      </x:c>
      <x:c r="D15" s="76" t="str">
        <x:f>IF('06_Form_Emissions_GES'!$L15="Validé humainement",'06_Form_Emissions_GES'!D15,"")</x:f>
      </x:c>
      <x:c r="E15" s="77" t="str">
        <x:f>IF('06_Form_Emissions_GES'!$L15="Validé humainement",'06_Form_Emissions_GES'!E15,"")</x:f>
      </x:c>
      <x:c r="F15" s="76" t="str">
        <x:f>IF('06_Form_Emissions_GES'!$L15="Validé humainement",'06_Form_Emissions_GES'!F15,"")</x:f>
      </x:c>
      <x:c r="G15" s="83" t="str">
        <x:f>IF('06_Form_Emissions_GES'!$L15="Validé humainement",'06_Form_Emissions_GES'!G15,"")</x:f>
      </x:c>
      <x:c r="H15" s="77" t="str">
        <x:f>IF('06_Form_Emissions_GES'!$L15="Validé humainement",'06_Form_Emissions_GES'!H15,"")</x:f>
      </x:c>
      <x:c r="I15" s="76" t="str">
        <x:f>IF('06_Form_Emissions_GES'!$L15="Validé humainement",'06_Form_Emissions_GES'!I15,"")</x:f>
      </x:c>
      <x:c r="J15" s="76" t="str">
        <x:f>IF('06_Form_Emissions_GES'!$L15="Validé humainement",'06_Form_Emissions_GES'!J15,"")</x:f>
      </x:c>
      <x:c r="K15" s="76" t="str">
        <x:f>IF('06_Form_Emissions_GES'!$L15="Validé humainement",'06_Form_Emissions_GES'!K15,"")</x:f>
      </x:c>
      <x:c r="L15" s="76" t="str">
        <x:f>IF('06_Form_Emissions_GES'!$L15="Validé humainement",'06_Form_Emissions_GES'!L15,"")</x:f>
      </x:c>
      <x:c r="M15" s="76" t="str">
        <x:f>IF('06_Form_Emissions_GES'!$L15="Validé humainement",'06_Form_Emissions_GES'!M15,"")</x:f>
      </x:c>
      <x:c r="N15" s="78" t="str">
        <x:f>IF('06_Form_Emissions_GES'!$L15="Validé humainement",'06_Form_Emissions_GES'!N15,"")</x:f>
      </x:c>
      <x:c r="O15" s="76" t="str">
        <x:f>IF('06_Form_Emissions_GES'!$L15="Validé humainement",'06_Form_Emissions_GES'!O15,"")</x:f>
      </x:c>
      <x:c r="P15" s="76" t="str">
        <x:f>IF('06_Form_Emissions_GES'!$L15="Validé humainement",'06_Form_Emissions_GES'!P15,"")</x:f>
      </x:c>
      <x:c r="Q15" s="76" t="str">
        <x:f>IF('06_Form_Emissions_GES'!$L15="Validé humainement",'06_Form_Emissions_GES'!Q15,"")</x:f>
      </x:c>
    </x:row>
    <x:row r="16">
      <x:c r="A16" s="76" t="str">
        <x:f>IF('06_Form_Emissions_GES'!$L16="Validé humainement",'06_Form_Emissions_GES'!A16,"")</x:f>
      </x:c>
      <x:c r="B16" s="76" t="str">
        <x:f>IF('06_Form_Emissions_GES'!$L16="Validé humainement",'06_Form_Emissions_GES'!B16,"")</x:f>
      </x:c>
      <x:c r="C16" s="76" t="str">
        <x:f>IF('06_Form_Emissions_GES'!$L16="Validé humainement",'06_Form_Emissions_GES'!C16,"")</x:f>
      </x:c>
      <x:c r="D16" s="76" t="str">
        <x:f>IF('06_Form_Emissions_GES'!$L16="Validé humainement",'06_Form_Emissions_GES'!D16,"")</x:f>
      </x:c>
      <x:c r="E16" s="77" t="str">
        <x:f>IF('06_Form_Emissions_GES'!$L16="Validé humainement",'06_Form_Emissions_GES'!E16,"")</x:f>
      </x:c>
      <x:c r="F16" s="76" t="str">
        <x:f>IF('06_Form_Emissions_GES'!$L16="Validé humainement",'06_Form_Emissions_GES'!F16,"")</x:f>
      </x:c>
      <x:c r="G16" s="83" t="str">
        <x:f>IF('06_Form_Emissions_GES'!$L16="Validé humainement",'06_Form_Emissions_GES'!G16,"")</x:f>
      </x:c>
      <x:c r="H16" s="77" t="str">
        <x:f>IF('06_Form_Emissions_GES'!$L16="Validé humainement",'06_Form_Emissions_GES'!H16,"")</x:f>
      </x:c>
      <x:c r="I16" s="76" t="str">
        <x:f>IF('06_Form_Emissions_GES'!$L16="Validé humainement",'06_Form_Emissions_GES'!I16,"")</x:f>
      </x:c>
      <x:c r="J16" s="76" t="str">
        <x:f>IF('06_Form_Emissions_GES'!$L16="Validé humainement",'06_Form_Emissions_GES'!J16,"")</x:f>
      </x:c>
      <x:c r="K16" s="76" t="str">
        <x:f>IF('06_Form_Emissions_GES'!$L16="Validé humainement",'06_Form_Emissions_GES'!K16,"")</x:f>
      </x:c>
      <x:c r="L16" s="76" t="str">
        <x:f>IF('06_Form_Emissions_GES'!$L16="Validé humainement",'06_Form_Emissions_GES'!L16,"")</x:f>
      </x:c>
      <x:c r="M16" s="76" t="str">
        <x:f>IF('06_Form_Emissions_GES'!$L16="Validé humainement",'06_Form_Emissions_GES'!M16,"")</x:f>
      </x:c>
      <x:c r="N16" s="78" t="str">
        <x:f>IF('06_Form_Emissions_GES'!$L16="Validé humainement",'06_Form_Emissions_GES'!N16,"")</x:f>
      </x:c>
      <x:c r="O16" s="76" t="str">
        <x:f>IF('06_Form_Emissions_GES'!$L16="Validé humainement",'06_Form_Emissions_GES'!O16,"")</x:f>
      </x:c>
      <x:c r="P16" s="76" t="str">
        <x:f>IF('06_Form_Emissions_GES'!$L16="Validé humainement",'06_Form_Emissions_GES'!P16,"")</x:f>
      </x:c>
      <x:c r="Q16" s="76" t="str">
        <x:f>IF('06_Form_Emissions_GES'!$L16="Validé humainement",'06_Form_Emissions_GES'!Q16,"")</x:f>
      </x:c>
    </x:row>
    <x:row r="17">
      <x:c r="A17" s="76" t="str">
        <x:f>IF('06_Form_Emissions_GES'!$L17="Validé humainement",'06_Form_Emissions_GES'!A17,"")</x:f>
      </x:c>
      <x:c r="B17" s="76" t="str">
        <x:f>IF('06_Form_Emissions_GES'!$L17="Validé humainement",'06_Form_Emissions_GES'!B17,"")</x:f>
      </x:c>
      <x:c r="C17" s="76" t="str">
        <x:f>IF('06_Form_Emissions_GES'!$L17="Validé humainement",'06_Form_Emissions_GES'!C17,"")</x:f>
      </x:c>
      <x:c r="D17" s="76" t="str">
        <x:f>IF('06_Form_Emissions_GES'!$L17="Validé humainement",'06_Form_Emissions_GES'!D17,"")</x:f>
      </x:c>
      <x:c r="E17" s="77" t="str">
        <x:f>IF('06_Form_Emissions_GES'!$L17="Validé humainement",'06_Form_Emissions_GES'!E17,"")</x:f>
      </x:c>
      <x:c r="F17" s="76" t="str">
        <x:f>IF('06_Form_Emissions_GES'!$L17="Validé humainement",'06_Form_Emissions_GES'!F17,"")</x:f>
      </x:c>
      <x:c r="G17" s="83" t="str">
        <x:f>IF('06_Form_Emissions_GES'!$L17="Validé humainement",'06_Form_Emissions_GES'!G17,"")</x:f>
      </x:c>
      <x:c r="H17" s="77" t="str">
        <x:f>IF('06_Form_Emissions_GES'!$L17="Validé humainement",'06_Form_Emissions_GES'!H17,"")</x:f>
      </x:c>
      <x:c r="I17" s="76" t="str">
        <x:f>IF('06_Form_Emissions_GES'!$L17="Validé humainement",'06_Form_Emissions_GES'!I17,"")</x:f>
      </x:c>
      <x:c r="J17" s="76" t="str">
        <x:f>IF('06_Form_Emissions_GES'!$L17="Validé humainement",'06_Form_Emissions_GES'!J17,"")</x:f>
      </x:c>
      <x:c r="K17" s="76" t="str">
        <x:f>IF('06_Form_Emissions_GES'!$L17="Validé humainement",'06_Form_Emissions_GES'!K17,"")</x:f>
      </x:c>
      <x:c r="L17" s="76" t="str">
        <x:f>IF('06_Form_Emissions_GES'!$L17="Validé humainement",'06_Form_Emissions_GES'!L17,"")</x:f>
      </x:c>
      <x:c r="M17" s="76" t="str">
        <x:f>IF('06_Form_Emissions_GES'!$L17="Validé humainement",'06_Form_Emissions_GES'!M17,"")</x:f>
      </x:c>
      <x:c r="N17" s="78" t="str">
        <x:f>IF('06_Form_Emissions_GES'!$L17="Validé humainement",'06_Form_Emissions_GES'!N17,"")</x:f>
      </x:c>
      <x:c r="O17" s="76" t="str">
        <x:f>IF('06_Form_Emissions_GES'!$L17="Validé humainement",'06_Form_Emissions_GES'!O17,"")</x:f>
      </x:c>
      <x:c r="P17" s="76" t="str">
        <x:f>IF('06_Form_Emissions_GES'!$L17="Validé humainement",'06_Form_Emissions_GES'!P17,"")</x:f>
      </x:c>
      <x:c r="Q17" s="76" t="str">
        <x:f>IF('06_Form_Emissions_GES'!$L17="Validé humainement",'06_Form_Emissions_GES'!Q17,"")</x:f>
      </x:c>
    </x:row>
    <x:row r="18">
      <x:c r="A18" s="76" t="str">
        <x:f>IF('06_Form_Emissions_GES'!$L18="Validé humainement",'06_Form_Emissions_GES'!A18,"")</x:f>
      </x:c>
      <x:c r="B18" s="76" t="str">
        <x:f>IF('06_Form_Emissions_GES'!$L18="Validé humainement",'06_Form_Emissions_GES'!B18,"")</x:f>
      </x:c>
      <x:c r="C18" s="76" t="str">
        <x:f>IF('06_Form_Emissions_GES'!$L18="Validé humainement",'06_Form_Emissions_GES'!C18,"")</x:f>
      </x:c>
      <x:c r="D18" s="76" t="str">
        <x:f>IF('06_Form_Emissions_GES'!$L18="Validé humainement",'06_Form_Emissions_GES'!D18,"")</x:f>
      </x:c>
      <x:c r="E18" s="77" t="str">
        <x:f>IF('06_Form_Emissions_GES'!$L18="Validé humainement",'06_Form_Emissions_GES'!E18,"")</x:f>
      </x:c>
      <x:c r="F18" s="76" t="str">
        <x:f>IF('06_Form_Emissions_GES'!$L18="Validé humainement",'06_Form_Emissions_GES'!F18,"")</x:f>
      </x:c>
      <x:c r="G18" s="83" t="str">
        <x:f>IF('06_Form_Emissions_GES'!$L18="Validé humainement",'06_Form_Emissions_GES'!G18,"")</x:f>
      </x:c>
      <x:c r="H18" s="77" t="str">
        <x:f>IF('06_Form_Emissions_GES'!$L18="Validé humainement",'06_Form_Emissions_GES'!H18,"")</x:f>
      </x:c>
      <x:c r="I18" s="76" t="str">
        <x:f>IF('06_Form_Emissions_GES'!$L18="Validé humainement",'06_Form_Emissions_GES'!I18,"")</x:f>
      </x:c>
      <x:c r="J18" s="76" t="str">
        <x:f>IF('06_Form_Emissions_GES'!$L18="Validé humainement",'06_Form_Emissions_GES'!J18,"")</x:f>
      </x:c>
      <x:c r="K18" s="76" t="str">
        <x:f>IF('06_Form_Emissions_GES'!$L18="Validé humainement",'06_Form_Emissions_GES'!K18,"")</x:f>
      </x:c>
      <x:c r="L18" s="76" t="str">
        <x:f>IF('06_Form_Emissions_GES'!$L18="Validé humainement",'06_Form_Emissions_GES'!L18,"")</x:f>
      </x:c>
      <x:c r="M18" s="76" t="str">
        <x:f>IF('06_Form_Emissions_GES'!$L18="Validé humainement",'06_Form_Emissions_GES'!M18,"")</x:f>
      </x:c>
      <x:c r="N18" s="78" t="str">
        <x:f>IF('06_Form_Emissions_GES'!$L18="Validé humainement",'06_Form_Emissions_GES'!N18,"")</x:f>
      </x:c>
      <x:c r="O18" s="76" t="str">
        <x:f>IF('06_Form_Emissions_GES'!$L18="Validé humainement",'06_Form_Emissions_GES'!O18,"")</x:f>
      </x:c>
      <x:c r="P18" s="76" t="str">
        <x:f>IF('06_Form_Emissions_GES'!$L18="Validé humainement",'06_Form_Emissions_GES'!P18,"")</x:f>
      </x:c>
      <x:c r="Q18" s="76" t="str">
        <x:f>IF('06_Form_Emissions_GES'!$L18="Validé humainement",'06_Form_Emissions_GES'!Q18,"")</x:f>
      </x:c>
    </x:row>
    <x:row r="19">
      <x:c r="A19" s="76" t="str">
        <x:f>IF('06_Form_Emissions_GES'!$L19="Validé humainement",'06_Form_Emissions_GES'!A19,"")</x:f>
      </x:c>
      <x:c r="B19" s="76" t="str">
        <x:f>IF('06_Form_Emissions_GES'!$L19="Validé humainement",'06_Form_Emissions_GES'!B19,"")</x:f>
      </x:c>
      <x:c r="C19" s="76" t="str">
        <x:f>IF('06_Form_Emissions_GES'!$L19="Validé humainement",'06_Form_Emissions_GES'!C19,"")</x:f>
      </x:c>
      <x:c r="D19" s="76" t="str">
        <x:f>IF('06_Form_Emissions_GES'!$L19="Validé humainement",'06_Form_Emissions_GES'!D19,"")</x:f>
      </x:c>
      <x:c r="E19" s="77" t="str">
        <x:f>IF('06_Form_Emissions_GES'!$L19="Validé humainement",'06_Form_Emissions_GES'!E19,"")</x:f>
      </x:c>
      <x:c r="F19" s="76" t="str">
        <x:f>IF('06_Form_Emissions_GES'!$L19="Validé humainement",'06_Form_Emissions_GES'!F19,"")</x:f>
      </x:c>
      <x:c r="G19" s="83" t="str">
        <x:f>IF('06_Form_Emissions_GES'!$L19="Validé humainement",'06_Form_Emissions_GES'!G19,"")</x:f>
      </x:c>
      <x:c r="H19" s="77" t="str">
        <x:f>IF('06_Form_Emissions_GES'!$L19="Validé humainement",'06_Form_Emissions_GES'!H19,"")</x:f>
      </x:c>
      <x:c r="I19" s="76" t="str">
        <x:f>IF('06_Form_Emissions_GES'!$L19="Validé humainement",'06_Form_Emissions_GES'!I19,"")</x:f>
      </x:c>
      <x:c r="J19" s="76" t="str">
        <x:f>IF('06_Form_Emissions_GES'!$L19="Validé humainement",'06_Form_Emissions_GES'!J19,"")</x:f>
      </x:c>
      <x:c r="K19" s="76" t="str">
        <x:f>IF('06_Form_Emissions_GES'!$L19="Validé humainement",'06_Form_Emissions_GES'!K19,"")</x:f>
      </x:c>
      <x:c r="L19" s="76" t="str">
        <x:f>IF('06_Form_Emissions_GES'!$L19="Validé humainement",'06_Form_Emissions_GES'!L19,"")</x:f>
      </x:c>
      <x:c r="M19" s="76" t="str">
        <x:f>IF('06_Form_Emissions_GES'!$L19="Validé humainement",'06_Form_Emissions_GES'!M19,"")</x:f>
      </x:c>
      <x:c r="N19" s="78" t="str">
        <x:f>IF('06_Form_Emissions_GES'!$L19="Validé humainement",'06_Form_Emissions_GES'!N19,"")</x:f>
      </x:c>
      <x:c r="O19" s="76" t="str">
        <x:f>IF('06_Form_Emissions_GES'!$L19="Validé humainement",'06_Form_Emissions_GES'!O19,"")</x:f>
      </x:c>
      <x:c r="P19" s="76" t="str">
        <x:f>IF('06_Form_Emissions_GES'!$L19="Validé humainement",'06_Form_Emissions_GES'!P19,"")</x:f>
      </x:c>
      <x:c r="Q19" s="76" t="str">
        <x:f>IF('06_Form_Emissions_GES'!$L19="Validé humainement",'06_Form_Emissions_GES'!Q19,"")</x:f>
      </x:c>
    </x:row>
    <x:row r="20">
      <x:c r="A20" s="76" t="str">
        <x:f>IF('06_Form_Emissions_GES'!$L20="Validé humainement",'06_Form_Emissions_GES'!A20,"")</x:f>
      </x:c>
      <x:c r="B20" s="76" t="str">
        <x:f>IF('06_Form_Emissions_GES'!$L20="Validé humainement",'06_Form_Emissions_GES'!B20,"")</x:f>
      </x:c>
      <x:c r="C20" s="76" t="str">
        <x:f>IF('06_Form_Emissions_GES'!$L20="Validé humainement",'06_Form_Emissions_GES'!C20,"")</x:f>
      </x:c>
      <x:c r="D20" s="76" t="str">
        <x:f>IF('06_Form_Emissions_GES'!$L20="Validé humainement",'06_Form_Emissions_GES'!D20,"")</x:f>
      </x:c>
      <x:c r="E20" s="77" t="str">
        <x:f>IF('06_Form_Emissions_GES'!$L20="Validé humainement",'06_Form_Emissions_GES'!E20,"")</x:f>
      </x:c>
      <x:c r="F20" s="76" t="str">
        <x:f>IF('06_Form_Emissions_GES'!$L20="Validé humainement",'06_Form_Emissions_GES'!F20,"")</x:f>
      </x:c>
      <x:c r="G20" s="83" t="str">
        <x:f>IF('06_Form_Emissions_GES'!$L20="Validé humainement",'06_Form_Emissions_GES'!G20,"")</x:f>
      </x:c>
      <x:c r="H20" s="77" t="str">
        <x:f>IF('06_Form_Emissions_GES'!$L20="Validé humainement",'06_Form_Emissions_GES'!H20,"")</x:f>
      </x:c>
      <x:c r="I20" s="76" t="str">
        <x:f>IF('06_Form_Emissions_GES'!$L20="Validé humainement",'06_Form_Emissions_GES'!I20,"")</x:f>
      </x:c>
      <x:c r="J20" s="76" t="str">
        <x:f>IF('06_Form_Emissions_GES'!$L20="Validé humainement",'06_Form_Emissions_GES'!J20,"")</x:f>
      </x:c>
      <x:c r="K20" s="76" t="str">
        <x:f>IF('06_Form_Emissions_GES'!$L20="Validé humainement",'06_Form_Emissions_GES'!K20,"")</x:f>
      </x:c>
      <x:c r="L20" s="76" t="str">
        <x:f>IF('06_Form_Emissions_GES'!$L20="Validé humainement",'06_Form_Emissions_GES'!L20,"")</x:f>
      </x:c>
      <x:c r="M20" s="76" t="str">
        <x:f>IF('06_Form_Emissions_GES'!$L20="Validé humainement",'06_Form_Emissions_GES'!M20,"")</x:f>
      </x:c>
      <x:c r="N20" s="78" t="str">
        <x:f>IF('06_Form_Emissions_GES'!$L20="Validé humainement",'06_Form_Emissions_GES'!N20,"")</x:f>
      </x:c>
      <x:c r="O20" s="76" t="str">
        <x:f>IF('06_Form_Emissions_GES'!$L20="Validé humainement",'06_Form_Emissions_GES'!O20,"")</x:f>
      </x:c>
      <x:c r="P20" s="76" t="str">
        <x:f>IF('06_Form_Emissions_GES'!$L20="Validé humainement",'06_Form_Emissions_GES'!P20,"")</x:f>
      </x:c>
      <x:c r="Q20" s="76" t="str">
        <x:f>IF('06_Form_Emissions_GES'!$L20="Validé humainement",'06_Form_Emissions_GES'!Q20,"")</x:f>
      </x:c>
    </x:row>
    <x:row r="21">
      <x:c r="A21" s="76" t="str">
        <x:f>IF('06_Form_Emissions_GES'!$L21="Validé humainement",'06_Form_Emissions_GES'!A21,"")</x:f>
      </x:c>
      <x:c r="B21" s="76" t="str">
        <x:f>IF('06_Form_Emissions_GES'!$L21="Validé humainement",'06_Form_Emissions_GES'!B21,"")</x:f>
      </x:c>
      <x:c r="C21" s="76" t="str">
        <x:f>IF('06_Form_Emissions_GES'!$L21="Validé humainement",'06_Form_Emissions_GES'!C21,"")</x:f>
      </x:c>
      <x:c r="D21" s="76" t="str">
        <x:f>IF('06_Form_Emissions_GES'!$L21="Validé humainement",'06_Form_Emissions_GES'!D21,"")</x:f>
      </x:c>
      <x:c r="E21" s="77" t="str">
        <x:f>IF('06_Form_Emissions_GES'!$L21="Validé humainement",'06_Form_Emissions_GES'!E21,"")</x:f>
      </x:c>
      <x:c r="F21" s="76" t="str">
        <x:f>IF('06_Form_Emissions_GES'!$L21="Validé humainement",'06_Form_Emissions_GES'!F21,"")</x:f>
      </x:c>
      <x:c r="G21" s="83" t="str">
        <x:f>IF('06_Form_Emissions_GES'!$L21="Validé humainement",'06_Form_Emissions_GES'!G21,"")</x:f>
      </x:c>
      <x:c r="H21" s="77" t="str">
        <x:f>IF('06_Form_Emissions_GES'!$L21="Validé humainement",'06_Form_Emissions_GES'!H21,"")</x:f>
      </x:c>
      <x:c r="I21" s="76" t="str">
        <x:f>IF('06_Form_Emissions_GES'!$L21="Validé humainement",'06_Form_Emissions_GES'!I21,"")</x:f>
      </x:c>
      <x:c r="J21" s="76" t="str">
        <x:f>IF('06_Form_Emissions_GES'!$L21="Validé humainement",'06_Form_Emissions_GES'!J21,"")</x:f>
      </x:c>
      <x:c r="K21" s="76" t="str">
        <x:f>IF('06_Form_Emissions_GES'!$L21="Validé humainement",'06_Form_Emissions_GES'!K21,"")</x:f>
      </x:c>
      <x:c r="L21" s="76" t="str">
        <x:f>IF('06_Form_Emissions_GES'!$L21="Validé humainement",'06_Form_Emissions_GES'!L21,"")</x:f>
      </x:c>
      <x:c r="M21" s="76" t="str">
        <x:f>IF('06_Form_Emissions_GES'!$L21="Validé humainement",'06_Form_Emissions_GES'!M21,"")</x:f>
      </x:c>
      <x:c r="N21" s="78" t="str">
        <x:f>IF('06_Form_Emissions_GES'!$L21="Validé humainement",'06_Form_Emissions_GES'!N21,"")</x:f>
      </x:c>
      <x:c r="O21" s="76" t="str">
        <x:f>IF('06_Form_Emissions_GES'!$L21="Validé humainement",'06_Form_Emissions_GES'!O21,"")</x:f>
      </x:c>
      <x:c r="P21" s="76" t="str">
        <x:f>IF('06_Form_Emissions_GES'!$L21="Validé humainement",'06_Form_Emissions_GES'!P21,"")</x:f>
      </x:c>
      <x:c r="Q21" s="76" t="str">
        <x:f>IF('06_Form_Emissions_GES'!$L21="Validé humainement",'06_Form_Emissions_GES'!Q21,"")</x:f>
      </x:c>
    </x:row>
    <x:row r="22">
      <x:c r="A22" s="76" t="str">
        <x:f>IF('06_Form_Emissions_GES'!$L22="Validé humainement",'06_Form_Emissions_GES'!A22,"")</x:f>
      </x:c>
      <x:c r="B22" s="76" t="str">
        <x:f>IF('06_Form_Emissions_GES'!$L22="Validé humainement",'06_Form_Emissions_GES'!B22,"")</x:f>
      </x:c>
      <x:c r="C22" s="76" t="str">
        <x:f>IF('06_Form_Emissions_GES'!$L22="Validé humainement",'06_Form_Emissions_GES'!C22,"")</x:f>
      </x:c>
      <x:c r="D22" s="76" t="str">
        <x:f>IF('06_Form_Emissions_GES'!$L22="Validé humainement",'06_Form_Emissions_GES'!D22,"")</x:f>
      </x:c>
      <x:c r="E22" s="77" t="str">
        <x:f>IF('06_Form_Emissions_GES'!$L22="Validé humainement",'06_Form_Emissions_GES'!E22,"")</x:f>
      </x:c>
      <x:c r="F22" s="76" t="str">
        <x:f>IF('06_Form_Emissions_GES'!$L22="Validé humainement",'06_Form_Emissions_GES'!F22,"")</x:f>
      </x:c>
      <x:c r="G22" s="83" t="str">
        <x:f>IF('06_Form_Emissions_GES'!$L22="Validé humainement",'06_Form_Emissions_GES'!G22,"")</x:f>
      </x:c>
      <x:c r="H22" s="77" t="str">
        <x:f>IF('06_Form_Emissions_GES'!$L22="Validé humainement",'06_Form_Emissions_GES'!H22,"")</x:f>
      </x:c>
      <x:c r="I22" s="76" t="str">
        <x:f>IF('06_Form_Emissions_GES'!$L22="Validé humainement",'06_Form_Emissions_GES'!I22,"")</x:f>
      </x:c>
      <x:c r="J22" s="76" t="str">
        <x:f>IF('06_Form_Emissions_GES'!$L22="Validé humainement",'06_Form_Emissions_GES'!J22,"")</x:f>
      </x:c>
      <x:c r="K22" s="76" t="str">
        <x:f>IF('06_Form_Emissions_GES'!$L22="Validé humainement",'06_Form_Emissions_GES'!K22,"")</x:f>
      </x:c>
      <x:c r="L22" s="76" t="str">
        <x:f>IF('06_Form_Emissions_GES'!$L22="Validé humainement",'06_Form_Emissions_GES'!L22,"")</x:f>
      </x:c>
      <x:c r="M22" s="76" t="str">
        <x:f>IF('06_Form_Emissions_GES'!$L22="Validé humainement",'06_Form_Emissions_GES'!M22,"")</x:f>
      </x:c>
      <x:c r="N22" s="78" t="str">
        <x:f>IF('06_Form_Emissions_GES'!$L22="Validé humainement",'06_Form_Emissions_GES'!N22,"")</x:f>
      </x:c>
      <x:c r="O22" s="76" t="str">
        <x:f>IF('06_Form_Emissions_GES'!$L22="Validé humainement",'06_Form_Emissions_GES'!O22,"")</x:f>
      </x:c>
      <x:c r="P22" s="76" t="str">
        <x:f>IF('06_Form_Emissions_GES'!$L22="Validé humainement",'06_Form_Emissions_GES'!P22,"")</x:f>
      </x:c>
      <x:c r="Q22" s="76" t="str">
        <x:f>IF('06_Form_Emissions_GES'!$L22="Validé humainement",'06_Form_Emissions_GES'!Q22,"")</x:f>
      </x:c>
    </x:row>
    <x:row r="23">
      <x:c r="A23" s="76" t="str">
        <x:f>IF('06_Form_Emissions_GES'!$L23="Validé humainement",'06_Form_Emissions_GES'!A23,"")</x:f>
      </x:c>
      <x:c r="B23" s="76" t="str">
        <x:f>IF('06_Form_Emissions_GES'!$L23="Validé humainement",'06_Form_Emissions_GES'!B23,"")</x:f>
      </x:c>
      <x:c r="C23" s="76" t="str">
        <x:f>IF('06_Form_Emissions_GES'!$L23="Validé humainement",'06_Form_Emissions_GES'!C23,"")</x:f>
      </x:c>
      <x:c r="D23" s="76" t="str">
        <x:f>IF('06_Form_Emissions_GES'!$L23="Validé humainement",'06_Form_Emissions_GES'!D23,"")</x:f>
      </x:c>
      <x:c r="E23" s="77" t="str">
        <x:f>IF('06_Form_Emissions_GES'!$L23="Validé humainement",'06_Form_Emissions_GES'!E23,"")</x:f>
      </x:c>
      <x:c r="F23" s="76" t="str">
        <x:f>IF('06_Form_Emissions_GES'!$L23="Validé humainement",'06_Form_Emissions_GES'!F23,"")</x:f>
      </x:c>
      <x:c r="G23" s="83" t="str">
        <x:f>IF('06_Form_Emissions_GES'!$L23="Validé humainement",'06_Form_Emissions_GES'!G23,"")</x:f>
      </x:c>
      <x:c r="H23" s="77" t="str">
        <x:f>IF('06_Form_Emissions_GES'!$L23="Validé humainement",'06_Form_Emissions_GES'!H23,"")</x:f>
      </x:c>
      <x:c r="I23" s="76" t="str">
        <x:f>IF('06_Form_Emissions_GES'!$L23="Validé humainement",'06_Form_Emissions_GES'!I23,"")</x:f>
      </x:c>
      <x:c r="J23" s="76" t="str">
        <x:f>IF('06_Form_Emissions_GES'!$L23="Validé humainement",'06_Form_Emissions_GES'!J23,"")</x:f>
      </x:c>
      <x:c r="K23" s="76" t="str">
        <x:f>IF('06_Form_Emissions_GES'!$L23="Validé humainement",'06_Form_Emissions_GES'!K23,"")</x:f>
      </x:c>
      <x:c r="L23" s="76" t="str">
        <x:f>IF('06_Form_Emissions_GES'!$L23="Validé humainement",'06_Form_Emissions_GES'!L23,"")</x:f>
      </x:c>
      <x:c r="M23" s="76" t="str">
        <x:f>IF('06_Form_Emissions_GES'!$L23="Validé humainement",'06_Form_Emissions_GES'!M23,"")</x:f>
      </x:c>
      <x:c r="N23" s="78" t="str">
        <x:f>IF('06_Form_Emissions_GES'!$L23="Validé humainement",'06_Form_Emissions_GES'!N23,"")</x:f>
      </x:c>
      <x:c r="O23" s="76" t="str">
        <x:f>IF('06_Form_Emissions_GES'!$L23="Validé humainement",'06_Form_Emissions_GES'!O23,"")</x:f>
      </x:c>
      <x:c r="P23" s="76" t="str">
        <x:f>IF('06_Form_Emissions_GES'!$L23="Validé humainement",'06_Form_Emissions_GES'!P23,"")</x:f>
      </x:c>
      <x:c r="Q23" s="76" t="str">
        <x:f>IF('06_Form_Emissions_GES'!$L23="Validé humainement",'06_Form_Emissions_GES'!Q23,"")</x:f>
      </x:c>
    </x:row>
    <x:row r="24">
      <x:c r="A24" s="76" t="str">
        <x:f>IF('06_Form_Emissions_GES'!$L24="Validé humainement",'06_Form_Emissions_GES'!A24,"")</x:f>
      </x:c>
      <x:c r="B24" s="76" t="str">
        <x:f>IF('06_Form_Emissions_GES'!$L24="Validé humainement",'06_Form_Emissions_GES'!B24,"")</x:f>
      </x:c>
      <x:c r="C24" s="76" t="str">
        <x:f>IF('06_Form_Emissions_GES'!$L24="Validé humainement",'06_Form_Emissions_GES'!C24,"")</x:f>
      </x:c>
      <x:c r="D24" s="76" t="str">
        <x:f>IF('06_Form_Emissions_GES'!$L24="Validé humainement",'06_Form_Emissions_GES'!D24,"")</x:f>
      </x:c>
      <x:c r="E24" s="77" t="str">
        <x:f>IF('06_Form_Emissions_GES'!$L24="Validé humainement",'06_Form_Emissions_GES'!E24,"")</x:f>
      </x:c>
      <x:c r="F24" s="76" t="str">
        <x:f>IF('06_Form_Emissions_GES'!$L24="Validé humainement",'06_Form_Emissions_GES'!F24,"")</x:f>
      </x:c>
      <x:c r="G24" s="83" t="str">
        <x:f>IF('06_Form_Emissions_GES'!$L24="Validé humainement",'06_Form_Emissions_GES'!G24,"")</x:f>
      </x:c>
      <x:c r="H24" s="77" t="str">
        <x:f>IF('06_Form_Emissions_GES'!$L24="Validé humainement",'06_Form_Emissions_GES'!H24,"")</x:f>
      </x:c>
      <x:c r="I24" s="76" t="str">
        <x:f>IF('06_Form_Emissions_GES'!$L24="Validé humainement",'06_Form_Emissions_GES'!I24,"")</x:f>
      </x:c>
      <x:c r="J24" s="76" t="str">
        <x:f>IF('06_Form_Emissions_GES'!$L24="Validé humainement",'06_Form_Emissions_GES'!J24,"")</x:f>
      </x:c>
      <x:c r="K24" s="76" t="str">
        <x:f>IF('06_Form_Emissions_GES'!$L24="Validé humainement",'06_Form_Emissions_GES'!K24,"")</x:f>
      </x:c>
      <x:c r="L24" s="76" t="str">
        <x:f>IF('06_Form_Emissions_GES'!$L24="Validé humainement",'06_Form_Emissions_GES'!L24,"")</x:f>
      </x:c>
      <x:c r="M24" s="76" t="str">
        <x:f>IF('06_Form_Emissions_GES'!$L24="Validé humainement",'06_Form_Emissions_GES'!M24,"")</x:f>
      </x:c>
      <x:c r="N24" s="78" t="str">
        <x:f>IF('06_Form_Emissions_GES'!$L24="Validé humainement",'06_Form_Emissions_GES'!N24,"")</x:f>
      </x:c>
      <x:c r="O24" s="76" t="str">
        <x:f>IF('06_Form_Emissions_GES'!$L24="Validé humainement",'06_Form_Emissions_GES'!O24,"")</x:f>
      </x:c>
      <x:c r="P24" s="76" t="str">
        <x:f>IF('06_Form_Emissions_GES'!$L24="Validé humainement",'06_Form_Emissions_GES'!P24,"")</x:f>
      </x:c>
      <x:c r="Q24" s="76" t="str">
        <x:f>IF('06_Form_Emissions_GES'!$L24="Validé humainement",'06_Form_Emissions_GES'!Q24,"")</x:f>
      </x:c>
    </x:row>
    <x:row r="25">
      <x:c r="A25" s="76" t="str">
        <x:f>IF('06_Form_Emissions_GES'!$L25="Validé humainement",'06_Form_Emissions_GES'!A25,"")</x:f>
      </x:c>
      <x:c r="B25" s="76" t="str">
        <x:f>IF('06_Form_Emissions_GES'!$L25="Validé humainement",'06_Form_Emissions_GES'!B25,"")</x:f>
      </x:c>
      <x:c r="C25" s="76" t="str">
        <x:f>IF('06_Form_Emissions_GES'!$L25="Validé humainement",'06_Form_Emissions_GES'!C25,"")</x:f>
      </x:c>
      <x:c r="D25" s="76" t="str">
        <x:f>IF('06_Form_Emissions_GES'!$L25="Validé humainement",'06_Form_Emissions_GES'!D25,"")</x:f>
      </x:c>
      <x:c r="E25" s="77" t="str">
        <x:f>IF('06_Form_Emissions_GES'!$L25="Validé humainement",'06_Form_Emissions_GES'!E25,"")</x:f>
      </x:c>
      <x:c r="F25" s="76" t="str">
        <x:f>IF('06_Form_Emissions_GES'!$L25="Validé humainement",'06_Form_Emissions_GES'!F25,"")</x:f>
      </x:c>
      <x:c r="G25" s="83" t="str">
        <x:f>IF('06_Form_Emissions_GES'!$L25="Validé humainement",'06_Form_Emissions_GES'!G25,"")</x:f>
      </x:c>
      <x:c r="H25" s="77" t="str">
        <x:f>IF('06_Form_Emissions_GES'!$L25="Validé humainement",'06_Form_Emissions_GES'!H25,"")</x:f>
      </x:c>
      <x:c r="I25" s="76" t="str">
        <x:f>IF('06_Form_Emissions_GES'!$L25="Validé humainement",'06_Form_Emissions_GES'!I25,"")</x:f>
      </x:c>
      <x:c r="J25" s="76" t="str">
        <x:f>IF('06_Form_Emissions_GES'!$L25="Validé humainement",'06_Form_Emissions_GES'!J25,"")</x:f>
      </x:c>
      <x:c r="K25" s="76" t="str">
        <x:f>IF('06_Form_Emissions_GES'!$L25="Validé humainement",'06_Form_Emissions_GES'!K25,"")</x:f>
      </x:c>
      <x:c r="L25" s="76" t="str">
        <x:f>IF('06_Form_Emissions_GES'!$L25="Validé humainement",'06_Form_Emissions_GES'!L25,"")</x:f>
      </x:c>
      <x:c r="M25" s="76" t="str">
        <x:f>IF('06_Form_Emissions_GES'!$L25="Validé humainement",'06_Form_Emissions_GES'!M25,"")</x:f>
      </x:c>
      <x:c r="N25" s="78" t="str">
        <x:f>IF('06_Form_Emissions_GES'!$L25="Validé humainement",'06_Form_Emissions_GES'!N25,"")</x:f>
      </x:c>
      <x:c r="O25" s="76" t="str">
        <x:f>IF('06_Form_Emissions_GES'!$L25="Validé humainement",'06_Form_Emissions_GES'!O25,"")</x:f>
      </x:c>
      <x:c r="P25" s="76" t="str">
        <x:f>IF('06_Form_Emissions_GES'!$L25="Validé humainement",'06_Form_Emissions_GES'!P25,"")</x:f>
      </x:c>
      <x:c r="Q25" s="76" t="str">
        <x:f>IF('06_Form_Emissions_GES'!$L25="Validé humainement",'06_Form_Emissions_GES'!Q25,"")</x:f>
      </x:c>
    </x:row>
    <x:row r="26">
      <x:c r="A26" s="76" t="str">
        <x:f>IF('06_Form_Emissions_GES'!$L26="Validé humainement",'06_Form_Emissions_GES'!A26,"")</x:f>
      </x:c>
      <x:c r="B26" s="76" t="str">
        <x:f>IF('06_Form_Emissions_GES'!$L26="Validé humainement",'06_Form_Emissions_GES'!B26,"")</x:f>
      </x:c>
      <x:c r="C26" s="76" t="str">
        <x:f>IF('06_Form_Emissions_GES'!$L26="Validé humainement",'06_Form_Emissions_GES'!C26,"")</x:f>
      </x:c>
      <x:c r="D26" s="76" t="str">
        <x:f>IF('06_Form_Emissions_GES'!$L26="Validé humainement",'06_Form_Emissions_GES'!D26,"")</x:f>
      </x:c>
      <x:c r="E26" s="77" t="str">
        <x:f>IF('06_Form_Emissions_GES'!$L26="Validé humainement",'06_Form_Emissions_GES'!E26,"")</x:f>
      </x:c>
      <x:c r="F26" s="76" t="str">
        <x:f>IF('06_Form_Emissions_GES'!$L26="Validé humainement",'06_Form_Emissions_GES'!F26,"")</x:f>
      </x:c>
      <x:c r="G26" s="83" t="str">
        <x:f>IF('06_Form_Emissions_GES'!$L26="Validé humainement",'06_Form_Emissions_GES'!G26,"")</x:f>
      </x:c>
      <x:c r="H26" s="77" t="str">
        <x:f>IF('06_Form_Emissions_GES'!$L26="Validé humainement",'06_Form_Emissions_GES'!H26,"")</x:f>
      </x:c>
      <x:c r="I26" s="76" t="str">
        <x:f>IF('06_Form_Emissions_GES'!$L26="Validé humainement",'06_Form_Emissions_GES'!I26,"")</x:f>
      </x:c>
      <x:c r="J26" s="76" t="str">
        <x:f>IF('06_Form_Emissions_GES'!$L26="Validé humainement",'06_Form_Emissions_GES'!J26,"")</x:f>
      </x:c>
      <x:c r="K26" s="76" t="str">
        <x:f>IF('06_Form_Emissions_GES'!$L26="Validé humainement",'06_Form_Emissions_GES'!K26,"")</x:f>
      </x:c>
      <x:c r="L26" s="76" t="str">
        <x:f>IF('06_Form_Emissions_GES'!$L26="Validé humainement",'06_Form_Emissions_GES'!L26,"")</x:f>
      </x:c>
      <x:c r="M26" s="76" t="str">
        <x:f>IF('06_Form_Emissions_GES'!$L26="Validé humainement",'06_Form_Emissions_GES'!M26,"")</x:f>
      </x:c>
      <x:c r="N26" s="78" t="str">
        <x:f>IF('06_Form_Emissions_GES'!$L26="Validé humainement",'06_Form_Emissions_GES'!N26,"")</x:f>
      </x:c>
      <x:c r="O26" s="76" t="str">
        <x:f>IF('06_Form_Emissions_GES'!$L26="Validé humainement",'06_Form_Emissions_GES'!O26,"")</x:f>
      </x:c>
      <x:c r="P26" s="76" t="str">
        <x:f>IF('06_Form_Emissions_GES'!$L26="Validé humainement",'06_Form_Emissions_GES'!P26,"")</x:f>
      </x:c>
      <x:c r="Q26" s="76" t="str">
        <x:f>IF('06_Form_Emissions_GES'!$L26="Validé humainement",'06_Form_Emissions_GES'!Q26,"")</x:f>
      </x:c>
    </x:row>
    <x:row r="27">
      <x:c r="A27" s="76" t="str">
        <x:f>IF('06_Form_Emissions_GES'!$L27="Validé humainement",'06_Form_Emissions_GES'!A27,"")</x:f>
      </x:c>
      <x:c r="B27" s="76" t="str">
        <x:f>IF('06_Form_Emissions_GES'!$L27="Validé humainement",'06_Form_Emissions_GES'!B27,"")</x:f>
      </x:c>
      <x:c r="C27" s="76" t="str">
        <x:f>IF('06_Form_Emissions_GES'!$L27="Validé humainement",'06_Form_Emissions_GES'!C27,"")</x:f>
      </x:c>
      <x:c r="D27" s="76" t="str">
        <x:f>IF('06_Form_Emissions_GES'!$L27="Validé humainement",'06_Form_Emissions_GES'!D27,"")</x:f>
      </x:c>
      <x:c r="E27" s="77" t="str">
        <x:f>IF('06_Form_Emissions_GES'!$L27="Validé humainement",'06_Form_Emissions_GES'!E27,"")</x:f>
      </x:c>
      <x:c r="F27" s="76" t="str">
        <x:f>IF('06_Form_Emissions_GES'!$L27="Validé humainement",'06_Form_Emissions_GES'!F27,"")</x:f>
      </x:c>
      <x:c r="G27" s="83" t="str">
        <x:f>IF('06_Form_Emissions_GES'!$L27="Validé humainement",'06_Form_Emissions_GES'!G27,"")</x:f>
      </x:c>
      <x:c r="H27" s="77" t="str">
        <x:f>IF('06_Form_Emissions_GES'!$L27="Validé humainement",'06_Form_Emissions_GES'!H27,"")</x:f>
      </x:c>
      <x:c r="I27" s="76" t="str">
        <x:f>IF('06_Form_Emissions_GES'!$L27="Validé humainement",'06_Form_Emissions_GES'!I27,"")</x:f>
      </x:c>
      <x:c r="J27" s="76" t="str">
        <x:f>IF('06_Form_Emissions_GES'!$L27="Validé humainement",'06_Form_Emissions_GES'!J27,"")</x:f>
      </x:c>
      <x:c r="K27" s="76" t="str">
        <x:f>IF('06_Form_Emissions_GES'!$L27="Validé humainement",'06_Form_Emissions_GES'!K27,"")</x:f>
      </x:c>
      <x:c r="L27" s="76" t="str">
        <x:f>IF('06_Form_Emissions_GES'!$L27="Validé humainement",'06_Form_Emissions_GES'!L27,"")</x:f>
      </x:c>
      <x:c r="M27" s="76" t="str">
        <x:f>IF('06_Form_Emissions_GES'!$L27="Validé humainement",'06_Form_Emissions_GES'!M27,"")</x:f>
      </x:c>
      <x:c r="N27" s="78" t="str">
        <x:f>IF('06_Form_Emissions_GES'!$L27="Validé humainement",'06_Form_Emissions_GES'!N27,"")</x:f>
      </x:c>
      <x:c r="O27" s="76" t="str">
        <x:f>IF('06_Form_Emissions_GES'!$L27="Validé humainement",'06_Form_Emissions_GES'!O27,"")</x:f>
      </x:c>
      <x:c r="P27" s="76" t="str">
        <x:f>IF('06_Form_Emissions_GES'!$L27="Validé humainement",'06_Form_Emissions_GES'!P27,"")</x:f>
      </x:c>
      <x:c r="Q27" s="76" t="str">
        <x:f>IF('06_Form_Emissions_GES'!$L27="Validé humainement",'06_Form_Emissions_GES'!Q27,"")</x:f>
      </x:c>
    </x:row>
    <x:row r="28">
      <x:c r="A28" s="76" t="str">
        <x:f>IF('06_Form_Emissions_GES'!$L28="Validé humainement",'06_Form_Emissions_GES'!A28,"")</x:f>
      </x:c>
      <x:c r="B28" s="76" t="str">
        <x:f>IF('06_Form_Emissions_GES'!$L28="Validé humainement",'06_Form_Emissions_GES'!B28,"")</x:f>
      </x:c>
      <x:c r="C28" s="76" t="str">
        <x:f>IF('06_Form_Emissions_GES'!$L28="Validé humainement",'06_Form_Emissions_GES'!C28,"")</x:f>
      </x:c>
      <x:c r="D28" s="76" t="str">
        <x:f>IF('06_Form_Emissions_GES'!$L28="Validé humainement",'06_Form_Emissions_GES'!D28,"")</x:f>
      </x:c>
      <x:c r="E28" s="77" t="str">
        <x:f>IF('06_Form_Emissions_GES'!$L28="Validé humainement",'06_Form_Emissions_GES'!E28,"")</x:f>
      </x:c>
      <x:c r="F28" s="76" t="str">
        <x:f>IF('06_Form_Emissions_GES'!$L28="Validé humainement",'06_Form_Emissions_GES'!F28,"")</x:f>
      </x:c>
      <x:c r="G28" s="83" t="str">
        <x:f>IF('06_Form_Emissions_GES'!$L28="Validé humainement",'06_Form_Emissions_GES'!G28,"")</x:f>
      </x:c>
      <x:c r="H28" s="77" t="str">
        <x:f>IF('06_Form_Emissions_GES'!$L28="Validé humainement",'06_Form_Emissions_GES'!H28,"")</x:f>
      </x:c>
      <x:c r="I28" s="76" t="str">
        <x:f>IF('06_Form_Emissions_GES'!$L28="Validé humainement",'06_Form_Emissions_GES'!I28,"")</x:f>
      </x:c>
      <x:c r="J28" s="76" t="str">
        <x:f>IF('06_Form_Emissions_GES'!$L28="Validé humainement",'06_Form_Emissions_GES'!J28,"")</x:f>
      </x:c>
      <x:c r="K28" s="76" t="str">
        <x:f>IF('06_Form_Emissions_GES'!$L28="Validé humainement",'06_Form_Emissions_GES'!K28,"")</x:f>
      </x:c>
      <x:c r="L28" s="76" t="str">
        <x:f>IF('06_Form_Emissions_GES'!$L28="Validé humainement",'06_Form_Emissions_GES'!L28,"")</x:f>
      </x:c>
      <x:c r="M28" s="76" t="str">
        <x:f>IF('06_Form_Emissions_GES'!$L28="Validé humainement",'06_Form_Emissions_GES'!M28,"")</x:f>
      </x:c>
      <x:c r="N28" s="78" t="str">
        <x:f>IF('06_Form_Emissions_GES'!$L28="Validé humainement",'06_Form_Emissions_GES'!N28,"")</x:f>
      </x:c>
      <x:c r="O28" s="76" t="str">
        <x:f>IF('06_Form_Emissions_GES'!$L28="Validé humainement",'06_Form_Emissions_GES'!O28,"")</x:f>
      </x:c>
      <x:c r="P28" s="76" t="str">
        <x:f>IF('06_Form_Emissions_GES'!$L28="Validé humainement",'06_Form_Emissions_GES'!P28,"")</x:f>
      </x:c>
      <x:c r="Q28" s="76" t="str">
        <x:f>IF('06_Form_Emissions_GES'!$L28="Validé humainement",'06_Form_Emissions_GES'!Q28,"")</x:f>
      </x:c>
    </x:row>
    <x:row r="29">
      <x:c r="A29" s="76" t="str">
        <x:f>IF('06_Form_Emissions_GES'!$L29="Validé humainement",'06_Form_Emissions_GES'!A29,"")</x:f>
      </x:c>
      <x:c r="B29" s="76" t="str">
        <x:f>IF('06_Form_Emissions_GES'!$L29="Validé humainement",'06_Form_Emissions_GES'!B29,"")</x:f>
      </x:c>
      <x:c r="C29" s="76" t="str">
        <x:f>IF('06_Form_Emissions_GES'!$L29="Validé humainement",'06_Form_Emissions_GES'!C29,"")</x:f>
      </x:c>
      <x:c r="D29" s="76" t="str">
        <x:f>IF('06_Form_Emissions_GES'!$L29="Validé humainement",'06_Form_Emissions_GES'!D29,"")</x:f>
      </x:c>
      <x:c r="E29" s="77" t="str">
        <x:f>IF('06_Form_Emissions_GES'!$L29="Validé humainement",'06_Form_Emissions_GES'!E29,"")</x:f>
      </x:c>
      <x:c r="F29" s="76" t="str">
        <x:f>IF('06_Form_Emissions_GES'!$L29="Validé humainement",'06_Form_Emissions_GES'!F29,"")</x:f>
      </x:c>
      <x:c r="G29" s="83" t="str">
        <x:f>IF('06_Form_Emissions_GES'!$L29="Validé humainement",'06_Form_Emissions_GES'!G29,"")</x:f>
      </x:c>
      <x:c r="H29" s="77" t="str">
        <x:f>IF('06_Form_Emissions_GES'!$L29="Validé humainement",'06_Form_Emissions_GES'!H29,"")</x:f>
      </x:c>
      <x:c r="I29" s="76" t="str">
        <x:f>IF('06_Form_Emissions_GES'!$L29="Validé humainement",'06_Form_Emissions_GES'!I29,"")</x:f>
      </x:c>
      <x:c r="J29" s="76" t="str">
        <x:f>IF('06_Form_Emissions_GES'!$L29="Validé humainement",'06_Form_Emissions_GES'!J29,"")</x:f>
      </x:c>
      <x:c r="K29" s="76" t="str">
        <x:f>IF('06_Form_Emissions_GES'!$L29="Validé humainement",'06_Form_Emissions_GES'!K29,"")</x:f>
      </x:c>
      <x:c r="L29" s="76" t="str">
        <x:f>IF('06_Form_Emissions_GES'!$L29="Validé humainement",'06_Form_Emissions_GES'!L29,"")</x:f>
      </x:c>
      <x:c r="M29" s="76" t="str">
        <x:f>IF('06_Form_Emissions_GES'!$L29="Validé humainement",'06_Form_Emissions_GES'!M29,"")</x:f>
      </x:c>
      <x:c r="N29" s="78" t="str">
        <x:f>IF('06_Form_Emissions_GES'!$L29="Validé humainement",'06_Form_Emissions_GES'!N29,"")</x:f>
      </x:c>
      <x:c r="O29" s="76" t="str">
        <x:f>IF('06_Form_Emissions_GES'!$L29="Validé humainement",'06_Form_Emissions_GES'!O29,"")</x:f>
      </x:c>
      <x:c r="P29" s="76" t="str">
        <x:f>IF('06_Form_Emissions_GES'!$L29="Validé humainement",'06_Form_Emissions_GES'!P29,"")</x:f>
      </x:c>
      <x:c r="Q29" s="76" t="str">
        <x:f>IF('06_Form_Emissions_GES'!$L29="Validé humainement",'06_Form_Emissions_GES'!Q29,"")</x:f>
      </x:c>
    </x:row>
    <x:row r="30">
      <x:c r="A30" s="76" t="str">
        <x:f>IF('06_Form_Emissions_GES'!$L30="Validé humainement",'06_Form_Emissions_GES'!A30,"")</x:f>
      </x:c>
      <x:c r="B30" s="76" t="str">
        <x:f>IF('06_Form_Emissions_GES'!$L30="Validé humainement",'06_Form_Emissions_GES'!B30,"")</x:f>
      </x:c>
      <x:c r="C30" s="76" t="str">
        <x:f>IF('06_Form_Emissions_GES'!$L30="Validé humainement",'06_Form_Emissions_GES'!C30,"")</x:f>
      </x:c>
      <x:c r="D30" s="76" t="str">
        <x:f>IF('06_Form_Emissions_GES'!$L30="Validé humainement",'06_Form_Emissions_GES'!D30,"")</x:f>
      </x:c>
      <x:c r="E30" s="77" t="str">
        <x:f>IF('06_Form_Emissions_GES'!$L30="Validé humainement",'06_Form_Emissions_GES'!E30,"")</x:f>
      </x:c>
      <x:c r="F30" s="76" t="str">
        <x:f>IF('06_Form_Emissions_GES'!$L30="Validé humainement",'06_Form_Emissions_GES'!F30,"")</x:f>
      </x:c>
      <x:c r="G30" s="83" t="str">
        <x:f>IF('06_Form_Emissions_GES'!$L30="Validé humainement",'06_Form_Emissions_GES'!G30,"")</x:f>
      </x:c>
      <x:c r="H30" s="77" t="str">
        <x:f>IF('06_Form_Emissions_GES'!$L30="Validé humainement",'06_Form_Emissions_GES'!H30,"")</x:f>
      </x:c>
      <x:c r="I30" s="76" t="str">
        <x:f>IF('06_Form_Emissions_GES'!$L30="Validé humainement",'06_Form_Emissions_GES'!I30,"")</x:f>
      </x:c>
      <x:c r="J30" s="76" t="str">
        <x:f>IF('06_Form_Emissions_GES'!$L30="Validé humainement",'06_Form_Emissions_GES'!J30,"")</x:f>
      </x:c>
      <x:c r="K30" s="76" t="str">
        <x:f>IF('06_Form_Emissions_GES'!$L30="Validé humainement",'06_Form_Emissions_GES'!K30,"")</x:f>
      </x:c>
      <x:c r="L30" s="76" t="str">
        <x:f>IF('06_Form_Emissions_GES'!$L30="Validé humainement",'06_Form_Emissions_GES'!L30,"")</x:f>
      </x:c>
      <x:c r="M30" s="76" t="str">
        <x:f>IF('06_Form_Emissions_GES'!$L30="Validé humainement",'06_Form_Emissions_GES'!M30,"")</x:f>
      </x:c>
      <x:c r="N30" s="78" t="str">
        <x:f>IF('06_Form_Emissions_GES'!$L30="Validé humainement",'06_Form_Emissions_GES'!N30,"")</x:f>
      </x:c>
      <x:c r="O30" s="76" t="str">
        <x:f>IF('06_Form_Emissions_GES'!$L30="Validé humainement",'06_Form_Emissions_GES'!O30,"")</x:f>
      </x:c>
      <x:c r="P30" s="76" t="str">
        <x:f>IF('06_Form_Emissions_GES'!$L30="Validé humainement",'06_Form_Emissions_GES'!P30,"")</x:f>
      </x:c>
      <x:c r="Q30" s="76" t="str">
        <x:f>IF('06_Form_Emissions_GES'!$L30="Validé humainement",'06_Form_Emissions_GES'!Q30,"")</x:f>
      </x:c>
    </x:row>
    <x:row r="31">
      <x:c r="A31" s="76" t="str">
        <x:f>IF('06_Form_Emissions_GES'!$L31="Validé humainement",'06_Form_Emissions_GES'!A31,"")</x:f>
      </x:c>
      <x:c r="B31" s="76" t="str">
        <x:f>IF('06_Form_Emissions_GES'!$L31="Validé humainement",'06_Form_Emissions_GES'!B31,"")</x:f>
      </x:c>
      <x:c r="C31" s="76" t="str">
        <x:f>IF('06_Form_Emissions_GES'!$L31="Validé humainement",'06_Form_Emissions_GES'!C31,"")</x:f>
      </x:c>
      <x:c r="D31" s="76" t="str">
        <x:f>IF('06_Form_Emissions_GES'!$L31="Validé humainement",'06_Form_Emissions_GES'!D31,"")</x:f>
      </x:c>
      <x:c r="E31" s="77" t="str">
        <x:f>IF('06_Form_Emissions_GES'!$L31="Validé humainement",'06_Form_Emissions_GES'!E31,"")</x:f>
      </x:c>
      <x:c r="F31" s="76" t="str">
        <x:f>IF('06_Form_Emissions_GES'!$L31="Validé humainement",'06_Form_Emissions_GES'!F31,"")</x:f>
      </x:c>
      <x:c r="G31" s="83" t="str">
        <x:f>IF('06_Form_Emissions_GES'!$L31="Validé humainement",'06_Form_Emissions_GES'!G31,"")</x:f>
      </x:c>
      <x:c r="H31" s="77" t="str">
        <x:f>IF('06_Form_Emissions_GES'!$L31="Validé humainement",'06_Form_Emissions_GES'!H31,"")</x:f>
      </x:c>
      <x:c r="I31" s="76" t="str">
        <x:f>IF('06_Form_Emissions_GES'!$L31="Validé humainement",'06_Form_Emissions_GES'!I31,"")</x:f>
      </x:c>
      <x:c r="J31" s="76" t="str">
        <x:f>IF('06_Form_Emissions_GES'!$L31="Validé humainement",'06_Form_Emissions_GES'!J31,"")</x:f>
      </x:c>
      <x:c r="K31" s="76" t="str">
        <x:f>IF('06_Form_Emissions_GES'!$L31="Validé humainement",'06_Form_Emissions_GES'!K31,"")</x:f>
      </x:c>
      <x:c r="L31" s="76" t="str">
        <x:f>IF('06_Form_Emissions_GES'!$L31="Validé humainement",'06_Form_Emissions_GES'!L31,"")</x:f>
      </x:c>
      <x:c r="M31" s="76" t="str">
        <x:f>IF('06_Form_Emissions_GES'!$L31="Validé humainement",'06_Form_Emissions_GES'!M31,"")</x:f>
      </x:c>
      <x:c r="N31" s="78" t="str">
        <x:f>IF('06_Form_Emissions_GES'!$L31="Validé humainement",'06_Form_Emissions_GES'!N31,"")</x:f>
      </x:c>
      <x:c r="O31" s="76" t="str">
        <x:f>IF('06_Form_Emissions_GES'!$L31="Validé humainement",'06_Form_Emissions_GES'!O31,"")</x:f>
      </x:c>
      <x:c r="P31" s="76" t="str">
        <x:f>IF('06_Form_Emissions_GES'!$L31="Validé humainement",'06_Form_Emissions_GES'!P31,"")</x:f>
      </x:c>
      <x:c r="Q31" s="76" t="str">
        <x:f>IF('06_Form_Emissions_GES'!$L31="Validé humainement",'06_Form_Emissions_GES'!Q31,"")</x:f>
      </x:c>
    </x:row>
    <x:row r="32">
      <x:c r="A32" s="76" t="str">
        <x:f>IF('06_Form_Emissions_GES'!$L32="Validé humainement",'06_Form_Emissions_GES'!A32,"")</x:f>
      </x:c>
      <x:c r="B32" s="76" t="str">
        <x:f>IF('06_Form_Emissions_GES'!$L32="Validé humainement",'06_Form_Emissions_GES'!B32,"")</x:f>
      </x:c>
      <x:c r="C32" s="76" t="str">
        <x:f>IF('06_Form_Emissions_GES'!$L32="Validé humainement",'06_Form_Emissions_GES'!C32,"")</x:f>
      </x:c>
      <x:c r="D32" s="76" t="str">
        <x:f>IF('06_Form_Emissions_GES'!$L32="Validé humainement",'06_Form_Emissions_GES'!D32,"")</x:f>
      </x:c>
      <x:c r="E32" s="77" t="str">
        <x:f>IF('06_Form_Emissions_GES'!$L32="Validé humainement",'06_Form_Emissions_GES'!E32,"")</x:f>
      </x:c>
      <x:c r="F32" s="76" t="str">
        <x:f>IF('06_Form_Emissions_GES'!$L32="Validé humainement",'06_Form_Emissions_GES'!F32,"")</x:f>
      </x:c>
      <x:c r="G32" s="83" t="str">
        <x:f>IF('06_Form_Emissions_GES'!$L32="Validé humainement",'06_Form_Emissions_GES'!G32,"")</x:f>
      </x:c>
      <x:c r="H32" s="77" t="str">
        <x:f>IF('06_Form_Emissions_GES'!$L32="Validé humainement",'06_Form_Emissions_GES'!H32,"")</x:f>
      </x:c>
      <x:c r="I32" s="76" t="str">
        <x:f>IF('06_Form_Emissions_GES'!$L32="Validé humainement",'06_Form_Emissions_GES'!I32,"")</x:f>
      </x:c>
      <x:c r="J32" s="76" t="str">
        <x:f>IF('06_Form_Emissions_GES'!$L32="Validé humainement",'06_Form_Emissions_GES'!J32,"")</x:f>
      </x:c>
      <x:c r="K32" s="76" t="str">
        <x:f>IF('06_Form_Emissions_GES'!$L32="Validé humainement",'06_Form_Emissions_GES'!K32,"")</x:f>
      </x:c>
      <x:c r="L32" s="76" t="str">
        <x:f>IF('06_Form_Emissions_GES'!$L32="Validé humainement",'06_Form_Emissions_GES'!L32,"")</x:f>
      </x:c>
      <x:c r="M32" s="76" t="str">
        <x:f>IF('06_Form_Emissions_GES'!$L32="Validé humainement",'06_Form_Emissions_GES'!M32,"")</x:f>
      </x:c>
      <x:c r="N32" s="78" t="str">
        <x:f>IF('06_Form_Emissions_GES'!$L32="Validé humainement",'06_Form_Emissions_GES'!N32,"")</x:f>
      </x:c>
      <x:c r="O32" s="76" t="str">
        <x:f>IF('06_Form_Emissions_GES'!$L32="Validé humainement",'06_Form_Emissions_GES'!O32,"")</x:f>
      </x:c>
      <x:c r="P32" s="76" t="str">
        <x:f>IF('06_Form_Emissions_GES'!$L32="Validé humainement",'06_Form_Emissions_GES'!P32,"")</x:f>
      </x:c>
      <x:c r="Q32" s="76" t="str">
        <x:f>IF('06_Form_Emissions_GES'!$L32="Validé humainement",'06_Form_Emissions_GES'!Q32,"")</x:f>
      </x:c>
    </x:row>
    <x:row r="33">
      <x:c r="A33" s="76" t="str">
        <x:f>IF('06_Form_Emissions_GES'!$L33="Validé humainement",'06_Form_Emissions_GES'!A33,"")</x:f>
      </x:c>
      <x:c r="B33" s="76" t="str">
        <x:f>IF('06_Form_Emissions_GES'!$L33="Validé humainement",'06_Form_Emissions_GES'!B33,"")</x:f>
      </x:c>
      <x:c r="C33" s="76" t="str">
        <x:f>IF('06_Form_Emissions_GES'!$L33="Validé humainement",'06_Form_Emissions_GES'!C33,"")</x:f>
      </x:c>
      <x:c r="D33" s="76" t="str">
        <x:f>IF('06_Form_Emissions_GES'!$L33="Validé humainement",'06_Form_Emissions_GES'!D33,"")</x:f>
      </x:c>
      <x:c r="E33" s="77" t="str">
        <x:f>IF('06_Form_Emissions_GES'!$L33="Validé humainement",'06_Form_Emissions_GES'!E33,"")</x:f>
      </x:c>
      <x:c r="F33" s="76" t="str">
        <x:f>IF('06_Form_Emissions_GES'!$L33="Validé humainement",'06_Form_Emissions_GES'!F33,"")</x:f>
      </x:c>
      <x:c r="G33" s="83" t="str">
        <x:f>IF('06_Form_Emissions_GES'!$L33="Validé humainement",'06_Form_Emissions_GES'!G33,"")</x:f>
      </x:c>
      <x:c r="H33" s="77" t="str">
        <x:f>IF('06_Form_Emissions_GES'!$L33="Validé humainement",'06_Form_Emissions_GES'!H33,"")</x:f>
      </x:c>
      <x:c r="I33" s="76" t="str">
        <x:f>IF('06_Form_Emissions_GES'!$L33="Validé humainement",'06_Form_Emissions_GES'!I33,"")</x:f>
      </x:c>
      <x:c r="J33" s="76" t="str">
        <x:f>IF('06_Form_Emissions_GES'!$L33="Validé humainement",'06_Form_Emissions_GES'!J33,"")</x:f>
      </x:c>
      <x:c r="K33" s="76" t="str">
        <x:f>IF('06_Form_Emissions_GES'!$L33="Validé humainement",'06_Form_Emissions_GES'!K33,"")</x:f>
      </x:c>
      <x:c r="L33" s="76" t="str">
        <x:f>IF('06_Form_Emissions_GES'!$L33="Validé humainement",'06_Form_Emissions_GES'!L33,"")</x:f>
      </x:c>
      <x:c r="M33" s="76" t="str">
        <x:f>IF('06_Form_Emissions_GES'!$L33="Validé humainement",'06_Form_Emissions_GES'!M33,"")</x:f>
      </x:c>
      <x:c r="N33" s="78" t="str">
        <x:f>IF('06_Form_Emissions_GES'!$L33="Validé humainement",'06_Form_Emissions_GES'!N33,"")</x:f>
      </x:c>
      <x:c r="O33" s="76" t="str">
        <x:f>IF('06_Form_Emissions_GES'!$L33="Validé humainement",'06_Form_Emissions_GES'!O33,"")</x:f>
      </x:c>
      <x:c r="P33" s="76" t="str">
        <x:f>IF('06_Form_Emissions_GES'!$L33="Validé humainement",'06_Form_Emissions_GES'!P33,"")</x:f>
      </x:c>
      <x:c r="Q33" s="76" t="str">
        <x:f>IF('06_Form_Emissions_GES'!$L33="Validé humainement",'06_Form_Emissions_GES'!Q33,"")</x:f>
      </x:c>
    </x:row>
    <x:row r="34">
      <x:c r="A34" s="76" t="str">
        <x:f>IF('06_Form_Emissions_GES'!$L34="Validé humainement",'06_Form_Emissions_GES'!A34,"")</x:f>
      </x:c>
      <x:c r="B34" s="76" t="str">
        <x:f>IF('06_Form_Emissions_GES'!$L34="Validé humainement",'06_Form_Emissions_GES'!B34,"")</x:f>
      </x:c>
      <x:c r="C34" s="76" t="str">
        <x:f>IF('06_Form_Emissions_GES'!$L34="Validé humainement",'06_Form_Emissions_GES'!C34,"")</x:f>
      </x:c>
      <x:c r="D34" s="76" t="str">
        <x:f>IF('06_Form_Emissions_GES'!$L34="Validé humainement",'06_Form_Emissions_GES'!D34,"")</x:f>
      </x:c>
      <x:c r="E34" s="77" t="str">
        <x:f>IF('06_Form_Emissions_GES'!$L34="Validé humainement",'06_Form_Emissions_GES'!E34,"")</x:f>
      </x:c>
      <x:c r="F34" s="76" t="str">
        <x:f>IF('06_Form_Emissions_GES'!$L34="Validé humainement",'06_Form_Emissions_GES'!F34,"")</x:f>
      </x:c>
      <x:c r="G34" s="83" t="str">
        <x:f>IF('06_Form_Emissions_GES'!$L34="Validé humainement",'06_Form_Emissions_GES'!G34,"")</x:f>
      </x:c>
      <x:c r="H34" s="77" t="str">
        <x:f>IF('06_Form_Emissions_GES'!$L34="Validé humainement",'06_Form_Emissions_GES'!H34,"")</x:f>
      </x:c>
      <x:c r="I34" s="76" t="str">
        <x:f>IF('06_Form_Emissions_GES'!$L34="Validé humainement",'06_Form_Emissions_GES'!I34,"")</x:f>
      </x:c>
      <x:c r="J34" s="76" t="str">
        <x:f>IF('06_Form_Emissions_GES'!$L34="Validé humainement",'06_Form_Emissions_GES'!J34,"")</x:f>
      </x:c>
      <x:c r="K34" s="76" t="str">
        <x:f>IF('06_Form_Emissions_GES'!$L34="Validé humainement",'06_Form_Emissions_GES'!K34,"")</x:f>
      </x:c>
      <x:c r="L34" s="76" t="str">
        <x:f>IF('06_Form_Emissions_GES'!$L34="Validé humainement",'06_Form_Emissions_GES'!L34,"")</x:f>
      </x:c>
      <x:c r="M34" s="76" t="str">
        <x:f>IF('06_Form_Emissions_GES'!$L34="Validé humainement",'06_Form_Emissions_GES'!M34,"")</x:f>
      </x:c>
      <x:c r="N34" s="78" t="str">
        <x:f>IF('06_Form_Emissions_GES'!$L34="Validé humainement",'06_Form_Emissions_GES'!N34,"")</x:f>
      </x:c>
      <x:c r="O34" s="76" t="str">
        <x:f>IF('06_Form_Emissions_GES'!$L34="Validé humainement",'06_Form_Emissions_GES'!O34,"")</x:f>
      </x:c>
      <x:c r="P34" s="76" t="str">
        <x:f>IF('06_Form_Emissions_GES'!$L34="Validé humainement",'06_Form_Emissions_GES'!P34,"")</x:f>
      </x:c>
      <x:c r="Q34" s="76" t="str">
        <x:f>IF('06_Form_Emissions_GES'!$L34="Validé humainement",'06_Form_Emissions_GES'!Q34,"")</x:f>
      </x:c>
    </x:row>
    <x:row r="35">
      <x:c r="A35" s="76" t="str">
        <x:f>IF('06_Form_Emissions_GES'!$L35="Validé humainement",'06_Form_Emissions_GES'!A35,"")</x:f>
      </x:c>
      <x:c r="B35" s="76" t="str">
        <x:f>IF('06_Form_Emissions_GES'!$L35="Validé humainement",'06_Form_Emissions_GES'!B35,"")</x:f>
      </x:c>
      <x:c r="C35" s="76" t="str">
        <x:f>IF('06_Form_Emissions_GES'!$L35="Validé humainement",'06_Form_Emissions_GES'!C35,"")</x:f>
      </x:c>
      <x:c r="D35" s="76" t="str">
        <x:f>IF('06_Form_Emissions_GES'!$L35="Validé humainement",'06_Form_Emissions_GES'!D35,"")</x:f>
      </x:c>
      <x:c r="E35" s="77" t="str">
        <x:f>IF('06_Form_Emissions_GES'!$L35="Validé humainement",'06_Form_Emissions_GES'!E35,"")</x:f>
      </x:c>
      <x:c r="F35" s="76" t="str">
        <x:f>IF('06_Form_Emissions_GES'!$L35="Validé humainement",'06_Form_Emissions_GES'!F35,"")</x:f>
      </x:c>
      <x:c r="G35" s="83" t="str">
        <x:f>IF('06_Form_Emissions_GES'!$L35="Validé humainement",'06_Form_Emissions_GES'!G35,"")</x:f>
      </x:c>
      <x:c r="H35" s="77" t="str">
        <x:f>IF('06_Form_Emissions_GES'!$L35="Validé humainement",'06_Form_Emissions_GES'!H35,"")</x:f>
      </x:c>
      <x:c r="I35" s="76" t="str">
        <x:f>IF('06_Form_Emissions_GES'!$L35="Validé humainement",'06_Form_Emissions_GES'!I35,"")</x:f>
      </x:c>
      <x:c r="J35" s="76" t="str">
        <x:f>IF('06_Form_Emissions_GES'!$L35="Validé humainement",'06_Form_Emissions_GES'!J35,"")</x:f>
      </x:c>
      <x:c r="K35" s="76" t="str">
        <x:f>IF('06_Form_Emissions_GES'!$L35="Validé humainement",'06_Form_Emissions_GES'!K35,"")</x:f>
      </x:c>
      <x:c r="L35" s="76" t="str">
        <x:f>IF('06_Form_Emissions_GES'!$L35="Validé humainement",'06_Form_Emissions_GES'!L35,"")</x:f>
      </x:c>
      <x:c r="M35" s="76" t="str">
        <x:f>IF('06_Form_Emissions_GES'!$L35="Validé humainement",'06_Form_Emissions_GES'!M35,"")</x:f>
      </x:c>
      <x:c r="N35" s="78" t="str">
        <x:f>IF('06_Form_Emissions_GES'!$L35="Validé humainement",'06_Form_Emissions_GES'!N35,"")</x:f>
      </x:c>
      <x:c r="O35" s="76" t="str">
        <x:f>IF('06_Form_Emissions_GES'!$L35="Validé humainement",'06_Form_Emissions_GES'!O35,"")</x:f>
      </x:c>
      <x:c r="P35" s="76" t="str">
        <x:f>IF('06_Form_Emissions_GES'!$L35="Validé humainement",'06_Form_Emissions_GES'!P35,"")</x:f>
      </x:c>
      <x:c r="Q35" s="76" t="str">
        <x:f>IF('06_Form_Emissions_GES'!$L35="Validé humainement",'06_Form_Emissions_GES'!Q35,"")</x:f>
      </x:c>
    </x:row>
    <x:row r="36">
      <x:c r="A36" s="76" t="str">
        <x:f>IF('06_Form_Emissions_GES'!$L36="Validé humainement",'06_Form_Emissions_GES'!A36,"")</x:f>
      </x:c>
      <x:c r="B36" s="76" t="str">
        <x:f>IF('06_Form_Emissions_GES'!$L36="Validé humainement",'06_Form_Emissions_GES'!B36,"")</x:f>
      </x:c>
      <x:c r="C36" s="76" t="str">
        <x:f>IF('06_Form_Emissions_GES'!$L36="Validé humainement",'06_Form_Emissions_GES'!C36,"")</x:f>
      </x:c>
      <x:c r="D36" s="76" t="str">
        <x:f>IF('06_Form_Emissions_GES'!$L36="Validé humainement",'06_Form_Emissions_GES'!D36,"")</x:f>
      </x:c>
      <x:c r="E36" s="77" t="str">
        <x:f>IF('06_Form_Emissions_GES'!$L36="Validé humainement",'06_Form_Emissions_GES'!E36,"")</x:f>
      </x:c>
      <x:c r="F36" s="76" t="str">
        <x:f>IF('06_Form_Emissions_GES'!$L36="Validé humainement",'06_Form_Emissions_GES'!F36,"")</x:f>
      </x:c>
      <x:c r="G36" s="83" t="str">
        <x:f>IF('06_Form_Emissions_GES'!$L36="Validé humainement",'06_Form_Emissions_GES'!G36,"")</x:f>
      </x:c>
      <x:c r="H36" s="77" t="str">
        <x:f>IF('06_Form_Emissions_GES'!$L36="Validé humainement",'06_Form_Emissions_GES'!H36,"")</x:f>
      </x:c>
      <x:c r="I36" s="76" t="str">
        <x:f>IF('06_Form_Emissions_GES'!$L36="Validé humainement",'06_Form_Emissions_GES'!I36,"")</x:f>
      </x:c>
      <x:c r="J36" s="76" t="str">
        <x:f>IF('06_Form_Emissions_GES'!$L36="Validé humainement",'06_Form_Emissions_GES'!J36,"")</x:f>
      </x:c>
      <x:c r="K36" s="76" t="str">
        <x:f>IF('06_Form_Emissions_GES'!$L36="Validé humainement",'06_Form_Emissions_GES'!K36,"")</x:f>
      </x:c>
      <x:c r="L36" s="76" t="str">
        <x:f>IF('06_Form_Emissions_GES'!$L36="Validé humainement",'06_Form_Emissions_GES'!L36,"")</x:f>
      </x:c>
      <x:c r="M36" s="76" t="str">
        <x:f>IF('06_Form_Emissions_GES'!$L36="Validé humainement",'06_Form_Emissions_GES'!M36,"")</x:f>
      </x:c>
      <x:c r="N36" s="78" t="str">
        <x:f>IF('06_Form_Emissions_GES'!$L36="Validé humainement",'06_Form_Emissions_GES'!N36,"")</x:f>
      </x:c>
      <x:c r="O36" s="76" t="str">
        <x:f>IF('06_Form_Emissions_GES'!$L36="Validé humainement",'06_Form_Emissions_GES'!O36,"")</x:f>
      </x:c>
      <x:c r="P36" s="76" t="str">
        <x:f>IF('06_Form_Emissions_GES'!$L36="Validé humainement",'06_Form_Emissions_GES'!P36,"")</x:f>
      </x:c>
      <x:c r="Q36" s="76" t="str">
        <x:f>IF('06_Form_Emissions_GES'!$L36="Validé humainement",'06_Form_Emissions_GES'!Q36,"")</x:f>
      </x:c>
    </x:row>
    <x:row r="37">
      <x:c r="A37" s="76" t="str">
        <x:f>IF('06_Form_Emissions_GES'!$L37="Validé humainement",'06_Form_Emissions_GES'!A37,"")</x:f>
      </x:c>
      <x:c r="B37" s="76" t="str">
        <x:f>IF('06_Form_Emissions_GES'!$L37="Validé humainement",'06_Form_Emissions_GES'!B37,"")</x:f>
      </x:c>
      <x:c r="C37" s="76" t="str">
        <x:f>IF('06_Form_Emissions_GES'!$L37="Validé humainement",'06_Form_Emissions_GES'!C37,"")</x:f>
      </x:c>
      <x:c r="D37" s="76" t="str">
        <x:f>IF('06_Form_Emissions_GES'!$L37="Validé humainement",'06_Form_Emissions_GES'!D37,"")</x:f>
      </x:c>
      <x:c r="E37" s="77" t="str">
        <x:f>IF('06_Form_Emissions_GES'!$L37="Validé humainement",'06_Form_Emissions_GES'!E37,"")</x:f>
      </x:c>
      <x:c r="F37" s="76" t="str">
        <x:f>IF('06_Form_Emissions_GES'!$L37="Validé humainement",'06_Form_Emissions_GES'!F37,"")</x:f>
      </x:c>
      <x:c r="G37" s="83" t="str">
        <x:f>IF('06_Form_Emissions_GES'!$L37="Validé humainement",'06_Form_Emissions_GES'!G37,"")</x:f>
      </x:c>
      <x:c r="H37" s="77" t="str">
        <x:f>IF('06_Form_Emissions_GES'!$L37="Validé humainement",'06_Form_Emissions_GES'!H37,"")</x:f>
      </x:c>
      <x:c r="I37" s="76" t="str">
        <x:f>IF('06_Form_Emissions_GES'!$L37="Validé humainement",'06_Form_Emissions_GES'!I37,"")</x:f>
      </x:c>
      <x:c r="J37" s="76" t="str">
        <x:f>IF('06_Form_Emissions_GES'!$L37="Validé humainement",'06_Form_Emissions_GES'!J37,"")</x:f>
      </x:c>
      <x:c r="K37" s="76" t="str">
        <x:f>IF('06_Form_Emissions_GES'!$L37="Validé humainement",'06_Form_Emissions_GES'!K37,"")</x:f>
      </x:c>
      <x:c r="L37" s="76" t="str">
        <x:f>IF('06_Form_Emissions_GES'!$L37="Validé humainement",'06_Form_Emissions_GES'!L37,"")</x:f>
      </x:c>
      <x:c r="M37" s="76" t="str">
        <x:f>IF('06_Form_Emissions_GES'!$L37="Validé humainement",'06_Form_Emissions_GES'!M37,"")</x:f>
      </x:c>
      <x:c r="N37" s="78" t="str">
        <x:f>IF('06_Form_Emissions_GES'!$L37="Validé humainement",'06_Form_Emissions_GES'!N37,"")</x:f>
      </x:c>
      <x:c r="O37" s="76" t="str">
        <x:f>IF('06_Form_Emissions_GES'!$L37="Validé humainement",'06_Form_Emissions_GES'!O37,"")</x:f>
      </x:c>
      <x:c r="P37" s="76" t="str">
        <x:f>IF('06_Form_Emissions_GES'!$L37="Validé humainement",'06_Form_Emissions_GES'!P37,"")</x:f>
      </x:c>
      <x:c r="Q37" s="76" t="str">
        <x:f>IF('06_Form_Emissions_GES'!$L37="Validé humainement",'06_Form_Emissions_GES'!Q37,"")</x:f>
      </x:c>
    </x:row>
    <x:row r="38">
      <x:c r="A38" s="76" t="str">
        <x:f>IF('06_Form_Emissions_GES'!$L38="Validé humainement",'06_Form_Emissions_GES'!A38,"")</x:f>
      </x:c>
      <x:c r="B38" s="76" t="str">
        <x:f>IF('06_Form_Emissions_GES'!$L38="Validé humainement",'06_Form_Emissions_GES'!B38,"")</x:f>
      </x:c>
      <x:c r="C38" s="76" t="str">
        <x:f>IF('06_Form_Emissions_GES'!$L38="Validé humainement",'06_Form_Emissions_GES'!C38,"")</x:f>
      </x:c>
      <x:c r="D38" s="76" t="str">
        <x:f>IF('06_Form_Emissions_GES'!$L38="Validé humainement",'06_Form_Emissions_GES'!D38,"")</x:f>
      </x:c>
      <x:c r="E38" s="77" t="str">
        <x:f>IF('06_Form_Emissions_GES'!$L38="Validé humainement",'06_Form_Emissions_GES'!E38,"")</x:f>
      </x:c>
      <x:c r="F38" s="76" t="str">
        <x:f>IF('06_Form_Emissions_GES'!$L38="Validé humainement",'06_Form_Emissions_GES'!F38,"")</x:f>
      </x:c>
      <x:c r="G38" s="83" t="str">
        <x:f>IF('06_Form_Emissions_GES'!$L38="Validé humainement",'06_Form_Emissions_GES'!G38,"")</x:f>
      </x:c>
      <x:c r="H38" s="77" t="str">
        <x:f>IF('06_Form_Emissions_GES'!$L38="Validé humainement",'06_Form_Emissions_GES'!H38,"")</x:f>
      </x:c>
      <x:c r="I38" s="76" t="str">
        <x:f>IF('06_Form_Emissions_GES'!$L38="Validé humainement",'06_Form_Emissions_GES'!I38,"")</x:f>
      </x:c>
      <x:c r="J38" s="76" t="str">
        <x:f>IF('06_Form_Emissions_GES'!$L38="Validé humainement",'06_Form_Emissions_GES'!J38,"")</x:f>
      </x:c>
      <x:c r="K38" s="76" t="str">
        <x:f>IF('06_Form_Emissions_GES'!$L38="Validé humainement",'06_Form_Emissions_GES'!K38,"")</x:f>
      </x:c>
      <x:c r="L38" s="76" t="str">
        <x:f>IF('06_Form_Emissions_GES'!$L38="Validé humainement",'06_Form_Emissions_GES'!L38,"")</x:f>
      </x:c>
      <x:c r="M38" s="76" t="str">
        <x:f>IF('06_Form_Emissions_GES'!$L38="Validé humainement",'06_Form_Emissions_GES'!M38,"")</x:f>
      </x:c>
      <x:c r="N38" s="78" t="str">
        <x:f>IF('06_Form_Emissions_GES'!$L38="Validé humainement",'06_Form_Emissions_GES'!N38,"")</x:f>
      </x:c>
      <x:c r="O38" s="76" t="str">
        <x:f>IF('06_Form_Emissions_GES'!$L38="Validé humainement",'06_Form_Emissions_GES'!O38,"")</x:f>
      </x:c>
      <x:c r="P38" s="76" t="str">
        <x:f>IF('06_Form_Emissions_GES'!$L38="Validé humainement",'06_Form_Emissions_GES'!P38,"")</x:f>
      </x:c>
      <x:c r="Q38" s="76" t="str">
        <x:f>IF('06_Form_Emissions_GES'!$L38="Validé humainement",'06_Form_Emissions_GES'!Q38,"")</x:f>
      </x:c>
    </x:row>
    <x:row r="39">
      <x:c r="A39" s="76" t="str">
        <x:f>IF('06_Form_Emissions_GES'!$L39="Validé humainement",'06_Form_Emissions_GES'!A39,"")</x:f>
      </x:c>
      <x:c r="B39" s="76" t="str">
        <x:f>IF('06_Form_Emissions_GES'!$L39="Validé humainement",'06_Form_Emissions_GES'!B39,"")</x:f>
      </x:c>
      <x:c r="C39" s="76" t="str">
        <x:f>IF('06_Form_Emissions_GES'!$L39="Validé humainement",'06_Form_Emissions_GES'!C39,"")</x:f>
      </x:c>
      <x:c r="D39" s="76" t="str">
        <x:f>IF('06_Form_Emissions_GES'!$L39="Validé humainement",'06_Form_Emissions_GES'!D39,"")</x:f>
      </x:c>
      <x:c r="E39" s="77" t="str">
        <x:f>IF('06_Form_Emissions_GES'!$L39="Validé humainement",'06_Form_Emissions_GES'!E39,"")</x:f>
      </x:c>
      <x:c r="F39" s="76" t="str">
        <x:f>IF('06_Form_Emissions_GES'!$L39="Validé humainement",'06_Form_Emissions_GES'!F39,"")</x:f>
      </x:c>
      <x:c r="G39" s="83" t="str">
        <x:f>IF('06_Form_Emissions_GES'!$L39="Validé humainement",'06_Form_Emissions_GES'!G39,"")</x:f>
      </x:c>
      <x:c r="H39" s="77" t="str">
        <x:f>IF('06_Form_Emissions_GES'!$L39="Validé humainement",'06_Form_Emissions_GES'!H39,"")</x:f>
      </x:c>
      <x:c r="I39" s="76" t="str">
        <x:f>IF('06_Form_Emissions_GES'!$L39="Validé humainement",'06_Form_Emissions_GES'!I39,"")</x:f>
      </x:c>
      <x:c r="J39" s="76" t="str">
        <x:f>IF('06_Form_Emissions_GES'!$L39="Validé humainement",'06_Form_Emissions_GES'!J39,"")</x:f>
      </x:c>
      <x:c r="K39" s="76" t="str">
        <x:f>IF('06_Form_Emissions_GES'!$L39="Validé humainement",'06_Form_Emissions_GES'!K39,"")</x:f>
      </x:c>
      <x:c r="L39" s="76" t="str">
        <x:f>IF('06_Form_Emissions_GES'!$L39="Validé humainement",'06_Form_Emissions_GES'!L39,"")</x:f>
      </x:c>
      <x:c r="M39" s="76" t="str">
        <x:f>IF('06_Form_Emissions_GES'!$L39="Validé humainement",'06_Form_Emissions_GES'!M39,"")</x:f>
      </x:c>
      <x:c r="N39" s="78" t="str">
        <x:f>IF('06_Form_Emissions_GES'!$L39="Validé humainement",'06_Form_Emissions_GES'!N39,"")</x:f>
      </x:c>
      <x:c r="O39" s="76" t="str">
        <x:f>IF('06_Form_Emissions_GES'!$L39="Validé humainement",'06_Form_Emissions_GES'!O39,"")</x:f>
      </x:c>
      <x:c r="P39" s="76" t="str">
        <x:f>IF('06_Form_Emissions_GES'!$L39="Validé humainement",'06_Form_Emissions_GES'!P39,"")</x:f>
      </x:c>
      <x:c r="Q39" s="76" t="str">
        <x:f>IF('06_Form_Emissions_GES'!$L39="Validé humainement",'06_Form_Emissions_GES'!Q39,"")</x:f>
      </x:c>
    </x:row>
    <x:row r="40">
      <x:c r="A40" s="76" t="str">
        <x:f>IF('06_Form_Emissions_GES'!$L40="Validé humainement",'06_Form_Emissions_GES'!A40,"")</x:f>
      </x:c>
      <x:c r="B40" s="76" t="str">
        <x:f>IF('06_Form_Emissions_GES'!$L40="Validé humainement",'06_Form_Emissions_GES'!B40,"")</x:f>
      </x:c>
      <x:c r="C40" s="76" t="str">
        <x:f>IF('06_Form_Emissions_GES'!$L40="Validé humainement",'06_Form_Emissions_GES'!C40,"")</x:f>
      </x:c>
      <x:c r="D40" s="76" t="str">
        <x:f>IF('06_Form_Emissions_GES'!$L40="Validé humainement",'06_Form_Emissions_GES'!D40,"")</x:f>
      </x:c>
      <x:c r="E40" s="77" t="str">
        <x:f>IF('06_Form_Emissions_GES'!$L40="Validé humainement",'06_Form_Emissions_GES'!E40,"")</x:f>
      </x:c>
      <x:c r="F40" s="76" t="str">
        <x:f>IF('06_Form_Emissions_GES'!$L40="Validé humainement",'06_Form_Emissions_GES'!F40,"")</x:f>
      </x:c>
      <x:c r="G40" s="83" t="str">
        <x:f>IF('06_Form_Emissions_GES'!$L40="Validé humainement",'06_Form_Emissions_GES'!G40,"")</x:f>
      </x:c>
      <x:c r="H40" s="77" t="str">
        <x:f>IF('06_Form_Emissions_GES'!$L40="Validé humainement",'06_Form_Emissions_GES'!H40,"")</x:f>
      </x:c>
      <x:c r="I40" s="76" t="str">
        <x:f>IF('06_Form_Emissions_GES'!$L40="Validé humainement",'06_Form_Emissions_GES'!I40,"")</x:f>
      </x:c>
      <x:c r="J40" s="76" t="str">
        <x:f>IF('06_Form_Emissions_GES'!$L40="Validé humainement",'06_Form_Emissions_GES'!J40,"")</x:f>
      </x:c>
      <x:c r="K40" s="76" t="str">
        <x:f>IF('06_Form_Emissions_GES'!$L40="Validé humainement",'06_Form_Emissions_GES'!K40,"")</x:f>
      </x:c>
      <x:c r="L40" s="76" t="str">
        <x:f>IF('06_Form_Emissions_GES'!$L40="Validé humainement",'06_Form_Emissions_GES'!L40,"")</x:f>
      </x:c>
      <x:c r="M40" s="76" t="str">
        <x:f>IF('06_Form_Emissions_GES'!$L40="Validé humainement",'06_Form_Emissions_GES'!M40,"")</x:f>
      </x:c>
      <x:c r="N40" s="78" t="str">
        <x:f>IF('06_Form_Emissions_GES'!$L40="Validé humainement",'06_Form_Emissions_GES'!N40,"")</x:f>
      </x:c>
      <x:c r="O40" s="76" t="str">
        <x:f>IF('06_Form_Emissions_GES'!$L40="Validé humainement",'06_Form_Emissions_GES'!O40,"")</x:f>
      </x:c>
      <x:c r="P40" s="76" t="str">
        <x:f>IF('06_Form_Emissions_GES'!$L40="Validé humainement",'06_Form_Emissions_GES'!P40,"")</x:f>
      </x:c>
      <x:c r="Q40" s="76" t="str">
        <x:f>IF('06_Form_Emissions_GES'!$L40="Validé humainement",'06_Form_Emissions_GES'!Q40,"")</x:f>
      </x:c>
    </x:row>
    <x:row r="41">
      <x:c r="A41" s="76" t="str">
        <x:f>IF('06_Form_Emissions_GES'!$L41="Validé humainement",'06_Form_Emissions_GES'!A41,"")</x:f>
      </x:c>
      <x:c r="B41" s="76" t="str">
        <x:f>IF('06_Form_Emissions_GES'!$L41="Validé humainement",'06_Form_Emissions_GES'!B41,"")</x:f>
      </x:c>
      <x:c r="C41" s="76" t="str">
        <x:f>IF('06_Form_Emissions_GES'!$L41="Validé humainement",'06_Form_Emissions_GES'!C41,"")</x:f>
      </x:c>
      <x:c r="D41" s="76" t="str">
        <x:f>IF('06_Form_Emissions_GES'!$L41="Validé humainement",'06_Form_Emissions_GES'!D41,"")</x:f>
      </x:c>
      <x:c r="E41" s="77" t="str">
        <x:f>IF('06_Form_Emissions_GES'!$L41="Validé humainement",'06_Form_Emissions_GES'!E41,"")</x:f>
      </x:c>
      <x:c r="F41" s="76" t="str">
        <x:f>IF('06_Form_Emissions_GES'!$L41="Validé humainement",'06_Form_Emissions_GES'!F41,"")</x:f>
      </x:c>
      <x:c r="G41" s="83" t="str">
        <x:f>IF('06_Form_Emissions_GES'!$L41="Validé humainement",'06_Form_Emissions_GES'!G41,"")</x:f>
      </x:c>
      <x:c r="H41" s="77" t="str">
        <x:f>IF('06_Form_Emissions_GES'!$L41="Validé humainement",'06_Form_Emissions_GES'!H41,"")</x:f>
      </x:c>
      <x:c r="I41" s="76" t="str">
        <x:f>IF('06_Form_Emissions_GES'!$L41="Validé humainement",'06_Form_Emissions_GES'!I41,"")</x:f>
      </x:c>
      <x:c r="J41" s="76" t="str">
        <x:f>IF('06_Form_Emissions_GES'!$L41="Validé humainement",'06_Form_Emissions_GES'!J41,"")</x:f>
      </x:c>
      <x:c r="K41" s="76" t="str">
        <x:f>IF('06_Form_Emissions_GES'!$L41="Validé humainement",'06_Form_Emissions_GES'!K41,"")</x:f>
      </x:c>
      <x:c r="L41" s="76" t="str">
        <x:f>IF('06_Form_Emissions_GES'!$L41="Validé humainement",'06_Form_Emissions_GES'!L41,"")</x:f>
      </x:c>
      <x:c r="M41" s="76" t="str">
        <x:f>IF('06_Form_Emissions_GES'!$L41="Validé humainement",'06_Form_Emissions_GES'!M41,"")</x:f>
      </x:c>
      <x:c r="N41" s="78" t="str">
        <x:f>IF('06_Form_Emissions_GES'!$L41="Validé humainement",'06_Form_Emissions_GES'!N41,"")</x:f>
      </x:c>
      <x:c r="O41" s="76" t="str">
        <x:f>IF('06_Form_Emissions_GES'!$L41="Validé humainement",'06_Form_Emissions_GES'!O41,"")</x:f>
      </x:c>
      <x:c r="P41" s="76" t="str">
        <x:f>IF('06_Form_Emissions_GES'!$L41="Validé humainement",'06_Form_Emissions_GES'!P41,"")</x:f>
      </x:c>
      <x:c r="Q41" s="76" t="str">
        <x:f>IF('06_Form_Emissions_GES'!$L41="Validé humainement",'06_Form_Emissions_GES'!Q41,"")</x:f>
      </x:c>
    </x:row>
    <x:row r="42">
      <x:c r="A42" s="76" t="str">
        <x:f>IF('06_Form_Emissions_GES'!$L42="Validé humainement",'06_Form_Emissions_GES'!A42,"")</x:f>
      </x:c>
      <x:c r="B42" s="76" t="str">
        <x:f>IF('06_Form_Emissions_GES'!$L42="Validé humainement",'06_Form_Emissions_GES'!B42,"")</x:f>
      </x:c>
      <x:c r="C42" s="76" t="str">
        <x:f>IF('06_Form_Emissions_GES'!$L42="Validé humainement",'06_Form_Emissions_GES'!C42,"")</x:f>
      </x:c>
      <x:c r="D42" s="76" t="str">
        <x:f>IF('06_Form_Emissions_GES'!$L42="Validé humainement",'06_Form_Emissions_GES'!D42,"")</x:f>
      </x:c>
      <x:c r="E42" s="77" t="str">
        <x:f>IF('06_Form_Emissions_GES'!$L42="Validé humainement",'06_Form_Emissions_GES'!E42,"")</x:f>
      </x:c>
      <x:c r="F42" s="76" t="str">
        <x:f>IF('06_Form_Emissions_GES'!$L42="Validé humainement",'06_Form_Emissions_GES'!F42,"")</x:f>
      </x:c>
      <x:c r="G42" s="83" t="str">
        <x:f>IF('06_Form_Emissions_GES'!$L42="Validé humainement",'06_Form_Emissions_GES'!G42,"")</x:f>
      </x:c>
      <x:c r="H42" s="77" t="str">
        <x:f>IF('06_Form_Emissions_GES'!$L42="Validé humainement",'06_Form_Emissions_GES'!H42,"")</x:f>
      </x:c>
      <x:c r="I42" s="76" t="str">
        <x:f>IF('06_Form_Emissions_GES'!$L42="Validé humainement",'06_Form_Emissions_GES'!I42,"")</x:f>
      </x:c>
      <x:c r="J42" s="76" t="str">
        <x:f>IF('06_Form_Emissions_GES'!$L42="Validé humainement",'06_Form_Emissions_GES'!J42,"")</x:f>
      </x:c>
      <x:c r="K42" s="76" t="str">
        <x:f>IF('06_Form_Emissions_GES'!$L42="Validé humainement",'06_Form_Emissions_GES'!K42,"")</x:f>
      </x:c>
      <x:c r="L42" s="76" t="str">
        <x:f>IF('06_Form_Emissions_GES'!$L42="Validé humainement",'06_Form_Emissions_GES'!L42,"")</x:f>
      </x:c>
      <x:c r="M42" s="76" t="str">
        <x:f>IF('06_Form_Emissions_GES'!$L42="Validé humainement",'06_Form_Emissions_GES'!M42,"")</x:f>
      </x:c>
      <x:c r="N42" s="78" t="str">
        <x:f>IF('06_Form_Emissions_GES'!$L42="Validé humainement",'06_Form_Emissions_GES'!N42,"")</x:f>
      </x:c>
      <x:c r="O42" s="76" t="str">
        <x:f>IF('06_Form_Emissions_GES'!$L42="Validé humainement",'06_Form_Emissions_GES'!O42,"")</x:f>
      </x:c>
      <x:c r="P42" s="76" t="str">
        <x:f>IF('06_Form_Emissions_GES'!$L42="Validé humainement",'06_Form_Emissions_GES'!P42,"")</x:f>
      </x:c>
      <x:c r="Q42" s="76" t="str">
        <x:f>IF('06_Form_Emissions_GES'!$L42="Validé humainement",'06_Form_Emissions_GES'!Q42,"")</x:f>
      </x:c>
    </x:row>
    <x:row r="43">
      <x:c r="A43" s="76" t="str">
        <x:f>IF('06_Form_Emissions_GES'!$L43="Validé humainement",'06_Form_Emissions_GES'!A43,"")</x:f>
      </x:c>
      <x:c r="B43" s="76" t="str">
        <x:f>IF('06_Form_Emissions_GES'!$L43="Validé humainement",'06_Form_Emissions_GES'!B43,"")</x:f>
      </x:c>
      <x:c r="C43" s="76" t="str">
        <x:f>IF('06_Form_Emissions_GES'!$L43="Validé humainement",'06_Form_Emissions_GES'!C43,"")</x:f>
      </x:c>
      <x:c r="D43" s="76" t="str">
        <x:f>IF('06_Form_Emissions_GES'!$L43="Validé humainement",'06_Form_Emissions_GES'!D43,"")</x:f>
      </x:c>
      <x:c r="E43" s="77" t="str">
        <x:f>IF('06_Form_Emissions_GES'!$L43="Validé humainement",'06_Form_Emissions_GES'!E43,"")</x:f>
      </x:c>
      <x:c r="F43" s="76" t="str">
        <x:f>IF('06_Form_Emissions_GES'!$L43="Validé humainement",'06_Form_Emissions_GES'!F43,"")</x:f>
      </x:c>
      <x:c r="G43" s="83" t="str">
        <x:f>IF('06_Form_Emissions_GES'!$L43="Validé humainement",'06_Form_Emissions_GES'!G43,"")</x:f>
      </x:c>
      <x:c r="H43" s="77" t="str">
        <x:f>IF('06_Form_Emissions_GES'!$L43="Validé humainement",'06_Form_Emissions_GES'!H43,"")</x:f>
      </x:c>
      <x:c r="I43" s="76" t="str">
        <x:f>IF('06_Form_Emissions_GES'!$L43="Validé humainement",'06_Form_Emissions_GES'!I43,"")</x:f>
      </x:c>
      <x:c r="J43" s="76" t="str">
        <x:f>IF('06_Form_Emissions_GES'!$L43="Validé humainement",'06_Form_Emissions_GES'!J43,"")</x:f>
      </x:c>
      <x:c r="K43" s="76" t="str">
        <x:f>IF('06_Form_Emissions_GES'!$L43="Validé humainement",'06_Form_Emissions_GES'!K43,"")</x:f>
      </x:c>
      <x:c r="L43" s="76" t="str">
        <x:f>IF('06_Form_Emissions_GES'!$L43="Validé humainement",'06_Form_Emissions_GES'!L43,"")</x:f>
      </x:c>
      <x:c r="M43" s="76" t="str">
        <x:f>IF('06_Form_Emissions_GES'!$L43="Validé humainement",'06_Form_Emissions_GES'!M43,"")</x:f>
      </x:c>
      <x:c r="N43" s="78" t="str">
        <x:f>IF('06_Form_Emissions_GES'!$L43="Validé humainement",'06_Form_Emissions_GES'!N43,"")</x:f>
      </x:c>
      <x:c r="O43" s="76" t="str">
        <x:f>IF('06_Form_Emissions_GES'!$L43="Validé humainement",'06_Form_Emissions_GES'!O43,"")</x:f>
      </x:c>
      <x:c r="P43" s="76" t="str">
        <x:f>IF('06_Form_Emissions_GES'!$L43="Validé humainement",'06_Form_Emissions_GES'!P43,"")</x:f>
      </x:c>
      <x:c r="Q43" s="76" t="str">
        <x:f>IF('06_Form_Emissions_GES'!$L43="Validé humainement",'06_Form_Emissions_GES'!Q43,"")</x:f>
      </x:c>
    </x:row>
    <x:row r="44">
      <x:c r="A44" s="76" t="str">
        <x:f>IF('06_Form_Emissions_GES'!$L44="Validé humainement",'06_Form_Emissions_GES'!A44,"")</x:f>
      </x:c>
      <x:c r="B44" s="76" t="str">
        <x:f>IF('06_Form_Emissions_GES'!$L44="Validé humainement",'06_Form_Emissions_GES'!B44,"")</x:f>
      </x:c>
      <x:c r="C44" s="76" t="str">
        <x:f>IF('06_Form_Emissions_GES'!$L44="Validé humainement",'06_Form_Emissions_GES'!C44,"")</x:f>
      </x:c>
      <x:c r="D44" s="76" t="str">
        <x:f>IF('06_Form_Emissions_GES'!$L44="Validé humainement",'06_Form_Emissions_GES'!D44,"")</x:f>
      </x:c>
      <x:c r="E44" s="77" t="str">
        <x:f>IF('06_Form_Emissions_GES'!$L44="Validé humainement",'06_Form_Emissions_GES'!E44,"")</x:f>
      </x:c>
      <x:c r="F44" s="76" t="str">
        <x:f>IF('06_Form_Emissions_GES'!$L44="Validé humainement",'06_Form_Emissions_GES'!F44,"")</x:f>
      </x:c>
      <x:c r="G44" s="83" t="str">
        <x:f>IF('06_Form_Emissions_GES'!$L44="Validé humainement",'06_Form_Emissions_GES'!G44,"")</x:f>
      </x:c>
      <x:c r="H44" s="77" t="str">
        <x:f>IF('06_Form_Emissions_GES'!$L44="Validé humainement",'06_Form_Emissions_GES'!H44,"")</x:f>
      </x:c>
      <x:c r="I44" s="76" t="str">
        <x:f>IF('06_Form_Emissions_GES'!$L44="Validé humainement",'06_Form_Emissions_GES'!I44,"")</x:f>
      </x:c>
      <x:c r="J44" s="76" t="str">
        <x:f>IF('06_Form_Emissions_GES'!$L44="Validé humainement",'06_Form_Emissions_GES'!J44,"")</x:f>
      </x:c>
      <x:c r="K44" s="76" t="str">
        <x:f>IF('06_Form_Emissions_GES'!$L44="Validé humainement",'06_Form_Emissions_GES'!K44,"")</x:f>
      </x:c>
      <x:c r="L44" s="76" t="str">
        <x:f>IF('06_Form_Emissions_GES'!$L44="Validé humainement",'06_Form_Emissions_GES'!L44,"")</x:f>
      </x:c>
      <x:c r="M44" s="76" t="str">
        <x:f>IF('06_Form_Emissions_GES'!$L44="Validé humainement",'06_Form_Emissions_GES'!M44,"")</x:f>
      </x:c>
      <x:c r="N44" s="78" t="str">
        <x:f>IF('06_Form_Emissions_GES'!$L44="Validé humainement",'06_Form_Emissions_GES'!N44,"")</x:f>
      </x:c>
      <x:c r="O44" s="76" t="str">
        <x:f>IF('06_Form_Emissions_GES'!$L44="Validé humainement",'06_Form_Emissions_GES'!O44,"")</x:f>
      </x:c>
      <x:c r="P44" s="76" t="str">
        <x:f>IF('06_Form_Emissions_GES'!$L44="Validé humainement",'06_Form_Emissions_GES'!P44,"")</x:f>
      </x:c>
      <x:c r="Q44" s="76" t="str">
        <x:f>IF('06_Form_Emissions_GES'!$L44="Validé humainement",'06_Form_Emissions_GES'!Q44,"")</x:f>
      </x:c>
    </x:row>
    <x:row r="45">
      <x:c r="A45" s="76" t="str">
        <x:f>IF('06_Form_Emissions_GES'!$L45="Validé humainement",'06_Form_Emissions_GES'!A45,"")</x:f>
      </x:c>
      <x:c r="B45" s="76" t="str">
        <x:f>IF('06_Form_Emissions_GES'!$L45="Validé humainement",'06_Form_Emissions_GES'!B45,"")</x:f>
      </x:c>
      <x:c r="C45" s="76" t="str">
        <x:f>IF('06_Form_Emissions_GES'!$L45="Validé humainement",'06_Form_Emissions_GES'!C45,"")</x:f>
      </x:c>
      <x:c r="D45" s="76" t="str">
        <x:f>IF('06_Form_Emissions_GES'!$L45="Validé humainement",'06_Form_Emissions_GES'!D45,"")</x:f>
      </x:c>
      <x:c r="E45" s="77" t="str">
        <x:f>IF('06_Form_Emissions_GES'!$L45="Validé humainement",'06_Form_Emissions_GES'!E45,"")</x:f>
      </x:c>
      <x:c r="F45" s="76" t="str">
        <x:f>IF('06_Form_Emissions_GES'!$L45="Validé humainement",'06_Form_Emissions_GES'!F45,"")</x:f>
      </x:c>
      <x:c r="G45" s="83" t="str">
        <x:f>IF('06_Form_Emissions_GES'!$L45="Validé humainement",'06_Form_Emissions_GES'!G45,"")</x:f>
      </x:c>
      <x:c r="H45" s="77" t="str">
        <x:f>IF('06_Form_Emissions_GES'!$L45="Validé humainement",'06_Form_Emissions_GES'!H45,"")</x:f>
      </x:c>
      <x:c r="I45" s="76" t="str">
        <x:f>IF('06_Form_Emissions_GES'!$L45="Validé humainement",'06_Form_Emissions_GES'!I45,"")</x:f>
      </x:c>
      <x:c r="J45" s="76" t="str">
        <x:f>IF('06_Form_Emissions_GES'!$L45="Validé humainement",'06_Form_Emissions_GES'!J45,"")</x:f>
      </x:c>
      <x:c r="K45" s="76" t="str">
        <x:f>IF('06_Form_Emissions_GES'!$L45="Validé humainement",'06_Form_Emissions_GES'!K45,"")</x:f>
      </x:c>
      <x:c r="L45" s="76" t="str">
        <x:f>IF('06_Form_Emissions_GES'!$L45="Validé humainement",'06_Form_Emissions_GES'!L45,"")</x:f>
      </x:c>
      <x:c r="M45" s="76" t="str">
        <x:f>IF('06_Form_Emissions_GES'!$L45="Validé humainement",'06_Form_Emissions_GES'!M45,"")</x:f>
      </x:c>
      <x:c r="N45" s="78" t="str">
        <x:f>IF('06_Form_Emissions_GES'!$L45="Validé humainement",'06_Form_Emissions_GES'!N45,"")</x:f>
      </x:c>
      <x:c r="O45" s="76" t="str">
        <x:f>IF('06_Form_Emissions_GES'!$L45="Validé humainement",'06_Form_Emissions_GES'!O45,"")</x:f>
      </x:c>
      <x:c r="P45" s="76" t="str">
        <x:f>IF('06_Form_Emissions_GES'!$L45="Validé humainement",'06_Form_Emissions_GES'!P45,"")</x:f>
      </x:c>
      <x:c r="Q45" s="76" t="str">
        <x:f>IF('06_Form_Emissions_GES'!$L45="Validé humainement",'06_Form_Emissions_GES'!Q45,"")</x:f>
      </x:c>
    </x:row>
    <x:row r="46">
      <x:c r="A46" s="76" t="str">
        <x:f>IF('06_Form_Emissions_GES'!$L46="Validé humainement",'06_Form_Emissions_GES'!A46,"")</x:f>
      </x:c>
      <x:c r="B46" s="76" t="str">
        <x:f>IF('06_Form_Emissions_GES'!$L46="Validé humainement",'06_Form_Emissions_GES'!B46,"")</x:f>
      </x:c>
      <x:c r="C46" s="76" t="str">
        <x:f>IF('06_Form_Emissions_GES'!$L46="Validé humainement",'06_Form_Emissions_GES'!C46,"")</x:f>
      </x:c>
      <x:c r="D46" s="76" t="str">
        <x:f>IF('06_Form_Emissions_GES'!$L46="Validé humainement",'06_Form_Emissions_GES'!D46,"")</x:f>
      </x:c>
      <x:c r="E46" s="77" t="str">
        <x:f>IF('06_Form_Emissions_GES'!$L46="Validé humainement",'06_Form_Emissions_GES'!E46,"")</x:f>
      </x:c>
      <x:c r="F46" s="76" t="str">
        <x:f>IF('06_Form_Emissions_GES'!$L46="Validé humainement",'06_Form_Emissions_GES'!F46,"")</x:f>
      </x:c>
      <x:c r="G46" s="83" t="str">
        <x:f>IF('06_Form_Emissions_GES'!$L46="Validé humainement",'06_Form_Emissions_GES'!G46,"")</x:f>
      </x:c>
      <x:c r="H46" s="77" t="str">
        <x:f>IF('06_Form_Emissions_GES'!$L46="Validé humainement",'06_Form_Emissions_GES'!H46,"")</x:f>
      </x:c>
      <x:c r="I46" s="76" t="str">
        <x:f>IF('06_Form_Emissions_GES'!$L46="Validé humainement",'06_Form_Emissions_GES'!I46,"")</x:f>
      </x:c>
      <x:c r="J46" s="76" t="str">
        <x:f>IF('06_Form_Emissions_GES'!$L46="Validé humainement",'06_Form_Emissions_GES'!J46,"")</x:f>
      </x:c>
      <x:c r="K46" s="76" t="str">
        <x:f>IF('06_Form_Emissions_GES'!$L46="Validé humainement",'06_Form_Emissions_GES'!K46,"")</x:f>
      </x:c>
      <x:c r="L46" s="76" t="str">
        <x:f>IF('06_Form_Emissions_GES'!$L46="Validé humainement",'06_Form_Emissions_GES'!L46,"")</x:f>
      </x:c>
      <x:c r="M46" s="76" t="str">
        <x:f>IF('06_Form_Emissions_GES'!$L46="Validé humainement",'06_Form_Emissions_GES'!M46,"")</x:f>
      </x:c>
      <x:c r="N46" s="78" t="str">
        <x:f>IF('06_Form_Emissions_GES'!$L46="Validé humainement",'06_Form_Emissions_GES'!N46,"")</x:f>
      </x:c>
      <x:c r="O46" s="76" t="str">
        <x:f>IF('06_Form_Emissions_GES'!$L46="Validé humainement",'06_Form_Emissions_GES'!O46,"")</x:f>
      </x:c>
      <x:c r="P46" s="76" t="str">
        <x:f>IF('06_Form_Emissions_GES'!$L46="Validé humainement",'06_Form_Emissions_GES'!P46,"")</x:f>
      </x:c>
      <x:c r="Q46" s="76" t="str">
        <x:f>IF('06_Form_Emissions_GES'!$L46="Validé humainement",'06_Form_Emissions_GES'!Q46,"")</x:f>
      </x:c>
    </x:row>
    <x:row r="47">
      <x:c r="A47" s="76" t="str">
        <x:f>IF('06_Form_Emissions_GES'!$L47="Validé humainement",'06_Form_Emissions_GES'!A47,"")</x:f>
      </x:c>
      <x:c r="B47" s="76" t="str">
        <x:f>IF('06_Form_Emissions_GES'!$L47="Validé humainement",'06_Form_Emissions_GES'!B47,"")</x:f>
      </x:c>
      <x:c r="C47" s="76" t="str">
        <x:f>IF('06_Form_Emissions_GES'!$L47="Validé humainement",'06_Form_Emissions_GES'!C47,"")</x:f>
      </x:c>
      <x:c r="D47" s="76" t="str">
        <x:f>IF('06_Form_Emissions_GES'!$L47="Validé humainement",'06_Form_Emissions_GES'!D47,"")</x:f>
      </x:c>
      <x:c r="E47" s="77" t="str">
        <x:f>IF('06_Form_Emissions_GES'!$L47="Validé humainement",'06_Form_Emissions_GES'!E47,"")</x:f>
      </x:c>
      <x:c r="F47" s="76" t="str">
        <x:f>IF('06_Form_Emissions_GES'!$L47="Validé humainement",'06_Form_Emissions_GES'!F47,"")</x:f>
      </x:c>
      <x:c r="G47" s="83" t="str">
        <x:f>IF('06_Form_Emissions_GES'!$L47="Validé humainement",'06_Form_Emissions_GES'!G47,"")</x:f>
      </x:c>
      <x:c r="H47" s="77" t="str">
        <x:f>IF('06_Form_Emissions_GES'!$L47="Validé humainement",'06_Form_Emissions_GES'!H47,"")</x:f>
      </x:c>
      <x:c r="I47" s="76" t="str">
        <x:f>IF('06_Form_Emissions_GES'!$L47="Validé humainement",'06_Form_Emissions_GES'!I47,"")</x:f>
      </x:c>
      <x:c r="J47" s="76" t="str">
        <x:f>IF('06_Form_Emissions_GES'!$L47="Validé humainement",'06_Form_Emissions_GES'!J47,"")</x:f>
      </x:c>
      <x:c r="K47" s="76" t="str">
        <x:f>IF('06_Form_Emissions_GES'!$L47="Validé humainement",'06_Form_Emissions_GES'!K47,"")</x:f>
      </x:c>
      <x:c r="L47" s="76" t="str">
        <x:f>IF('06_Form_Emissions_GES'!$L47="Validé humainement",'06_Form_Emissions_GES'!L47,"")</x:f>
      </x:c>
      <x:c r="M47" s="76" t="str">
        <x:f>IF('06_Form_Emissions_GES'!$L47="Validé humainement",'06_Form_Emissions_GES'!M47,"")</x:f>
      </x:c>
      <x:c r="N47" s="78" t="str">
        <x:f>IF('06_Form_Emissions_GES'!$L47="Validé humainement",'06_Form_Emissions_GES'!N47,"")</x:f>
      </x:c>
      <x:c r="O47" s="76" t="str">
        <x:f>IF('06_Form_Emissions_GES'!$L47="Validé humainement",'06_Form_Emissions_GES'!O47,"")</x:f>
      </x:c>
      <x:c r="P47" s="76" t="str">
        <x:f>IF('06_Form_Emissions_GES'!$L47="Validé humainement",'06_Form_Emissions_GES'!P47,"")</x:f>
      </x:c>
      <x:c r="Q47" s="76" t="str">
        <x:f>IF('06_Form_Emissions_GES'!$L47="Validé humainement",'06_Form_Emissions_GES'!Q47,"")</x:f>
      </x:c>
    </x:row>
    <x:row r="48">
      <x:c r="A48" s="76" t="str">
        <x:f>IF('06_Form_Emissions_GES'!$L48="Validé humainement",'06_Form_Emissions_GES'!A48,"")</x:f>
      </x:c>
      <x:c r="B48" s="76" t="str">
        <x:f>IF('06_Form_Emissions_GES'!$L48="Validé humainement",'06_Form_Emissions_GES'!B48,"")</x:f>
      </x:c>
      <x:c r="C48" s="76" t="str">
        <x:f>IF('06_Form_Emissions_GES'!$L48="Validé humainement",'06_Form_Emissions_GES'!C48,"")</x:f>
      </x:c>
      <x:c r="D48" s="76" t="str">
        <x:f>IF('06_Form_Emissions_GES'!$L48="Validé humainement",'06_Form_Emissions_GES'!D48,"")</x:f>
      </x:c>
      <x:c r="E48" s="77" t="str">
        <x:f>IF('06_Form_Emissions_GES'!$L48="Validé humainement",'06_Form_Emissions_GES'!E48,"")</x:f>
      </x:c>
      <x:c r="F48" s="76" t="str">
        <x:f>IF('06_Form_Emissions_GES'!$L48="Validé humainement",'06_Form_Emissions_GES'!F48,"")</x:f>
      </x:c>
      <x:c r="G48" s="83" t="str">
        <x:f>IF('06_Form_Emissions_GES'!$L48="Validé humainement",'06_Form_Emissions_GES'!G48,"")</x:f>
      </x:c>
      <x:c r="H48" s="77" t="str">
        <x:f>IF('06_Form_Emissions_GES'!$L48="Validé humainement",'06_Form_Emissions_GES'!H48,"")</x:f>
      </x:c>
      <x:c r="I48" s="76" t="str">
        <x:f>IF('06_Form_Emissions_GES'!$L48="Validé humainement",'06_Form_Emissions_GES'!I48,"")</x:f>
      </x:c>
      <x:c r="J48" s="76" t="str">
        <x:f>IF('06_Form_Emissions_GES'!$L48="Validé humainement",'06_Form_Emissions_GES'!J48,"")</x:f>
      </x:c>
      <x:c r="K48" s="76" t="str">
        <x:f>IF('06_Form_Emissions_GES'!$L48="Validé humainement",'06_Form_Emissions_GES'!K48,"")</x:f>
      </x:c>
      <x:c r="L48" s="76" t="str">
        <x:f>IF('06_Form_Emissions_GES'!$L48="Validé humainement",'06_Form_Emissions_GES'!L48,"")</x:f>
      </x:c>
      <x:c r="M48" s="76" t="str">
        <x:f>IF('06_Form_Emissions_GES'!$L48="Validé humainement",'06_Form_Emissions_GES'!M48,"")</x:f>
      </x:c>
      <x:c r="N48" s="78" t="str">
        <x:f>IF('06_Form_Emissions_GES'!$L48="Validé humainement",'06_Form_Emissions_GES'!N48,"")</x:f>
      </x:c>
      <x:c r="O48" s="76" t="str">
        <x:f>IF('06_Form_Emissions_GES'!$L48="Validé humainement",'06_Form_Emissions_GES'!O48,"")</x:f>
      </x:c>
      <x:c r="P48" s="76" t="str">
        <x:f>IF('06_Form_Emissions_GES'!$L48="Validé humainement",'06_Form_Emissions_GES'!P48,"")</x:f>
      </x:c>
      <x:c r="Q48" s="76" t="str">
        <x:f>IF('06_Form_Emissions_GES'!$L48="Validé humainement",'06_Form_Emissions_GES'!Q48,"")</x:f>
      </x:c>
    </x:row>
    <x:row r="49">
      <x:c r="A49" s="76" t="str">
        <x:f>IF('06_Form_Emissions_GES'!$L49="Validé humainement",'06_Form_Emissions_GES'!A49,"")</x:f>
      </x:c>
      <x:c r="B49" s="76" t="str">
        <x:f>IF('06_Form_Emissions_GES'!$L49="Validé humainement",'06_Form_Emissions_GES'!B49,"")</x:f>
      </x:c>
      <x:c r="C49" s="76" t="str">
        <x:f>IF('06_Form_Emissions_GES'!$L49="Validé humainement",'06_Form_Emissions_GES'!C49,"")</x:f>
      </x:c>
      <x:c r="D49" s="76" t="str">
        <x:f>IF('06_Form_Emissions_GES'!$L49="Validé humainement",'06_Form_Emissions_GES'!D49,"")</x:f>
      </x:c>
      <x:c r="E49" s="77" t="str">
        <x:f>IF('06_Form_Emissions_GES'!$L49="Validé humainement",'06_Form_Emissions_GES'!E49,"")</x:f>
      </x:c>
      <x:c r="F49" s="76" t="str">
        <x:f>IF('06_Form_Emissions_GES'!$L49="Validé humainement",'06_Form_Emissions_GES'!F49,"")</x:f>
      </x:c>
      <x:c r="G49" s="83" t="str">
        <x:f>IF('06_Form_Emissions_GES'!$L49="Validé humainement",'06_Form_Emissions_GES'!G49,"")</x:f>
      </x:c>
      <x:c r="H49" s="77" t="str">
        <x:f>IF('06_Form_Emissions_GES'!$L49="Validé humainement",'06_Form_Emissions_GES'!H49,"")</x:f>
      </x:c>
      <x:c r="I49" s="76" t="str">
        <x:f>IF('06_Form_Emissions_GES'!$L49="Validé humainement",'06_Form_Emissions_GES'!I49,"")</x:f>
      </x:c>
      <x:c r="J49" s="76" t="str">
        <x:f>IF('06_Form_Emissions_GES'!$L49="Validé humainement",'06_Form_Emissions_GES'!J49,"")</x:f>
      </x:c>
      <x:c r="K49" s="76" t="str">
        <x:f>IF('06_Form_Emissions_GES'!$L49="Validé humainement",'06_Form_Emissions_GES'!K49,"")</x:f>
      </x:c>
      <x:c r="L49" s="76" t="str">
        <x:f>IF('06_Form_Emissions_GES'!$L49="Validé humainement",'06_Form_Emissions_GES'!L49,"")</x:f>
      </x:c>
      <x:c r="M49" s="76" t="str">
        <x:f>IF('06_Form_Emissions_GES'!$L49="Validé humainement",'06_Form_Emissions_GES'!M49,"")</x:f>
      </x:c>
      <x:c r="N49" s="78" t="str">
        <x:f>IF('06_Form_Emissions_GES'!$L49="Validé humainement",'06_Form_Emissions_GES'!N49,"")</x:f>
      </x:c>
      <x:c r="O49" s="76" t="str">
        <x:f>IF('06_Form_Emissions_GES'!$L49="Validé humainement",'06_Form_Emissions_GES'!O49,"")</x:f>
      </x:c>
      <x:c r="P49" s="76" t="str">
        <x:f>IF('06_Form_Emissions_GES'!$L49="Validé humainement",'06_Form_Emissions_GES'!P49,"")</x:f>
      </x:c>
      <x:c r="Q49" s="76" t="str">
        <x:f>IF('06_Form_Emissions_GES'!$L49="Validé humainement",'06_Form_Emissions_GES'!Q49,"")</x:f>
      </x:c>
    </x:row>
    <x:row r="50">
      <x:c r="A50" s="76" t="str">
        <x:f>IF('06_Form_Emissions_GES'!$L50="Validé humainement",'06_Form_Emissions_GES'!A50,"")</x:f>
      </x:c>
      <x:c r="B50" s="76" t="str">
        <x:f>IF('06_Form_Emissions_GES'!$L50="Validé humainement",'06_Form_Emissions_GES'!B50,"")</x:f>
      </x:c>
      <x:c r="C50" s="76" t="str">
        <x:f>IF('06_Form_Emissions_GES'!$L50="Validé humainement",'06_Form_Emissions_GES'!C50,"")</x:f>
      </x:c>
      <x:c r="D50" s="76" t="str">
        <x:f>IF('06_Form_Emissions_GES'!$L50="Validé humainement",'06_Form_Emissions_GES'!D50,"")</x:f>
      </x:c>
      <x:c r="E50" s="77" t="str">
        <x:f>IF('06_Form_Emissions_GES'!$L50="Validé humainement",'06_Form_Emissions_GES'!E50,"")</x:f>
      </x:c>
      <x:c r="F50" s="76" t="str">
        <x:f>IF('06_Form_Emissions_GES'!$L50="Validé humainement",'06_Form_Emissions_GES'!F50,"")</x:f>
      </x:c>
      <x:c r="G50" s="83" t="str">
        <x:f>IF('06_Form_Emissions_GES'!$L50="Validé humainement",'06_Form_Emissions_GES'!G50,"")</x:f>
      </x:c>
      <x:c r="H50" s="77" t="str">
        <x:f>IF('06_Form_Emissions_GES'!$L50="Validé humainement",'06_Form_Emissions_GES'!H50,"")</x:f>
      </x:c>
      <x:c r="I50" s="76" t="str">
        <x:f>IF('06_Form_Emissions_GES'!$L50="Validé humainement",'06_Form_Emissions_GES'!I50,"")</x:f>
      </x:c>
      <x:c r="J50" s="76" t="str">
        <x:f>IF('06_Form_Emissions_GES'!$L50="Validé humainement",'06_Form_Emissions_GES'!J50,"")</x:f>
      </x:c>
      <x:c r="K50" s="76" t="str">
        <x:f>IF('06_Form_Emissions_GES'!$L50="Validé humainement",'06_Form_Emissions_GES'!K50,"")</x:f>
      </x:c>
      <x:c r="L50" s="76" t="str">
        <x:f>IF('06_Form_Emissions_GES'!$L50="Validé humainement",'06_Form_Emissions_GES'!L50,"")</x:f>
      </x:c>
      <x:c r="M50" s="76" t="str">
        <x:f>IF('06_Form_Emissions_GES'!$L50="Validé humainement",'06_Form_Emissions_GES'!M50,"")</x:f>
      </x:c>
      <x:c r="N50" s="78" t="str">
        <x:f>IF('06_Form_Emissions_GES'!$L50="Validé humainement",'06_Form_Emissions_GES'!N50,"")</x:f>
      </x:c>
      <x:c r="O50" s="76" t="str">
        <x:f>IF('06_Form_Emissions_GES'!$L50="Validé humainement",'06_Form_Emissions_GES'!O50,"")</x:f>
      </x:c>
      <x:c r="P50" s="76" t="str">
        <x:f>IF('06_Form_Emissions_GES'!$L50="Validé humainement",'06_Form_Emissions_GES'!P50,"")</x:f>
      </x:c>
      <x:c r="Q50" s="76" t="str">
        <x:f>IF('06_Form_Emissions_GES'!$L50="Validé humainement",'06_Form_Emissions_GES'!Q50,"")</x:f>
      </x:c>
    </x:row>
    <x:row r="51">
      <x:c r="A51" s="76" t="str">
        <x:f>IF('06_Form_Emissions_GES'!$L51="Validé humainement",'06_Form_Emissions_GES'!A51,"")</x:f>
      </x:c>
      <x:c r="B51" s="76" t="str">
        <x:f>IF('06_Form_Emissions_GES'!$L51="Validé humainement",'06_Form_Emissions_GES'!B51,"")</x:f>
      </x:c>
      <x:c r="C51" s="76" t="str">
        <x:f>IF('06_Form_Emissions_GES'!$L51="Validé humainement",'06_Form_Emissions_GES'!C51,"")</x:f>
      </x:c>
      <x:c r="D51" s="76" t="str">
        <x:f>IF('06_Form_Emissions_GES'!$L51="Validé humainement",'06_Form_Emissions_GES'!D51,"")</x:f>
      </x:c>
      <x:c r="E51" s="77" t="str">
        <x:f>IF('06_Form_Emissions_GES'!$L51="Validé humainement",'06_Form_Emissions_GES'!E51,"")</x:f>
      </x:c>
      <x:c r="F51" s="76" t="str">
        <x:f>IF('06_Form_Emissions_GES'!$L51="Validé humainement",'06_Form_Emissions_GES'!F51,"")</x:f>
      </x:c>
      <x:c r="G51" s="83" t="str">
        <x:f>IF('06_Form_Emissions_GES'!$L51="Validé humainement",'06_Form_Emissions_GES'!G51,"")</x:f>
      </x:c>
      <x:c r="H51" s="77" t="str">
        <x:f>IF('06_Form_Emissions_GES'!$L51="Validé humainement",'06_Form_Emissions_GES'!H51,"")</x:f>
      </x:c>
      <x:c r="I51" s="76" t="str">
        <x:f>IF('06_Form_Emissions_GES'!$L51="Validé humainement",'06_Form_Emissions_GES'!I51,"")</x:f>
      </x:c>
      <x:c r="J51" s="76" t="str">
        <x:f>IF('06_Form_Emissions_GES'!$L51="Validé humainement",'06_Form_Emissions_GES'!J51,"")</x:f>
      </x:c>
      <x:c r="K51" s="76" t="str">
        <x:f>IF('06_Form_Emissions_GES'!$L51="Validé humainement",'06_Form_Emissions_GES'!K51,"")</x:f>
      </x:c>
      <x:c r="L51" s="76" t="str">
        <x:f>IF('06_Form_Emissions_GES'!$L51="Validé humainement",'06_Form_Emissions_GES'!L51,"")</x:f>
      </x:c>
      <x:c r="M51" s="76" t="str">
        <x:f>IF('06_Form_Emissions_GES'!$L51="Validé humainement",'06_Form_Emissions_GES'!M51,"")</x:f>
      </x:c>
      <x:c r="N51" s="78" t="str">
        <x:f>IF('06_Form_Emissions_GES'!$L51="Validé humainement",'06_Form_Emissions_GES'!N51,"")</x:f>
      </x:c>
      <x:c r="O51" s="76" t="str">
        <x:f>IF('06_Form_Emissions_GES'!$L51="Validé humainement",'06_Form_Emissions_GES'!O51,"")</x:f>
      </x:c>
      <x:c r="P51" s="76" t="str">
        <x:f>IF('06_Form_Emissions_GES'!$L51="Validé humainement",'06_Form_Emissions_GES'!P51,"")</x:f>
      </x:c>
      <x:c r="Q51" s="76" t="str">
        <x:f>IF('06_Form_Emissions_GES'!$L51="Validé humainement",'06_Form_Emissions_GES'!Q51,"")</x:f>
      </x:c>
    </x:row>
    <x:row r="52">
      <x:c r="A52" s="76" t="str">
        <x:f>IF('06_Form_Emissions_GES'!$L52="Validé humainement",'06_Form_Emissions_GES'!A52,"")</x:f>
      </x:c>
      <x:c r="B52" s="76" t="str">
        <x:f>IF('06_Form_Emissions_GES'!$L52="Validé humainement",'06_Form_Emissions_GES'!B52,"")</x:f>
      </x:c>
      <x:c r="C52" s="76" t="str">
        <x:f>IF('06_Form_Emissions_GES'!$L52="Validé humainement",'06_Form_Emissions_GES'!C52,"")</x:f>
      </x:c>
      <x:c r="D52" s="76" t="str">
        <x:f>IF('06_Form_Emissions_GES'!$L52="Validé humainement",'06_Form_Emissions_GES'!D52,"")</x:f>
      </x:c>
      <x:c r="E52" s="77" t="str">
        <x:f>IF('06_Form_Emissions_GES'!$L52="Validé humainement",'06_Form_Emissions_GES'!E52,"")</x:f>
      </x:c>
      <x:c r="F52" s="76" t="str">
        <x:f>IF('06_Form_Emissions_GES'!$L52="Validé humainement",'06_Form_Emissions_GES'!F52,"")</x:f>
      </x:c>
      <x:c r="G52" s="83" t="str">
        <x:f>IF('06_Form_Emissions_GES'!$L52="Validé humainement",'06_Form_Emissions_GES'!G52,"")</x:f>
      </x:c>
      <x:c r="H52" s="77" t="str">
        <x:f>IF('06_Form_Emissions_GES'!$L52="Validé humainement",'06_Form_Emissions_GES'!H52,"")</x:f>
      </x:c>
      <x:c r="I52" s="76" t="str">
        <x:f>IF('06_Form_Emissions_GES'!$L52="Validé humainement",'06_Form_Emissions_GES'!I52,"")</x:f>
      </x:c>
      <x:c r="J52" s="76" t="str">
        <x:f>IF('06_Form_Emissions_GES'!$L52="Validé humainement",'06_Form_Emissions_GES'!J52,"")</x:f>
      </x:c>
      <x:c r="K52" s="76" t="str">
        <x:f>IF('06_Form_Emissions_GES'!$L52="Validé humainement",'06_Form_Emissions_GES'!K52,"")</x:f>
      </x:c>
      <x:c r="L52" s="76" t="str">
        <x:f>IF('06_Form_Emissions_GES'!$L52="Validé humainement",'06_Form_Emissions_GES'!L52,"")</x:f>
      </x:c>
      <x:c r="M52" s="76" t="str">
        <x:f>IF('06_Form_Emissions_GES'!$L52="Validé humainement",'06_Form_Emissions_GES'!M52,"")</x:f>
      </x:c>
      <x:c r="N52" s="78" t="str">
        <x:f>IF('06_Form_Emissions_GES'!$L52="Validé humainement",'06_Form_Emissions_GES'!N52,"")</x:f>
      </x:c>
      <x:c r="O52" s="76" t="str">
        <x:f>IF('06_Form_Emissions_GES'!$L52="Validé humainement",'06_Form_Emissions_GES'!O52,"")</x:f>
      </x:c>
      <x:c r="P52" s="76" t="str">
        <x:f>IF('06_Form_Emissions_GES'!$L52="Validé humainement",'06_Form_Emissions_GES'!P52,"")</x:f>
      </x:c>
      <x:c r="Q52" s="76" t="str">
        <x:f>IF('06_Form_Emissions_GES'!$L52="Validé humainement",'06_Form_Emissions_GES'!Q52,"")</x:f>
      </x:c>
    </x:row>
    <x:row r="53">
      <x:c r="A53" s="76" t="str">
        <x:f>IF('06_Form_Emissions_GES'!$L53="Validé humainement",'06_Form_Emissions_GES'!A53,"")</x:f>
      </x:c>
      <x:c r="B53" s="76" t="str">
        <x:f>IF('06_Form_Emissions_GES'!$L53="Validé humainement",'06_Form_Emissions_GES'!B53,"")</x:f>
      </x:c>
      <x:c r="C53" s="76" t="str">
        <x:f>IF('06_Form_Emissions_GES'!$L53="Validé humainement",'06_Form_Emissions_GES'!C53,"")</x:f>
      </x:c>
      <x:c r="D53" s="76" t="str">
        <x:f>IF('06_Form_Emissions_GES'!$L53="Validé humainement",'06_Form_Emissions_GES'!D53,"")</x:f>
      </x:c>
      <x:c r="E53" s="77" t="str">
        <x:f>IF('06_Form_Emissions_GES'!$L53="Validé humainement",'06_Form_Emissions_GES'!E53,"")</x:f>
      </x:c>
      <x:c r="F53" s="76" t="str">
        <x:f>IF('06_Form_Emissions_GES'!$L53="Validé humainement",'06_Form_Emissions_GES'!F53,"")</x:f>
      </x:c>
      <x:c r="G53" s="83" t="str">
        <x:f>IF('06_Form_Emissions_GES'!$L53="Validé humainement",'06_Form_Emissions_GES'!G53,"")</x:f>
      </x:c>
      <x:c r="H53" s="77" t="str">
        <x:f>IF('06_Form_Emissions_GES'!$L53="Validé humainement",'06_Form_Emissions_GES'!H53,"")</x:f>
      </x:c>
      <x:c r="I53" s="76" t="str">
        <x:f>IF('06_Form_Emissions_GES'!$L53="Validé humainement",'06_Form_Emissions_GES'!I53,"")</x:f>
      </x:c>
      <x:c r="J53" s="76" t="str">
        <x:f>IF('06_Form_Emissions_GES'!$L53="Validé humainement",'06_Form_Emissions_GES'!J53,"")</x:f>
      </x:c>
      <x:c r="K53" s="76" t="str">
        <x:f>IF('06_Form_Emissions_GES'!$L53="Validé humainement",'06_Form_Emissions_GES'!K53,"")</x:f>
      </x:c>
      <x:c r="L53" s="76" t="str">
        <x:f>IF('06_Form_Emissions_GES'!$L53="Validé humainement",'06_Form_Emissions_GES'!L53,"")</x:f>
      </x:c>
      <x:c r="M53" s="76" t="str">
        <x:f>IF('06_Form_Emissions_GES'!$L53="Validé humainement",'06_Form_Emissions_GES'!M53,"")</x:f>
      </x:c>
      <x:c r="N53" s="78" t="str">
        <x:f>IF('06_Form_Emissions_GES'!$L53="Validé humainement",'06_Form_Emissions_GES'!N53,"")</x:f>
      </x:c>
      <x:c r="O53" s="76" t="str">
        <x:f>IF('06_Form_Emissions_GES'!$L53="Validé humainement",'06_Form_Emissions_GES'!O53,"")</x:f>
      </x:c>
      <x:c r="P53" s="76" t="str">
        <x:f>IF('06_Form_Emissions_GES'!$L53="Validé humainement",'06_Form_Emissions_GES'!P53,"")</x:f>
      </x:c>
      <x:c r="Q53" s="76" t="str">
        <x:f>IF('06_Form_Emissions_GES'!$L53="Validé humainement",'06_Form_Emissions_GES'!Q53,"")</x:f>
      </x:c>
    </x:row>
    <x:row r="54">
      <x:c r="A54" s="76" t="str">
        <x:f>IF('06_Form_Emissions_GES'!$L54="Validé humainement",'06_Form_Emissions_GES'!A54,"")</x:f>
      </x:c>
      <x:c r="B54" s="76" t="str">
        <x:f>IF('06_Form_Emissions_GES'!$L54="Validé humainement",'06_Form_Emissions_GES'!B54,"")</x:f>
      </x:c>
      <x:c r="C54" s="76" t="str">
        <x:f>IF('06_Form_Emissions_GES'!$L54="Validé humainement",'06_Form_Emissions_GES'!C54,"")</x:f>
      </x:c>
      <x:c r="D54" s="76" t="str">
        <x:f>IF('06_Form_Emissions_GES'!$L54="Validé humainement",'06_Form_Emissions_GES'!D54,"")</x:f>
      </x:c>
      <x:c r="E54" s="77" t="str">
        <x:f>IF('06_Form_Emissions_GES'!$L54="Validé humainement",'06_Form_Emissions_GES'!E54,"")</x:f>
      </x:c>
      <x:c r="F54" s="76" t="str">
        <x:f>IF('06_Form_Emissions_GES'!$L54="Validé humainement",'06_Form_Emissions_GES'!F54,"")</x:f>
      </x:c>
      <x:c r="G54" s="83" t="str">
        <x:f>IF('06_Form_Emissions_GES'!$L54="Validé humainement",'06_Form_Emissions_GES'!G54,"")</x:f>
      </x:c>
      <x:c r="H54" s="77" t="str">
        <x:f>IF('06_Form_Emissions_GES'!$L54="Validé humainement",'06_Form_Emissions_GES'!H54,"")</x:f>
      </x:c>
      <x:c r="I54" s="76" t="str">
        <x:f>IF('06_Form_Emissions_GES'!$L54="Validé humainement",'06_Form_Emissions_GES'!I54,"")</x:f>
      </x:c>
      <x:c r="J54" s="76" t="str">
        <x:f>IF('06_Form_Emissions_GES'!$L54="Validé humainement",'06_Form_Emissions_GES'!J54,"")</x:f>
      </x:c>
      <x:c r="K54" s="76" t="str">
        <x:f>IF('06_Form_Emissions_GES'!$L54="Validé humainement",'06_Form_Emissions_GES'!K54,"")</x:f>
      </x:c>
      <x:c r="L54" s="76" t="str">
        <x:f>IF('06_Form_Emissions_GES'!$L54="Validé humainement",'06_Form_Emissions_GES'!L54,"")</x:f>
      </x:c>
      <x:c r="M54" s="76" t="str">
        <x:f>IF('06_Form_Emissions_GES'!$L54="Validé humainement",'06_Form_Emissions_GES'!M54,"")</x:f>
      </x:c>
      <x:c r="N54" s="78" t="str">
        <x:f>IF('06_Form_Emissions_GES'!$L54="Validé humainement",'06_Form_Emissions_GES'!N54,"")</x:f>
      </x:c>
      <x:c r="O54" s="76" t="str">
        <x:f>IF('06_Form_Emissions_GES'!$L54="Validé humainement",'06_Form_Emissions_GES'!O54,"")</x:f>
      </x:c>
      <x:c r="P54" s="76" t="str">
        <x:f>IF('06_Form_Emissions_GES'!$L54="Validé humainement",'06_Form_Emissions_GES'!P54,"")</x:f>
      </x:c>
      <x:c r="Q54" s="76" t="str">
        <x:f>IF('06_Form_Emissions_GES'!$L54="Validé humainement",'06_Form_Emissions_GES'!Q54,"")</x:f>
      </x:c>
    </x:row>
    <x:row r="55">
      <x:c r="A55" s="76" t="str">
        <x:f>IF('06_Form_Emissions_GES'!$L55="Validé humainement",'06_Form_Emissions_GES'!A55,"")</x:f>
      </x:c>
      <x:c r="B55" s="76" t="str">
        <x:f>IF('06_Form_Emissions_GES'!$L55="Validé humainement",'06_Form_Emissions_GES'!B55,"")</x:f>
      </x:c>
      <x:c r="C55" s="76" t="str">
        <x:f>IF('06_Form_Emissions_GES'!$L55="Validé humainement",'06_Form_Emissions_GES'!C55,"")</x:f>
      </x:c>
      <x:c r="D55" s="76" t="str">
        <x:f>IF('06_Form_Emissions_GES'!$L55="Validé humainement",'06_Form_Emissions_GES'!D55,"")</x:f>
      </x:c>
      <x:c r="E55" s="77" t="str">
        <x:f>IF('06_Form_Emissions_GES'!$L55="Validé humainement",'06_Form_Emissions_GES'!E55,"")</x:f>
      </x:c>
      <x:c r="F55" s="76" t="str">
        <x:f>IF('06_Form_Emissions_GES'!$L55="Validé humainement",'06_Form_Emissions_GES'!F55,"")</x:f>
      </x:c>
      <x:c r="G55" s="83" t="str">
        <x:f>IF('06_Form_Emissions_GES'!$L55="Validé humainement",'06_Form_Emissions_GES'!G55,"")</x:f>
      </x:c>
      <x:c r="H55" s="77" t="str">
        <x:f>IF('06_Form_Emissions_GES'!$L55="Validé humainement",'06_Form_Emissions_GES'!H55,"")</x:f>
      </x:c>
      <x:c r="I55" s="76" t="str">
        <x:f>IF('06_Form_Emissions_GES'!$L55="Validé humainement",'06_Form_Emissions_GES'!I55,"")</x:f>
      </x:c>
      <x:c r="J55" s="76" t="str">
        <x:f>IF('06_Form_Emissions_GES'!$L55="Validé humainement",'06_Form_Emissions_GES'!J55,"")</x:f>
      </x:c>
      <x:c r="K55" s="76" t="str">
        <x:f>IF('06_Form_Emissions_GES'!$L55="Validé humainement",'06_Form_Emissions_GES'!K55,"")</x:f>
      </x:c>
      <x:c r="L55" s="76" t="str">
        <x:f>IF('06_Form_Emissions_GES'!$L55="Validé humainement",'06_Form_Emissions_GES'!L55,"")</x:f>
      </x:c>
      <x:c r="M55" s="76" t="str">
        <x:f>IF('06_Form_Emissions_GES'!$L55="Validé humainement",'06_Form_Emissions_GES'!M55,"")</x:f>
      </x:c>
      <x:c r="N55" s="78" t="str">
        <x:f>IF('06_Form_Emissions_GES'!$L55="Validé humainement",'06_Form_Emissions_GES'!N55,"")</x:f>
      </x:c>
      <x:c r="O55" s="76" t="str">
        <x:f>IF('06_Form_Emissions_GES'!$L55="Validé humainement",'06_Form_Emissions_GES'!O55,"")</x:f>
      </x:c>
      <x:c r="P55" s="76" t="str">
        <x:f>IF('06_Form_Emissions_GES'!$L55="Validé humainement",'06_Form_Emissions_GES'!P55,"")</x:f>
      </x:c>
      <x:c r="Q55" s="76" t="str">
        <x:f>IF('06_Form_Emissions_GES'!$L55="Validé humainement",'06_Form_Emissions_GES'!Q55,"")</x:f>
      </x:c>
    </x:row>
    <x:row r="56">
      <x:c r="A56" s="76" t="str">
        <x:f>IF('06_Form_Emissions_GES'!$L56="Validé humainement",'06_Form_Emissions_GES'!A56,"")</x:f>
      </x:c>
      <x:c r="B56" s="76" t="str">
        <x:f>IF('06_Form_Emissions_GES'!$L56="Validé humainement",'06_Form_Emissions_GES'!B56,"")</x:f>
      </x:c>
      <x:c r="C56" s="76" t="str">
        <x:f>IF('06_Form_Emissions_GES'!$L56="Validé humainement",'06_Form_Emissions_GES'!C56,"")</x:f>
      </x:c>
      <x:c r="D56" s="76" t="str">
        <x:f>IF('06_Form_Emissions_GES'!$L56="Validé humainement",'06_Form_Emissions_GES'!D56,"")</x:f>
      </x:c>
      <x:c r="E56" s="77" t="str">
        <x:f>IF('06_Form_Emissions_GES'!$L56="Validé humainement",'06_Form_Emissions_GES'!E56,"")</x:f>
      </x:c>
      <x:c r="F56" s="76" t="str">
        <x:f>IF('06_Form_Emissions_GES'!$L56="Validé humainement",'06_Form_Emissions_GES'!F56,"")</x:f>
      </x:c>
      <x:c r="G56" s="83" t="str">
        <x:f>IF('06_Form_Emissions_GES'!$L56="Validé humainement",'06_Form_Emissions_GES'!G56,"")</x:f>
      </x:c>
      <x:c r="H56" s="77" t="str">
        <x:f>IF('06_Form_Emissions_GES'!$L56="Validé humainement",'06_Form_Emissions_GES'!H56,"")</x:f>
      </x:c>
      <x:c r="I56" s="76" t="str">
        <x:f>IF('06_Form_Emissions_GES'!$L56="Validé humainement",'06_Form_Emissions_GES'!I56,"")</x:f>
      </x:c>
      <x:c r="J56" s="76" t="str">
        <x:f>IF('06_Form_Emissions_GES'!$L56="Validé humainement",'06_Form_Emissions_GES'!J56,"")</x:f>
      </x:c>
      <x:c r="K56" s="76" t="str">
        <x:f>IF('06_Form_Emissions_GES'!$L56="Validé humainement",'06_Form_Emissions_GES'!K56,"")</x:f>
      </x:c>
      <x:c r="L56" s="76" t="str">
        <x:f>IF('06_Form_Emissions_GES'!$L56="Validé humainement",'06_Form_Emissions_GES'!L56,"")</x:f>
      </x:c>
      <x:c r="M56" s="76" t="str">
        <x:f>IF('06_Form_Emissions_GES'!$L56="Validé humainement",'06_Form_Emissions_GES'!M56,"")</x:f>
      </x:c>
      <x:c r="N56" s="78" t="str">
        <x:f>IF('06_Form_Emissions_GES'!$L56="Validé humainement",'06_Form_Emissions_GES'!N56,"")</x:f>
      </x:c>
      <x:c r="O56" s="76" t="str">
        <x:f>IF('06_Form_Emissions_GES'!$L56="Validé humainement",'06_Form_Emissions_GES'!O56,"")</x:f>
      </x:c>
      <x:c r="P56" s="76" t="str">
        <x:f>IF('06_Form_Emissions_GES'!$L56="Validé humainement",'06_Form_Emissions_GES'!P56,"")</x:f>
      </x:c>
      <x:c r="Q56" s="76" t="str">
        <x:f>IF('06_Form_Emissions_GES'!$L56="Validé humainement",'06_Form_Emissions_GES'!Q56,"")</x:f>
      </x:c>
    </x:row>
    <x:row r="57">
      <x:c r="A57" s="76" t="str">
        <x:f>IF('06_Form_Emissions_GES'!$L57="Validé humainement",'06_Form_Emissions_GES'!A57,"")</x:f>
      </x:c>
      <x:c r="B57" s="76" t="str">
        <x:f>IF('06_Form_Emissions_GES'!$L57="Validé humainement",'06_Form_Emissions_GES'!B57,"")</x:f>
      </x:c>
      <x:c r="C57" s="76" t="str">
        <x:f>IF('06_Form_Emissions_GES'!$L57="Validé humainement",'06_Form_Emissions_GES'!C57,"")</x:f>
      </x:c>
      <x:c r="D57" s="76" t="str">
        <x:f>IF('06_Form_Emissions_GES'!$L57="Validé humainement",'06_Form_Emissions_GES'!D57,"")</x:f>
      </x:c>
      <x:c r="E57" s="77" t="str">
        <x:f>IF('06_Form_Emissions_GES'!$L57="Validé humainement",'06_Form_Emissions_GES'!E57,"")</x:f>
      </x:c>
      <x:c r="F57" s="76" t="str">
        <x:f>IF('06_Form_Emissions_GES'!$L57="Validé humainement",'06_Form_Emissions_GES'!F57,"")</x:f>
      </x:c>
      <x:c r="G57" s="83" t="str">
        <x:f>IF('06_Form_Emissions_GES'!$L57="Validé humainement",'06_Form_Emissions_GES'!G57,"")</x:f>
      </x:c>
      <x:c r="H57" s="77" t="str">
        <x:f>IF('06_Form_Emissions_GES'!$L57="Validé humainement",'06_Form_Emissions_GES'!H57,"")</x:f>
      </x:c>
      <x:c r="I57" s="76" t="str">
        <x:f>IF('06_Form_Emissions_GES'!$L57="Validé humainement",'06_Form_Emissions_GES'!I57,"")</x:f>
      </x:c>
      <x:c r="J57" s="76" t="str">
        <x:f>IF('06_Form_Emissions_GES'!$L57="Validé humainement",'06_Form_Emissions_GES'!J57,"")</x:f>
      </x:c>
      <x:c r="K57" s="76" t="str">
        <x:f>IF('06_Form_Emissions_GES'!$L57="Validé humainement",'06_Form_Emissions_GES'!K57,"")</x:f>
      </x:c>
      <x:c r="L57" s="76" t="str">
        <x:f>IF('06_Form_Emissions_GES'!$L57="Validé humainement",'06_Form_Emissions_GES'!L57,"")</x:f>
      </x:c>
      <x:c r="M57" s="76" t="str">
        <x:f>IF('06_Form_Emissions_GES'!$L57="Validé humainement",'06_Form_Emissions_GES'!M57,"")</x:f>
      </x:c>
      <x:c r="N57" s="78" t="str">
        <x:f>IF('06_Form_Emissions_GES'!$L57="Validé humainement",'06_Form_Emissions_GES'!N57,"")</x:f>
      </x:c>
      <x:c r="O57" s="76" t="str">
        <x:f>IF('06_Form_Emissions_GES'!$L57="Validé humainement",'06_Form_Emissions_GES'!O57,"")</x:f>
      </x:c>
      <x:c r="P57" s="76" t="str">
        <x:f>IF('06_Form_Emissions_GES'!$L57="Validé humainement",'06_Form_Emissions_GES'!P57,"")</x:f>
      </x:c>
      <x:c r="Q57" s="76" t="str">
        <x:f>IF('06_Form_Emissions_GES'!$L57="Validé humainement",'06_Form_Emissions_GES'!Q57,"")</x:f>
      </x:c>
    </x:row>
    <x:row r="58">
      <x:c r="A58" s="76" t="str">
        <x:f>IF('06_Form_Emissions_GES'!$L58="Validé humainement",'06_Form_Emissions_GES'!A58,"")</x:f>
      </x:c>
      <x:c r="B58" s="76" t="str">
        <x:f>IF('06_Form_Emissions_GES'!$L58="Validé humainement",'06_Form_Emissions_GES'!B58,"")</x:f>
      </x:c>
      <x:c r="C58" s="76" t="str">
        <x:f>IF('06_Form_Emissions_GES'!$L58="Validé humainement",'06_Form_Emissions_GES'!C58,"")</x:f>
      </x:c>
      <x:c r="D58" s="76" t="str">
        <x:f>IF('06_Form_Emissions_GES'!$L58="Validé humainement",'06_Form_Emissions_GES'!D58,"")</x:f>
      </x:c>
      <x:c r="E58" s="77" t="str">
        <x:f>IF('06_Form_Emissions_GES'!$L58="Validé humainement",'06_Form_Emissions_GES'!E58,"")</x:f>
      </x:c>
      <x:c r="F58" s="76" t="str">
        <x:f>IF('06_Form_Emissions_GES'!$L58="Validé humainement",'06_Form_Emissions_GES'!F58,"")</x:f>
      </x:c>
      <x:c r="G58" s="83" t="str">
        <x:f>IF('06_Form_Emissions_GES'!$L58="Validé humainement",'06_Form_Emissions_GES'!G58,"")</x:f>
      </x:c>
      <x:c r="H58" s="77" t="str">
        <x:f>IF('06_Form_Emissions_GES'!$L58="Validé humainement",'06_Form_Emissions_GES'!H58,"")</x:f>
      </x:c>
      <x:c r="I58" s="76" t="str">
        <x:f>IF('06_Form_Emissions_GES'!$L58="Validé humainement",'06_Form_Emissions_GES'!I58,"")</x:f>
      </x:c>
      <x:c r="J58" s="76" t="str">
        <x:f>IF('06_Form_Emissions_GES'!$L58="Validé humainement",'06_Form_Emissions_GES'!J58,"")</x:f>
      </x:c>
      <x:c r="K58" s="76" t="str">
        <x:f>IF('06_Form_Emissions_GES'!$L58="Validé humainement",'06_Form_Emissions_GES'!K58,"")</x:f>
      </x:c>
      <x:c r="L58" s="76" t="str">
        <x:f>IF('06_Form_Emissions_GES'!$L58="Validé humainement",'06_Form_Emissions_GES'!L58,"")</x:f>
      </x:c>
      <x:c r="M58" s="76" t="str">
        <x:f>IF('06_Form_Emissions_GES'!$L58="Validé humainement",'06_Form_Emissions_GES'!M58,"")</x:f>
      </x:c>
      <x:c r="N58" s="78" t="str">
        <x:f>IF('06_Form_Emissions_GES'!$L58="Validé humainement",'06_Form_Emissions_GES'!N58,"")</x:f>
      </x:c>
      <x:c r="O58" s="76" t="str">
        <x:f>IF('06_Form_Emissions_GES'!$L58="Validé humainement",'06_Form_Emissions_GES'!O58,"")</x:f>
      </x:c>
      <x:c r="P58" s="76" t="str">
        <x:f>IF('06_Form_Emissions_GES'!$L58="Validé humainement",'06_Form_Emissions_GES'!P58,"")</x:f>
      </x:c>
      <x:c r="Q58" s="76" t="str">
        <x:f>IF('06_Form_Emissions_GES'!$L58="Validé humainement",'06_Form_Emissions_GES'!Q58,"")</x:f>
      </x:c>
    </x:row>
    <x:row r="59">
      <x:c r="A59" s="76" t="str">
        <x:f>IF('06_Form_Emissions_GES'!$L59="Validé humainement",'06_Form_Emissions_GES'!A59,"")</x:f>
      </x:c>
      <x:c r="B59" s="76" t="str">
        <x:f>IF('06_Form_Emissions_GES'!$L59="Validé humainement",'06_Form_Emissions_GES'!B59,"")</x:f>
      </x:c>
      <x:c r="C59" s="76" t="str">
        <x:f>IF('06_Form_Emissions_GES'!$L59="Validé humainement",'06_Form_Emissions_GES'!C59,"")</x:f>
      </x:c>
      <x:c r="D59" s="76" t="str">
        <x:f>IF('06_Form_Emissions_GES'!$L59="Validé humainement",'06_Form_Emissions_GES'!D59,"")</x:f>
      </x:c>
      <x:c r="E59" s="77" t="str">
        <x:f>IF('06_Form_Emissions_GES'!$L59="Validé humainement",'06_Form_Emissions_GES'!E59,"")</x:f>
      </x:c>
      <x:c r="F59" s="76" t="str">
        <x:f>IF('06_Form_Emissions_GES'!$L59="Validé humainement",'06_Form_Emissions_GES'!F59,"")</x:f>
      </x:c>
      <x:c r="G59" s="83" t="str">
        <x:f>IF('06_Form_Emissions_GES'!$L59="Validé humainement",'06_Form_Emissions_GES'!G59,"")</x:f>
      </x:c>
      <x:c r="H59" s="77" t="str">
        <x:f>IF('06_Form_Emissions_GES'!$L59="Validé humainement",'06_Form_Emissions_GES'!H59,"")</x:f>
      </x:c>
      <x:c r="I59" s="76" t="str">
        <x:f>IF('06_Form_Emissions_GES'!$L59="Validé humainement",'06_Form_Emissions_GES'!I59,"")</x:f>
      </x:c>
      <x:c r="J59" s="76" t="str">
        <x:f>IF('06_Form_Emissions_GES'!$L59="Validé humainement",'06_Form_Emissions_GES'!J59,"")</x:f>
      </x:c>
      <x:c r="K59" s="76" t="str">
        <x:f>IF('06_Form_Emissions_GES'!$L59="Validé humainement",'06_Form_Emissions_GES'!K59,"")</x:f>
      </x:c>
      <x:c r="L59" s="76" t="str">
        <x:f>IF('06_Form_Emissions_GES'!$L59="Validé humainement",'06_Form_Emissions_GES'!L59,"")</x:f>
      </x:c>
      <x:c r="M59" s="76" t="str">
        <x:f>IF('06_Form_Emissions_GES'!$L59="Validé humainement",'06_Form_Emissions_GES'!M59,"")</x:f>
      </x:c>
      <x:c r="N59" s="78" t="str">
        <x:f>IF('06_Form_Emissions_GES'!$L59="Validé humainement",'06_Form_Emissions_GES'!N59,"")</x:f>
      </x:c>
      <x:c r="O59" s="76" t="str">
        <x:f>IF('06_Form_Emissions_GES'!$L59="Validé humainement",'06_Form_Emissions_GES'!O59,"")</x:f>
      </x:c>
      <x:c r="P59" s="76" t="str">
        <x:f>IF('06_Form_Emissions_GES'!$L59="Validé humainement",'06_Form_Emissions_GES'!P59,"")</x:f>
      </x:c>
      <x:c r="Q59" s="76" t="str">
        <x:f>IF('06_Form_Emissions_GES'!$L59="Validé humainement",'06_Form_Emissions_GES'!Q59,"")</x:f>
      </x:c>
    </x:row>
    <x:row r="60">
      <x:c r="A60" s="76" t="str">
        <x:f>IF('06_Form_Emissions_GES'!$L60="Validé humainement",'06_Form_Emissions_GES'!A60,"")</x:f>
      </x:c>
      <x:c r="B60" s="76" t="str">
        <x:f>IF('06_Form_Emissions_GES'!$L60="Validé humainement",'06_Form_Emissions_GES'!B60,"")</x:f>
      </x:c>
      <x:c r="C60" s="76" t="str">
        <x:f>IF('06_Form_Emissions_GES'!$L60="Validé humainement",'06_Form_Emissions_GES'!C60,"")</x:f>
      </x:c>
      <x:c r="D60" s="76" t="str">
        <x:f>IF('06_Form_Emissions_GES'!$L60="Validé humainement",'06_Form_Emissions_GES'!D60,"")</x:f>
      </x:c>
      <x:c r="E60" s="77" t="str">
        <x:f>IF('06_Form_Emissions_GES'!$L60="Validé humainement",'06_Form_Emissions_GES'!E60,"")</x:f>
      </x:c>
      <x:c r="F60" s="76" t="str">
        <x:f>IF('06_Form_Emissions_GES'!$L60="Validé humainement",'06_Form_Emissions_GES'!F60,"")</x:f>
      </x:c>
      <x:c r="G60" s="83" t="str">
        <x:f>IF('06_Form_Emissions_GES'!$L60="Validé humainement",'06_Form_Emissions_GES'!G60,"")</x:f>
      </x:c>
      <x:c r="H60" s="77" t="str">
        <x:f>IF('06_Form_Emissions_GES'!$L60="Validé humainement",'06_Form_Emissions_GES'!H60,"")</x:f>
      </x:c>
      <x:c r="I60" s="76" t="str">
        <x:f>IF('06_Form_Emissions_GES'!$L60="Validé humainement",'06_Form_Emissions_GES'!I60,"")</x:f>
      </x:c>
      <x:c r="J60" s="76" t="str">
        <x:f>IF('06_Form_Emissions_GES'!$L60="Validé humainement",'06_Form_Emissions_GES'!J60,"")</x:f>
      </x:c>
      <x:c r="K60" s="76" t="str">
        <x:f>IF('06_Form_Emissions_GES'!$L60="Validé humainement",'06_Form_Emissions_GES'!K60,"")</x:f>
      </x:c>
      <x:c r="L60" s="76" t="str">
        <x:f>IF('06_Form_Emissions_GES'!$L60="Validé humainement",'06_Form_Emissions_GES'!L60,"")</x:f>
      </x:c>
      <x:c r="M60" s="76" t="str">
        <x:f>IF('06_Form_Emissions_GES'!$L60="Validé humainement",'06_Form_Emissions_GES'!M60,"")</x:f>
      </x:c>
      <x:c r="N60" s="78" t="str">
        <x:f>IF('06_Form_Emissions_GES'!$L60="Validé humainement",'06_Form_Emissions_GES'!N60,"")</x:f>
      </x:c>
      <x:c r="O60" s="76" t="str">
        <x:f>IF('06_Form_Emissions_GES'!$L60="Validé humainement",'06_Form_Emissions_GES'!O60,"")</x:f>
      </x:c>
      <x:c r="P60" s="76" t="str">
        <x:f>IF('06_Form_Emissions_GES'!$L60="Validé humainement",'06_Form_Emissions_GES'!P60,"")</x:f>
      </x:c>
      <x:c r="Q60" s="76" t="str">
        <x:f>IF('06_Form_Emissions_GES'!$L60="Validé humainement",'06_Form_Emissions_GES'!Q60,"")</x:f>
      </x:c>
    </x:row>
    <x:row r="61">
      <x:c r="A61" s="76" t="str">
        <x:f>IF('06_Form_Emissions_GES'!$L61="Validé humainement",'06_Form_Emissions_GES'!A61,"")</x:f>
      </x:c>
      <x:c r="B61" s="76" t="str">
        <x:f>IF('06_Form_Emissions_GES'!$L61="Validé humainement",'06_Form_Emissions_GES'!B61,"")</x:f>
      </x:c>
      <x:c r="C61" s="76" t="str">
        <x:f>IF('06_Form_Emissions_GES'!$L61="Validé humainement",'06_Form_Emissions_GES'!C61,"")</x:f>
      </x:c>
      <x:c r="D61" s="76" t="str">
        <x:f>IF('06_Form_Emissions_GES'!$L61="Validé humainement",'06_Form_Emissions_GES'!D61,"")</x:f>
      </x:c>
      <x:c r="E61" s="77" t="str">
        <x:f>IF('06_Form_Emissions_GES'!$L61="Validé humainement",'06_Form_Emissions_GES'!E61,"")</x:f>
      </x:c>
      <x:c r="F61" s="76" t="str">
        <x:f>IF('06_Form_Emissions_GES'!$L61="Validé humainement",'06_Form_Emissions_GES'!F61,"")</x:f>
      </x:c>
      <x:c r="G61" s="83" t="str">
        <x:f>IF('06_Form_Emissions_GES'!$L61="Validé humainement",'06_Form_Emissions_GES'!G61,"")</x:f>
      </x:c>
      <x:c r="H61" s="77" t="str">
        <x:f>IF('06_Form_Emissions_GES'!$L61="Validé humainement",'06_Form_Emissions_GES'!H61,"")</x:f>
      </x:c>
      <x:c r="I61" s="76" t="str">
        <x:f>IF('06_Form_Emissions_GES'!$L61="Validé humainement",'06_Form_Emissions_GES'!I61,"")</x:f>
      </x:c>
      <x:c r="J61" s="76" t="str">
        <x:f>IF('06_Form_Emissions_GES'!$L61="Validé humainement",'06_Form_Emissions_GES'!J61,"")</x:f>
      </x:c>
      <x:c r="K61" s="76" t="str">
        <x:f>IF('06_Form_Emissions_GES'!$L61="Validé humainement",'06_Form_Emissions_GES'!K61,"")</x:f>
      </x:c>
      <x:c r="L61" s="76" t="str">
        <x:f>IF('06_Form_Emissions_GES'!$L61="Validé humainement",'06_Form_Emissions_GES'!L61,"")</x:f>
      </x:c>
      <x:c r="M61" s="76" t="str">
        <x:f>IF('06_Form_Emissions_GES'!$L61="Validé humainement",'06_Form_Emissions_GES'!M61,"")</x:f>
      </x:c>
      <x:c r="N61" s="78" t="str">
        <x:f>IF('06_Form_Emissions_GES'!$L61="Validé humainement",'06_Form_Emissions_GES'!N61,"")</x:f>
      </x:c>
      <x:c r="O61" s="76" t="str">
        <x:f>IF('06_Form_Emissions_GES'!$L61="Validé humainement",'06_Form_Emissions_GES'!O61,"")</x:f>
      </x:c>
      <x:c r="P61" s="76" t="str">
        <x:f>IF('06_Form_Emissions_GES'!$L61="Validé humainement",'06_Form_Emissions_GES'!P61,"")</x:f>
      </x:c>
      <x:c r="Q61" s="76" t="str">
        <x:f>IF('06_Form_Emissions_GES'!$L61="Validé humainement",'06_Form_Emissions_GES'!Q61,"")</x:f>
      </x:c>
    </x:row>
    <x:row r="62">
      <x:c r="A62" s="76" t="str">
        <x:f>IF('06_Form_Emissions_GES'!$L62="Validé humainement",'06_Form_Emissions_GES'!A62,"")</x:f>
      </x:c>
      <x:c r="B62" s="76" t="str">
        <x:f>IF('06_Form_Emissions_GES'!$L62="Validé humainement",'06_Form_Emissions_GES'!B62,"")</x:f>
      </x:c>
      <x:c r="C62" s="76" t="str">
        <x:f>IF('06_Form_Emissions_GES'!$L62="Validé humainement",'06_Form_Emissions_GES'!C62,"")</x:f>
      </x:c>
      <x:c r="D62" s="76" t="str">
        <x:f>IF('06_Form_Emissions_GES'!$L62="Validé humainement",'06_Form_Emissions_GES'!D62,"")</x:f>
      </x:c>
      <x:c r="E62" s="77" t="str">
        <x:f>IF('06_Form_Emissions_GES'!$L62="Validé humainement",'06_Form_Emissions_GES'!E62,"")</x:f>
      </x:c>
      <x:c r="F62" s="76" t="str">
        <x:f>IF('06_Form_Emissions_GES'!$L62="Validé humainement",'06_Form_Emissions_GES'!F62,"")</x:f>
      </x:c>
      <x:c r="G62" s="83" t="str">
        <x:f>IF('06_Form_Emissions_GES'!$L62="Validé humainement",'06_Form_Emissions_GES'!G62,"")</x:f>
      </x:c>
      <x:c r="H62" s="77" t="str">
        <x:f>IF('06_Form_Emissions_GES'!$L62="Validé humainement",'06_Form_Emissions_GES'!H62,"")</x:f>
      </x:c>
      <x:c r="I62" s="76" t="str">
        <x:f>IF('06_Form_Emissions_GES'!$L62="Validé humainement",'06_Form_Emissions_GES'!I62,"")</x:f>
      </x:c>
      <x:c r="J62" s="76" t="str">
        <x:f>IF('06_Form_Emissions_GES'!$L62="Validé humainement",'06_Form_Emissions_GES'!J62,"")</x:f>
      </x:c>
      <x:c r="K62" s="76" t="str">
        <x:f>IF('06_Form_Emissions_GES'!$L62="Validé humainement",'06_Form_Emissions_GES'!K62,"")</x:f>
      </x:c>
      <x:c r="L62" s="76" t="str">
        <x:f>IF('06_Form_Emissions_GES'!$L62="Validé humainement",'06_Form_Emissions_GES'!L62,"")</x:f>
      </x:c>
      <x:c r="M62" s="76" t="str">
        <x:f>IF('06_Form_Emissions_GES'!$L62="Validé humainement",'06_Form_Emissions_GES'!M62,"")</x:f>
      </x:c>
      <x:c r="N62" s="78" t="str">
        <x:f>IF('06_Form_Emissions_GES'!$L62="Validé humainement",'06_Form_Emissions_GES'!N62,"")</x:f>
      </x:c>
      <x:c r="O62" s="76" t="str">
        <x:f>IF('06_Form_Emissions_GES'!$L62="Validé humainement",'06_Form_Emissions_GES'!O62,"")</x:f>
      </x:c>
      <x:c r="P62" s="76" t="str">
        <x:f>IF('06_Form_Emissions_GES'!$L62="Validé humainement",'06_Form_Emissions_GES'!P62,"")</x:f>
      </x:c>
      <x:c r="Q62" s="76" t="str">
        <x:f>IF('06_Form_Emissions_GES'!$L62="Validé humainement",'06_Form_Emissions_GES'!Q62,"")</x:f>
      </x:c>
    </x:row>
    <x:row r="63">
      <x:c r="A63" s="76" t="str">
        <x:f>IF('06_Form_Emissions_GES'!$L63="Validé humainement",'06_Form_Emissions_GES'!A63,"")</x:f>
      </x:c>
      <x:c r="B63" s="76" t="str">
        <x:f>IF('06_Form_Emissions_GES'!$L63="Validé humainement",'06_Form_Emissions_GES'!B63,"")</x:f>
      </x:c>
      <x:c r="C63" s="76" t="str">
        <x:f>IF('06_Form_Emissions_GES'!$L63="Validé humainement",'06_Form_Emissions_GES'!C63,"")</x:f>
      </x:c>
      <x:c r="D63" s="76" t="str">
        <x:f>IF('06_Form_Emissions_GES'!$L63="Validé humainement",'06_Form_Emissions_GES'!D63,"")</x:f>
      </x:c>
      <x:c r="E63" s="77" t="str">
        <x:f>IF('06_Form_Emissions_GES'!$L63="Validé humainement",'06_Form_Emissions_GES'!E63,"")</x:f>
      </x:c>
      <x:c r="F63" s="76" t="str">
        <x:f>IF('06_Form_Emissions_GES'!$L63="Validé humainement",'06_Form_Emissions_GES'!F63,"")</x:f>
      </x:c>
      <x:c r="G63" s="83" t="str">
        <x:f>IF('06_Form_Emissions_GES'!$L63="Validé humainement",'06_Form_Emissions_GES'!G63,"")</x:f>
      </x:c>
      <x:c r="H63" s="77" t="str">
        <x:f>IF('06_Form_Emissions_GES'!$L63="Validé humainement",'06_Form_Emissions_GES'!H63,"")</x:f>
      </x:c>
      <x:c r="I63" s="76" t="str">
        <x:f>IF('06_Form_Emissions_GES'!$L63="Validé humainement",'06_Form_Emissions_GES'!I63,"")</x:f>
      </x:c>
      <x:c r="J63" s="76" t="str">
        <x:f>IF('06_Form_Emissions_GES'!$L63="Validé humainement",'06_Form_Emissions_GES'!J63,"")</x:f>
      </x:c>
      <x:c r="K63" s="76" t="str">
        <x:f>IF('06_Form_Emissions_GES'!$L63="Validé humainement",'06_Form_Emissions_GES'!K63,"")</x:f>
      </x:c>
      <x:c r="L63" s="76" t="str">
        <x:f>IF('06_Form_Emissions_GES'!$L63="Validé humainement",'06_Form_Emissions_GES'!L63,"")</x:f>
      </x:c>
      <x:c r="M63" s="76" t="str">
        <x:f>IF('06_Form_Emissions_GES'!$L63="Validé humainement",'06_Form_Emissions_GES'!M63,"")</x:f>
      </x:c>
      <x:c r="N63" s="78" t="str">
        <x:f>IF('06_Form_Emissions_GES'!$L63="Validé humainement",'06_Form_Emissions_GES'!N63,"")</x:f>
      </x:c>
      <x:c r="O63" s="76" t="str">
        <x:f>IF('06_Form_Emissions_GES'!$L63="Validé humainement",'06_Form_Emissions_GES'!O63,"")</x:f>
      </x:c>
      <x:c r="P63" s="76" t="str">
        <x:f>IF('06_Form_Emissions_GES'!$L63="Validé humainement",'06_Form_Emissions_GES'!P63,"")</x:f>
      </x:c>
      <x:c r="Q63" s="76" t="str">
        <x:f>IF('06_Form_Emissions_GES'!$L63="Validé humainement",'06_Form_Emissions_GES'!Q63,"")</x:f>
      </x:c>
    </x:row>
    <x:row r="64">
      <x:c r="A64" s="76" t="str">
        <x:f>IF('06_Form_Emissions_GES'!$L64="Validé humainement",'06_Form_Emissions_GES'!A64,"")</x:f>
      </x:c>
      <x:c r="B64" s="76" t="str">
        <x:f>IF('06_Form_Emissions_GES'!$L64="Validé humainement",'06_Form_Emissions_GES'!B64,"")</x:f>
      </x:c>
      <x:c r="C64" s="76" t="str">
        <x:f>IF('06_Form_Emissions_GES'!$L64="Validé humainement",'06_Form_Emissions_GES'!C64,"")</x:f>
      </x:c>
      <x:c r="D64" s="76" t="str">
        <x:f>IF('06_Form_Emissions_GES'!$L64="Validé humainement",'06_Form_Emissions_GES'!D64,"")</x:f>
      </x:c>
      <x:c r="E64" s="77" t="str">
        <x:f>IF('06_Form_Emissions_GES'!$L64="Validé humainement",'06_Form_Emissions_GES'!E64,"")</x:f>
      </x:c>
      <x:c r="F64" s="76" t="str">
        <x:f>IF('06_Form_Emissions_GES'!$L64="Validé humainement",'06_Form_Emissions_GES'!F64,"")</x:f>
      </x:c>
      <x:c r="G64" s="83" t="str">
        <x:f>IF('06_Form_Emissions_GES'!$L64="Validé humainement",'06_Form_Emissions_GES'!G64,"")</x:f>
      </x:c>
      <x:c r="H64" s="77" t="str">
        <x:f>IF('06_Form_Emissions_GES'!$L64="Validé humainement",'06_Form_Emissions_GES'!H64,"")</x:f>
      </x:c>
      <x:c r="I64" s="76" t="str">
        <x:f>IF('06_Form_Emissions_GES'!$L64="Validé humainement",'06_Form_Emissions_GES'!I64,"")</x:f>
      </x:c>
      <x:c r="J64" s="76" t="str">
        <x:f>IF('06_Form_Emissions_GES'!$L64="Validé humainement",'06_Form_Emissions_GES'!J64,"")</x:f>
      </x:c>
      <x:c r="K64" s="76" t="str">
        <x:f>IF('06_Form_Emissions_GES'!$L64="Validé humainement",'06_Form_Emissions_GES'!K64,"")</x:f>
      </x:c>
      <x:c r="L64" s="76" t="str">
        <x:f>IF('06_Form_Emissions_GES'!$L64="Validé humainement",'06_Form_Emissions_GES'!L64,"")</x:f>
      </x:c>
      <x:c r="M64" s="76" t="str">
        <x:f>IF('06_Form_Emissions_GES'!$L64="Validé humainement",'06_Form_Emissions_GES'!M64,"")</x:f>
      </x:c>
      <x:c r="N64" s="78" t="str">
        <x:f>IF('06_Form_Emissions_GES'!$L64="Validé humainement",'06_Form_Emissions_GES'!N64,"")</x:f>
      </x:c>
      <x:c r="O64" s="76" t="str">
        <x:f>IF('06_Form_Emissions_GES'!$L64="Validé humainement",'06_Form_Emissions_GES'!O64,"")</x:f>
      </x:c>
      <x:c r="P64" s="76" t="str">
        <x:f>IF('06_Form_Emissions_GES'!$L64="Validé humainement",'06_Form_Emissions_GES'!P64,"")</x:f>
      </x:c>
      <x:c r="Q64" s="76" t="str">
        <x:f>IF('06_Form_Emissions_GES'!$L64="Validé humainement",'06_Form_Emissions_GES'!Q64,"")</x:f>
      </x:c>
    </x:row>
    <x:row r="65">
      <x:c r="A65" s="76" t="str">
        <x:f>IF('06_Form_Emissions_GES'!$L65="Validé humainement",'06_Form_Emissions_GES'!A65,"")</x:f>
      </x:c>
      <x:c r="B65" s="76" t="str">
        <x:f>IF('06_Form_Emissions_GES'!$L65="Validé humainement",'06_Form_Emissions_GES'!B65,"")</x:f>
      </x:c>
      <x:c r="C65" s="76" t="str">
        <x:f>IF('06_Form_Emissions_GES'!$L65="Validé humainement",'06_Form_Emissions_GES'!C65,"")</x:f>
      </x:c>
      <x:c r="D65" s="76" t="str">
        <x:f>IF('06_Form_Emissions_GES'!$L65="Validé humainement",'06_Form_Emissions_GES'!D65,"")</x:f>
      </x:c>
      <x:c r="E65" s="77" t="str">
        <x:f>IF('06_Form_Emissions_GES'!$L65="Validé humainement",'06_Form_Emissions_GES'!E65,"")</x:f>
      </x:c>
      <x:c r="F65" s="76" t="str">
        <x:f>IF('06_Form_Emissions_GES'!$L65="Validé humainement",'06_Form_Emissions_GES'!F65,"")</x:f>
      </x:c>
      <x:c r="G65" s="83" t="str">
        <x:f>IF('06_Form_Emissions_GES'!$L65="Validé humainement",'06_Form_Emissions_GES'!G65,"")</x:f>
      </x:c>
      <x:c r="H65" s="77" t="str">
        <x:f>IF('06_Form_Emissions_GES'!$L65="Validé humainement",'06_Form_Emissions_GES'!H65,"")</x:f>
      </x:c>
      <x:c r="I65" s="76" t="str">
        <x:f>IF('06_Form_Emissions_GES'!$L65="Validé humainement",'06_Form_Emissions_GES'!I65,"")</x:f>
      </x:c>
      <x:c r="J65" s="76" t="str">
        <x:f>IF('06_Form_Emissions_GES'!$L65="Validé humainement",'06_Form_Emissions_GES'!J65,"")</x:f>
      </x:c>
      <x:c r="K65" s="76" t="str">
        <x:f>IF('06_Form_Emissions_GES'!$L65="Validé humainement",'06_Form_Emissions_GES'!K65,"")</x:f>
      </x:c>
      <x:c r="L65" s="76" t="str">
        <x:f>IF('06_Form_Emissions_GES'!$L65="Validé humainement",'06_Form_Emissions_GES'!L65,"")</x:f>
      </x:c>
      <x:c r="M65" s="76" t="str">
        <x:f>IF('06_Form_Emissions_GES'!$L65="Validé humainement",'06_Form_Emissions_GES'!M65,"")</x:f>
      </x:c>
      <x:c r="N65" s="78" t="str">
        <x:f>IF('06_Form_Emissions_GES'!$L65="Validé humainement",'06_Form_Emissions_GES'!N65,"")</x:f>
      </x:c>
      <x:c r="O65" s="76" t="str">
        <x:f>IF('06_Form_Emissions_GES'!$L65="Validé humainement",'06_Form_Emissions_GES'!O65,"")</x:f>
      </x:c>
      <x:c r="P65" s="76" t="str">
        <x:f>IF('06_Form_Emissions_GES'!$L65="Validé humainement",'06_Form_Emissions_GES'!P65,"")</x:f>
      </x:c>
      <x:c r="Q65" s="76" t="str">
        <x:f>IF('06_Form_Emissions_GES'!$L65="Validé humainement",'06_Form_Emissions_GES'!Q65,"")</x:f>
      </x:c>
    </x:row>
    <x:row r="66">
      <x:c r="A66" s="76" t="str">
        <x:f>IF('06_Form_Emissions_GES'!$L66="Validé humainement",'06_Form_Emissions_GES'!A66,"")</x:f>
      </x:c>
      <x:c r="B66" s="76" t="str">
        <x:f>IF('06_Form_Emissions_GES'!$L66="Validé humainement",'06_Form_Emissions_GES'!B66,"")</x:f>
      </x:c>
      <x:c r="C66" s="76" t="str">
        <x:f>IF('06_Form_Emissions_GES'!$L66="Validé humainement",'06_Form_Emissions_GES'!C66,"")</x:f>
      </x:c>
      <x:c r="D66" s="76" t="str">
        <x:f>IF('06_Form_Emissions_GES'!$L66="Validé humainement",'06_Form_Emissions_GES'!D66,"")</x:f>
      </x:c>
      <x:c r="E66" s="77" t="str">
        <x:f>IF('06_Form_Emissions_GES'!$L66="Validé humainement",'06_Form_Emissions_GES'!E66,"")</x:f>
      </x:c>
      <x:c r="F66" s="76" t="str">
        <x:f>IF('06_Form_Emissions_GES'!$L66="Validé humainement",'06_Form_Emissions_GES'!F66,"")</x:f>
      </x:c>
      <x:c r="G66" s="83" t="str">
        <x:f>IF('06_Form_Emissions_GES'!$L66="Validé humainement",'06_Form_Emissions_GES'!G66,"")</x:f>
      </x:c>
      <x:c r="H66" s="77" t="str">
        <x:f>IF('06_Form_Emissions_GES'!$L66="Validé humainement",'06_Form_Emissions_GES'!H66,"")</x:f>
      </x:c>
      <x:c r="I66" s="76" t="str">
        <x:f>IF('06_Form_Emissions_GES'!$L66="Validé humainement",'06_Form_Emissions_GES'!I66,"")</x:f>
      </x:c>
      <x:c r="J66" s="76" t="str">
        <x:f>IF('06_Form_Emissions_GES'!$L66="Validé humainement",'06_Form_Emissions_GES'!J66,"")</x:f>
      </x:c>
      <x:c r="K66" s="76" t="str">
        <x:f>IF('06_Form_Emissions_GES'!$L66="Validé humainement",'06_Form_Emissions_GES'!K66,"")</x:f>
      </x:c>
      <x:c r="L66" s="76" t="str">
        <x:f>IF('06_Form_Emissions_GES'!$L66="Validé humainement",'06_Form_Emissions_GES'!L66,"")</x:f>
      </x:c>
      <x:c r="M66" s="76" t="str">
        <x:f>IF('06_Form_Emissions_GES'!$L66="Validé humainement",'06_Form_Emissions_GES'!M66,"")</x:f>
      </x:c>
      <x:c r="N66" s="78" t="str">
        <x:f>IF('06_Form_Emissions_GES'!$L66="Validé humainement",'06_Form_Emissions_GES'!N66,"")</x:f>
      </x:c>
      <x:c r="O66" s="76" t="str">
        <x:f>IF('06_Form_Emissions_GES'!$L66="Validé humainement",'06_Form_Emissions_GES'!O66,"")</x:f>
      </x:c>
      <x:c r="P66" s="76" t="str">
        <x:f>IF('06_Form_Emissions_GES'!$L66="Validé humainement",'06_Form_Emissions_GES'!P66,"")</x:f>
      </x:c>
      <x:c r="Q66" s="76" t="str">
        <x:f>IF('06_Form_Emissions_GES'!$L66="Validé humainement",'06_Form_Emissions_GES'!Q66,"")</x:f>
      </x:c>
    </x:row>
    <x:row r="67">
      <x:c r="A67" s="76" t="str">
        <x:f>IF('06_Form_Emissions_GES'!$L67="Validé humainement",'06_Form_Emissions_GES'!A67,"")</x:f>
      </x:c>
      <x:c r="B67" s="76" t="str">
        <x:f>IF('06_Form_Emissions_GES'!$L67="Validé humainement",'06_Form_Emissions_GES'!B67,"")</x:f>
      </x:c>
      <x:c r="C67" s="76" t="str">
        <x:f>IF('06_Form_Emissions_GES'!$L67="Validé humainement",'06_Form_Emissions_GES'!C67,"")</x:f>
      </x:c>
      <x:c r="D67" s="76" t="str">
        <x:f>IF('06_Form_Emissions_GES'!$L67="Validé humainement",'06_Form_Emissions_GES'!D67,"")</x:f>
      </x:c>
      <x:c r="E67" s="77" t="str">
        <x:f>IF('06_Form_Emissions_GES'!$L67="Validé humainement",'06_Form_Emissions_GES'!E67,"")</x:f>
      </x:c>
      <x:c r="F67" s="76" t="str">
        <x:f>IF('06_Form_Emissions_GES'!$L67="Validé humainement",'06_Form_Emissions_GES'!F67,"")</x:f>
      </x:c>
      <x:c r="G67" s="83" t="str">
        <x:f>IF('06_Form_Emissions_GES'!$L67="Validé humainement",'06_Form_Emissions_GES'!G67,"")</x:f>
      </x:c>
      <x:c r="H67" s="77" t="str">
        <x:f>IF('06_Form_Emissions_GES'!$L67="Validé humainement",'06_Form_Emissions_GES'!H67,"")</x:f>
      </x:c>
      <x:c r="I67" s="76" t="str">
        <x:f>IF('06_Form_Emissions_GES'!$L67="Validé humainement",'06_Form_Emissions_GES'!I67,"")</x:f>
      </x:c>
      <x:c r="J67" s="76" t="str">
        <x:f>IF('06_Form_Emissions_GES'!$L67="Validé humainement",'06_Form_Emissions_GES'!J67,"")</x:f>
      </x:c>
      <x:c r="K67" s="76" t="str">
        <x:f>IF('06_Form_Emissions_GES'!$L67="Validé humainement",'06_Form_Emissions_GES'!K67,"")</x:f>
      </x:c>
      <x:c r="L67" s="76" t="str">
        <x:f>IF('06_Form_Emissions_GES'!$L67="Validé humainement",'06_Form_Emissions_GES'!L67,"")</x:f>
      </x:c>
      <x:c r="M67" s="76" t="str">
        <x:f>IF('06_Form_Emissions_GES'!$L67="Validé humainement",'06_Form_Emissions_GES'!M67,"")</x:f>
      </x:c>
      <x:c r="N67" s="78" t="str">
        <x:f>IF('06_Form_Emissions_GES'!$L67="Validé humainement",'06_Form_Emissions_GES'!N67,"")</x:f>
      </x:c>
      <x:c r="O67" s="76" t="str">
        <x:f>IF('06_Form_Emissions_GES'!$L67="Validé humainement",'06_Form_Emissions_GES'!O67,"")</x:f>
      </x:c>
      <x:c r="P67" s="76" t="str">
        <x:f>IF('06_Form_Emissions_GES'!$L67="Validé humainement",'06_Form_Emissions_GES'!P67,"")</x:f>
      </x:c>
      <x:c r="Q67" s="76" t="str">
        <x:f>IF('06_Form_Emissions_GES'!$L67="Validé humainement",'06_Form_Emissions_GES'!Q67,"")</x:f>
      </x:c>
    </x:row>
    <x:row r="68">
      <x:c r="A68" s="76" t="str">
        <x:f>IF('06_Form_Emissions_GES'!$L68="Validé humainement",'06_Form_Emissions_GES'!A68,"")</x:f>
      </x:c>
      <x:c r="B68" s="76" t="str">
        <x:f>IF('06_Form_Emissions_GES'!$L68="Validé humainement",'06_Form_Emissions_GES'!B68,"")</x:f>
      </x:c>
      <x:c r="C68" s="76" t="str">
        <x:f>IF('06_Form_Emissions_GES'!$L68="Validé humainement",'06_Form_Emissions_GES'!C68,"")</x:f>
      </x:c>
      <x:c r="D68" s="76" t="str">
        <x:f>IF('06_Form_Emissions_GES'!$L68="Validé humainement",'06_Form_Emissions_GES'!D68,"")</x:f>
      </x:c>
      <x:c r="E68" s="77" t="str">
        <x:f>IF('06_Form_Emissions_GES'!$L68="Validé humainement",'06_Form_Emissions_GES'!E68,"")</x:f>
      </x:c>
      <x:c r="F68" s="76" t="str">
        <x:f>IF('06_Form_Emissions_GES'!$L68="Validé humainement",'06_Form_Emissions_GES'!F68,"")</x:f>
      </x:c>
      <x:c r="G68" s="83" t="str">
        <x:f>IF('06_Form_Emissions_GES'!$L68="Validé humainement",'06_Form_Emissions_GES'!G68,"")</x:f>
      </x:c>
      <x:c r="H68" s="77" t="str">
        <x:f>IF('06_Form_Emissions_GES'!$L68="Validé humainement",'06_Form_Emissions_GES'!H68,"")</x:f>
      </x:c>
      <x:c r="I68" s="76" t="str">
        <x:f>IF('06_Form_Emissions_GES'!$L68="Validé humainement",'06_Form_Emissions_GES'!I68,"")</x:f>
      </x:c>
      <x:c r="J68" s="76" t="str">
        <x:f>IF('06_Form_Emissions_GES'!$L68="Validé humainement",'06_Form_Emissions_GES'!J68,"")</x:f>
      </x:c>
      <x:c r="K68" s="76" t="str">
        <x:f>IF('06_Form_Emissions_GES'!$L68="Validé humainement",'06_Form_Emissions_GES'!K68,"")</x:f>
      </x:c>
      <x:c r="L68" s="76" t="str">
        <x:f>IF('06_Form_Emissions_GES'!$L68="Validé humainement",'06_Form_Emissions_GES'!L68,"")</x:f>
      </x:c>
      <x:c r="M68" s="76" t="str">
        <x:f>IF('06_Form_Emissions_GES'!$L68="Validé humainement",'06_Form_Emissions_GES'!M68,"")</x:f>
      </x:c>
      <x:c r="N68" s="78" t="str">
        <x:f>IF('06_Form_Emissions_GES'!$L68="Validé humainement",'06_Form_Emissions_GES'!N68,"")</x:f>
      </x:c>
      <x:c r="O68" s="76" t="str">
        <x:f>IF('06_Form_Emissions_GES'!$L68="Validé humainement",'06_Form_Emissions_GES'!O68,"")</x:f>
      </x:c>
      <x:c r="P68" s="76" t="str">
        <x:f>IF('06_Form_Emissions_GES'!$L68="Validé humainement",'06_Form_Emissions_GES'!P68,"")</x:f>
      </x:c>
      <x:c r="Q68" s="76" t="str">
        <x:f>IF('06_Form_Emissions_GES'!$L68="Validé humainement",'06_Form_Emissions_GES'!Q68,"")</x:f>
      </x:c>
    </x:row>
    <x:row r="69">
      <x:c r="A69" s="76" t="str">
        <x:f>IF('06_Form_Emissions_GES'!$L69="Validé humainement",'06_Form_Emissions_GES'!A69,"")</x:f>
      </x:c>
      <x:c r="B69" s="76" t="str">
        <x:f>IF('06_Form_Emissions_GES'!$L69="Validé humainement",'06_Form_Emissions_GES'!B69,"")</x:f>
      </x:c>
      <x:c r="C69" s="76" t="str">
        <x:f>IF('06_Form_Emissions_GES'!$L69="Validé humainement",'06_Form_Emissions_GES'!C69,"")</x:f>
      </x:c>
      <x:c r="D69" s="76" t="str">
        <x:f>IF('06_Form_Emissions_GES'!$L69="Validé humainement",'06_Form_Emissions_GES'!D69,"")</x:f>
      </x:c>
      <x:c r="E69" s="77" t="str">
        <x:f>IF('06_Form_Emissions_GES'!$L69="Validé humainement",'06_Form_Emissions_GES'!E69,"")</x:f>
      </x:c>
      <x:c r="F69" s="76" t="str">
        <x:f>IF('06_Form_Emissions_GES'!$L69="Validé humainement",'06_Form_Emissions_GES'!F69,"")</x:f>
      </x:c>
      <x:c r="G69" s="83" t="str">
        <x:f>IF('06_Form_Emissions_GES'!$L69="Validé humainement",'06_Form_Emissions_GES'!G69,"")</x:f>
      </x:c>
      <x:c r="H69" s="77" t="str">
        <x:f>IF('06_Form_Emissions_GES'!$L69="Validé humainement",'06_Form_Emissions_GES'!H69,"")</x:f>
      </x:c>
      <x:c r="I69" s="76" t="str">
        <x:f>IF('06_Form_Emissions_GES'!$L69="Validé humainement",'06_Form_Emissions_GES'!I69,"")</x:f>
      </x:c>
      <x:c r="J69" s="76" t="str">
        <x:f>IF('06_Form_Emissions_GES'!$L69="Validé humainement",'06_Form_Emissions_GES'!J69,"")</x:f>
      </x:c>
      <x:c r="K69" s="76" t="str">
        <x:f>IF('06_Form_Emissions_GES'!$L69="Validé humainement",'06_Form_Emissions_GES'!K69,"")</x:f>
      </x:c>
      <x:c r="L69" s="76" t="str">
        <x:f>IF('06_Form_Emissions_GES'!$L69="Validé humainement",'06_Form_Emissions_GES'!L69,"")</x:f>
      </x:c>
      <x:c r="M69" s="76" t="str">
        <x:f>IF('06_Form_Emissions_GES'!$L69="Validé humainement",'06_Form_Emissions_GES'!M69,"")</x:f>
      </x:c>
      <x:c r="N69" s="78" t="str">
        <x:f>IF('06_Form_Emissions_GES'!$L69="Validé humainement",'06_Form_Emissions_GES'!N69,"")</x:f>
      </x:c>
      <x:c r="O69" s="76" t="str">
        <x:f>IF('06_Form_Emissions_GES'!$L69="Validé humainement",'06_Form_Emissions_GES'!O69,"")</x:f>
      </x:c>
      <x:c r="P69" s="76" t="str">
        <x:f>IF('06_Form_Emissions_GES'!$L69="Validé humainement",'06_Form_Emissions_GES'!P69,"")</x:f>
      </x:c>
      <x:c r="Q69" s="76" t="str">
        <x:f>IF('06_Form_Emissions_GES'!$L69="Validé humainement",'06_Form_Emissions_GES'!Q69,"")</x:f>
      </x:c>
    </x:row>
    <x:row r="70">
      <x:c r="A70" s="76" t="str">
        <x:f>IF('06_Form_Emissions_GES'!$L70="Validé humainement",'06_Form_Emissions_GES'!A70,"")</x:f>
      </x:c>
      <x:c r="B70" s="76" t="str">
        <x:f>IF('06_Form_Emissions_GES'!$L70="Validé humainement",'06_Form_Emissions_GES'!B70,"")</x:f>
      </x:c>
      <x:c r="C70" s="76" t="str">
        <x:f>IF('06_Form_Emissions_GES'!$L70="Validé humainement",'06_Form_Emissions_GES'!C70,"")</x:f>
      </x:c>
      <x:c r="D70" s="76" t="str">
        <x:f>IF('06_Form_Emissions_GES'!$L70="Validé humainement",'06_Form_Emissions_GES'!D70,"")</x:f>
      </x:c>
      <x:c r="E70" s="77" t="str">
        <x:f>IF('06_Form_Emissions_GES'!$L70="Validé humainement",'06_Form_Emissions_GES'!E70,"")</x:f>
      </x:c>
      <x:c r="F70" s="76" t="str">
        <x:f>IF('06_Form_Emissions_GES'!$L70="Validé humainement",'06_Form_Emissions_GES'!F70,"")</x:f>
      </x:c>
      <x:c r="G70" s="83" t="str">
        <x:f>IF('06_Form_Emissions_GES'!$L70="Validé humainement",'06_Form_Emissions_GES'!G70,"")</x:f>
      </x:c>
      <x:c r="H70" s="77" t="str">
        <x:f>IF('06_Form_Emissions_GES'!$L70="Validé humainement",'06_Form_Emissions_GES'!H70,"")</x:f>
      </x:c>
      <x:c r="I70" s="76" t="str">
        <x:f>IF('06_Form_Emissions_GES'!$L70="Validé humainement",'06_Form_Emissions_GES'!I70,"")</x:f>
      </x:c>
      <x:c r="J70" s="76" t="str">
        <x:f>IF('06_Form_Emissions_GES'!$L70="Validé humainement",'06_Form_Emissions_GES'!J70,"")</x:f>
      </x:c>
      <x:c r="K70" s="76" t="str">
        <x:f>IF('06_Form_Emissions_GES'!$L70="Validé humainement",'06_Form_Emissions_GES'!K70,"")</x:f>
      </x:c>
      <x:c r="L70" s="76" t="str">
        <x:f>IF('06_Form_Emissions_GES'!$L70="Validé humainement",'06_Form_Emissions_GES'!L70,"")</x:f>
      </x:c>
      <x:c r="M70" s="76" t="str">
        <x:f>IF('06_Form_Emissions_GES'!$L70="Validé humainement",'06_Form_Emissions_GES'!M70,"")</x:f>
      </x:c>
      <x:c r="N70" s="78" t="str">
        <x:f>IF('06_Form_Emissions_GES'!$L70="Validé humainement",'06_Form_Emissions_GES'!N70,"")</x:f>
      </x:c>
      <x:c r="O70" s="76" t="str">
        <x:f>IF('06_Form_Emissions_GES'!$L70="Validé humainement",'06_Form_Emissions_GES'!O70,"")</x:f>
      </x:c>
      <x:c r="P70" s="76" t="str">
        <x:f>IF('06_Form_Emissions_GES'!$L70="Validé humainement",'06_Form_Emissions_GES'!P70,"")</x:f>
      </x:c>
      <x:c r="Q70" s="76" t="str">
        <x:f>IF('06_Form_Emissions_GES'!$L70="Validé humainement",'06_Form_Emissions_GES'!Q70,"")</x:f>
      </x:c>
    </x:row>
    <x:row r="71">
      <x:c r="A71" s="76" t="str">
        <x:f>IF('06_Form_Emissions_GES'!$L71="Validé humainement",'06_Form_Emissions_GES'!A71,"")</x:f>
      </x:c>
      <x:c r="B71" s="76" t="str">
        <x:f>IF('06_Form_Emissions_GES'!$L71="Validé humainement",'06_Form_Emissions_GES'!B71,"")</x:f>
      </x:c>
      <x:c r="C71" s="76" t="str">
        <x:f>IF('06_Form_Emissions_GES'!$L71="Validé humainement",'06_Form_Emissions_GES'!C71,"")</x:f>
      </x:c>
      <x:c r="D71" s="76" t="str">
        <x:f>IF('06_Form_Emissions_GES'!$L71="Validé humainement",'06_Form_Emissions_GES'!D71,"")</x:f>
      </x:c>
      <x:c r="E71" s="77" t="str">
        <x:f>IF('06_Form_Emissions_GES'!$L71="Validé humainement",'06_Form_Emissions_GES'!E71,"")</x:f>
      </x:c>
      <x:c r="F71" s="76" t="str">
        <x:f>IF('06_Form_Emissions_GES'!$L71="Validé humainement",'06_Form_Emissions_GES'!F71,"")</x:f>
      </x:c>
      <x:c r="G71" s="83" t="str">
        <x:f>IF('06_Form_Emissions_GES'!$L71="Validé humainement",'06_Form_Emissions_GES'!G71,"")</x:f>
      </x:c>
      <x:c r="H71" s="77" t="str">
        <x:f>IF('06_Form_Emissions_GES'!$L71="Validé humainement",'06_Form_Emissions_GES'!H71,"")</x:f>
      </x:c>
      <x:c r="I71" s="76" t="str">
        <x:f>IF('06_Form_Emissions_GES'!$L71="Validé humainement",'06_Form_Emissions_GES'!I71,"")</x:f>
      </x:c>
      <x:c r="J71" s="76" t="str">
        <x:f>IF('06_Form_Emissions_GES'!$L71="Validé humainement",'06_Form_Emissions_GES'!J71,"")</x:f>
      </x:c>
      <x:c r="K71" s="76" t="str">
        <x:f>IF('06_Form_Emissions_GES'!$L71="Validé humainement",'06_Form_Emissions_GES'!K71,"")</x:f>
      </x:c>
      <x:c r="L71" s="76" t="str">
        <x:f>IF('06_Form_Emissions_GES'!$L71="Validé humainement",'06_Form_Emissions_GES'!L71,"")</x:f>
      </x:c>
      <x:c r="M71" s="76" t="str">
        <x:f>IF('06_Form_Emissions_GES'!$L71="Validé humainement",'06_Form_Emissions_GES'!M71,"")</x:f>
      </x:c>
      <x:c r="N71" s="78" t="str">
        <x:f>IF('06_Form_Emissions_GES'!$L71="Validé humainement",'06_Form_Emissions_GES'!N71,"")</x:f>
      </x:c>
      <x:c r="O71" s="76" t="str">
        <x:f>IF('06_Form_Emissions_GES'!$L71="Validé humainement",'06_Form_Emissions_GES'!O71,"")</x:f>
      </x:c>
      <x:c r="P71" s="76" t="str">
        <x:f>IF('06_Form_Emissions_GES'!$L71="Validé humainement",'06_Form_Emissions_GES'!P71,"")</x:f>
      </x:c>
      <x:c r="Q71" s="76" t="str">
        <x:f>IF('06_Form_Emissions_GES'!$L71="Validé humainement",'06_Form_Emissions_GES'!Q71,"")</x:f>
      </x:c>
    </x:row>
    <x:row r="72">
      <x:c r="A72" s="76" t="str">
        <x:f>IF('06_Form_Emissions_GES'!$L72="Validé humainement",'06_Form_Emissions_GES'!A72,"")</x:f>
      </x:c>
      <x:c r="B72" s="76" t="str">
        <x:f>IF('06_Form_Emissions_GES'!$L72="Validé humainement",'06_Form_Emissions_GES'!B72,"")</x:f>
      </x:c>
      <x:c r="C72" s="76" t="str">
        <x:f>IF('06_Form_Emissions_GES'!$L72="Validé humainement",'06_Form_Emissions_GES'!C72,"")</x:f>
      </x:c>
      <x:c r="D72" s="76" t="str">
        <x:f>IF('06_Form_Emissions_GES'!$L72="Validé humainement",'06_Form_Emissions_GES'!D72,"")</x:f>
      </x:c>
      <x:c r="E72" s="77" t="str">
        <x:f>IF('06_Form_Emissions_GES'!$L72="Validé humainement",'06_Form_Emissions_GES'!E72,"")</x:f>
      </x:c>
      <x:c r="F72" s="76" t="str">
        <x:f>IF('06_Form_Emissions_GES'!$L72="Validé humainement",'06_Form_Emissions_GES'!F72,"")</x:f>
      </x:c>
      <x:c r="G72" s="83" t="str">
        <x:f>IF('06_Form_Emissions_GES'!$L72="Validé humainement",'06_Form_Emissions_GES'!G72,"")</x:f>
      </x:c>
      <x:c r="H72" s="77" t="str">
        <x:f>IF('06_Form_Emissions_GES'!$L72="Validé humainement",'06_Form_Emissions_GES'!H72,"")</x:f>
      </x:c>
      <x:c r="I72" s="76" t="str">
        <x:f>IF('06_Form_Emissions_GES'!$L72="Validé humainement",'06_Form_Emissions_GES'!I72,"")</x:f>
      </x:c>
      <x:c r="J72" s="76" t="str">
        <x:f>IF('06_Form_Emissions_GES'!$L72="Validé humainement",'06_Form_Emissions_GES'!J72,"")</x:f>
      </x:c>
      <x:c r="K72" s="76" t="str">
        <x:f>IF('06_Form_Emissions_GES'!$L72="Validé humainement",'06_Form_Emissions_GES'!K72,"")</x:f>
      </x:c>
      <x:c r="L72" s="76" t="str">
        <x:f>IF('06_Form_Emissions_GES'!$L72="Validé humainement",'06_Form_Emissions_GES'!L72,"")</x:f>
      </x:c>
      <x:c r="M72" s="76" t="str">
        <x:f>IF('06_Form_Emissions_GES'!$L72="Validé humainement",'06_Form_Emissions_GES'!M72,"")</x:f>
      </x:c>
      <x:c r="N72" s="78" t="str">
        <x:f>IF('06_Form_Emissions_GES'!$L72="Validé humainement",'06_Form_Emissions_GES'!N72,"")</x:f>
      </x:c>
      <x:c r="O72" s="76" t="str">
        <x:f>IF('06_Form_Emissions_GES'!$L72="Validé humainement",'06_Form_Emissions_GES'!O72,"")</x:f>
      </x:c>
      <x:c r="P72" s="76" t="str">
        <x:f>IF('06_Form_Emissions_GES'!$L72="Validé humainement",'06_Form_Emissions_GES'!P72,"")</x:f>
      </x:c>
      <x:c r="Q72" s="76" t="str">
        <x:f>IF('06_Form_Emissions_GES'!$L72="Validé humainement",'06_Form_Emissions_GES'!Q72,"")</x:f>
      </x:c>
    </x:row>
    <x:row r="73">
      <x:c r="A73" s="76" t="str">
        <x:f>IF('06_Form_Emissions_GES'!$L73="Validé humainement",'06_Form_Emissions_GES'!A73,"")</x:f>
      </x:c>
      <x:c r="B73" s="76" t="str">
        <x:f>IF('06_Form_Emissions_GES'!$L73="Validé humainement",'06_Form_Emissions_GES'!B73,"")</x:f>
      </x:c>
      <x:c r="C73" s="76" t="str">
        <x:f>IF('06_Form_Emissions_GES'!$L73="Validé humainement",'06_Form_Emissions_GES'!C73,"")</x:f>
      </x:c>
      <x:c r="D73" s="76" t="str">
        <x:f>IF('06_Form_Emissions_GES'!$L73="Validé humainement",'06_Form_Emissions_GES'!D73,"")</x:f>
      </x:c>
      <x:c r="E73" s="77" t="str">
        <x:f>IF('06_Form_Emissions_GES'!$L73="Validé humainement",'06_Form_Emissions_GES'!E73,"")</x:f>
      </x:c>
      <x:c r="F73" s="76" t="str">
        <x:f>IF('06_Form_Emissions_GES'!$L73="Validé humainement",'06_Form_Emissions_GES'!F73,"")</x:f>
      </x:c>
      <x:c r="G73" s="83" t="str">
        <x:f>IF('06_Form_Emissions_GES'!$L73="Validé humainement",'06_Form_Emissions_GES'!G73,"")</x:f>
      </x:c>
      <x:c r="H73" s="77" t="str">
        <x:f>IF('06_Form_Emissions_GES'!$L73="Validé humainement",'06_Form_Emissions_GES'!H73,"")</x:f>
      </x:c>
      <x:c r="I73" s="76" t="str">
        <x:f>IF('06_Form_Emissions_GES'!$L73="Validé humainement",'06_Form_Emissions_GES'!I73,"")</x:f>
      </x:c>
      <x:c r="J73" s="76" t="str">
        <x:f>IF('06_Form_Emissions_GES'!$L73="Validé humainement",'06_Form_Emissions_GES'!J73,"")</x:f>
      </x:c>
      <x:c r="K73" s="76" t="str">
        <x:f>IF('06_Form_Emissions_GES'!$L73="Validé humainement",'06_Form_Emissions_GES'!K73,"")</x:f>
      </x:c>
      <x:c r="L73" s="76" t="str">
        <x:f>IF('06_Form_Emissions_GES'!$L73="Validé humainement",'06_Form_Emissions_GES'!L73,"")</x:f>
      </x:c>
      <x:c r="M73" s="76" t="str">
        <x:f>IF('06_Form_Emissions_GES'!$L73="Validé humainement",'06_Form_Emissions_GES'!M73,"")</x:f>
      </x:c>
      <x:c r="N73" s="78" t="str">
        <x:f>IF('06_Form_Emissions_GES'!$L73="Validé humainement",'06_Form_Emissions_GES'!N73,"")</x:f>
      </x:c>
      <x:c r="O73" s="76" t="str">
        <x:f>IF('06_Form_Emissions_GES'!$L73="Validé humainement",'06_Form_Emissions_GES'!O73,"")</x:f>
      </x:c>
      <x:c r="P73" s="76" t="str">
        <x:f>IF('06_Form_Emissions_GES'!$L73="Validé humainement",'06_Form_Emissions_GES'!P73,"")</x:f>
      </x:c>
      <x:c r="Q73" s="76" t="str">
        <x:f>IF('06_Form_Emissions_GES'!$L73="Validé humainement",'06_Form_Emissions_GES'!Q73,"")</x:f>
      </x:c>
    </x:row>
    <x:row r="74">
      <x:c r="A74" s="76" t="str">
        <x:f>IF('06_Form_Emissions_GES'!$L74="Validé humainement",'06_Form_Emissions_GES'!A74,"")</x:f>
      </x:c>
      <x:c r="B74" s="76" t="str">
        <x:f>IF('06_Form_Emissions_GES'!$L74="Validé humainement",'06_Form_Emissions_GES'!B74,"")</x:f>
      </x:c>
      <x:c r="C74" s="76" t="str">
        <x:f>IF('06_Form_Emissions_GES'!$L74="Validé humainement",'06_Form_Emissions_GES'!C74,"")</x:f>
      </x:c>
      <x:c r="D74" s="76" t="str">
        <x:f>IF('06_Form_Emissions_GES'!$L74="Validé humainement",'06_Form_Emissions_GES'!D74,"")</x:f>
      </x:c>
      <x:c r="E74" s="77" t="str">
        <x:f>IF('06_Form_Emissions_GES'!$L74="Validé humainement",'06_Form_Emissions_GES'!E74,"")</x:f>
      </x:c>
      <x:c r="F74" s="76" t="str">
        <x:f>IF('06_Form_Emissions_GES'!$L74="Validé humainement",'06_Form_Emissions_GES'!F74,"")</x:f>
      </x:c>
      <x:c r="G74" s="83" t="str">
        <x:f>IF('06_Form_Emissions_GES'!$L74="Validé humainement",'06_Form_Emissions_GES'!G74,"")</x:f>
      </x:c>
      <x:c r="H74" s="77" t="str">
        <x:f>IF('06_Form_Emissions_GES'!$L74="Validé humainement",'06_Form_Emissions_GES'!H74,"")</x:f>
      </x:c>
      <x:c r="I74" s="76" t="str">
        <x:f>IF('06_Form_Emissions_GES'!$L74="Validé humainement",'06_Form_Emissions_GES'!I74,"")</x:f>
      </x:c>
      <x:c r="J74" s="76" t="str">
        <x:f>IF('06_Form_Emissions_GES'!$L74="Validé humainement",'06_Form_Emissions_GES'!J74,"")</x:f>
      </x:c>
      <x:c r="K74" s="76" t="str">
        <x:f>IF('06_Form_Emissions_GES'!$L74="Validé humainement",'06_Form_Emissions_GES'!K74,"")</x:f>
      </x:c>
      <x:c r="L74" s="76" t="str">
        <x:f>IF('06_Form_Emissions_GES'!$L74="Validé humainement",'06_Form_Emissions_GES'!L74,"")</x:f>
      </x:c>
      <x:c r="M74" s="76" t="str">
        <x:f>IF('06_Form_Emissions_GES'!$L74="Validé humainement",'06_Form_Emissions_GES'!M74,"")</x:f>
      </x:c>
      <x:c r="N74" s="78" t="str">
        <x:f>IF('06_Form_Emissions_GES'!$L74="Validé humainement",'06_Form_Emissions_GES'!N74,"")</x:f>
      </x:c>
      <x:c r="O74" s="76" t="str">
        <x:f>IF('06_Form_Emissions_GES'!$L74="Validé humainement",'06_Form_Emissions_GES'!O74,"")</x:f>
      </x:c>
      <x:c r="P74" s="76" t="str">
        <x:f>IF('06_Form_Emissions_GES'!$L74="Validé humainement",'06_Form_Emissions_GES'!P74,"")</x:f>
      </x:c>
      <x:c r="Q74" s="76" t="str">
        <x:f>IF('06_Form_Emissions_GES'!$L74="Validé humainement",'06_Form_Emissions_GES'!Q74,"")</x:f>
      </x:c>
    </x:row>
    <x:row r="75">
      <x:c r="A75" s="76" t="str">
        <x:f>IF('06_Form_Emissions_GES'!$L75="Validé humainement",'06_Form_Emissions_GES'!A75,"")</x:f>
      </x:c>
      <x:c r="B75" s="76" t="str">
        <x:f>IF('06_Form_Emissions_GES'!$L75="Validé humainement",'06_Form_Emissions_GES'!B75,"")</x:f>
      </x:c>
      <x:c r="C75" s="76" t="str">
        <x:f>IF('06_Form_Emissions_GES'!$L75="Validé humainement",'06_Form_Emissions_GES'!C75,"")</x:f>
      </x:c>
      <x:c r="D75" s="76" t="str">
        <x:f>IF('06_Form_Emissions_GES'!$L75="Validé humainement",'06_Form_Emissions_GES'!D75,"")</x:f>
      </x:c>
      <x:c r="E75" s="77" t="str">
        <x:f>IF('06_Form_Emissions_GES'!$L75="Validé humainement",'06_Form_Emissions_GES'!E75,"")</x:f>
      </x:c>
      <x:c r="F75" s="76" t="str">
        <x:f>IF('06_Form_Emissions_GES'!$L75="Validé humainement",'06_Form_Emissions_GES'!F75,"")</x:f>
      </x:c>
      <x:c r="G75" s="83" t="str">
        <x:f>IF('06_Form_Emissions_GES'!$L75="Validé humainement",'06_Form_Emissions_GES'!G75,"")</x:f>
      </x:c>
      <x:c r="H75" s="77" t="str">
        <x:f>IF('06_Form_Emissions_GES'!$L75="Validé humainement",'06_Form_Emissions_GES'!H75,"")</x:f>
      </x:c>
      <x:c r="I75" s="76" t="str">
        <x:f>IF('06_Form_Emissions_GES'!$L75="Validé humainement",'06_Form_Emissions_GES'!I75,"")</x:f>
      </x:c>
      <x:c r="J75" s="76" t="str">
        <x:f>IF('06_Form_Emissions_GES'!$L75="Validé humainement",'06_Form_Emissions_GES'!J75,"")</x:f>
      </x:c>
      <x:c r="K75" s="76" t="str">
        <x:f>IF('06_Form_Emissions_GES'!$L75="Validé humainement",'06_Form_Emissions_GES'!K75,"")</x:f>
      </x:c>
      <x:c r="L75" s="76" t="str">
        <x:f>IF('06_Form_Emissions_GES'!$L75="Validé humainement",'06_Form_Emissions_GES'!L75,"")</x:f>
      </x:c>
      <x:c r="M75" s="76" t="str">
        <x:f>IF('06_Form_Emissions_GES'!$L75="Validé humainement",'06_Form_Emissions_GES'!M75,"")</x:f>
      </x:c>
      <x:c r="N75" s="78" t="str">
        <x:f>IF('06_Form_Emissions_GES'!$L75="Validé humainement",'06_Form_Emissions_GES'!N75,"")</x:f>
      </x:c>
      <x:c r="O75" s="76" t="str">
        <x:f>IF('06_Form_Emissions_GES'!$L75="Validé humainement",'06_Form_Emissions_GES'!O75,"")</x:f>
      </x:c>
      <x:c r="P75" s="76" t="str">
        <x:f>IF('06_Form_Emissions_GES'!$L75="Validé humainement",'06_Form_Emissions_GES'!P75,"")</x:f>
      </x:c>
      <x:c r="Q75" s="76" t="str">
        <x:f>IF('06_Form_Emissions_GES'!$L75="Validé humainement",'06_Form_Emissions_GES'!Q75,"")</x:f>
      </x:c>
    </x:row>
    <x:row r="76">
      <x:c r="A76" s="76" t="str">
        <x:f>IF('06_Form_Emissions_GES'!$L76="Validé humainement",'06_Form_Emissions_GES'!A76,"")</x:f>
      </x:c>
      <x:c r="B76" s="76" t="str">
        <x:f>IF('06_Form_Emissions_GES'!$L76="Validé humainement",'06_Form_Emissions_GES'!B76,"")</x:f>
      </x:c>
      <x:c r="C76" s="76" t="str">
        <x:f>IF('06_Form_Emissions_GES'!$L76="Validé humainement",'06_Form_Emissions_GES'!C76,"")</x:f>
      </x:c>
      <x:c r="D76" s="76" t="str">
        <x:f>IF('06_Form_Emissions_GES'!$L76="Validé humainement",'06_Form_Emissions_GES'!D76,"")</x:f>
      </x:c>
      <x:c r="E76" s="77" t="str">
        <x:f>IF('06_Form_Emissions_GES'!$L76="Validé humainement",'06_Form_Emissions_GES'!E76,"")</x:f>
      </x:c>
      <x:c r="F76" s="76" t="str">
        <x:f>IF('06_Form_Emissions_GES'!$L76="Validé humainement",'06_Form_Emissions_GES'!F76,"")</x:f>
      </x:c>
      <x:c r="G76" s="83" t="str">
        <x:f>IF('06_Form_Emissions_GES'!$L76="Validé humainement",'06_Form_Emissions_GES'!G76,"")</x:f>
      </x:c>
      <x:c r="H76" s="77" t="str">
        <x:f>IF('06_Form_Emissions_GES'!$L76="Validé humainement",'06_Form_Emissions_GES'!H76,"")</x:f>
      </x:c>
      <x:c r="I76" s="76" t="str">
        <x:f>IF('06_Form_Emissions_GES'!$L76="Validé humainement",'06_Form_Emissions_GES'!I76,"")</x:f>
      </x:c>
      <x:c r="J76" s="76" t="str">
        <x:f>IF('06_Form_Emissions_GES'!$L76="Validé humainement",'06_Form_Emissions_GES'!J76,"")</x:f>
      </x:c>
      <x:c r="K76" s="76" t="str">
        <x:f>IF('06_Form_Emissions_GES'!$L76="Validé humainement",'06_Form_Emissions_GES'!K76,"")</x:f>
      </x:c>
      <x:c r="L76" s="76" t="str">
        <x:f>IF('06_Form_Emissions_GES'!$L76="Validé humainement",'06_Form_Emissions_GES'!L76,"")</x:f>
      </x:c>
      <x:c r="M76" s="76" t="str">
        <x:f>IF('06_Form_Emissions_GES'!$L76="Validé humainement",'06_Form_Emissions_GES'!M76,"")</x:f>
      </x:c>
      <x:c r="N76" s="78" t="str">
        <x:f>IF('06_Form_Emissions_GES'!$L76="Validé humainement",'06_Form_Emissions_GES'!N76,"")</x:f>
      </x:c>
      <x:c r="O76" s="76" t="str">
        <x:f>IF('06_Form_Emissions_GES'!$L76="Validé humainement",'06_Form_Emissions_GES'!O76,"")</x:f>
      </x:c>
      <x:c r="P76" s="76" t="str">
        <x:f>IF('06_Form_Emissions_GES'!$L76="Validé humainement",'06_Form_Emissions_GES'!P76,"")</x:f>
      </x:c>
      <x:c r="Q76" s="76" t="str">
        <x:f>IF('06_Form_Emissions_GES'!$L76="Validé humainement",'06_Form_Emissions_GES'!Q76,"")</x:f>
      </x:c>
    </x:row>
    <x:row r="77">
      <x:c r="A77" s="76" t="str">
        <x:f>IF('06_Form_Emissions_GES'!$L77="Validé humainement",'06_Form_Emissions_GES'!A77,"")</x:f>
      </x:c>
      <x:c r="B77" s="76" t="str">
        <x:f>IF('06_Form_Emissions_GES'!$L77="Validé humainement",'06_Form_Emissions_GES'!B77,"")</x:f>
      </x:c>
      <x:c r="C77" s="76" t="str">
        <x:f>IF('06_Form_Emissions_GES'!$L77="Validé humainement",'06_Form_Emissions_GES'!C77,"")</x:f>
      </x:c>
      <x:c r="D77" s="76" t="str">
        <x:f>IF('06_Form_Emissions_GES'!$L77="Validé humainement",'06_Form_Emissions_GES'!D77,"")</x:f>
      </x:c>
      <x:c r="E77" s="77" t="str">
        <x:f>IF('06_Form_Emissions_GES'!$L77="Validé humainement",'06_Form_Emissions_GES'!E77,"")</x:f>
      </x:c>
      <x:c r="F77" s="76" t="str">
        <x:f>IF('06_Form_Emissions_GES'!$L77="Validé humainement",'06_Form_Emissions_GES'!F77,"")</x:f>
      </x:c>
      <x:c r="G77" s="83" t="str">
        <x:f>IF('06_Form_Emissions_GES'!$L77="Validé humainement",'06_Form_Emissions_GES'!G77,"")</x:f>
      </x:c>
      <x:c r="H77" s="77" t="str">
        <x:f>IF('06_Form_Emissions_GES'!$L77="Validé humainement",'06_Form_Emissions_GES'!H77,"")</x:f>
      </x:c>
      <x:c r="I77" s="76" t="str">
        <x:f>IF('06_Form_Emissions_GES'!$L77="Validé humainement",'06_Form_Emissions_GES'!I77,"")</x:f>
      </x:c>
      <x:c r="J77" s="76" t="str">
        <x:f>IF('06_Form_Emissions_GES'!$L77="Validé humainement",'06_Form_Emissions_GES'!J77,"")</x:f>
      </x:c>
      <x:c r="K77" s="76" t="str">
        <x:f>IF('06_Form_Emissions_GES'!$L77="Validé humainement",'06_Form_Emissions_GES'!K77,"")</x:f>
      </x:c>
      <x:c r="L77" s="76" t="str">
        <x:f>IF('06_Form_Emissions_GES'!$L77="Validé humainement",'06_Form_Emissions_GES'!L77,"")</x:f>
      </x:c>
      <x:c r="M77" s="76" t="str">
        <x:f>IF('06_Form_Emissions_GES'!$L77="Validé humainement",'06_Form_Emissions_GES'!M77,"")</x:f>
      </x:c>
      <x:c r="N77" s="78" t="str">
        <x:f>IF('06_Form_Emissions_GES'!$L77="Validé humainement",'06_Form_Emissions_GES'!N77,"")</x:f>
      </x:c>
      <x:c r="O77" s="76" t="str">
        <x:f>IF('06_Form_Emissions_GES'!$L77="Validé humainement",'06_Form_Emissions_GES'!O77,"")</x:f>
      </x:c>
      <x:c r="P77" s="76" t="str">
        <x:f>IF('06_Form_Emissions_GES'!$L77="Validé humainement",'06_Form_Emissions_GES'!P77,"")</x:f>
      </x:c>
      <x:c r="Q77" s="76" t="str">
        <x:f>IF('06_Form_Emissions_GES'!$L77="Validé humainement",'06_Form_Emissions_GES'!Q77,"")</x:f>
      </x:c>
    </x:row>
    <x:row r="78">
      <x:c r="A78" s="76" t="str">
        <x:f>IF('06_Form_Emissions_GES'!$L78="Validé humainement",'06_Form_Emissions_GES'!A78,"")</x:f>
      </x:c>
      <x:c r="B78" s="76" t="str">
        <x:f>IF('06_Form_Emissions_GES'!$L78="Validé humainement",'06_Form_Emissions_GES'!B78,"")</x:f>
      </x:c>
      <x:c r="C78" s="76" t="str">
        <x:f>IF('06_Form_Emissions_GES'!$L78="Validé humainement",'06_Form_Emissions_GES'!C78,"")</x:f>
      </x:c>
      <x:c r="D78" s="76" t="str">
        <x:f>IF('06_Form_Emissions_GES'!$L78="Validé humainement",'06_Form_Emissions_GES'!D78,"")</x:f>
      </x:c>
      <x:c r="E78" s="77" t="str">
        <x:f>IF('06_Form_Emissions_GES'!$L78="Validé humainement",'06_Form_Emissions_GES'!E78,"")</x:f>
      </x:c>
      <x:c r="F78" s="76" t="str">
        <x:f>IF('06_Form_Emissions_GES'!$L78="Validé humainement",'06_Form_Emissions_GES'!F78,"")</x:f>
      </x:c>
      <x:c r="G78" s="83" t="str">
        <x:f>IF('06_Form_Emissions_GES'!$L78="Validé humainement",'06_Form_Emissions_GES'!G78,"")</x:f>
      </x:c>
      <x:c r="H78" s="77" t="str">
        <x:f>IF('06_Form_Emissions_GES'!$L78="Validé humainement",'06_Form_Emissions_GES'!H78,"")</x:f>
      </x:c>
      <x:c r="I78" s="76" t="str">
        <x:f>IF('06_Form_Emissions_GES'!$L78="Validé humainement",'06_Form_Emissions_GES'!I78,"")</x:f>
      </x:c>
      <x:c r="J78" s="76" t="str">
        <x:f>IF('06_Form_Emissions_GES'!$L78="Validé humainement",'06_Form_Emissions_GES'!J78,"")</x:f>
      </x:c>
      <x:c r="K78" s="76" t="str">
        <x:f>IF('06_Form_Emissions_GES'!$L78="Validé humainement",'06_Form_Emissions_GES'!K78,"")</x:f>
      </x:c>
      <x:c r="L78" s="76" t="str">
        <x:f>IF('06_Form_Emissions_GES'!$L78="Validé humainement",'06_Form_Emissions_GES'!L78,"")</x:f>
      </x:c>
      <x:c r="M78" s="76" t="str">
        <x:f>IF('06_Form_Emissions_GES'!$L78="Validé humainement",'06_Form_Emissions_GES'!M78,"")</x:f>
      </x:c>
      <x:c r="N78" s="78" t="str">
        <x:f>IF('06_Form_Emissions_GES'!$L78="Validé humainement",'06_Form_Emissions_GES'!N78,"")</x:f>
      </x:c>
      <x:c r="O78" s="76" t="str">
        <x:f>IF('06_Form_Emissions_GES'!$L78="Validé humainement",'06_Form_Emissions_GES'!O78,"")</x:f>
      </x:c>
      <x:c r="P78" s="76" t="str">
        <x:f>IF('06_Form_Emissions_GES'!$L78="Validé humainement",'06_Form_Emissions_GES'!P78,"")</x:f>
      </x:c>
      <x:c r="Q78" s="76" t="str">
        <x:f>IF('06_Form_Emissions_GES'!$L78="Validé humainement",'06_Form_Emissions_GES'!Q78,"")</x:f>
      </x:c>
    </x:row>
    <x:row r="79">
      <x:c r="A79" s="76" t="str">
        <x:f>IF('06_Form_Emissions_GES'!$L79="Validé humainement",'06_Form_Emissions_GES'!A79,"")</x:f>
      </x:c>
      <x:c r="B79" s="76" t="str">
        <x:f>IF('06_Form_Emissions_GES'!$L79="Validé humainement",'06_Form_Emissions_GES'!B79,"")</x:f>
      </x:c>
      <x:c r="C79" s="76" t="str">
        <x:f>IF('06_Form_Emissions_GES'!$L79="Validé humainement",'06_Form_Emissions_GES'!C79,"")</x:f>
      </x:c>
      <x:c r="D79" s="76" t="str">
        <x:f>IF('06_Form_Emissions_GES'!$L79="Validé humainement",'06_Form_Emissions_GES'!D79,"")</x:f>
      </x:c>
      <x:c r="E79" s="77" t="str">
        <x:f>IF('06_Form_Emissions_GES'!$L79="Validé humainement",'06_Form_Emissions_GES'!E79,"")</x:f>
      </x:c>
      <x:c r="F79" s="76" t="str">
        <x:f>IF('06_Form_Emissions_GES'!$L79="Validé humainement",'06_Form_Emissions_GES'!F79,"")</x:f>
      </x:c>
      <x:c r="G79" s="83" t="str">
        <x:f>IF('06_Form_Emissions_GES'!$L79="Validé humainement",'06_Form_Emissions_GES'!G79,"")</x:f>
      </x:c>
      <x:c r="H79" s="77" t="str">
        <x:f>IF('06_Form_Emissions_GES'!$L79="Validé humainement",'06_Form_Emissions_GES'!H79,"")</x:f>
      </x:c>
      <x:c r="I79" s="76" t="str">
        <x:f>IF('06_Form_Emissions_GES'!$L79="Validé humainement",'06_Form_Emissions_GES'!I79,"")</x:f>
      </x:c>
      <x:c r="J79" s="76" t="str">
        <x:f>IF('06_Form_Emissions_GES'!$L79="Validé humainement",'06_Form_Emissions_GES'!J79,"")</x:f>
      </x:c>
      <x:c r="K79" s="76" t="str">
        <x:f>IF('06_Form_Emissions_GES'!$L79="Validé humainement",'06_Form_Emissions_GES'!K79,"")</x:f>
      </x:c>
      <x:c r="L79" s="76" t="str">
        <x:f>IF('06_Form_Emissions_GES'!$L79="Validé humainement",'06_Form_Emissions_GES'!L79,"")</x:f>
      </x:c>
      <x:c r="M79" s="76" t="str">
        <x:f>IF('06_Form_Emissions_GES'!$L79="Validé humainement",'06_Form_Emissions_GES'!M79,"")</x:f>
      </x:c>
      <x:c r="N79" s="78" t="str">
        <x:f>IF('06_Form_Emissions_GES'!$L79="Validé humainement",'06_Form_Emissions_GES'!N79,"")</x:f>
      </x:c>
      <x:c r="O79" s="76" t="str">
        <x:f>IF('06_Form_Emissions_GES'!$L79="Validé humainement",'06_Form_Emissions_GES'!O79,"")</x:f>
      </x:c>
      <x:c r="P79" s="76" t="str">
        <x:f>IF('06_Form_Emissions_GES'!$L79="Validé humainement",'06_Form_Emissions_GES'!P79,"")</x:f>
      </x:c>
      <x:c r="Q79" s="76" t="str">
        <x:f>IF('06_Form_Emissions_GES'!$L79="Validé humainement",'06_Form_Emissions_GES'!Q79,"")</x:f>
      </x:c>
    </x:row>
    <x:row r="80">
      <x:c r="A80" s="76" t="str">
        <x:f>IF('06_Form_Emissions_GES'!$L80="Validé humainement",'06_Form_Emissions_GES'!A80,"")</x:f>
      </x:c>
      <x:c r="B80" s="76" t="str">
        <x:f>IF('06_Form_Emissions_GES'!$L80="Validé humainement",'06_Form_Emissions_GES'!B80,"")</x:f>
      </x:c>
      <x:c r="C80" s="76" t="str">
        <x:f>IF('06_Form_Emissions_GES'!$L80="Validé humainement",'06_Form_Emissions_GES'!C80,"")</x:f>
      </x:c>
      <x:c r="D80" s="76" t="str">
        <x:f>IF('06_Form_Emissions_GES'!$L80="Validé humainement",'06_Form_Emissions_GES'!D80,"")</x:f>
      </x:c>
      <x:c r="E80" s="77" t="str">
        <x:f>IF('06_Form_Emissions_GES'!$L80="Validé humainement",'06_Form_Emissions_GES'!E80,"")</x:f>
      </x:c>
      <x:c r="F80" s="76" t="str">
        <x:f>IF('06_Form_Emissions_GES'!$L80="Validé humainement",'06_Form_Emissions_GES'!F80,"")</x:f>
      </x:c>
      <x:c r="G80" s="83" t="str">
        <x:f>IF('06_Form_Emissions_GES'!$L80="Validé humainement",'06_Form_Emissions_GES'!G80,"")</x:f>
      </x:c>
      <x:c r="H80" s="77" t="str">
        <x:f>IF('06_Form_Emissions_GES'!$L80="Validé humainement",'06_Form_Emissions_GES'!H80,"")</x:f>
      </x:c>
      <x:c r="I80" s="76" t="str">
        <x:f>IF('06_Form_Emissions_GES'!$L80="Validé humainement",'06_Form_Emissions_GES'!I80,"")</x:f>
      </x:c>
      <x:c r="J80" s="76" t="str">
        <x:f>IF('06_Form_Emissions_GES'!$L80="Validé humainement",'06_Form_Emissions_GES'!J80,"")</x:f>
      </x:c>
      <x:c r="K80" s="76" t="str">
        <x:f>IF('06_Form_Emissions_GES'!$L80="Validé humainement",'06_Form_Emissions_GES'!K80,"")</x:f>
      </x:c>
      <x:c r="L80" s="76" t="str">
        <x:f>IF('06_Form_Emissions_GES'!$L80="Validé humainement",'06_Form_Emissions_GES'!L80,"")</x:f>
      </x:c>
      <x:c r="M80" s="76" t="str">
        <x:f>IF('06_Form_Emissions_GES'!$L80="Validé humainement",'06_Form_Emissions_GES'!M80,"")</x:f>
      </x:c>
      <x:c r="N80" s="78" t="str">
        <x:f>IF('06_Form_Emissions_GES'!$L80="Validé humainement",'06_Form_Emissions_GES'!N80,"")</x:f>
      </x:c>
      <x:c r="O80" s="76" t="str">
        <x:f>IF('06_Form_Emissions_GES'!$L80="Validé humainement",'06_Form_Emissions_GES'!O80,"")</x:f>
      </x:c>
      <x:c r="P80" s="76" t="str">
        <x:f>IF('06_Form_Emissions_GES'!$L80="Validé humainement",'06_Form_Emissions_GES'!P80,"")</x:f>
      </x:c>
      <x:c r="Q80" s="76" t="str">
        <x:f>IF('06_Form_Emissions_GES'!$L80="Validé humainement",'06_Form_Emissions_GES'!Q80,"")</x:f>
      </x:c>
    </x:row>
    <x:row r="81">
      <x:c r="A81" s="76" t="str">
        <x:f>IF('06_Form_Emissions_GES'!$L81="Validé humainement",'06_Form_Emissions_GES'!A81,"")</x:f>
      </x:c>
      <x:c r="B81" s="76" t="str">
        <x:f>IF('06_Form_Emissions_GES'!$L81="Validé humainement",'06_Form_Emissions_GES'!B81,"")</x:f>
      </x:c>
      <x:c r="C81" s="76" t="str">
        <x:f>IF('06_Form_Emissions_GES'!$L81="Validé humainement",'06_Form_Emissions_GES'!C81,"")</x:f>
      </x:c>
      <x:c r="D81" s="76" t="str">
        <x:f>IF('06_Form_Emissions_GES'!$L81="Validé humainement",'06_Form_Emissions_GES'!D81,"")</x:f>
      </x:c>
      <x:c r="E81" s="77" t="str">
        <x:f>IF('06_Form_Emissions_GES'!$L81="Validé humainement",'06_Form_Emissions_GES'!E81,"")</x:f>
      </x:c>
      <x:c r="F81" s="76" t="str">
        <x:f>IF('06_Form_Emissions_GES'!$L81="Validé humainement",'06_Form_Emissions_GES'!F81,"")</x:f>
      </x:c>
      <x:c r="G81" s="83" t="str">
        <x:f>IF('06_Form_Emissions_GES'!$L81="Validé humainement",'06_Form_Emissions_GES'!G81,"")</x:f>
      </x:c>
      <x:c r="H81" s="77" t="str">
        <x:f>IF('06_Form_Emissions_GES'!$L81="Validé humainement",'06_Form_Emissions_GES'!H81,"")</x:f>
      </x:c>
      <x:c r="I81" s="76" t="str">
        <x:f>IF('06_Form_Emissions_GES'!$L81="Validé humainement",'06_Form_Emissions_GES'!I81,"")</x:f>
      </x:c>
      <x:c r="J81" s="76" t="str">
        <x:f>IF('06_Form_Emissions_GES'!$L81="Validé humainement",'06_Form_Emissions_GES'!J81,"")</x:f>
      </x:c>
      <x:c r="K81" s="76" t="str">
        <x:f>IF('06_Form_Emissions_GES'!$L81="Validé humainement",'06_Form_Emissions_GES'!K81,"")</x:f>
      </x:c>
      <x:c r="L81" s="76" t="str">
        <x:f>IF('06_Form_Emissions_GES'!$L81="Validé humainement",'06_Form_Emissions_GES'!L81,"")</x:f>
      </x:c>
      <x:c r="M81" s="76" t="str">
        <x:f>IF('06_Form_Emissions_GES'!$L81="Validé humainement",'06_Form_Emissions_GES'!M81,"")</x:f>
      </x:c>
      <x:c r="N81" s="78" t="str">
        <x:f>IF('06_Form_Emissions_GES'!$L81="Validé humainement",'06_Form_Emissions_GES'!N81,"")</x:f>
      </x:c>
      <x:c r="O81" s="76" t="str">
        <x:f>IF('06_Form_Emissions_GES'!$L81="Validé humainement",'06_Form_Emissions_GES'!O81,"")</x:f>
      </x:c>
      <x:c r="P81" s="76" t="str">
        <x:f>IF('06_Form_Emissions_GES'!$L81="Validé humainement",'06_Form_Emissions_GES'!P81,"")</x:f>
      </x:c>
      <x:c r="Q81" s="76" t="str">
        <x:f>IF('06_Form_Emissions_GES'!$L81="Validé humainement",'06_Form_Emissions_GES'!Q81,"")</x:f>
      </x:c>
    </x:row>
    <x:row r="82">
      <x:c r="A82" s="76" t="str">
        <x:f>IF('06_Form_Emissions_GES'!$L82="Validé humainement",'06_Form_Emissions_GES'!A82,"")</x:f>
      </x:c>
      <x:c r="B82" s="76" t="str">
        <x:f>IF('06_Form_Emissions_GES'!$L82="Validé humainement",'06_Form_Emissions_GES'!B82,"")</x:f>
      </x:c>
      <x:c r="C82" s="76" t="str">
        <x:f>IF('06_Form_Emissions_GES'!$L82="Validé humainement",'06_Form_Emissions_GES'!C82,"")</x:f>
      </x:c>
      <x:c r="D82" s="76" t="str">
        <x:f>IF('06_Form_Emissions_GES'!$L82="Validé humainement",'06_Form_Emissions_GES'!D82,"")</x:f>
      </x:c>
      <x:c r="E82" s="77" t="str">
        <x:f>IF('06_Form_Emissions_GES'!$L82="Validé humainement",'06_Form_Emissions_GES'!E82,"")</x:f>
      </x:c>
      <x:c r="F82" s="76" t="str">
        <x:f>IF('06_Form_Emissions_GES'!$L82="Validé humainement",'06_Form_Emissions_GES'!F82,"")</x:f>
      </x:c>
      <x:c r="G82" s="83" t="str">
        <x:f>IF('06_Form_Emissions_GES'!$L82="Validé humainement",'06_Form_Emissions_GES'!G82,"")</x:f>
      </x:c>
      <x:c r="H82" s="77" t="str">
        <x:f>IF('06_Form_Emissions_GES'!$L82="Validé humainement",'06_Form_Emissions_GES'!H82,"")</x:f>
      </x:c>
      <x:c r="I82" s="76" t="str">
        <x:f>IF('06_Form_Emissions_GES'!$L82="Validé humainement",'06_Form_Emissions_GES'!I82,"")</x:f>
      </x:c>
      <x:c r="J82" s="76" t="str">
        <x:f>IF('06_Form_Emissions_GES'!$L82="Validé humainement",'06_Form_Emissions_GES'!J82,"")</x:f>
      </x:c>
      <x:c r="K82" s="76" t="str">
        <x:f>IF('06_Form_Emissions_GES'!$L82="Validé humainement",'06_Form_Emissions_GES'!K82,"")</x:f>
      </x:c>
      <x:c r="L82" s="76" t="str">
        <x:f>IF('06_Form_Emissions_GES'!$L82="Validé humainement",'06_Form_Emissions_GES'!L82,"")</x:f>
      </x:c>
      <x:c r="M82" s="76" t="str">
        <x:f>IF('06_Form_Emissions_GES'!$L82="Validé humainement",'06_Form_Emissions_GES'!M82,"")</x:f>
      </x:c>
      <x:c r="N82" s="78" t="str">
        <x:f>IF('06_Form_Emissions_GES'!$L82="Validé humainement",'06_Form_Emissions_GES'!N82,"")</x:f>
      </x:c>
      <x:c r="O82" s="76" t="str">
        <x:f>IF('06_Form_Emissions_GES'!$L82="Validé humainement",'06_Form_Emissions_GES'!O82,"")</x:f>
      </x:c>
      <x:c r="P82" s="76" t="str">
        <x:f>IF('06_Form_Emissions_GES'!$L82="Validé humainement",'06_Form_Emissions_GES'!P82,"")</x:f>
      </x:c>
      <x:c r="Q82" s="76" t="str">
        <x:f>IF('06_Form_Emissions_GES'!$L82="Validé humainement",'06_Form_Emissions_GES'!Q82,"")</x:f>
      </x:c>
    </x:row>
    <x:row r="83">
      <x:c r="A83" s="76" t="str">
        <x:f>IF('06_Form_Emissions_GES'!$L83="Validé humainement",'06_Form_Emissions_GES'!A83,"")</x:f>
      </x:c>
      <x:c r="B83" s="76" t="str">
        <x:f>IF('06_Form_Emissions_GES'!$L83="Validé humainement",'06_Form_Emissions_GES'!B83,"")</x:f>
      </x:c>
      <x:c r="C83" s="76" t="str">
        <x:f>IF('06_Form_Emissions_GES'!$L83="Validé humainement",'06_Form_Emissions_GES'!C83,"")</x:f>
      </x:c>
      <x:c r="D83" s="76" t="str">
        <x:f>IF('06_Form_Emissions_GES'!$L83="Validé humainement",'06_Form_Emissions_GES'!D83,"")</x:f>
      </x:c>
      <x:c r="E83" s="77" t="str">
        <x:f>IF('06_Form_Emissions_GES'!$L83="Validé humainement",'06_Form_Emissions_GES'!E83,"")</x:f>
      </x:c>
      <x:c r="F83" s="76" t="str">
        <x:f>IF('06_Form_Emissions_GES'!$L83="Validé humainement",'06_Form_Emissions_GES'!F83,"")</x:f>
      </x:c>
      <x:c r="G83" s="83" t="str">
        <x:f>IF('06_Form_Emissions_GES'!$L83="Validé humainement",'06_Form_Emissions_GES'!G83,"")</x:f>
      </x:c>
      <x:c r="H83" s="77" t="str">
        <x:f>IF('06_Form_Emissions_GES'!$L83="Validé humainement",'06_Form_Emissions_GES'!H83,"")</x:f>
      </x:c>
      <x:c r="I83" s="76" t="str">
        <x:f>IF('06_Form_Emissions_GES'!$L83="Validé humainement",'06_Form_Emissions_GES'!I83,"")</x:f>
      </x:c>
      <x:c r="J83" s="76" t="str">
        <x:f>IF('06_Form_Emissions_GES'!$L83="Validé humainement",'06_Form_Emissions_GES'!J83,"")</x:f>
      </x:c>
      <x:c r="K83" s="76" t="str">
        <x:f>IF('06_Form_Emissions_GES'!$L83="Validé humainement",'06_Form_Emissions_GES'!K83,"")</x:f>
      </x:c>
      <x:c r="L83" s="76" t="str">
        <x:f>IF('06_Form_Emissions_GES'!$L83="Validé humainement",'06_Form_Emissions_GES'!L83,"")</x:f>
      </x:c>
      <x:c r="M83" s="76" t="str">
        <x:f>IF('06_Form_Emissions_GES'!$L83="Validé humainement",'06_Form_Emissions_GES'!M83,"")</x:f>
      </x:c>
      <x:c r="N83" s="78" t="str">
        <x:f>IF('06_Form_Emissions_GES'!$L83="Validé humainement",'06_Form_Emissions_GES'!N83,"")</x:f>
      </x:c>
      <x:c r="O83" s="76" t="str">
        <x:f>IF('06_Form_Emissions_GES'!$L83="Validé humainement",'06_Form_Emissions_GES'!O83,"")</x:f>
      </x:c>
      <x:c r="P83" s="76" t="str">
        <x:f>IF('06_Form_Emissions_GES'!$L83="Validé humainement",'06_Form_Emissions_GES'!P83,"")</x:f>
      </x:c>
      <x:c r="Q83" s="76" t="str">
        <x:f>IF('06_Form_Emissions_GES'!$L83="Validé humainement",'06_Form_Emissions_GES'!Q83,"")</x:f>
      </x:c>
    </x:row>
    <x:row r="84">
      <x:c r="A84" s="76" t="str">
        <x:f>IF('06_Form_Emissions_GES'!$L84="Validé humainement",'06_Form_Emissions_GES'!A84,"")</x:f>
      </x:c>
      <x:c r="B84" s="76" t="str">
        <x:f>IF('06_Form_Emissions_GES'!$L84="Validé humainement",'06_Form_Emissions_GES'!B84,"")</x:f>
      </x:c>
      <x:c r="C84" s="76" t="str">
        <x:f>IF('06_Form_Emissions_GES'!$L84="Validé humainement",'06_Form_Emissions_GES'!C84,"")</x:f>
      </x:c>
      <x:c r="D84" s="76" t="str">
        <x:f>IF('06_Form_Emissions_GES'!$L84="Validé humainement",'06_Form_Emissions_GES'!D84,"")</x:f>
      </x:c>
      <x:c r="E84" s="77" t="str">
        <x:f>IF('06_Form_Emissions_GES'!$L84="Validé humainement",'06_Form_Emissions_GES'!E84,"")</x:f>
      </x:c>
      <x:c r="F84" s="76" t="str">
        <x:f>IF('06_Form_Emissions_GES'!$L84="Validé humainement",'06_Form_Emissions_GES'!F84,"")</x:f>
      </x:c>
      <x:c r="G84" s="83" t="str">
        <x:f>IF('06_Form_Emissions_GES'!$L84="Validé humainement",'06_Form_Emissions_GES'!G84,"")</x:f>
      </x:c>
      <x:c r="H84" s="77" t="str">
        <x:f>IF('06_Form_Emissions_GES'!$L84="Validé humainement",'06_Form_Emissions_GES'!H84,"")</x:f>
      </x:c>
      <x:c r="I84" s="76" t="str">
        <x:f>IF('06_Form_Emissions_GES'!$L84="Validé humainement",'06_Form_Emissions_GES'!I84,"")</x:f>
      </x:c>
      <x:c r="J84" s="76" t="str">
        <x:f>IF('06_Form_Emissions_GES'!$L84="Validé humainement",'06_Form_Emissions_GES'!J84,"")</x:f>
      </x:c>
      <x:c r="K84" s="76" t="str">
        <x:f>IF('06_Form_Emissions_GES'!$L84="Validé humainement",'06_Form_Emissions_GES'!K84,"")</x:f>
      </x:c>
      <x:c r="L84" s="76" t="str">
        <x:f>IF('06_Form_Emissions_GES'!$L84="Validé humainement",'06_Form_Emissions_GES'!L84,"")</x:f>
      </x:c>
      <x:c r="M84" s="76" t="str">
        <x:f>IF('06_Form_Emissions_GES'!$L84="Validé humainement",'06_Form_Emissions_GES'!M84,"")</x:f>
      </x:c>
      <x:c r="N84" s="78" t="str">
        <x:f>IF('06_Form_Emissions_GES'!$L84="Validé humainement",'06_Form_Emissions_GES'!N84,"")</x:f>
      </x:c>
      <x:c r="O84" s="76" t="str">
        <x:f>IF('06_Form_Emissions_GES'!$L84="Validé humainement",'06_Form_Emissions_GES'!O84,"")</x:f>
      </x:c>
      <x:c r="P84" s="76" t="str">
        <x:f>IF('06_Form_Emissions_GES'!$L84="Validé humainement",'06_Form_Emissions_GES'!P84,"")</x:f>
      </x:c>
      <x:c r="Q84" s="76" t="str">
        <x:f>IF('06_Form_Emissions_GES'!$L84="Validé humainement",'06_Form_Emissions_GES'!Q84,"")</x:f>
      </x:c>
    </x:row>
    <x:row r="85">
      <x:c r="A85" s="76" t="str">
        <x:f>IF('06_Form_Emissions_GES'!$L85="Validé humainement",'06_Form_Emissions_GES'!A85,"")</x:f>
      </x:c>
      <x:c r="B85" s="76" t="str">
        <x:f>IF('06_Form_Emissions_GES'!$L85="Validé humainement",'06_Form_Emissions_GES'!B85,"")</x:f>
      </x:c>
      <x:c r="C85" s="76" t="str">
        <x:f>IF('06_Form_Emissions_GES'!$L85="Validé humainement",'06_Form_Emissions_GES'!C85,"")</x:f>
      </x:c>
      <x:c r="D85" s="76" t="str">
        <x:f>IF('06_Form_Emissions_GES'!$L85="Validé humainement",'06_Form_Emissions_GES'!D85,"")</x:f>
      </x:c>
      <x:c r="E85" s="77" t="str">
        <x:f>IF('06_Form_Emissions_GES'!$L85="Validé humainement",'06_Form_Emissions_GES'!E85,"")</x:f>
      </x:c>
      <x:c r="F85" s="76" t="str">
        <x:f>IF('06_Form_Emissions_GES'!$L85="Validé humainement",'06_Form_Emissions_GES'!F85,"")</x:f>
      </x:c>
      <x:c r="G85" s="83" t="str">
        <x:f>IF('06_Form_Emissions_GES'!$L85="Validé humainement",'06_Form_Emissions_GES'!G85,"")</x:f>
      </x:c>
      <x:c r="H85" s="77" t="str">
        <x:f>IF('06_Form_Emissions_GES'!$L85="Validé humainement",'06_Form_Emissions_GES'!H85,"")</x:f>
      </x:c>
      <x:c r="I85" s="76" t="str">
        <x:f>IF('06_Form_Emissions_GES'!$L85="Validé humainement",'06_Form_Emissions_GES'!I85,"")</x:f>
      </x:c>
      <x:c r="J85" s="76" t="str">
        <x:f>IF('06_Form_Emissions_GES'!$L85="Validé humainement",'06_Form_Emissions_GES'!J85,"")</x:f>
      </x:c>
      <x:c r="K85" s="76" t="str">
        <x:f>IF('06_Form_Emissions_GES'!$L85="Validé humainement",'06_Form_Emissions_GES'!K85,"")</x:f>
      </x:c>
      <x:c r="L85" s="76" t="str">
        <x:f>IF('06_Form_Emissions_GES'!$L85="Validé humainement",'06_Form_Emissions_GES'!L85,"")</x:f>
      </x:c>
      <x:c r="M85" s="76" t="str">
        <x:f>IF('06_Form_Emissions_GES'!$L85="Validé humainement",'06_Form_Emissions_GES'!M85,"")</x:f>
      </x:c>
      <x:c r="N85" s="78" t="str">
        <x:f>IF('06_Form_Emissions_GES'!$L85="Validé humainement",'06_Form_Emissions_GES'!N85,"")</x:f>
      </x:c>
      <x:c r="O85" s="76" t="str">
        <x:f>IF('06_Form_Emissions_GES'!$L85="Validé humainement",'06_Form_Emissions_GES'!O85,"")</x:f>
      </x:c>
      <x:c r="P85" s="76" t="str">
        <x:f>IF('06_Form_Emissions_GES'!$L85="Validé humainement",'06_Form_Emissions_GES'!P85,"")</x:f>
      </x:c>
      <x:c r="Q85" s="76" t="str">
        <x:f>IF('06_Form_Emissions_GES'!$L85="Validé humainement",'06_Form_Emissions_GES'!Q85,"")</x:f>
      </x:c>
    </x:row>
    <x:row r="86">
      <x:c r="A86" s="76" t="str">
        <x:f>IF('06_Form_Emissions_GES'!$L86="Validé humainement",'06_Form_Emissions_GES'!A86,"")</x:f>
      </x:c>
      <x:c r="B86" s="76" t="str">
        <x:f>IF('06_Form_Emissions_GES'!$L86="Validé humainement",'06_Form_Emissions_GES'!B86,"")</x:f>
      </x:c>
      <x:c r="C86" s="76" t="str">
        <x:f>IF('06_Form_Emissions_GES'!$L86="Validé humainement",'06_Form_Emissions_GES'!C86,"")</x:f>
      </x:c>
      <x:c r="D86" s="76" t="str">
        <x:f>IF('06_Form_Emissions_GES'!$L86="Validé humainement",'06_Form_Emissions_GES'!D86,"")</x:f>
      </x:c>
      <x:c r="E86" s="77" t="str">
        <x:f>IF('06_Form_Emissions_GES'!$L86="Validé humainement",'06_Form_Emissions_GES'!E86,"")</x:f>
      </x:c>
      <x:c r="F86" s="76" t="str">
        <x:f>IF('06_Form_Emissions_GES'!$L86="Validé humainement",'06_Form_Emissions_GES'!F86,"")</x:f>
      </x:c>
      <x:c r="G86" s="83" t="str">
        <x:f>IF('06_Form_Emissions_GES'!$L86="Validé humainement",'06_Form_Emissions_GES'!G86,"")</x:f>
      </x:c>
      <x:c r="H86" s="77" t="str">
        <x:f>IF('06_Form_Emissions_GES'!$L86="Validé humainement",'06_Form_Emissions_GES'!H86,"")</x:f>
      </x:c>
      <x:c r="I86" s="76" t="str">
        <x:f>IF('06_Form_Emissions_GES'!$L86="Validé humainement",'06_Form_Emissions_GES'!I86,"")</x:f>
      </x:c>
      <x:c r="J86" s="76" t="str">
        <x:f>IF('06_Form_Emissions_GES'!$L86="Validé humainement",'06_Form_Emissions_GES'!J86,"")</x:f>
      </x:c>
      <x:c r="K86" s="76" t="str">
        <x:f>IF('06_Form_Emissions_GES'!$L86="Validé humainement",'06_Form_Emissions_GES'!K86,"")</x:f>
      </x:c>
      <x:c r="L86" s="76" t="str">
        <x:f>IF('06_Form_Emissions_GES'!$L86="Validé humainement",'06_Form_Emissions_GES'!L86,"")</x:f>
      </x:c>
      <x:c r="M86" s="76" t="str">
        <x:f>IF('06_Form_Emissions_GES'!$L86="Validé humainement",'06_Form_Emissions_GES'!M86,"")</x:f>
      </x:c>
      <x:c r="N86" s="78" t="str">
        <x:f>IF('06_Form_Emissions_GES'!$L86="Validé humainement",'06_Form_Emissions_GES'!N86,"")</x:f>
      </x:c>
      <x:c r="O86" s="76" t="str">
        <x:f>IF('06_Form_Emissions_GES'!$L86="Validé humainement",'06_Form_Emissions_GES'!O86,"")</x:f>
      </x:c>
      <x:c r="P86" s="76" t="str">
        <x:f>IF('06_Form_Emissions_GES'!$L86="Validé humainement",'06_Form_Emissions_GES'!P86,"")</x:f>
      </x:c>
      <x:c r="Q86" s="76" t="str">
        <x:f>IF('06_Form_Emissions_GES'!$L86="Validé humainement",'06_Form_Emissions_GES'!Q86,"")</x:f>
      </x:c>
    </x:row>
    <x:row r="87">
      <x:c r="A87" s="76" t="str">
        <x:f>IF('06_Form_Emissions_GES'!$L87="Validé humainement",'06_Form_Emissions_GES'!A87,"")</x:f>
      </x:c>
      <x:c r="B87" s="76" t="str">
        <x:f>IF('06_Form_Emissions_GES'!$L87="Validé humainement",'06_Form_Emissions_GES'!B87,"")</x:f>
      </x:c>
      <x:c r="C87" s="76" t="str">
        <x:f>IF('06_Form_Emissions_GES'!$L87="Validé humainement",'06_Form_Emissions_GES'!C87,"")</x:f>
      </x:c>
      <x:c r="D87" s="76" t="str">
        <x:f>IF('06_Form_Emissions_GES'!$L87="Validé humainement",'06_Form_Emissions_GES'!D87,"")</x:f>
      </x:c>
      <x:c r="E87" s="77" t="str">
        <x:f>IF('06_Form_Emissions_GES'!$L87="Validé humainement",'06_Form_Emissions_GES'!E87,"")</x:f>
      </x:c>
      <x:c r="F87" s="76" t="str">
        <x:f>IF('06_Form_Emissions_GES'!$L87="Validé humainement",'06_Form_Emissions_GES'!F87,"")</x:f>
      </x:c>
      <x:c r="G87" s="83" t="str">
        <x:f>IF('06_Form_Emissions_GES'!$L87="Validé humainement",'06_Form_Emissions_GES'!G87,"")</x:f>
      </x:c>
      <x:c r="H87" s="77" t="str">
        <x:f>IF('06_Form_Emissions_GES'!$L87="Validé humainement",'06_Form_Emissions_GES'!H87,"")</x:f>
      </x:c>
      <x:c r="I87" s="76" t="str">
        <x:f>IF('06_Form_Emissions_GES'!$L87="Validé humainement",'06_Form_Emissions_GES'!I87,"")</x:f>
      </x:c>
      <x:c r="J87" s="76" t="str">
        <x:f>IF('06_Form_Emissions_GES'!$L87="Validé humainement",'06_Form_Emissions_GES'!J87,"")</x:f>
      </x:c>
      <x:c r="K87" s="76" t="str">
        <x:f>IF('06_Form_Emissions_GES'!$L87="Validé humainement",'06_Form_Emissions_GES'!K87,"")</x:f>
      </x:c>
      <x:c r="L87" s="76" t="str">
        <x:f>IF('06_Form_Emissions_GES'!$L87="Validé humainement",'06_Form_Emissions_GES'!L87,"")</x:f>
      </x:c>
      <x:c r="M87" s="76" t="str">
        <x:f>IF('06_Form_Emissions_GES'!$L87="Validé humainement",'06_Form_Emissions_GES'!M87,"")</x:f>
      </x:c>
      <x:c r="N87" s="78" t="str">
        <x:f>IF('06_Form_Emissions_GES'!$L87="Validé humainement",'06_Form_Emissions_GES'!N87,"")</x:f>
      </x:c>
      <x:c r="O87" s="76" t="str">
        <x:f>IF('06_Form_Emissions_GES'!$L87="Validé humainement",'06_Form_Emissions_GES'!O87,"")</x:f>
      </x:c>
      <x:c r="P87" s="76" t="str">
        <x:f>IF('06_Form_Emissions_GES'!$L87="Validé humainement",'06_Form_Emissions_GES'!P87,"")</x:f>
      </x:c>
      <x:c r="Q87" s="76" t="str">
        <x:f>IF('06_Form_Emissions_GES'!$L87="Validé humainement",'06_Form_Emissions_GES'!Q87,"")</x:f>
      </x:c>
    </x:row>
    <x:row r="88">
      <x:c r="A88" s="76" t="str">
        <x:f>IF('06_Form_Emissions_GES'!$L88="Validé humainement",'06_Form_Emissions_GES'!A88,"")</x:f>
      </x:c>
      <x:c r="B88" s="76" t="str">
        <x:f>IF('06_Form_Emissions_GES'!$L88="Validé humainement",'06_Form_Emissions_GES'!B88,"")</x:f>
      </x:c>
      <x:c r="C88" s="76" t="str">
        <x:f>IF('06_Form_Emissions_GES'!$L88="Validé humainement",'06_Form_Emissions_GES'!C88,"")</x:f>
      </x:c>
      <x:c r="D88" s="76" t="str">
        <x:f>IF('06_Form_Emissions_GES'!$L88="Validé humainement",'06_Form_Emissions_GES'!D88,"")</x:f>
      </x:c>
      <x:c r="E88" s="77" t="str">
        <x:f>IF('06_Form_Emissions_GES'!$L88="Validé humainement",'06_Form_Emissions_GES'!E88,"")</x:f>
      </x:c>
      <x:c r="F88" s="76" t="str">
        <x:f>IF('06_Form_Emissions_GES'!$L88="Validé humainement",'06_Form_Emissions_GES'!F88,"")</x:f>
      </x:c>
      <x:c r="G88" s="83" t="str">
        <x:f>IF('06_Form_Emissions_GES'!$L88="Validé humainement",'06_Form_Emissions_GES'!G88,"")</x:f>
      </x:c>
      <x:c r="H88" s="77" t="str">
        <x:f>IF('06_Form_Emissions_GES'!$L88="Validé humainement",'06_Form_Emissions_GES'!H88,"")</x:f>
      </x:c>
      <x:c r="I88" s="76" t="str">
        <x:f>IF('06_Form_Emissions_GES'!$L88="Validé humainement",'06_Form_Emissions_GES'!I88,"")</x:f>
      </x:c>
      <x:c r="J88" s="76" t="str">
        <x:f>IF('06_Form_Emissions_GES'!$L88="Validé humainement",'06_Form_Emissions_GES'!J88,"")</x:f>
      </x:c>
      <x:c r="K88" s="76" t="str">
        <x:f>IF('06_Form_Emissions_GES'!$L88="Validé humainement",'06_Form_Emissions_GES'!K88,"")</x:f>
      </x:c>
      <x:c r="L88" s="76" t="str">
        <x:f>IF('06_Form_Emissions_GES'!$L88="Validé humainement",'06_Form_Emissions_GES'!L88,"")</x:f>
      </x:c>
      <x:c r="M88" s="76" t="str">
        <x:f>IF('06_Form_Emissions_GES'!$L88="Validé humainement",'06_Form_Emissions_GES'!M88,"")</x:f>
      </x:c>
      <x:c r="N88" s="78" t="str">
        <x:f>IF('06_Form_Emissions_GES'!$L88="Validé humainement",'06_Form_Emissions_GES'!N88,"")</x:f>
      </x:c>
      <x:c r="O88" s="76" t="str">
        <x:f>IF('06_Form_Emissions_GES'!$L88="Validé humainement",'06_Form_Emissions_GES'!O88,"")</x:f>
      </x:c>
      <x:c r="P88" s="76" t="str">
        <x:f>IF('06_Form_Emissions_GES'!$L88="Validé humainement",'06_Form_Emissions_GES'!P88,"")</x:f>
      </x:c>
      <x:c r="Q88" s="76" t="str">
        <x:f>IF('06_Form_Emissions_GES'!$L88="Validé humainement",'06_Form_Emissions_GES'!Q88,"")</x:f>
      </x:c>
    </x:row>
    <x:row r="89">
      <x:c r="A89" s="76" t="str">
        <x:f>IF('06_Form_Emissions_GES'!$L89="Validé humainement",'06_Form_Emissions_GES'!A89,"")</x:f>
      </x:c>
      <x:c r="B89" s="76" t="str">
        <x:f>IF('06_Form_Emissions_GES'!$L89="Validé humainement",'06_Form_Emissions_GES'!B89,"")</x:f>
      </x:c>
      <x:c r="C89" s="76" t="str">
        <x:f>IF('06_Form_Emissions_GES'!$L89="Validé humainement",'06_Form_Emissions_GES'!C89,"")</x:f>
      </x:c>
      <x:c r="D89" s="76" t="str">
        <x:f>IF('06_Form_Emissions_GES'!$L89="Validé humainement",'06_Form_Emissions_GES'!D89,"")</x:f>
      </x:c>
      <x:c r="E89" s="77" t="str">
        <x:f>IF('06_Form_Emissions_GES'!$L89="Validé humainement",'06_Form_Emissions_GES'!E89,"")</x:f>
      </x:c>
      <x:c r="F89" s="76" t="str">
        <x:f>IF('06_Form_Emissions_GES'!$L89="Validé humainement",'06_Form_Emissions_GES'!F89,"")</x:f>
      </x:c>
      <x:c r="G89" s="83" t="str">
        <x:f>IF('06_Form_Emissions_GES'!$L89="Validé humainement",'06_Form_Emissions_GES'!G89,"")</x:f>
      </x:c>
      <x:c r="H89" s="77" t="str">
        <x:f>IF('06_Form_Emissions_GES'!$L89="Validé humainement",'06_Form_Emissions_GES'!H89,"")</x:f>
      </x:c>
      <x:c r="I89" s="76" t="str">
        <x:f>IF('06_Form_Emissions_GES'!$L89="Validé humainement",'06_Form_Emissions_GES'!I89,"")</x:f>
      </x:c>
      <x:c r="J89" s="76" t="str">
        <x:f>IF('06_Form_Emissions_GES'!$L89="Validé humainement",'06_Form_Emissions_GES'!J89,"")</x:f>
      </x:c>
      <x:c r="K89" s="76" t="str">
        <x:f>IF('06_Form_Emissions_GES'!$L89="Validé humainement",'06_Form_Emissions_GES'!K89,"")</x:f>
      </x:c>
      <x:c r="L89" s="76" t="str">
        <x:f>IF('06_Form_Emissions_GES'!$L89="Validé humainement",'06_Form_Emissions_GES'!L89,"")</x:f>
      </x:c>
      <x:c r="M89" s="76" t="str">
        <x:f>IF('06_Form_Emissions_GES'!$L89="Validé humainement",'06_Form_Emissions_GES'!M89,"")</x:f>
      </x:c>
      <x:c r="N89" s="78" t="str">
        <x:f>IF('06_Form_Emissions_GES'!$L89="Validé humainement",'06_Form_Emissions_GES'!N89,"")</x:f>
      </x:c>
      <x:c r="O89" s="76" t="str">
        <x:f>IF('06_Form_Emissions_GES'!$L89="Validé humainement",'06_Form_Emissions_GES'!O89,"")</x:f>
      </x:c>
      <x:c r="P89" s="76" t="str">
        <x:f>IF('06_Form_Emissions_GES'!$L89="Validé humainement",'06_Form_Emissions_GES'!P89,"")</x:f>
      </x:c>
      <x:c r="Q89" s="76" t="str">
        <x:f>IF('06_Form_Emissions_GES'!$L89="Validé humainement",'06_Form_Emissions_GES'!Q89,"")</x:f>
      </x:c>
    </x:row>
    <x:row r="90">
      <x:c r="A90" s="76" t="str">
        <x:f>IF('06_Form_Emissions_GES'!$L90="Validé humainement",'06_Form_Emissions_GES'!A90,"")</x:f>
      </x:c>
      <x:c r="B90" s="76" t="str">
        <x:f>IF('06_Form_Emissions_GES'!$L90="Validé humainement",'06_Form_Emissions_GES'!B90,"")</x:f>
      </x:c>
      <x:c r="C90" s="76" t="str">
        <x:f>IF('06_Form_Emissions_GES'!$L90="Validé humainement",'06_Form_Emissions_GES'!C90,"")</x:f>
      </x:c>
      <x:c r="D90" s="76" t="str">
        <x:f>IF('06_Form_Emissions_GES'!$L90="Validé humainement",'06_Form_Emissions_GES'!D90,"")</x:f>
      </x:c>
      <x:c r="E90" s="77" t="str">
        <x:f>IF('06_Form_Emissions_GES'!$L90="Validé humainement",'06_Form_Emissions_GES'!E90,"")</x:f>
      </x:c>
      <x:c r="F90" s="76" t="str">
        <x:f>IF('06_Form_Emissions_GES'!$L90="Validé humainement",'06_Form_Emissions_GES'!F90,"")</x:f>
      </x:c>
      <x:c r="G90" s="83" t="str">
        <x:f>IF('06_Form_Emissions_GES'!$L90="Validé humainement",'06_Form_Emissions_GES'!G90,"")</x:f>
      </x:c>
      <x:c r="H90" s="77" t="str">
        <x:f>IF('06_Form_Emissions_GES'!$L90="Validé humainement",'06_Form_Emissions_GES'!H90,"")</x:f>
      </x:c>
      <x:c r="I90" s="76" t="str">
        <x:f>IF('06_Form_Emissions_GES'!$L90="Validé humainement",'06_Form_Emissions_GES'!I90,"")</x:f>
      </x:c>
      <x:c r="J90" s="76" t="str">
        <x:f>IF('06_Form_Emissions_GES'!$L90="Validé humainement",'06_Form_Emissions_GES'!J90,"")</x:f>
      </x:c>
      <x:c r="K90" s="76" t="str">
        <x:f>IF('06_Form_Emissions_GES'!$L90="Validé humainement",'06_Form_Emissions_GES'!K90,"")</x:f>
      </x:c>
      <x:c r="L90" s="76" t="str">
        <x:f>IF('06_Form_Emissions_GES'!$L90="Validé humainement",'06_Form_Emissions_GES'!L90,"")</x:f>
      </x:c>
      <x:c r="M90" s="76" t="str">
        <x:f>IF('06_Form_Emissions_GES'!$L90="Validé humainement",'06_Form_Emissions_GES'!M90,"")</x:f>
      </x:c>
      <x:c r="N90" s="78" t="str">
        <x:f>IF('06_Form_Emissions_GES'!$L90="Validé humainement",'06_Form_Emissions_GES'!N90,"")</x:f>
      </x:c>
      <x:c r="O90" s="76" t="str">
        <x:f>IF('06_Form_Emissions_GES'!$L90="Validé humainement",'06_Form_Emissions_GES'!O90,"")</x:f>
      </x:c>
      <x:c r="P90" s="76" t="str">
        <x:f>IF('06_Form_Emissions_GES'!$L90="Validé humainement",'06_Form_Emissions_GES'!P90,"")</x:f>
      </x:c>
      <x:c r="Q90" s="76" t="str">
        <x:f>IF('06_Form_Emissions_GES'!$L90="Validé humainement",'06_Form_Emissions_GES'!Q90,"")</x:f>
      </x:c>
    </x:row>
    <x:row r="91">
      <x:c r="A91" s="76" t="str">
        <x:f>IF('06_Form_Emissions_GES'!$L91="Validé humainement",'06_Form_Emissions_GES'!A91,"")</x:f>
      </x:c>
      <x:c r="B91" s="76" t="str">
        <x:f>IF('06_Form_Emissions_GES'!$L91="Validé humainement",'06_Form_Emissions_GES'!B91,"")</x:f>
      </x:c>
      <x:c r="C91" s="76" t="str">
        <x:f>IF('06_Form_Emissions_GES'!$L91="Validé humainement",'06_Form_Emissions_GES'!C91,"")</x:f>
      </x:c>
      <x:c r="D91" s="76" t="str">
        <x:f>IF('06_Form_Emissions_GES'!$L91="Validé humainement",'06_Form_Emissions_GES'!D91,"")</x:f>
      </x:c>
      <x:c r="E91" s="77" t="str">
        <x:f>IF('06_Form_Emissions_GES'!$L91="Validé humainement",'06_Form_Emissions_GES'!E91,"")</x:f>
      </x:c>
      <x:c r="F91" s="76" t="str">
        <x:f>IF('06_Form_Emissions_GES'!$L91="Validé humainement",'06_Form_Emissions_GES'!F91,"")</x:f>
      </x:c>
      <x:c r="G91" s="83" t="str">
        <x:f>IF('06_Form_Emissions_GES'!$L91="Validé humainement",'06_Form_Emissions_GES'!G91,"")</x:f>
      </x:c>
      <x:c r="H91" s="77" t="str">
        <x:f>IF('06_Form_Emissions_GES'!$L91="Validé humainement",'06_Form_Emissions_GES'!H91,"")</x:f>
      </x:c>
      <x:c r="I91" s="76" t="str">
        <x:f>IF('06_Form_Emissions_GES'!$L91="Validé humainement",'06_Form_Emissions_GES'!I91,"")</x:f>
      </x:c>
      <x:c r="J91" s="76" t="str">
        <x:f>IF('06_Form_Emissions_GES'!$L91="Validé humainement",'06_Form_Emissions_GES'!J91,"")</x:f>
      </x:c>
      <x:c r="K91" s="76" t="str">
        <x:f>IF('06_Form_Emissions_GES'!$L91="Validé humainement",'06_Form_Emissions_GES'!K91,"")</x:f>
      </x:c>
      <x:c r="L91" s="76" t="str">
        <x:f>IF('06_Form_Emissions_GES'!$L91="Validé humainement",'06_Form_Emissions_GES'!L91,"")</x:f>
      </x:c>
      <x:c r="M91" s="76" t="str">
        <x:f>IF('06_Form_Emissions_GES'!$L91="Validé humainement",'06_Form_Emissions_GES'!M91,"")</x:f>
      </x:c>
      <x:c r="N91" s="78" t="str">
        <x:f>IF('06_Form_Emissions_GES'!$L91="Validé humainement",'06_Form_Emissions_GES'!N91,"")</x:f>
      </x:c>
      <x:c r="O91" s="76" t="str">
        <x:f>IF('06_Form_Emissions_GES'!$L91="Validé humainement",'06_Form_Emissions_GES'!O91,"")</x:f>
      </x:c>
      <x:c r="P91" s="76" t="str">
        <x:f>IF('06_Form_Emissions_GES'!$L91="Validé humainement",'06_Form_Emissions_GES'!P91,"")</x:f>
      </x:c>
      <x:c r="Q91" s="76" t="str">
        <x:f>IF('06_Form_Emissions_GES'!$L91="Validé humainement",'06_Form_Emissions_GES'!Q91,"")</x:f>
      </x:c>
    </x:row>
    <x:row r="92">
      <x:c r="A92" s="76" t="str">
        <x:f>IF('06_Form_Emissions_GES'!$L92="Validé humainement",'06_Form_Emissions_GES'!A92,"")</x:f>
      </x:c>
      <x:c r="B92" s="76" t="str">
        <x:f>IF('06_Form_Emissions_GES'!$L92="Validé humainement",'06_Form_Emissions_GES'!B92,"")</x:f>
      </x:c>
      <x:c r="C92" s="76" t="str">
        <x:f>IF('06_Form_Emissions_GES'!$L92="Validé humainement",'06_Form_Emissions_GES'!C92,"")</x:f>
      </x:c>
      <x:c r="D92" s="76" t="str">
        <x:f>IF('06_Form_Emissions_GES'!$L92="Validé humainement",'06_Form_Emissions_GES'!D92,"")</x:f>
      </x:c>
      <x:c r="E92" s="77" t="str">
        <x:f>IF('06_Form_Emissions_GES'!$L92="Validé humainement",'06_Form_Emissions_GES'!E92,"")</x:f>
      </x:c>
      <x:c r="F92" s="76" t="str">
        <x:f>IF('06_Form_Emissions_GES'!$L92="Validé humainement",'06_Form_Emissions_GES'!F92,"")</x:f>
      </x:c>
      <x:c r="G92" s="83" t="str">
        <x:f>IF('06_Form_Emissions_GES'!$L92="Validé humainement",'06_Form_Emissions_GES'!G92,"")</x:f>
      </x:c>
      <x:c r="H92" s="77" t="str">
        <x:f>IF('06_Form_Emissions_GES'!$L92="Validé humainement",'06_Form_Emissions_GES'!H92,"")</x:f>
      </x:c>
      <x:c r="I92" s="76" t="str">
        <x:f>IF('06_Form_Emissions_GES'!$L92="Validé humainement",'06_Form_Emissions_GES'!I92,"")</x:f>
      </x:c>
      <x:c r="J92" s="76" t="str">
        <x:f>IF('06_Form_Emissions_GES'!$L92="Validé humainement",'06_Form_Emissions_GES'!J92,"")</x:f>
      </x:c>
      <x:c r="K92" s="76" t="str">
        <x:f>IF('06_Form_Emissions_GES'!$L92="Validé humainement",'06_Form_Emissions_GES'!K92,"")</x:f>
      </x:c>
      <x:c r="L92" s="76" t="str">
        <x:f>IF('06_Form_Emissions_GES'!$L92="Validé humainement",'06_Form_Emissions_GES'!L92,"")</x:f>
      </x:c>
      <x:c r="M92" s="76" t="str">
        <x:f>IF('06_Form_Emissions_GES'!$L92="Validé humainement",'06_Form_Emissions_GES'!M92,"")</x:f>
      </x:c>
      <x:c r="N92" s="78" t="str">
        <x:f>IF('06_Form_Emissions_GES'!$L92="Validé humainement",'06_Form_Emissions_GES'!N92,"")</x:f>
      </x:c>
      <x:c r="O92" s="76" t="str">
        <x:f>IF('06_Form_Emissions_GES'!$L92="Validé humainement",'06_Form_Emissions_GES'!O92,"")</x:f>
      </x:c>
      <x:c r="P92" s="76" t="str">
        <x:f>IF('06_Form_Emissions_GES'!$L92="Validé humainement",'06_Form_Emissions_GES'!P92,"")</x:f>
      </x:c>
      <x:c r="Q92" s="76" t="str">
        <x:f>IF('06_Form_Emissions_GES'!$L92="Validé humainement",'06_Form_Emissions_GES'!Q92,"")</x:f>
      </x:c>
    </x:row>
    <x:row r="93">
      <x:c r="A93" s="76" t="str">
        <x:f>IF('06_Form_Emissions_GES'!$L93="Validé humainement",'06_Form_Emissions_GES'!A93,"")</x:f>
      </x:c>
      <x:c r="B93" s="76" t="str">
        <x:f>IF('06_Form_Emissions_GES'!$L93="Validé humainement",'06_Form_Emissions_GES'!B93,"")</x:f>
      </x:c>
      <x:c r="C93" s="76" t="str">
        <x:f>IF('06_Form_Emissions_GES'!$L93="Validé humainement",'06_Form_Emissions_GES'!C93,"")</x:f>
      </x:c>
      <x:c r="D93" s="76" t="str">
        <x:f>IF('06_Form_Emissions_GES'!$L93="Validé humainement",'06_Form_Emissions_GES'!D93,"")</x:f>
      </x:c>
      <x:c r="E93" s="77" t="str">
        <x:f>IF('06_Form_Emissions_GES'!$L93="Validé humainement",'06_Form_Emissions_GES'!E93,"")</x:f>
      </x:c>
      <x:c r="F93" s="76" t="str">
        <x:f>IF('06_Form_Emissions_GES'!$L93="Validé humainement",'06_Form_Emissions_GES'!F93,"")</x:f>
      </x:c>
      <x:c r="G93" s="83" t="str">
        <x:f>IF('06_Form_Emissions_GES'!$L93="Validé humainement",'06_Form_Emissions_GES'!G93,"")</x:f>
      </x:c>
      <x:c r="H93" s="77" t="str">
        <x:f>IF('06_Form_Emissions_GES'!$L93="Validé humainement",'06_Form_Emissions_GES'!H93,"")</x:f>
      </x:c>
      <x:c r="I93" s="76" t="str">
        <x:f>IF('06_Form_Emissions_GES'!$L93="Validé humainement",'06_Form_Emissions_GES'!I93,"")</x:f>
      </x:c>
      <x:c r="J93" s="76" t="str">
        <x:f>IF('06_Form_Emissions_GES'!$L93="Validé humainement",'06_Form_Emissions_GES'!J93,"")</x:f>
      </x:c>
      <x:c r="K93" s="76" t="str">
        <x:f>IF('06_Form_Emissions_GES'!$L93="Validé humainement",'06_Form_Emissions_GES'!K93,"")</x:f>
      </x:c>
      <x:c r="L93" s="76" t="str">
        <x:f>IF('06_Form_Emissions_GES'!$L93="Validé humainement",'06_Form_Emissions_GES'!L93,"")</x:f>
      </x:c>
      <x:c r="M93" s="76" t="str">
        <x:f>IF('06_Form_Emissions_GES'!$L93="Validé humainement",'06_Form_Emissions_GES'!M93,"")</x:f>
      </x:c>
      <x:c r="N93" s="78" t="str">
        <x:f>IF('06_Form_Emissions_GES'!$L93="Validé humainement",'06_Form_Emissions_GES'!N93,"")</x:f>
      </x:c>
      <x:c r="O93" s="76" t="str">
        <x:f>IF('06_Form_Emissions_GES'!$L93="Validé humainement",'06_Form_Emissions_GES'!O93,"")</x:f>
      </x:c>
      <x:c r="P93" s="76" t="str">
        <x:f>IF('06_Form_Emissions_GES'!$L93="Validé humainement",'06_Form_Emissions_GES'!P93,"")</x:f>
      </x:c>
      <x:c r="Q93" s="76" t="str">
        <x:f>IF('06_Form_Emissions_GES'!$L93="Validé humainement",'06_Form_Emissions_GES'!Q93,"")</x:f>
      </x:c>
    </x:row>
    <x:row r="94">
      <x:c r="A94" s="76" t="str">
        <x:f>IF('06_Form_Emissions_GES'!$L94="Validé humainement",'06_Form_Emissions_GES'!A94,"")</x:f>
      </x:c>
      <x:c r="B94" s="76" t="str">
        <x:f>IF('06_Form_Emissions_GES'!$L94="Validé humainement",'06_Form_Emissions_GES'!B94,"")</x:f>
      </x:c>
      <x:c r="C94" s="76" t="str">
        <x:f>IF('06_Form_Emissions_GES'!$L94="Validé humainement",'06_Form_Emissions_GES'!C94,"")</x:f>
      </x:c>
      <x:c r="D94" s="76" t="str">
        <x:f>IF('06_Form_Emissions_GES'!$L94="Validé humainement",'06_Form_Emissions_GES'!D94,"")</x:f>
      </x:c>
      <x:c r="E94" s="77" t="str">
        <x:f>IF('06_Form_Emissions_GES'!$L94="Validé humainement",'06_Form_Emissions_GES'!E94,"")</x:f>
      </x:c>
      <x:c r="F94" s="76" t="str">
        <x:f>IF('06_Form_Emissions_GES'!$L94="Validé humainement",'06_Form_Emissions_GES'!F94,"")</x:f>
      </x:c>
      <x:c r="G94" s="83" t="str">
        <x:f>IF('06_Form_Emissions_GES'!$L94="Validé humainement",'06_Form_Emissions_GES'!G94,"")</x:f>
      </x:c>
      <x:c r="H94" s="77" t="str">
        <x:f>IF('06_Form_Emissions_GES'!$L94="Validé humainement",'06_Form_Emissions_GES'!H94,"")</x:f>
      </x:c>
      <x:c r="I94" s="76" t="str">
        <x:f>IF('06_Form_Emissions_GES'!$L94="Validé humainement",'06_Form_Emissions_GES'!I94,"")</x:f>
      </x:c>
      <x:c r="J94" s="76" t="str">
        <x:f>IF('06_Form_Emissions_GES'!$L94="Validé humainement",'06_Form_Emissions_GES'!J94,"")</x:f>
      </x:c>
      <x:c r="K94" s="76" t="str">
        <x:f>IF('06_Form_Emissions_GES'!$L94="Validé humainement",'06_Form_Emissions_GES'!K94,"")</x:f>
      </x:c>
      <x:c r="L94" s="76" t="str">
        <x:f>IF('06_Form_Emissions_GES'!$L94="Validé humainement",'06_Form_Emissions_GES'!L94,"")</x:f>
      </x:c>
      <x:c r="M94" s="76" t="str">
        <x:f>IF('06_Form_Emissions_GES'!$L94="Validé humainement",'06_Form_Emissions_GES'!M94,"")</x:f>
      </x:c>
      <x:c r="N94" s="78" t="str">
        <x:f>IF('06_Form_Emissions_GES'!$L94="Validé humainement",'06_Form_Emissions_GES'!N94,"")</x:f>
      </x:c>
      <x:c r="O94" s="76" t="str">
        <x:f>IF('06_Form_Emissions_GES'!$L94="Validé humainement",'06_Form_Emissions_GES'!O94,"")</x:f>
      </x:c>
      <x:c r="P94" s="76" t="str">
        <x:f>IF('06_Form_Emissions_GES'!$L94="Validé humainement",'06_Form_Emissions_GES'!P94,"")</x:f>
      </x:c>
      <x:c r="Q94" s="76" t="str">
        <x:f>IF('06_Form_Emissions_GES'!$L94="Validé humainement",'06_Form_Emissions_GES'!Q94,"")</x:f>
      </x:c>
    </x:row>
    <x:row r="95">
      <x:c r="A95" s="76" t="str">
        <x:f>IF('06_Form_Emissions_GES'!$L95="Validé humainement",'06_Form_Emissions_GES'!A95,"")</x:f>
      </x:c>
      <x:c r="B95" s="76" t="str">
        <x:f>IF('06_Form_Emissions_GES'!$L95="Validé humainement",'06_Form_Emissions_GES'!B95,"")</x:f>
      </x:c>
      <x:c r="C95" s="76" t="str">
        <x:f>IF('06_Form_Emissions_GES'!$L95="Validé humainement",'06_Form_Emissions_GES'!C95,"")</x:f>
      </x:c>
      <x:c r="D95" s="76" t="str">
        <x:f>IF('06_Form_Emissions_GES'!$L95="Validé humainement",'06_Form_Emissions_GES'!D95,"")</x:f>
      </x:c>
      <x:c r="E95" s="77" t="str">
        <x:f>IF('06_Form_Emissions_GES'!$L95="Validé humainement",'06_Form_Emissions_GES'!E95,"")</x:f>
      </x:c>
      <x:c r="F95" s="76" t="str">
        <x:f>IF('06_Form_Emissions_GES'!$L95="Validé humainement",'06_Form_Emissions_GES'!F95,"")</x:f>
      </x:c>
      <x:c r="G95" s="83" t="str">
        <x:f>IF('06_Form_Emissions_GES'!$L95="Validé humainement",'06_Form_Emissions_GES'!G95,"")</x:f>
      </x:c>
      <x:c r="H95" s="77" t="str">
        <x:f>IF('06_Form_Emissions_GES'!$L95="Validé humainement",'06_Form_Emissions_GES'!H95,"")</x:f>
      </x:c>
      <x:c r="I95" s="76" t="str">
        <x:f>IF('06_Form_Emissions_GES'!$L95="Validé humainement",'06_Form_Emissions_GES'!I95,"")</x:f>
      </x:c>
      <x:c r="J95" s="76" t="str">
        <x:f>IF('06_Form_Emissions_GES'!$L95="Validé humainement",'06_Form_Emissions_GES'!J95,"")</x:f>
      </x:c>
      <x:c r="K95" s="76" t="str">
        <x:f>IF('06_Form_Emissions_GES'!$L95="Validé humainement",'06_Form_Emissions_GES'!K95,"")</x:f>
      </x:c>
      <x:c r="L95" s="76" t="str">
        <x:f>IF('06_Form_Emissions_GES'!$L95="Validé humainement",'06_Form_Emissions_GES'!L95,"")</x:f>
      </x:c>
      <x:c r="M95" s="76" t="str">
        <x:f>IF('06_Form_Emissions_GES'!$L95="Validé humainement",'06_Form_Emissions_GES'!M95,"")</x:f>
      </x:c>
      <x:c r="N95" s="78" t="str">
        <x:f>IF('06_Form_Emissions_GES'!$L95="Validé humainement",'06_Form_Emissions_GES'!N95,"")</x:f>
      </x:c>
      <x:c r="O95" s="76" t="str">
        <x:f>IF('06_Form_Emissions_GES'!$L95="Validé humainement",'06_Form_Emissions_GES'!O95,"")</x:f>
      </x:c>
      <x:c r="P95" s="76" t="str">
        <x:f>IF('06_Form_Emissions_GES'!$L95="Validé humainement",'06_Form_Emissions_GES'!P95,"")</x:f>
      </x:c>
      <x:c r="Q95" s="76" t="str">
        <x:f>IF('06_Form_Emissions_GES'!$L95="Validé humainement",'06_Form_Emissions_GES'!Q95,"")</x:f>
      </x:c>
    </x:row>
    <x:row r="96">
      <x:c r="A96" s="76" t="str">
        <x:f>IF('06_Form_Emissions_GES'!$L96="Validé humainement",'06_Form_Emissions_GES'!A96,"")</x:f>
      </x:c>
      <x:c r="B96" s="76" t="str">
        <x:f>IF('06_Form_Emissions_GES'!$L96="Validé humainement",'06_Form_Emissions_GES'!B96,"")</x:f>
      </x:c>
      <x:c r="C96" s="76" t="str">
        <x:f>IF('06_Form_Emissions_GES'!$L96="Validé humainement",'06_Form_Emissions_GES'!C96,"")</x:f>
      </x:c>
      <x:c r="D96" s="76" t="str">
        <x:f>IF('06_Form_Emissions_GES'!$L96="Validé humainement",'06_Form_Emissions_GES'!D96,"")</x:f>
      </x:c>
      <x:c r="E96" s="77" t="str">
        <x:f>IF('06_Form_Emissions_GES'!$L96="Validé humainement",'06_Form_Emissions_GES'!E96,"")</x:f>
      </x:c>
      <x:c r="F96" s="76" t="str">
        <x:f>IF('06_Form_Emissions_GES'!$L96="Validé humainement",'06_Form_Emissions_GES'!F96,"")</x:f>
      </x:c>
      <x:c r="G96" s="83" t="str">
        <x:f>IF('06_Form_Emissions_GES'!$L96="Validé humainement",'06_Form_Emissions_GES'!G96,"")</x:f>
      </x:c>
      <x:c r="H96" s="77" t="str">
        <x:f>IF('06_Form_Emissions_GES'!$L96="Validé humainement",'06_Form_Emissions_GES'!H96,"")</x:f>
      </x:c>
      <x:c r="I96" s="76" t="str">
        <x:f>IF('06_Form_Emissions_GES'!$L96="Validé humainement",'06_Form_Emissions_GES'!I96,"")</x:f>
      </x:c>
      <x:c r="J96" s="76" t="str">
        <x:f>IF('06_Form_Emissions_GES'!$L96="Validé humainement",'06_Form_Emissions_GES'!J96,"")</x:f>
      </x:c>
      <x:c r="K96" s="76" t="str">
        <x:f>IF('06_Form_Emissions_GES'!$L96="Validé humainement",'06_Form_Emissions_GES'!K96,"")</x:f>
      </x:c>
      <x:c r="L96" s="76" t="str">
        <x:f>IF('06_Form_Emissions_GES'!$L96="Validé humainement",'06_Form_Emissions_GES'!L96,"")</x:f>
      </x:c>
      <x:c r="M96" s="76" t="str">
        <x:f>IF('06_Form_Emissions_GES'!$L96="Validé humainement",'06_Form_Emissions_GES'!M96,"")</x:f>
      </x:c>
      <x:c r="N96" s="78" t="str">
        <x:f>IF('06_Form_Emissions_GES'!$L96="Validé humainement",'06_Form_Emissions_GES'!N96,"")</x:f>
      </x:c>
      <x:c r="O96" s="76" t="str">
        <x:f>IF('06_Form_Emissions_GES'!$L96="Validé humainement",'06_Form_Emissions_GES'!O96,"")</x:f>
      </x:c>
      <x:c r="P96" s="76" t="str">
        <x:f>IF('06_Form_Emissions_GES'!$L96="Validé humainement",'06_Form_Emissions_GES'!P96,"")</x:f>
      </x:c>
      <x:c r="Q96" s="76" t="str">
        <x:f>IF('06_Form_Emissions_GES'!$L96="Validé humainement",'06_Form_Emissions_GES'!Q96,"")</x:f>
      </x:c>
    </x:row>
    <x:row r="97">
      <x:c r="A97" s="76" t="str">
        <x:f>IF('06_Form_Emissions_GES'!$L97="Validé humainement",'06_Form_Emissions_GES'!A97,"")</x:f>
      </x:c>
      <x:c r="B97" s="76" t="str">
        <x:f>IF('06_Form_Emissions_GES'!$L97="Validé humainement",'06_Form_Emissions_GES'!B97,"")</x:f>
      </x:c>
      <x:c r="C97" s="76" t="str">
        <x:f>IF('06_Form_Emissions_GES'!$L97="Validé humainement",'06_Form_Emissions_GES'!C97,"")</x:f>
      </x:c>
      <x:c r="D97" s="76" t="str">
        <x:f>IF('06_Form_Emissions_GES'!$L97="Validé humainement",'06_Form_Emissions_GES'!D97,"")</x:f>
      </x:c>
      <x:c r="E97" s="77" t="str">
        <x:f>IF('06_Form_Emissions_GES'!$L97="Validé humainement",'06_Form_Emissions_GES'!E97,"")</x:f>
      </x:c>
      <x:c r="F97" s="76" t="str">
        <x:f>IF('06_Form_Emissions_GES'!$L97="Validé humainement",'06_Form_Emissions_GES'!F97,"")</x:f>
      </x:c>
      <x:c r="G97" s="83" t="str">
        <x:f>IF('06_Form_Emissions_GES'!$L97="Validé humainement",'06_Form_Emissions_GES'!G97,"")</x:f>
      </x:c>
      <x:c r="H97" s="77" t="str">
        <x:f>IF('06_Form_Emissions_GES'!$L97="Validé humainement",'06_Form_Emissions_GES'!H97,"")</x:f>
      </x:c>
      <x:c r="I97" s="76" t="str">
        <x:f>IF('06_Form_Emissions_GES'!$L97="Validé humainement",'06_Form_Emissions_GES'!I97,"")</x:f>
      </x:c>
      <x:c r="J97" s="76" t="str">
        <x:f>IF('06_Form_Emissions_GES'!$L97="Validé humainement",'06_Form_Emissions_GES'!J97,"")</x:f>
      </x:c>
      <x:c r="K97" s="76" t="str">
        <x:f>IF('06_Form_Emissions_GES'!$L97="Validé humainement",'06_Form_Emissions_GES'!K97,"")</x:f>
      </x:c>
      <x:c r="L97" s="76" t="str">
        <x:f>IF('06_Form_Emissions_GES'!$L97="Validé humainement",'06_Form_Emissions_GES'!L97,"")</x:f>
      </x:c>
      <x:c r="M97" s="76" t="str">
        <x:f>IF('06_Form_Emissions_GES'!$L97="Validé humainement",'06_Form_Emissions_GES'!M97,"")</x:f>
      </x:c>
      <x:c r="N97" s="78" t="str">
        <x:f>IF('06_Form_Emissions_GES'!$L97="Validé humainement",'06_Form_Emissions_GES'!N97,"")</x:f>
      </x:c>
      <x:c r="O97" s="76" t="str">
        <x:f>IF('06_Form_Emissions_GES'!$L97="Validé humainement",'06_Form_Emissions_GES'!O97,"")</x:f>
      </x:c>
      <x:c r="P97" s="76" t="str">
        <x:f>IF('06_Form_Emissions_GES'!$L97="Validé humainement",'06_Form_Emissions_GES'!P97,"")</x:f>
      </x:c>
      <x:c r="Q97" s="76" t="str">
        <x:f>IF('06_Form_Emissions_GES'!$L97="Validé humainement",'06_Form_Emissions_GES'!Q97,"")</x:f>
      </x:c>
    </x:row>
    <x:row r="98">
      <x:c r="A98" s="76" t="str">
        <x:f>IF('06_Form_Emissions_GES'!$L98="Validé humainement",'06_Form_Emissions_GES'!A98,"")</x:f>
      </x:c>
      <x:c r="B98" s="76" t="str">
        <x:f>IF('06_Form_Emissions_GES'!$L98="Validé humainement",'06_Form_Emissions_GES'!B98,"")</x:f>
      </x:c>
      <x:c r="C98" s="76" t="str">
        <x:f>IF('06_Form_Emissions_GES'!$L98="Validé humainement",'06_Form_Emissions_GES'!C98,"")</x:f>
      </x:c>
      <x:c r="D98" s="76" t="str">
        <x:f>IF('06_Form_Emissions_GES'!$L98="Validé humainement",'06_Form_Emissions_GES'!D98,"")</x:f>
      </x:c>
      <x:c r="E98" s="77" t="str">
        <x:f>IF('06_Form_Emissions_GES'!$L98="Validé humainement",'06_Form_Emissions_GES'!E98,"")</x:f>
      </x:c>
      <x:c r="F98" s="76" t="str">
        <x:f>IF('06_Form_Emissions_GES'!$L98="Validé humainement",'06_Form_Emissions_GES'!F98,"")</x:f>
      </x:c>
      <x:c r="G98" s="83" t="str">
        <x:f>IF('06_Form_Emissions_GES'!$L98="Validé humainement",'06_Form_Emissions_GES'!G98,"")</x:f>
      </x:c>
      <x:c r="H98" s="77" t="str">
        <x:f>IF('06_Form_Emissions_GES'!$L98="Validé humainement",'06_Form_Emissions_GES'!H98,"")</x:f>
      </x:c>
      <x:c r="I98" s="76" t="str">
        <x:f>IF('06_Form_Emissions_GES'!$L98="Validé humainement",'06_Form_Emissions_GES'!I98,"")</x:f>
      </x:c>
      <x:c r="J98" s="76" t="str">
        <x:f>IF('06_Form_Emissions_GES'!$L98="Validé humainement",'06_Form_Emissions_GES'!J98,"")</x:f>
      </x:c>
      <x:c r="K98" s="76" t="str">
        <x:f>IF('06_Form_Emissions_GES'!$L98="Validé humainement",'06_Form_Emissions_GES'!K98,"")</x:f>
      </x:c>
      <x:c r="L98" s="76" t="str">
        <x:f>IF('06_Form_Emissions_GES'!$L98="Validé humainement",'06_Form_Emissions_GES'!L98,"")</x:f>
      </x:c>
      <x:c r="M98" s="76" t="str">
        <x:f>IF('06_Form_Emissions_GES'!$L98="Validé humainement",'06_Form_Emissions_GES'!M98,"")</x:f>
      </x:c>
      <x:c r="N98" s="78" t="str">
        <x:f>IF('06_Form_Emissions_GES'!$L98="Validé humainement",'06_Form_Emissions_GES'!N98,"")</x:f>
      </x:c>
      <x:c r="O98" s="76" t="str">
        <x:f>IF('06_Form_Emissions_GES'!$L98="Validé humainement",'06_Form_Emissions_GES'!O98,"")</x:f>
      </x:c>
      <x:c r="P98" s="76" t="str">
        <x:f>IF('06_Form_Emissions_GES'!$L98="Validé humainement",'06_Form_Emissions_GES'!P98,"")</x:f>
      </x:c>
      <x:c r="Q98" s="76" t="str">
        <x:f>IF('06_Form_Emissions_GES'!$L98="Validé humainement",'06_Form_Emissions_GES'!Q98,"")</x:f>
      </x:c>
    </x:row>
    <x:row r="99">
      <x:c r="A99" s="76" t="str">
        <x:f>IF('06_Form_Emissions_GES'!$L99="Validé humainement",'06_Form_Emissions_GES'!A99,"")</x:f>
      </x:c>
      <x:c r="B99" s="76" t="str">
        <x:f>IF('06_Form_Emissions_GES'!$L99="Validé humainement",'06_Form_Emissions_GES'!B99,"")</x:f>
      </x:c>
      <x:c r="C99" s="76" t="str">
        <x:f>IF('06_Form_Emissions_GES'!$L99="Validé humainement",'06_Form_Emissions_GES'!C99,"")</x:f>
      </x:c>
      <x:c r="D99" s="76" t="str">
        <x:f>IF('06_Form_Emissions_GES'!$L99="Validé humainement",'06_Form_Emissions_GES'!D99,"")</x:f>
      </x:c>
      <x:c r="E99" s="77" t="str">
        <x:f>IF('06_Form_Emissions_GES'!$L99="Validé humainement",'06_Form_Emissions_GES'!E99,"")</x:f>
      </x:c>
      <x:c r="F99" s="76" t="str">
        <x:f>IF('06_Form_Emissions_GES'!$L99="Validé humainement",'06_Form_Emissions_GES'!F99,"")</x:f>
      </x:c>
      <x:c r="G99" s="83" t="str">
        <x:f>IF('06_Form_Emissions_GES'!$L99="Validé humainement",'06_Form_Emissions_GES'!G99,"")</x:f>
      </x:c>
      <x:c r="H99" s="77" t="str">
        <x:f>IF('06_Form_Emissions_GES'!$L99="Validé humainement",'06_Form_Emissions_GES'!H99,"")</x:f>
      </x:c>
      <x:c r="I99" s="76" t="str">
        <x:f>IF('06_Form_Emissions_GES'!$L99="Validé humainement",'06_Form_Emissions_GES'!I99,"")</x:f>
      </x:c>
      <x:c r="J99" s="76" t="str">
        <x:f>IF('06_Form_Emissions_GES'!$L99="Validé humainement",'06_Form_Emissions_GES'!J99,"")</x:f>
      </x:c>
      <x:c r="K99" s="76" t="str">
        <x:f>IF('06_Form_Emissions_GES'!$L99="Validé humainement",'06_Form_Emissions_GES'!K99,"")</x:f>
      </x:c>
      <x:c r="L99" s="76" t="str">
        <x:f>IF('06_Form_Emissions_GES'!$L99="Validé humainement",'06_Form_Emissions_GES'!L99,"")</x:f>
      </x:c>
      <x:c r="M99" s="76" t="str">
        <x:f>IF('06_Form_Emissions_GES'!$L99="Validé humainement",'06_Form_Emissions_GES'!M99,"")</x:f>
      </x:c>
      <x:c r="N99" s="78" t="str">
        <x:f>IF('06_Form_Emissions_GES'!$L99="Validé humainement",'06_Form_Emissions_GES'!N99,"")</x:f>
      </x:c>
      <x:c r="O99" s="76" t="str">
        <x:f>IF('06_Form_Emissions_GES'!$L99="Validé humainement",'06_Form_Emissions_GES'!O99,"")</x:f>
      </x:c>
      <x:c r="P99" s="76" t="str">
        <x:f>IF('06_Form_Emissions_GES'!$L99="Validé humainement",'06_Form_Emissions_GES'!P99,"")</x:f>
      </x:c>
      <x:c r="Q99" s="76" t="str">
        <x:f>IF('06_Form_Emissions_GES'!$L99="Validé humainement",'06_Form_Emissions_GES'!Q99,"")</x:f>
      </x:c>
    </x:row>
    <x:row r="100">
      <x:c r="A100" s="76" t="str">
        <x:f>IF('06_Form_Emissions_GES'!$L100="Validé humainement",'06_Form_Emissions_GES'!A100,"")</x:f>
      </x:c>
      <x:c r="B100" s="76" t="str">
        <x:f>IF('06_Form_Emissions_GES'!$L100="Validé humainement",'06_Form_Emissions_GES'!B100,"")</x:f>
      </x:c>
      <x:c r="C100" s="76" t="str">
        <x:f>IF('06_Form_Emissions_GES'!$L100="Validé humainement",'06_Form_Emissions_GES'!C100,"")</x:f>
      </x:c>
      <x:c r="D100" s="76" t="str">
        <x:f>IF('06_Form_Emissions_GES'!$L100="Validé humainement",'06_Form_Emissions_GES'!D100,"")</x:f>
      </x:c>
      <x:c r="E100" s="77" t="str">
        <x:f>IF('06_Form_Emissions_GES'!$L100="Validé humainement",'06_Form_Emissions_GES'!E100,"")</x:f>
      </x:c>
      <x:c r="F100" s="76" t="str">
        <x:f>IF('06_Form_Emissions_GES'!$L100="Validé humainement",'06_Form_Emissions_GES'!F100,"")</x:f>
      </x:c>
      <x:c r="G100" s="83" t="str">
        <x:f>IF('06_Form_Emissions_GES'!$L100="Validé humainement",'06_Form_Emissions_GES'!G100,"")</x:f>
      </x:c>
      <x:c r="H100" s="77" t="str">
        <x:f>IF('06_Form_Emissions_GES'!$L100="Validé humainement",'06_Form_Emissions_GES'!H100,"")</x:f>
      </x:c>
      <x:c r="I100" s="76" t="str">
        <x:f>IF('06_Form_Emissions_GES'!$L100="Validé humainement",'06_Form_Emissions_GES'!I100,"")</x:f>
      </x:c>
      <x:c r="J100" s="76" t="str">
        <x:f>IF('06_Form_Emissions_GES'!$L100="Validé humainement",'06_Form_Emissions_GES'!J100,"")</x:f>
      </x:c>
      <x:c r="K100" s="76" t="str">
        <x:f>IF('06_Form_Emissions_GES'!$L100="Validé humainement",'06_Form_Emissions_GES'!K100,"")</x:f>
      </x:c>
      <x:c r="L100" s="76" t="str">
        <x:f>IF('06_Form_Emissions_GES'!$L100="Validé humainement",'06_Form_Emissions_GES'!L100,"")</x:f>
      </x:c>
      <x:c r="M100" s="76" t="str">
        <x:f>IF('06_Form_Emissions_GES'!$L100="Validé humainement",'06_Form_Emissions_GES'!M100,"")</x:f>
      </x:c>
      <x:c r="N100" s="78" t="str">
        <x:f>IF('06_Form_Emissions_GES'!$L100="Validé humainement",'06_Form_Emissions_GES'!N100,"")</x:f>
      </x:c>
      <x:c r="O100" s="76" t="str">
        <x:f>IF('06_Form_Emissions_GES'!$L100="Validé humainement",'06_Form_Emissions_GES'!O100,"")</x:f>
      </x:c>
      <x:c r="P100" s="76" t="str">
        <x:f>IF('06_Form_Emissions_GES'!$L100="Validé humainement",'06_Form_Emissions_GES'!P100,"")</x:f>
      </x:c>
      <x:c r="Q100" s="76" t="str">
        <x:f>IF('06_Form_Emissions_GES'!$L100="Validé humainement",'06_Form_Emissions_GES'!Q100,"")</x:f>
      </x:c>
    </x:row>
    <x:row r="101">
      <x:c r="A101" s="76" t="str">
        <x:f>IF('06_Form_Emissions_GES'!$L101="Validé humainement",'06_Form_Emissions_GES'!A101,"")</x:f>
      </x:c>
      <x:c r="B101" s="76" t="str">
        <x:f>IF('06_Form_Emissions_GES'!$L101="Validé humainement",'06_Form_Emissions_GES'!B101,"")</x:f>
      </x:c>
      <x:c r="C101" s="76" t="str">
        <x:f>IF('06_Form_Emissions_GES'!$L101="Validé humainement",'06_Form_Emissions_GES'!C101,"")</x:f>
      </x:c>
      <x:c r="D101" s="76" t="str">
        <x:f>IF('06_Form_Emissions_GES'!$L101="Validé humainement",'06_Form_Emissions_GES'!D101,"")</x:f>
      </x:c>
      <x:c r="E101" s="77" t="str">
        <x:f>IF('06_Form_Emissions_GES'!$L101="Validé humainement",'06_Form_Emissions_GES'!E101,"")</x:f>
      </x:c>
      <x:c r="F101" s="76" t="str">
        <x:f>IF('06_Form_Emissions_GES'!$L101="Validé humainement",'06_Form_Emissions_GES'!F101,"")</x:f>
      </x:c>
      <x:c r="G101" s="83" t="str">
        <x:f>IF('06_Form_Emissions_GES'!$L101="Validé humainement",'06_Form_Emissions_GES'!G101,"")</x:f>
      </x:c>
      <x:c r="H101" s="77" t="str">
        <x:f>IF('06_Form_Emissions_GES'!$L101="Validé humainement",'06_Form_Emissions_GES'!H101,"")</x:f>
      </x:c>
      <x:c r="I101" s="76" t="str">
        <x:f>IF('06_Form_Emissions_GES'!$L101="Validé humainement",'06_Form_Emissions_GES'!I101,"")</x:f>
      </x:c>
      <x:c r="J101" s="76" t="str">
        <x:f>IF('06_Form_Emissions_GES'!$L101="Validé humainement",'06_Form_Emissions_GES'!J101,"")</x:f>
      </x:c>
      <x:c r="K101" s="76" t="str">
        <x:f>IF('06_Form_Emissions_GES'!$L101="Validé humainement",'06_Form_Emissions_GES'!K101,"")</x:f>
      </x:c>
      <x:c r="L101" s="76" t="str">
        <x:f>IF('06_Form_Emissions_GES'!$L101="Validé humainement",'06_Form_Emissions_GES'!L101,"")</x:f>
      </x:c>
      <x:c r="M101" s="76" t="str">
        <x:f>IF('06_Form_Emissions_GES'!$L101="Validé humainement",'06_Form_Emissions_GES'!M101,"")</x:f>
      </x:c>
      <x:c r="N101" s="78" t="str">
        <x:f>IF('06_Form_Emissions_GES'!$L101="Validé humainement",'06_Form_Emissions_GES'!N101,"")</x:f>
      </x:c>
      <x:c r="O101" s="76" t="str">
        <x:f>IF('06_Form_Emissions_GES'!$L101="Validé humainement",'06_Form_Emissions_GES'!O101,"")</x:f>
      </x:c>
      <x:c r="P101" s="76" t="str">
        <x:f>IF('06_Form_Emissions_GES'!$L101="Validé humainement",'06_Form_Emissions_GES'!P101,"")</x:f>
      </x:c>
      <x:c r="Q101" s="76" t="str">
        <x:f>IF('06_Form_Emissions_GES'!$L101="Validé humainement",'06_Form_Emissions_GES'!Q101,"")</x:f>
      </x:c>
    </x:row>
    <x:row r="102">
      <x:c r="A102" s="76" t="str">
        <x:f>IF('06_Form_Emissions_GES'!$L102="Validé humainement",'06_Form_Emissions_GES'!A102,"")</x:f>
      </x:c>
      <x:c r="B102" s="76" t="str">
        <x:f>IF('06_Form_Emissions_GES'!$L102="Validé humainement",'06_Form_Emissions_GES'!B102,"")</x:f>
      </x:c>
      <x:c r="C102" s="76" t="str">
        <x:f>IF('06_Form_Emissions_GES'!$L102="Validé humainement",'06_Form_Emissions_GES'!C102,"")</x:f>
      </x:c>
      <x:c r="D102" s="76" t="str">
        <x:f>IF('06_Form_Emissions_GES'!$L102="Validé humainement",'06_Form_Emissions_GES'!D102,"")</x:f>
      </x:c>
      <x:c r="E102" s="77" t="str">
        <x:f>IF('06_Form_Emissions_GES'!$L102="Validé humainement",'06_Form_Emissions_GES'!E102,"")</x:f>
      </x:c>
      <x:c r="F102" s="76" t="str">
        <x:f>IF('06_Form_Emissions_GES'!$L102="Validé humainement",'06_Form_Emissions_GES'!F102,"")</x:f>
      </x:c>
      <x:c r="G102" s="83" t="str">
        <x:f>IF('06_Form_Emissions_GES'!$L102="Validé humainement",'06_Form_Emissions_GES'!G102,"")</x:f>
      </x:c>
      <x:c r="H102" s="77" t="str">
        <x:f>IF('06_Form_Emissions_GES'!$L102="Validé humainement",'06_Form_Emissions_GES'!H102,"")</x:f>
      </x:c>
      <x:c r="I102" s="76" t="str">
        <x:f>IF('06_Form_Emissions_GES'!$L102="Validé humainement",'06_Form_Emissions_GES'!I102,"")</x:f>
      </x:c>
      <x:c r="J102" s="76" t="str">
        <x:f>IF('06_Form_Emissions_GES'!$L102="Validé humainement",'06_Form_Emissions_GES'!J102,"")</x:f>
      </x:c>
      <x:c r="K102" s="76" t="str">
        <x:f>IF('06_Form_Emissions_GES'!$L102="Validé humainement",'06_Form_Emissions_GES'!K102,"")</x:f>
      </x:c>
      <x:c r="L102" s="76" t="str">
        <x:f>IF('06_Form_Emissions_GES'!$L102="Validé humainement",'06_Form_Emissions_GES'!L102,"")</x:f>
      </x:c>
      <x:c r="M102" s="76" t="str">
        <x:f>IF('06_Form_Emissions_GES'!$L102="Validé humainement",'06_Form_Emissions_GES'!M102,"")</x:f>
      </x:c>
      <x:c r="N102" s="78" t="str">
        <x:f>IF('06_Form_Emissions_GES'!$L102="Validé humainement",'06_Form_Emissions_GES'!N102,"")</x:f>
      </x:c>
      <x:c r="O102" s="76" t="str">
        <x:f>IF('06_Form_Emissions_GES'!$L102="Validé humainement",'06_Form_Emissions_GES'!O102,"")</x:f>
      </x:c>
      <x:c r="P102" s="76" t="str">
        <x:f>IF('06_Form_Emissions_GES'!$L102="Validé humainement",'06_Form_Emissions_GES'!P102,"")</x:f>
      </x:c>
      <x:c r="Q102" s="76" t="str">
        <x:f>IF('06_Form_Emissions_GES'!$L102="Validé humainement",'06_Form_Emissions_GES'!Q102,"")</x:f>
      </x:c>
    </x:row>
    <x:row r="103">
      <x:c r="A103" s="76" t="str">
        <x:f>IF('06_Form_Emissions_GES'!$L103="Validé humainement",'06_Form_Emissions_GES'!A103,"")</x:f>
      </x:c>
      <x:c r="B103" s="76" t="str">
        <x:f>IF('06_Form_Emissions_GES'!$L103="Validé humainement",'06_Form_Emissions_GES'!B103,"")</x:f>
      </x:c>
      <x:c r="C103" s="76" t="str">
        <x:f>IF('06_Form_Emissions_GES'!$L103="Validé humainement",'06_Form_Emissions_GES'!C103,"")</x:f>
      </x:c>
      <x:c r="D103" s="76" t="str">
        <x:f>IF('06_Form_Emissions_GES'!$L103="Validé humainement",'06_Form_Emissions_GES'!D103,"")</x:f>
      </x:c>
      <x:c r="E103" s="77" t="str">
        <x:f>IF('06_Form_Emissions_GES'!$L103="Validé humainement",'06_Form_Emissions_GES'!E103,"")</x:f>
      </x:c>
      <x:c r="F103" s="76" t="str">
        <x:f>IF('06_Form_Emissions_GES'!$L103="Validé humainement",'06_Form_Emissions_GES'!F103,"")</x:f>
      </x:c>
      <x:c r="G103" s="83" t="str">
        <x:f>IF('06_Form_Emissions_GES'!$L103="Validé humainement",'06_Form_Emissions_GES'!G103,"")</x:f>
      </x:c>
      <x:c r="H103" s="77" t="str">
        <x:f>IF('06_Form_Emissions_GES'!$L103="Validé humainement",'06_Form_Emissions_GES'!H103,"")</x:f>
      </x:c>
      <x:c r="I103" s="76" t="str">
        <x:f>IF('06_Form_Emissions_GES'!$L103="Validé humainement",'06_Form_Emissions_GES'!I103,"")</x:f>
      </x:c>
      <x:c r="J103" s="76" t="str">
        <x:f>IF('06_Form_Emissions_GES'!$L103="Validé humainement",'06_Form_Emissions_GES'!J103,"")</x:f>
      </x:c>
      <x:c r="K103" s="76" t="str">
        <x:f>IF('06_Form_Emissions_GES'!$L103="Validé humainement",'06_Form_Emissions_GES'!K103,"")</x:f>
      </x:c>
      <x:c r="L103" s="76" t="str">
        <x:f>IF('06_Form_Emissions_GES'!$L103="Validé humainement",'06_Form_Emissions_GES'!L103,"")</x:f>
      </x:c>
      <x:c r="M103" s="76" t="str">
        <x:f>IF('06_Form_Emissions_GES'!$L103="Validé humainement",'06_Form_Emissions_GES'!M103,"")</x:f>
      </x:c>
      <x:c r="N103" s="78" t="str">
        <x:f>IF('06_Form_Emissions_GES'!$L103="Validé humainement",'06_Form_Emissions_GES'!N103,"")</x:f>
      </x:c>
      <x:c r="O103" s="76" t="str">
        <x:f>IF('06_Form_Emissions_GES'!$L103="Validé humainement",'06_Form_Emissions_GES'!O103,"")</x:f>
      </x:c>
      <x:c r="P103" s="76" t="str">
        <x:f>IF('06_Form_Emissions_GES'!$L103="Validé humainement",'06_Form_Emissions_GES'!P103,"")</x:f>
      </x:c>
      <x:c r="Q103" s="76" t="str">
        <x:f>IF('06_Form_Emissions_GES'!$L103="Validé humainement",'06_Form_Emissions_GES'!Q103,"")</x:f>
      </x:c>
    </x:row>
    <x:row r="104">
      <x:c r="A104" s="76" t="str">
        <x:f>IF('06_Form_Emissions_GES'!$L104="Validé humainement",'06_Form_Emissions_GES'!A104,"")</x:f>
      </x:c>
      <x:c r="B104" s="76" t="str">
        <x:f>IF('06_Form_Emissions_GES'!$L104="Validé humainement",'06_Form_Emissions_GES'!B104,"")</x:f>
      </x:c>
      <x:c r="C104" s="76" t="str">
        <x:f>IF('06_Form_Emissions_GES'!$L104="Validé humainement",'06_Form_Emissions_GES'!C104,"")</x:f>
      </x:c>
      <x:c r="D104" s="76" t="str">
        <x:f>IF('06_Form_Emissions_GES'!$L104="Validé humainement",'06_Form_Emissions_GES'!D104,"")</x:f>
      </x:c>
      <x:c r="E104" s="77" t="str">
        <x:f>IF('06_Form_Emissions_GES'!$L104="Validé humainement",'06_Form_Emissions_GES'!E104,"")</x:f>
      </x:c>
      <x:c r="F104" s="76" t="str">
        <x:f>IF('06_Form_Emissions_GES'!$L104="Validé humainement",'06_Form_Emissions_GES'!F104,"")</x:f>
      </x:c>
      <x:c r="G104" s="83" t="str">
        <x:f>IF('06_Form_Emissions_GES'!$L104="Validé humainement",'06_Form_Emissions_GES'!G104,"")</x:f>
      </x:c>
      <x:c r="H104" s="77" t="str">
        <x:f>IF('06_Form_Emissions_GES'!$L104="Validé humainement",'06_Form_Emissions_GES'!H104,"")</x:f>
      </x:c>
      <x:c r="I104" s="76" t="str">
        <x:f>IF('06_Form_Emissions_GES'!$L104="Validé humainement",'06_Form_Emissions_GES'!I104,"")</x:f>
      </x:c>
      <x:c r="J104" s="76" t="str">
        <x:f>IF('06_Form_Emissions_GES'!$L104="Validé humainement",'06_Form_Emissions_GES'!J104,"")</x:f>
      </x:c>
      <x:c r="K104" s="76" t="str">
        <x:f>IF('06_Form_Emissions_GES'!$L104="Validé humainement",'06_Form_Emissions_GES'!K104,"")</x:f>
      </x:c>
      <x:c r="L104" s="76" t="str">
        <x:f>IF('06_Form_Emissions_GES'!$L104="Validé humainement",'06_Form_Emissions_GES'!L104,"")</x:f>
      </x:c>
      <x:c r="M104" s="76" t="str">
        <x:f>IF('06_Form_Emissions_GES'!$L104="Validé humainement",'06_Form_Emissions_GES'!M104,"")</x:f>
      </x:c>
      <x:c r="N104" s="78" t="str">
        <x:f>IF('06_Form_Emissions_GES'!$L104="Validé humainement",'06_Form_Emissions_GES'!N104,"")</x:f>
      </x:c>
      <x:c r="O104" s="76" t="str">
        <x:f>IF('06_Form_Emissions_GES'!$L104="Validé humainement",'06_Form_Emissions_GES'!O104,"")</x:f>
      </x:c>
      <x:c r="P104" s="76" t="str">
        <x:f>IF('06_Form_Emissions_GES'!$L104="Validé humainement",'06_Form_Emissions_GES'!P104,"")</x:f>
      </x:c>
      <x:c r="Q104" s="76" t="str">
        <x:f>IF('06_Form_Emissions_GES'!$L104="Validé humainement",'06_Form_Emissions_GES'!Q104,"")</x:f>
      </x:c>
    </x:row>
  </x:sheetData>
  <x:mergeCells>
    <x:mergeCell ref="A1:Q1"/>
    <x:mergeCell ref="A2:Q2"/>
  </x:mergeCells>
  <x:pageMargins left="0.7" right="0.7" top="0.75" bottom="0.75" header="0.3" footer="0.3"/>
  <x:tableParts count="1">
    <x:tablePart xmlns:r="http://schemas.openxmlformats.org/officeDocument/2006/relationships" r:id="R8e2672c476d74769"/>
  </x:tableParts>
</x:worksheet>
</file>

<file path=xl/worksheets/sheet60.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18.75" hidden="0" customWidth="1"/>
    <x:col min="6" max="6" width="15.630000114440918" hidden="0" customWidth="1"/>
    <x:col min="7" max="7" width="18.75" hidden="0" customWidth="1"/>
    <x:col min="8" max="8" width="14.380000114440918" hidden="0" customWidth="1"/>
    <x:col min="9" max="9" width="18.75" hidden="0" customWidth="1"/>
    <x:col min="10" max="10" width="15.630000114440918" hidden="0" customWidth="1"/>
    <x:col min="11" max="11" width="11.880000114440918" hidden="0" customWidth="1"/>
    <x:col min="12" max="12" width="16.8799991607666" hidden="0" customWidth="1"/>
    <x:col min="13" max="13" width="17.5" hidden="0" customWidth="1"/>
    <x:col min="14" max="14" width="18.1299991607666" hidden="0" customWidth="1"/>
    <x:col min="15" max="15" width="22.5" hidden="0" customWidth="1"/>
    <x:col min="16" max="16" width="26.25" hidden="0" customWidth="1"/>
    <x:col min="17" max="17" width="20" hidden="0" customWidth="1"/>
    <x:col min="18" max="18" width="31.25" hidden="0" customWidth="1"/>
    <x:col min="19" max="19" width="15" hidden="0" customWidth="1"/>
    <x:col min="20" max="20" width="18.75" hidden="0" customWidth="1"/>
    <x:col min="21" max="21" width="23.75" hidden="0" customWidth="1"/>
    <x:col min="22" max="22" width="15" hidden="0" customWidth="1"/>
  </x:cols>
  <x:sheetData>
    <x:row r="1" ht="25.5" customHeight="1">
      <x:c r="A1" s="68" t="str">
        <x:v>Base validée - mobilité</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Cette base est alimentée automatiquement depuis 07_Form_Mobilite.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c r="V2" s="71"/>
    </x:row>
    <x:row r="4">
      <x:c r="A4" s="87" t="str">
        <x:v>ID_Saisie</x:v>
      </x:c>
      <x:c r="B4" s="87" t="str">
        <x:v>Année</x:v>
      </x:c>
      <x:c r="C4" s="87" t="str">
        <x:v>Mois</x:v>
      </x:c>
      <x:c r="D4" s="87" t="str">
        <x:v>Zone</x:v>
      </x:c>
      <x:c r="E4" s="87" t="str">
        <x:v>Mode transport</x:v>
      </x:c>
      <x:c r="F4" s="87" t="str">
        <x:v>Nombre trajets</x:v>
      </x:c>
      <x:c r="G4" s="87" t="str">
        <x:v>Distance moyenne km</x:v>
      </x:c>
      <x:c r="H4" s="87" t="str">
        <x:v>Passagers</x:v>
      </x:c>
      <x:c r="I4" s="87" t="str">
        <x:v>Carburant / énergie</x:v>
      </x:c>
      <x:c r="J4" s="87" t="str">
        <x:v>Consommation</x:v>
      </x:c>
      <x:c r="K4" s="87" t="str">
        <x:v>Unité</x:v>
      </x:c>
      <x:c r="L4" s="87" t="str">
        <x:v>Facteur d'émission</x:v>
      </x:c>
      <x:c r="M4" s="87" t="str">
        <x:v>Émissions tCO2e</x:v>
      </x:c>
      <x:c r="N4" s="87" t="str">
        <x:v>Source</x:v>
      </x:c>
      <x:c r="O4" s="87" t="str">
        <x:v>Institution source</x:v>
      </x:c>
      <x:c r="P4" s="87" t="str">
        <x:v>Document source</x:v>
      </x:c>
      <x:c r="Q4" s="87" t="str">
        <x:v>Statut validation</x:v>
      </x:c>
      <x:c r="R4" s="87" t="str">
        <x:v>Observations</x:v>
      </x:c>
      <x:c r="S4" s="87" t="str">
        <x:v>Date de saisie</x:v>
      </x:c>
      <x:c r="T4" s="87" t="str">
        <x:v>Responsable</x:v>
      </x:c>
      <x:c r="U4" s="87" t="str">
        <x:v>Alerte_QC</x:v>
      </x:c>
      <x:c r="V4" s="87" t="str">
        <x:v>Alimente_Rapports</x:v>
      </x:c>
    </x:row>
    <x:row r="5">
      <x:c r="A5" s="76" t="str">
        <x:f>IF('07_Form_Mobilite'!$Q5="Validé humainement",'07_Form_Mobilite'!A5,"")</x:f>
      </x:c>
      <x:c r="B5" s="76" t="str">
        <x:f>IF('07_Form_Mobilite'!$Q5="Validé humainement",'07_Form_Mobilite'!B5,"")</x:f>
      </x:c>
      <x:c r="C5" s="76" t="str">
        <x:f>IF('07_Form_Mobilite'!$Q5="Validé humainement",'07_Form_Mobilite'!C5,"")</x:f>
      </x:c>
      <x:c r="D5" s="76" t="str">
        <x:f>IF('07_Form_Mobilite'!$Q5="Validé humainement",'07_Form_Mobilite'!D5,"")</x:f>
      </x:c>
      <x:c r="E5" s="76" t="str">
        <x:f>IF('07_Form_Mobilite'!$Q5="Validé humainement",'07_Form_Mobilite'!E5,"")</x:f>
      </x:c>
      <x:c r="F5" s="81" t="str">
        <x:f>IF('07_Form_Mobilite'!$Q5="Validé humainement",'07_Form_Mobilite'!F5,"")</x:f>
      </x:c>
      <x:c r="G5" s="80" t="str">
        <x:f>IF('07_Form_Mobilite'!$Q5="Validé humainement",'07_Form_Mobilite'!G5,"")</x:f>
      </x:c>
      <x:c r="H5" s="81" t="str">
        <x:f>IF('07_Form_Mobilite'!$Q5="Validé humainement",'07_Form_Mobilite'!H5,"")</x:f>
      </x:c>
      <x:c r="I5" s="76" t="str">
        <x:f>IF('07_Form_Mobilite'!$Q5="Validé humainement",'07_Form_Mobilite'!I5,"")</x:f>
      </x:c>
      <x:c r="J5" s="77" t="str">
        <x:f>IF('07_Form_Mobilite'!$Q5="Validé humainement",'07_Form_Mobilite'!J5,"")</x:f>
      </x:c>
      <x:c r="K5" s="76" t="str">
        <x:f>IF('07_Form_Mobilite'!$Q5="Validé humainement",'07_Form_Mobilite'!K5,"")</x:f>
      </x:c>
      <x:c r="L5" s="83" t="str">
        <x:f>IF('07_Form_Mobilite'!$Q5="Validé humainement",'07_Form_Mobilite'!L5,"")</x:f>
      </x:c>
      <x:c r="M5" s="77" t="str">
        <x:f>IF('07_Form_Mobilite'!$Q5="Validé humainement",'07_Form_Mobilite'!M5,"")</x:f>
      </x:c>
      <x:c r="N5" s="76" t="str">
        <x:f>IF('07_Form_Mobilite'!$Q5="Validé humainement",'07_Form_Mobilite'!N5,"")</x:f>
      </x:c>
      <x:c r="O5" s="76" t="str">
        <x:f>IF('07_Form_Mobilite'!$Q5="Validé humainement",'07_Form_Mobilite'!O5,"")</x:f>
      </x:c>
      <x:c r="P5" s="76" t="str">
        <x:f>IF('07_Form_Mobilite'!$Q5="Validé humainement",'07_Form_Mobilite'!P5,"")</x:f>
      </x:c>
      <x:c r="Q5" s="76" t="str">
        <x:f>IF('07_Form_Mobilite'!$Q5="Validé humainement",'07_Form_Mobilite'!Q5,"")</x:f>
      </x:c>
      <x:c r="R5" s="76" t="str">
        <x:f>IF('07_Form_Mobilite'!$Q5="Validé humainement",'07_Form_Mobilite'!R5,"")</x:f>
      </x:c>
      <x:c r="S5" s="78" t="str">
        <x:f>IF('07_Form_Mobilite'!$Q5="Validé humainement",'07_Form_Mobilite'!S5,"")</x:f>
      </x:c>
      <x:c r="T5" s="76" t="str">
        <x:f>IF('07_Form_Mobilite'!$Q5="Validé humainement",'07_Form_Mobilite'!T5,"")</x:f>
      </x:c>
      <x:c r="U5" s="76" t="str">
        <x:f>IF('07_Form_Mobilite'!$Q5="Validé humainement",'07_Form_Mobilite'!U5,"")</x:f>
      </x:c>
      <x:c r="V5" s="76" t="str">
        <x:f>IF('07_Form_Mobilite'!$Q5="Validé humainement",'07_Form_Mobilite'!V5,"")</x:f>
      </x:c>
    </x:row>
    <x:row r="6">
      <x:c r="A6" s="76" t="str">
        <x:f>IF('07_Form_Mobilite'!$Q6="Validé humainement",'07_Form_Mobilite'!A6,"")</x:f>
      </x:c>
      <x:c r="B6" s="76" t="str">
        <x:f>IF('07_Form_Mobilite'!$Q6="Validé humainement",'07_Form_Mobilite'!B6,"")</x:f>
      </x:c>
      <x:c r="C6" s="76" t="str">
        <x:f>IF('07_Form_Mobilite'!$Q6="Validé humainement",'07_Form_Mobilite'!C6,"")</x:f>
      </x:c>
      <x:c r="D6" s="76" t="str">
        <x:f>IF('07_Form_Mobilite'!$Q6="Validé humainement",'07_Form_Mobilite'!D6,"")</x:f>
      </x:c>
      <x:c r="E6" s="76" t="str">
        <x:f>IF('07_Form_Mobilite'!$Q6="Validé humainement",'07_Form_Mobilite'!E6,"")</x:f>
      </x:c>
      <x:c r="F6" s="81" t="str">
        <x:f>IF('07_Form_Mobilite'!$Q6="Validé humainement",'07_Form_Mobilite'!F6,"")</x:f>
      </x:c>
      <x:c r="G6" s="80" t="str">
        <x:f>IF('07_Form_Mobilite'!$Q6="Validé humainement",'07_Form_Mobilite'!G6,"")</x:f>
      </x:c>
      <x:c r="H6" s="81" t="str">
        <x:f>IF('07_Form_Mobilite'!$Q6="Validé humainement",'07_Form_Mobilite'!H6,"")</x:f>
      </x:c>
      <x:c r="I6" s="76" t="str">
        <x:f>IF('07_Form_Mobilite'!$Q6="Validé humainement",'07_Form_Mobilite'!I6,"")</x:f>
      </x:c>
      <x:c r="J6" s="77" t="str">
        <x:f>IF('07_Form_Mobilite'!$Q6="Validé humainement",'07_Form_Mobilite'!J6,"")</x:f>
      </x:c>
      <x:c r="K6" s="76" t="str">
        <x:f>IF('07_Form_Mobilite'!$Q6="Validé humainement",'07_Form_Mobilite'!K6,"")</x:f>
      </x:c>
      <x:c r="L6" s="83" t="str">
        <x:f>IF('07_Form_Mobilite'!$Q6="Validé humainement",'07_Form_Mobilite'!L6,"")</x:f>
      </x:c>
      <x:c r="M6" s="77" t="str">
        <x:f>IF('07_Form_Mobilite'!$Q6="Validé humainement",'07_Form_Mobilite'!M6,"")</x:f>
      </x:c>
      <x:c r="N6" s="76" t="str">
        <x:f>IF('07_Form_Mobilite'!$Q6="Validé humainement",'07_Form_Mobilite'!N6,"")</x:f>
      </x:c>
      <x:c r="O6" s="76" t="str">
        <x:f>IF('07_Form_Mobilite'!$Q6="Validé humainement",'07_Form_Mobilite'!O6,"")</x:f>
      </x:c>
      <x:c r="P6" s="76" t="str">
        <x:f>IF('07_Form_Mobilite'!$Q6="Validé humainement",'07_Form_Mobilite'!P6,"")</x:f>
      </x:c>
      <x:c r="Q6" s="76" t="str">
        <x:f>IF('07_Form_Mobilite'!$Q6="Validé humainement",'07_Form_Mobilite'!Q6,"")</x:f>
      </x:c>
      <x:c r="R6" s="76" t="str">
        <x:f>IF('07_Form_Mobilite'!$Q6="Validé humainement",'07_Form_Mobilite'!R6,"")</x:f>
      </x:c>
      <x:c r="S6" s="78" t="str">
        <x:f>IF('07_Form_Mobilite'!$Q6="Validé humainement",'07_Form_Mobilite'!S6,"")</x:f>
      </x:c>
      <x:c r="T6" s="76" t="str">
        <x:f>IF('07_Form_Mobilite'!$Q6="Validé humainement",'07_Form_Mobilite'!T6,"")</x:f>
      </x:c>
      <x:c r="U6" s="76" t="str">
        <x:f>IF('07_Form_Mobilite'!$Q6="Validé humainement",'07_Form_Mobilite'!U6,"")</x:f>
      </x:c>
      <x:c r="V6" s="76" t="str">
        <x:f>IF('07_Form_Mobilite'!$Q6="Validé humainement",'07_Form_Mobilite'!V6,"")</x:f>
      </x:c>
    </x:row>
    <x:row r="7">
      <x:c r="A7" s="76" t="str">
        <x:f>IF('07_Form_Mobilite'!$Q7="Validé humainement",'07_Form_Mobilite'!A7,"")</x:f>
      </x:c>
      <x:c r="B7" s="76" t="str">
        <x:f>IF('07_Form_Mobilite'!$Q7="Validé humainement",'07_Form_Mobilite'!B7,"")</x:f>
      </x:c>
      <x:c r="C7" s="76" t="str">
        <x:f>IF('07_Form_Mobilite'!$Q7="Validé humainement",'07_Form_Mobilite'!C7,"")</x:f>
      </x:c>
      <x:c r="D7" s="76" t="str">
        <x:f>IF('07_Form_Mobilite'!$Q7="Validé humainement",'07_Form_Mobilite'!D7,"")</x:f>
      </x:c>
      <x:c r="E7" s="76" t="str">
        <x:f>IF('07_Form_Mobilite'!$Q7="Validé humainement",'07_Form_Mobilite'!E7,"")</x:f>
      </x:c>
      <x:c r="F7" s="81" t="str">
        <x:f>IF('07_Form_Mobilite'!$Q7="Validé humainement",'07_Form_Mobilite'!F7,"")</x:f>
      </x:c>
      <x:c r="G7" s="80" t="str">
        <x:f>IF('07_Form_Mobilite'!$Q7="Validé humainement",'07_Form_Mobilite'!G7,"")</x:f>
      </x:c>
      <x:c r="H7" s="81" t="str">
        <x:f>IF('07_Form_Mobilite'!$Q7="Validé humainement",'07_Form_Mobilite'!H7,"")</x:f>
      </x:c>
      <x:c r="I7" s="76" t="str">
        <x:f>IF('07_Form_Mobilite'!$Q7="Validé humainement",'07_Form_Mobilite'!I7,"")</x:f>
      </x:c>
      <x:c r="J7" s="77" t="str">
        <x:f>IF('07_Form_Mobilite'!$Q7="Validé humainement",'07_Form_Mobilite'!J7,"")</x:f>
      </x:c>
      <x:c r="K7" s="76" t="str">
        <x:f>IF('07_Form_Mobilite'!$Q7="Validé humainement",'07_Form_Mobilite'!K7,"")</x:f>
      </x:c>
      <x:c r="L7" s="83" t="str">
        <x:f>IF('07_Form_Mobilite'!$Q7="Validé humainement",'07_Form_Mobilite'!L7,"")</x:f>
      </x:c>
      <x:c r="M7" s="77" t="str">
        <x:f>IF('07_Form_Mobilite'!$Q7="Validé humainement",'07_Form_Mobilite'!M7,"")</x:f>
      </x:c>
      <x:c r="N7" s="76" t="str">
        <x:f>IF('07_Form_Mobilite'!$Q7="Validé humainement",'07_Form_Mobilite'!N7,"")</x:f>
      </x:c>
      <x:c r="O7" s="76" t="str">
        <x:f>IF('07_Form_Mobilite'!$Q7="Validé humainement",'07_Form_Mobilite'!O7,"")</x:f>
      </x:c>
      <x:c r="P7" s="76" t="str">
        <x:f>IF('07_Form_Mobilite'!$Q7="Validé humainement",'07_Form_Mobilite'!P7,"")</x:f>
      </x:c>
      <x:c r="Q7" s="76" t="str">
        <x:f>IF('07_Form_Mobilite'!$Q7="Validé humainement",'07_Form_Mobilite'!Q7,"")</x:f>
      </x:c>
      <x:c r="R7" s="76" t="str">
        <x:f>IF('07_Form_Mobilite'!$Q7="Validé humainement",'07_Form_Mobilite'!R7,"")</x:f>
      </x:c>
      <x:c r="S7" s="78" t="str">
        <x:f>IF('07_Form_Mobilite'!$Q7="Validé humainement",'07_Form_Mobilite'!S7,"")</x:f>
      </x:c>
      <x:c r="T7" s="76" t="str">
        <x:f>IF('07_Form_Mobilite'!$Q7="Validé humainement",'07_Form_Mobilite'!T7,"")</x:f>
      </x:c>
      <x:c r="U7" s="76" t="str">
        <x:f>IF('07_Form_Mobilite'!$Q7="Validé humainement",'07_Form_Mobilite'!U7,"")</x:f>
      </x:c>
      <x:c r="V7" s="76" t="str">
        <x:f>IF('07_Form_Mobilite'!$Q7="Validé humainement",'07_Form_Mobilite'!V7,"")</x:f>
      </x:c>
    </x:row>
    <x:row r="8">
      <x:c r="A8" s="76" t="str">
        <x:f>IF('07_Form_Mobilite'!$Q8="Validé humainement",'07_Form_Mobilite'!A8,"")</x:f>
      </x:c>
      <x:c r="B8" s="76" t="str">
        <x:f>IF('07_Form_Mobilite'!$Q8="Validé humainement",'07_Form_Mobilite'!B8,"")</x:f>
      </x:c>
      <x:c r="C8" s="76" t="str">
        <x:f>IF('07_Form_Mobilite'!$Q8="Validé humainement",'07_Form_Mobilite'!C8,"")</x:f>
      </x:c>
      <x:c r="D8" s="76" t="str">
        <x:f>IF('07_Form_Mobilite'!$Q8="Validé humainement",'07_Form_Mobilite'!D8,"")</x:f>
      </x:c>
      <x:c r="E8" s="76" t="str">
        <x:f>IF('07_Form_Mobilite'!$Q8="Validé humainement",'07_Form_Mobilite'!E8,"")</x:f>
      </x:c>
      <x:c r="F8" s="81" t="str">
        <x:f>IF('07_Form_Mobilite'!$Q8="Validé humainement",'07_Form_Mobilite'!F8,"")</x:f>
      </x:c>
      <x:c r="G8" s="80" t="str">
        <x:f>IF('07_Form_Mobilite'!$Q8="Validé humainement",'07_Form_Mobilite'!G8,"")</x:f>
      </x:c>
      <x:c r="H8" s="81" t="str">
        <x:f>IF('07_Form_Mobilite'!$Q8="Validé humainement",'07_Form_Mobilite'!H8,"")</x:f>
      </x:c>
      <x:c r="I8" s="76" t="str">
        <x:f>IF('07_Form_Mobilite'!$Q8="Validé humainement",'07_Form_Mobilite'!I8,"")</x:f>
      </x:c>
      <x:c r="J8" s="77" t="str">
        <x:f>IF('07_Form_Mobilite'!$Q8="Validé humainement",'07_Form_Mobilite'!J8,"")</x:f>
      </x:c>
      <x:c r="K8" s="76" t="str">
        <x:f>IF('07_Form_Mobilite'!$Q8="Validé humainement",'07_Form_Mobilite'!K8,"")</x:f>
      </x:c>
      <x:c r="L8" s="83" t="str">
        <x:f>IF('07_Form_Mobilite'!$Q8="Validé humainement",'07_Form_Mobilite'!L8,"")</x:f>
      </x:c>
      <x:c r="M8" s="77" t="str">
        <x:f>IF('07_Form_Mobilite'!$Q8="Validé humainement",'07_Form_Mobilite'!M8,"")</x:f>
      </x:c>
      <x:c r="N8" s="76" t="str">
        <x:f>IF('07_Form_Mobilite'!$Q8="Validé humainement",'07_Form_Mobilite'!N8,"")</x:f>
      </x:c>
      <x:c r="O8" s="76" t="str">
        <x:f>IF('07_Form_Mobilite'!$Q8="Validé humainement",'07_Form_Mobilite'!O8,"")</x:f>
      </x:c>
      <x:c r="P8" s="76" t="str">
        <x:f>IF('07_Form_Mobilite'!$Q8="Validé humainement",'07_Form_Mobilite'!P8,"")</x:f>
      </x:c>
      <x:c r="Q8" s="76" t="str">
        <x:f>IF('07_Form_Mobilite'!$Q8="Validé humainement",'07_Form_Mobilite'!Q8,"")</x:f>
      </x:c>
      <x:c r="R8" s="76" t="str">
        <x:f>IF('07_Form_Mobilite'!$Q8="Validé humainement",'07_Form_Mobilite'!R8,"")</x:f>
      </x:c>
      <x:c r="S8" s="78" t="str">
        <x:f>IF('07_Form_Mobilite'!$Q8="Validé humainement",'07_Form_Mobilite'!S8,"")</x:f>
      </x:c>
      <x:c r="T8" s="76" t="str">
        <x:f>IF('07_Form_Mobilite'!$Q8="Validé humainement",'07_Form_Mobilite'!T8,"")</x:f>
      </x:c>
      <x:c r="U8" s="76" t="str">
        <x:f>IF('07_Form_Mobilite'!$Q8="Validé humainement",'07_Form_Mobilite'!U8,"")</x:f>
      </x:c>
      <x:c r="V8" s="76" t="str">
        <x:f>IF('07_Form_Mobilite'!$Q8="Validé humainement",'07_Form_Mobilite'!V8,"")</x:f>
      </x:c>
    </x:row>
    <x:row r="9">
      <x:c r="A9" s="76" t="str">
        <x:f>IF('07_Form_Mobilite'!$Q9="Validé humainement",'07_Form_Mobilite'!A9,"")</x:f>
      </x:c>
      <x:c r="B9" s="76" t="str">
        <x:f>IF('07_Form_Mobilite'!$Q9="Validé humainement",'07_Form_Mobilite'!B9,"")</x:f>
      </x:c>
      <x:c r="C9" s="76" t="str">
        <x:f>IF('07_Form_Mobilite'!$Q9="Validé humainement",'07_Form_Mobilite'!C9,"")</x:f>
      </x:c>
      <x:c r="D9" s="76" t="str">
        <x:f>IF('07_Form_Mobilite'!$Q9="Validé humainement",'07_Form_Mobilite'!D9,"")</x:f>
      </x:c>
      <x:c r="E9" s="76" t="str">
        <x:f>IF('07_Form_Mobilite'!$Q9="Validé humainement",'07_Form_Mobilite'!E9,"")</x:f>
      </x:c>
      <x:c r="F9" s="81" t="str">
        <x:f>IF('07_Form_Mobilite'!$Q9="Validé humainement",'07_Form_Mobilite'!F9,"")</x:f>
      </x:c>
      <x:c r="G9" s="80" t="str">
        <x:f>IF('07_Form_Mobilite'!$Q9="Validé humainement",'07_Form_Mobilite'!G9,"")</x:f>
      </x:c>
      <x:c r="H9" s="81" t="str">
        <x:f>IF('07_Form_Mobilite'!$Q9="Validé humainement",'07_Form_Mobilite'!H9,"")</x:f>
      </x:c>
      <x:c r="I9" s="76" t="str">
        <x:f>IF('07_Form_Mobilite'!$Q9="Validé humainement",'07_Form_Mobilite'!I9,"")</x:f>
      </x:c>
      <x:c r="J9" s="77" t="str">
        <x:f>IF('07_Form_Mobilite'!$Q9="Validé humainement",'07_Form_Mobilite'!J9,"")</x:f>
      </x:c>
      <x:c r="K9" s="76" t="str">
        <x:f>IF('07_Form_Mobilite'!$Q9="Validé humainement",'07_Form_Mobilite'!K9,"")</x:f>
      </x:c>
      <x:c r="L9" s="83" t="str">
        <x:f>IF('07_Form_Mobilite'!$Q9="Validé humainement",'07_Form_Mobilite'!L9,"")</x:f>
      </x:c>
      <x:c r="M9" s="77" t="str">
        <x:f>IF('07_Form_Mobilite'!$Q9="Validé humainement",'07_Form_Mobilite'!M9,"")</x:f>
      </x:c>
      <x:c r="N9" s="76" t="str">
        <x:f>IF('07_Form_Mobilite'!$Q9="Validé humainement",'07_Form_Mobilite'!N9,"")</x:f>
      </x:c>
      <x:c r="O9" s="76" t="str">
        <x:f>IF('07_Form_Mobilite'!$Q9="Validé humainement",'07_Form_Mobilite'!O9,"")</x:f>
      </x:c>
      <x:c r="P9" s="76" t="str">
        <x:f>IF('07_Form_Mobilite'!$Q9="Validé humainement",'07_Form_Mobilite'!P9,"")</x:f>
      </x:c>
      <x:c r="Q9" s="76" t="str">
        <x:f>IF('07_Form_Mobilite'!$Q9="Validé humainement",'07_Form_Mobilite'!Q9,"")</x:f>
      </x:c>
      <x:c r="R9" s="76" t="str">
        <x:f>IF('07_Form_Mobilite'!$Q9="Validé humainement",'07_Form_Mobilite'!R9,"")</x:f>
      </x:c>
      <x:c r="S9" s="78" t="str">
        <x:f>IF('07_Form_Mobilite'!$Q9="Validé humainement",'07_Form_Mobilite'!S9,"")</x:f>
      </x:c>
      <x:c r="T9" s="76" t="str">
        <x:f>IF('07_Form_Mobilite'!$Q9="Validé humainement",'07_Form_Mobilite'!T9,"")</x:f>
      </x:c>
      <x:c r="U9" s="76" t="str">
        <x:f>IF('07_Form_Mobilite'!$Q9="Validé humainement",'07_Form_Mobilite'!U9,"")</x:f>
      </x:c>
      <x:c r="V9" s="76" t="str">
        <x:f>IF('07_Form_Mobilite'!$Q9="Validé humainement",'07_Form_Mobilite'!V9,"")</x:f>
      </x:c>
    </x:row>
    <x:row r="10">
      <x:c r="A10" s="76" t="str">
        <x:f>IF('07_Form_Mobilite'!$Q10="Validé humainement",'07_Form_Mobilite'!A10,"")</x:f>
      </x:c>
      <x:c r="B10" s="76" t="str">
        <x:f>IF('07_Form_Mobilite'!$Q10="Validé humainement",'07_Form_Mobilite'!B10,"")</x:f>
      </x:c>
      <x:c r="C10" s="76" t="str">
        <x:f>IF('07_Form_Mobilite'!$Q10="Validé humainement",'07_Form_Mobilite'!C10,"")</x:f>
      </x:c>
      <x:c r="D10" s="76" t="str">
        <x:f>IF('07_Form_Mobilite'!$Q10="Validé humainement",'07_Form_Mobilite'!D10,"")</x:f>
      </x:c>
      <x:c r="E10" s="76" t="str">
        <x:f>IF('07_Form_Mobilite'!$Q10="Validé humainement",'07_Form_Mobilite'!E10,"")</x:f>
      </x:c>
      <x:c r="F10" s="81" t="str">
        <x:f>IF('07_Form_Mobilite'!$Q10="Validé humainement",'07_Form_Mobilite'!F10,"")</x:f>
      </x:c>
      <x:c r="G10" s="80" t="str">
        <x:f>IF('07_Form_Mobilite'!$Q10="Validé humainement",'07_Form_Mobilite'!G10,"")</x:f>
      </x:c>
      <x:c r="H10" s="81" t="str">
        <x:f>IF('07_Form_Mobilite'!$Q10="Validé humainement",'07_Form_Mobilite'!H10,"")</x:f>
      </x:c>
      <x:c r="I10" s="76" t="str">
        <x:f>IF('07_Form_Mobilite'!$Q10="Validé humainement",'07_Form_Mobilite'!I10,"")</x:f>
      </x:c>
      <x:c r="J10" s="77" t="str">
        <x:f>IF('07_Form_Mobilite'!$Q10="Validé humainement",'07_Form_Mobilite'!J10,"")</x:f>
      </x:c>
      <x:c r="K10" s="76" t="str">
        <x:f>IF('07_Form_Mobilite'!$Q10="Validé humainement",'07_Form_Mobilite'!K10,"")</x:f>
      </x:c>
      <x:c r="L10" s="83" t="str">
        <x:f>IF('07_Form_Mobilite'!$Q10="Validé humainement",'07_Form_Mobilite'!L10,"")</x:f>
      </x:c>
      <x:c r="M10" s="77" t="str">
        <x:f>IF('07_Form_Mobilite'!$Q10="Validé humainement",'07_Form_Mobilite'!M10,"")</x:f>
      </x:c>
      <x:c r="N10" s="76" t="str">
        <x:f>IF('07_Form_Mobilite'!$Q10="Validé humainement",'07_Form_Mobilite'!N10,"")</x:f>
      </x:c>
      <x:c r="O10" s="76" t="str">
        <x:f>IF('07_Form_Mobilite'!$Q10="Validé humainement",'07_Form_Mobilite'!O10,"")</x:f>
      </x:c>
      <x:c r="P10" s="76" t="str">
        <x:f>IF('07_Form_Mobilite'!$Q10="Validé humainement",'07_Form_Mobilite'!P10,"")</x:f>
      </x:c>
      <x:c r="Q10" s="76" t="str">
        <x:f>IF('07_Form_Mobilite'!$Q10="Validé humainement",'07_Form_Mobilite'!Q10,"")</x:f>
      </x:c>
      <x:c r="R10" s="76" t="str">
        <x:f>IF('07_Form_Mobilite'!$Q10="Validé humainement",'07_Form_Mobilite'!R10,"")</x:f>
      </x:c>
      <x:c r="S10" s="78" t="str">
        <x:f>IF('07_Form_Mobilite'!$Q10="Validé humainement",'07_Form_Mobilite'!S10,"")</x:f>
      </x:c>
      <x:c r="T10" s="76" t="str">
        <x:f>IF('07_Form_Mobilite'!$Q10="Validé humainement",'07_Form_Mobilite'!T10,"")</x:f>
      </x:c>
      <x:c r="U10" s="76" t="str">
        <x:f>IF('07_Form_Mobilite'!$Q10="Validé humainement",'07_Form_Mobilite'!U10,"")</x:f>
      </x:c>
      <x:c r="V10" s="76" t="str">
        <x:f>IF('07_Form_Mobilite'!$Q10="Validé humainement",'07_Form_Mobilite'!V10,"")</x:f>
      </x:c>
    </x:row>
    <x:row r="11">
      <x:c r="A11" s="76" t="str">
        <x:f>IF('07_Form_Mobilite'!$Q11="Validé humainement",'07_Form_Mobilite'!A11,"")</x:f>
      </x:c>
      <x:c r="B11" s="76" t="str">
        <x:f>IF('07_Form_Mobilite'!$Q11="Validé humainement",'07_Form_Mobilite'!B11,"")</x:f>
      </x:c>
      <x:c r="C11" s="76" t="str">
        <x:f>IF('07_Form_Mobilite'!$Q11="Validé humainement",'07_Form_Mobilite'!C11,"")</x:f>
      </x:c>
      <x:c r="D11" s="76" t="str">
        <x:f>IF('07_Form_Mobilite'!$Q11="Validé humainement",'07_Form_Mobilite'!D11,"")</x:f>
      </x:c>
      <x:c r="E11" s="76" t="str">
        <x:f>IF('07_Form_Mobilite'!$Q11="Validé humainement",'07_Form_Mobilite'!E11,"")</x:f>
      </x:c>
      <x:c r="F11" s="81" t="str">
        <x:f>IF('07_Form_Mobilite'!$Q11="Validé humainement",'07_Form_Mobilite'!F11,"")</x:f>
      </x:c>
      <x:c r="G11" s="80" t="str">
        <x:f>IF('07_Form_Mobilite'!$Q11="Validé humainement",'07_Form_Mobilite'!G11,"")</x:f>
      </x:c>
      <x:c r="H11" s="81" t="str">
        <x:f>IF('07_Form_Mobilite'!$Q11="Validé humainement",'07_Form_Mobilite'!H11,"")</x:f>
      </x:c>
      <x:c r="I11" s="76" t="str">
        <x:f>IF('07_Form_Mobilite'!$Q11="Validé humainement",'07_Form_Mobilite'!I11,"")</x:f>
      </x:c>
      <x:c r="J11" s="77" t="str">
        <x:f>IF('07_Form_Mobilite'!$Q11="Validé humainement",'07_Form_Mobilite'!J11,"")</x:f>
      </x:c>
      <x:c r="K11" s="76" t="str">
        <x:f>IF('07_Form_Mobilite'!$Q11="Validé humainement",'07_Form_Mobilite'!K11,"")</x:f>
      </x:c>
      <x:c r="L11" s="83" t="str">
        <x:f>IF('07_Form_Mobilite'!$Q11="Validé humainement",'07_Form_Mobilite'!L11,"")</x:f>
      </x:c>
      <x:c r="M11" s="77" t="str">
        <x:f>IF('07_Form_Mobilite'!$Q11="Validé humainement",'07_Form_Mobilite'!M11,"")</x:f>
      </x:c>
      <x:c r="N11" s="76" t="str">
        <x:f>IF('07_Form_Mobilite'!$Q11="Validé humainement",'07_Form_Mobilite'!N11,"")</x:f>
      </x:c>
      <x:c r="O11" s="76" t="str">
        <x:f>IF('07_Form_Mobilite'!$Q11="Validé humainement",'07_Form_Mobilite'!O11,"")</x:f>
      </x:c>
      <x:c r="P11" s="76" t="str">
        <x:f>IF('07_Form_Mobilite'!$Q11="Validé humainement",'07_Form_Mobilite'!P11,"")</x:f>
      </x:c>
      <x:c r="Q11" s="76" t="str">
        <x:f>IF('07_Form_Mobilite'!$Q11="Validé humainement",'07_Form_Mobilite'!Q11,"")</x:f>
      </x:c>
      <x:c r="R11" s="76" t="str">
        <x:f>IF('07_Form_Mobilite'!$Q11="Validé humainement",'07_Form_Mobilite'!R11,"")</x:f>
      </x:c>
      <x:c r="S11" s="78" t="str">
        <x:f>IF('07_Form_Mobilite'!$Q11="Validé humainement",'07_Form_Mobilite'!S11,"")</x:f>
      </x:c>
      <x:c r="T11" s="76" t="str">
        <x:f>IF('07_Form_Mobilite'!$Q11="Validé humainement",'07_Form_Mobilite'!T11,"")</x:f>
      </x:c>
      <x:c r="U11" s="76" t="str">
        <x:f>IF('07_Form_Mobilite'!$Q11="Validé humainement",'07_Form_Mobilite'!U11,"")</x:f>
      </x:c>
      <x:c r="V11" s="76" t="str">
        <x:f>IF('07_Form_Mobilite'!$Q11="Validé humainement",'07_Form_Mobilite'!V11,"")</x:f>
      </x:c>
    </x:row>
    <x:row r="12">
      <x:c r="A12" s="76" t="str">
        <x:f>IF('07_Form_Mobilite'!$Q12="Validé humainement",'07_Form_Mobilite'!A12,"")</x:f>
      </x:c>
      <x:c r="B12" s="76" t="str">
        <x:f>IF('07_Form_Mobilite'!$Q12="Validé humainement",'07_Form_Mobilite'!B12,"")</x:f>
      </x:c>
      <x:c r="C12" s="76" t="str">
        <x:f>IF('07_Form_Mobilite'!$Q12="Validé humainement",'07_Form_Mobilite'!C12,"")</x:f>
      </x:c>
      <x:c r="D12" s="76" t="str">
        <x:f>IF('07_Form_Mobilite'!$Q12="Validé humainement",'07_Form_Mobilite'!D12,"")</x:f>
      </x:c>
      <x:c r="E12" s="76" t="str">
        <x:f>IF('07_Form_Mobilite'!$Q12="Validé humainement",'07_Form_Mobilite'!E12,"")</x:f>
      </x:c>
      <x:c r="F12" s="81" t="str">
        <x:f>IF('07_Form_Mobilite'!$Q12="Validé humainement",'07_Form_Mobilite'!F12,"")</x:f>
      </x:c>
      <x:c r="G12" s="80" t="str">
        <x:f>IF('07_Form_Mobilite'!$Q12="Validé humainement",'07_Form_Mobilite'!G12,"")</x:f>
      </x:c>
      <x:c r="H12" s="81" t="str">
        <x:f>IF('07_Form_Mobilite'!$Q12="Validé humainement",'07_Form_Mobilite'!H12,"")</x:f>
      </x:c>
      <x:c r="I12" s="76" t="str">
        <x:f>IF('07_Form_Mobilite'!$Q12="Validé humainement",'07_Form_Mobilite'!I12,"")</x:f>
      </x:c>
      <x:c r="J12" s="77" t="str">
        <x:f>IF('07_Form_Mobilite'!$Q12="Validé humainement",'07_Form_Mobilite'!J12,"")</x:f>
      </x:c>
      <x:c r="K12" s="76" t="str">
        <x:f>IF('07_Form_Mobilite'!$Q12="Validé humainement",'07_Form_Mobilite'!K12,"")</x:f>
      </x:c>
      <x:c r="L12" s="83" t="str">
        <x:f>IF('07_Form_Mobilite'!$Q12="Validé humainement",'07_Form_Mobilite'!L12,"")</x:f>
      </x:c>
      <x:c r="M12" s="77" t="str">
        <x:f>IF('07_Form_Mobilite'!$Q12="Validé humainement",'07_Form_Mobilite'!M12,"")</x:f>
      </x:c>
      <x:c r="N12" s="76" t="str">
        <x:f>IF('07_Form_Mobilite'!$Q12="Validé humainement",'07_Form_Mobilite'!N12,"")</x:f>
      </x:c>
      <x:c r="O12" s="76" t="str">
        <x:f>IF('07_Form_Mobilite'!$Q12="Validé humainement",'07_Form_Mobilite'!O12,"")</x:f>
      </x:c>
      <x:c r="P12" s="76" t="str">
        <x:f>IF('07_Form_Mobilite'!$Q12="Validé humainement",'07_Form_Mobilite'!P12,"")</x:f>
      </x:c>
      <x:c r="Q12" s="76" t="str">
        <x:f>IF('07_Form_Mobilite'!$Q12="Validé humainement",'07_Form_Mobilite'!Q12,"")</x:f>
      </x:c>
      <x:c r="R12" s="76" t="str">
        <x:f>IF('07_Form_Mobilite'!$Q12="Validé humainement",'07_Form_Mobilite'!R12,"")</x:f>
      </x:c>
      <x:c r="S12" s="78" t="str">
        <x:f>IF('07_Form_Mobilite'!$Q12="Validé humainement",'07_Form_Mobilite'!S12,"")</x:f>
      </x:c>
      <x:c r="T12" s="76" t="str">
        <x:f>IF('07_Form_Mobilite'!$Q12="Validé humainement",'07_Form_Mobilite'!T12,"")</x:f>
      </x:c>
      <x:c r="U12" s="76" t="str">
        <x:f>IF('07_Form_Mobilite'!$Q12="Validé humainement",'07_Form_Mobilite'!U12,"")</x:f>
      </x:c>
      <x:c r="V12" s="76" t="str">
        <x:f>IF('07_Form_Mobilite'!$Q12="Validé humainement",'07_Form_Mobilite'!V12,"")</x:f>
      </x:c>
    </x:row>
    <x:row r="13">
      <x:c r="A13" s="76" t="str">
        <x:f>IF('07_Form_Mobilite'!$Q13="Validé humainement",'07_Form_Mobilite'!A13,"")</x:f>
      </x:c>
      <x:c r="B13" s="76" t="str">
        <x:f>IF('07_Form_Mobilite'!$Q13="Validé humainement",'07_Form_Mobilite'!B13,"")</x:f>
      </x:c>
      <x:c r="C13" s="76" t="str">
        <x:f>IF('07_Form_Mobilite'!$Q13="Validé humainement",'07_Form_Mobilite'!C13,"")</x:f>
      </x:c>
      <x:c r="D13" s="76" t="str">
        <x:f>IF('07_Form_Mobilite'!$Q13="Validé humainement",'07_Form_Mobilite'!D13,"")</x:f>
      </x:c>
      <x:c r="E13" s="76" t="str">
        <x:f>IF('07_Form_Mobilite'!$Q13="Validé humainement",'07_Form_Mobilite'!E13,"")</x:f>
      </x:c>
      <x:c r="F13" s="81" t="str">
        <x:f>IF('07_Form_Mobilite'!$Q13="Validé humainement",'07_Form_Mobilite'!F13,"")</x:f>
      </x:c>
      <x:c r="G13" s="80" t="str">
        <x:f>IF('07_Form_Mobilite'!$Q13="Validé humainement",'07_Form_Mobilite'!G13,"")</x:f>
      </x:c>
      <x:c r="H13" s="81" t="str">
        <x:f>IF('07_Form_Mobilite'!$Q13="Validé humainement",'07_Form_Mobilite'!H13,"")</x:f>
      </x:c>
      <x:c r="I13" s="76" t="str">
        <x:f>IF('07_Form_Mobilite'!$Q13="Validé humainement",'07_Form_Mobilite'!I13,"")</x:f>
      </x:c>
      <x:c r="J13" s="77" t="str">
        <x:f>IF('07_Form_Mobilite'!$Q13="Validé humainement",'07_Form_Mobilite'!J13,"")</x:f>
      </x:c>
      <x:c r="K13" s="76" t="str">
        <x:f>IF('07_Form_Mobilite'!$Q13="Validé humainement",'07_Form_Mobilite'!K13,"")</x:f>
      </x:c>
      <x:c r="L13" s="83" t="str">
        <x:f>IF('07_Form_Mobilite'!$Q13="Validé humainement",'07_Form_Mobilite'!L13,"")</x:f>
      </x:c>
      <x:c r="M13" s="77" t="str">
        <x:f>IF('07_Form_Mobilite'!$Q13="Validé humainement",'07_Form_Mobilite'!M13,"")</x:f>
      </x:c>
      <x:c r="N13" s="76" t="str">
        <x:f>IF('07_Form_Mobilite'!$Q13="Validé humainement",'07_Form_Mobilite'!N13,"")</x:f>
      </x:c>
      <x:c r="O13" s="76" t="str">
        <x:f>IF('07_Form_Mobilite'!$Q13="Validé humainement",'07_Form_Mobilite'!O13,"")</x:f>
      </x:c>
      <x:c r="P13" s="76" t="str">
        <x:f>IF('07_Form_Mobilite'!$Q13="Validé humainement",'07_Form_Mobilite'!P13,"")</x:f>
      </x:c>
      <x:c r="Q13" s="76" t="str">
        <x:f>IF('07_Form_Mobilite'!$Q13="Validé humainement",'07_Form_Mobilite'!Q13,"")</x:f>
      </x:c>
      <x:c r="R13" s="76" t="str">
        <x:f>IF('07_Form_Mobilite'!$Q13="Validé humainement",'07_Form_Mobilite'!R13,"")</x:f>
      </x:c>
      <x:c r="S13" s="78" t="str">
        <x:f>IF('07_Form_Mobilite'!$Q13="Validé humainement",'07_Form_Mobilite'!S13,"")</x:f>
      </x:c>
      <x:c r="T13" s="76" t="str">
        <x:f>IF('07_Form_Mobilite'!$Q13="Validé humainement",'07_Form_Mobilite'!T13,"")</x:f>
      </x:c>
      <x:c r="U13" s="76" t="str">
        <x:f>IF('07_Form_Mobilite'!$Q13="Validé humainement",'07_Form_Mobilite'!U13,"")</x:f>
      </x:c>
      <x:c r="V13" s="76" t="str">
        <x:f>IF('07_Form_Mobilite'!$Q13="Validé humainement",'07_Form_Mobilite'!V13,"")</x:f>
      </x:c>
    </x:row>
    <x:row r="14">
      <x:c r="A14" s="76" t="str">
        <x:f>IF('07_Form_Mobilite'!$Q14="Validé humainement",'07_Form_Mobilite'!A14,"")</x:f>
      </x:c>
      <x:c r="B14" s="76" t="str">
        <x:f>IF('07_Form_Mobilite'!$Q14="Validé humainement",'07_Form_Mobilite'!B14,"")</x:f>
      </x:c>
      <x:c r="C14" s="76" t="str">
        <x:f>IF('07_Form_Mobilite'!$Q14="Validé humainement",'07_Form_Mobilite'!C14,"")</x:f>
      </x:c>
      <x:c r="D14" s="76" t="str">
        <x:f>IF('07_Form_Mobilite'!$Q14="Validé humainement",'07_Form_Mobilite'!D14,"")</x:f>
      </x:c>
      <x:c r="E14" s="76" t="str">
        <x:f>IF('07_Form_Mobilite'!$Q14="Validé humainement",'07_Form_Mobilite'!E14,"")</x:f>
      </x:c>
      <x:c r="F14" s="81" t="str">
        <x:f>IF('07_Form_Mobilite'!$Q14="Validé humainement",'07_Form_Mobilite'!F14,"")</x:f>
      </x:c>
      <x:c r="G14" s="80" t="str">
        <x:f>IF('07_Form_Mobilite'!$Q14="Validé humainement",'07_Form_Mobilite'!G14,"")</x:f>
      </x:c>
      <x:c r="H14" s="81" t="str">
        <x:f>IF('07_Form_Mobilite'!$Q14="Validé humainement",'07_Form_Mobilite'!H14,"")</x:f>
      </x:c>
      <x:c r="I14" s="76" t="str">
        <x:f>IF('07_Form_Mobilite'!$Q14="Validé humainement",'07_Form_Mobilite'!I14,"")</x:f>
      </x:c>
      <x:c r="J14" s="77" t="str">
        <x:f>IF('07_Form_Mobilite'!$Q14="Validé humainement",'07_Form_Mobilite'!J14,"")</x:f>
      </x:c>
      <x:c r="K14" s="76" t="str">
        <x:f>IF('07_Form_Mobilite'!$Q14="Validé humainement",'07_Form_Mobilite'!K14,"")</x:f>
      </x:c>
      <x:c r="L14" s="83" t="str">
        <x:f>IF('07_Form_Mobilite'!$Q14="Validé humainement",'07_Form_Mobilite'!L14,"")</x:f>
      </x:c>
      <x:c r="M14" s="77" t="str">
        <x:f>IF('07_Form_Mobilite'!$Q14="Validé humainement",'07_Form_Mobilite'!M14,"")</x:f>
      </x:c>
      <x:c r="N14" s="76" t="str">
        <x:f>IF('07_Form_Mobilite'!$Q14="Validé humainement",'07_Form_Mobilite'!N14,"")</x:f>
      </x:c>
      <x:c r="O14" s="76" t="str">
        <x:f>IF('07_Form_Mobilite'!$Q14="Validé humainement",'07_Form_Mobilite'!O14,"")</x:f>
      </x:c>
      <x:c r="P14" s="76" t="str">
        <x:f>IF('07_Form_Mobilite'!$Q14="Validé humainement",'07_Form_Mobilite'!P14,"")</x:f>
      </x:c>
      <x:c r="Q14" s="76" t="str">
        <x:f>IF('07_Form_Mobilite'!$Q14="Validé humainement",'07_Form_Mobilite'!Q14,"")</x:f>
      </x:c>
      <x:c r="R14" s="76" t="str">
        <x:f>IF('07_Form_Mobilite'!$Q14="Validé humainement",'07_Form_Mobilite'!R14,"")</x:f>
      </x:c>
      <x:c r="S14" s="78" t="str">
        <x:f>IF('07_Form_Mobilite'!$Q14="Validé humainement",'07_Form_Mobilite'!S14,"")</x:f>
      </x:c>
      <x:c r="T14" s="76" t="str">
        <x:f>IF('07_Form_Mobilite'!$Q14="Validé humainement",'07_Form_Mobilite'!T14,"")</x:f>
      </x:c>
      <x:c r="U14" s="76" t="str">
        <x:f>IF('07_Form_Mobilite'!$Q14="Validé humainement",'07_Form_Mobilite'!U14,"")</x:f>
      </x:c>
      <x:c r="V14" s="76" t="str">
        <x:f>IF('07_Form_Mobilite'!$Q14="Validé humainement",'07_Form_Mobilite'!V14,"")</x:f>
      </x:c>
    </x:row>
    <x:row r="15">
      <x:c r="A15" s="76" t="str">
        <x:f>IF('07_Form_Mobilite'!$Q15="Validé humainement",'07_Form_Mobilite'!A15,"")</x:f>
      </x:c>
      <x:c r="B15" s="76" t="str">
        <x:f>IF('07_Form_Mobilite'!$Q15="Validé humainement",'07_Form_Mobilite'!B15,"")</x:f>
      </x:c>
      <x:c r="C15" s="76" t="str">
        <x:f>IF('07_Form_Mobilite'!$Q15="Validé humainement",'07_Form_Mobilite'!C15,"")</x:f>
      </x:c>
      <x:c r="D15" s="76" t="str">
        <x:f>IF('07_Form_Mobilite'!$Q15="Validé humainement",'07_Form_Mobilite'!D15,"")</x:f>
      </x:c>
      <x:c r="E15" s="76" t="str">
        <x:f>IF('07_Form_Mobilite'!$Q15="Validé humainement",'07_Form_Mobilite'!E15,"")</x:f>
      </x:c>
      <x:c r="F15" s="81" t="str">
        <x:f>IF('07_Form_Mobilite'!$Q15="Validé humainement",'07_Form_Mobilite'!F15,"")</x:f>
      </x:c>
      <x:c r="G15" s="80" t="str">
        <x:f>IF('07_Form_Mobilite'!$Q15="Validé humainement",'07_Form_Mobilite'!G15,"")</x:f>
      </x:c>
      <x:c r="H15" s="81" t="str">
        <x:f>IF('07_Form_Mobilite'!$Q15="Validé humainement",'07_Form_Mobilite'!H15,"")</x:f>
      </x:c>
      <x:c r="I15" s="76" t="str">
        <x:f>IF('07_Form_Mobilite'!$Q15="Validé humainement",'07_Form_Mobilite'!I15,"")</x:f>
      </x:c>
      <x:c r="J15" s="77" t="str">
        <x:f>IF('07_Form_Mobilite'!$Q15="Validé humainement",'07_Form_Mobilite'!J15,"")</x:f>
      </x:c>
      <x:c r="K15" s="76" t="str">
        <x:f>IF('07_Form_Mobilite'!$Q15="Validé humainement",'07_Form_Mobilite'!K15,"")</x:f>
      </x:c>
      <x:c r="L15" s="83" t="str">
        <x:f>IF('07_Form_Mobilite'!$Q15="Validé humainement",'07_Form_Mobilite'!L15,"")</x:f>
      </x:c>
      <x:c r="M15" s="77" t="str">
        <x:f>IF('07_Form_Mobilite'!$Q15="Validé humainement",'07_Form_Mobilite'!M15,"")</x:f>
      </x:c>
      <x:c r="N15" s="76" t="str">
        <x:f>IF('07_Form_Mobilite'!$Q15="Validé humainement",'07_Form_Mobilite'!N15,"")</x:f>
      </x:c>
      <x:c r="O15" s="76" t="str">
        <x:f>IF('07_Form_Mobilite'!$Q15="Validé humainement",'07_Form_Mobilite'!O15,"")</x:f>
      </x:c>
      <x:c r="P15" s="76" t="str">
        <x:f>IF('07_Form_Mobilite'!$Q15="Validé humainement",'07_Form_Mobilite'!P15,"")</x:f>
      </x:c>
      <x:c r="Q15" s="76" t="str">
        <x:f>IF('07_Form_Mobilite'!$Q15="Validé humainement",'07_Form_Mobilite'!Q15,"")</x:f>
      </x:c>
      <x:c r="R15" s="76" t="str">
        <x:f>IF('07_Form_Mobilite'!$Q15="Validé humainement",'07_Form_Mobilite'!R15,"")</x:f>
      </x:c>
      <x:c r="S15" s="78" t="str">
        <x:f>IF('07_Form_Mobilite'!$Q15="Validé humainement",'07_Form_Mobilite'!S15,"")</x:f>
      </x:c>
      <x:c r="T15" s="76" t="str">
        <x:f>IF('07_Form_Mobilite'!$Q15="Validé humainement",'07_Form_Mobilite'!T15,"")</x:f>
      </x:c>
      <x:c r="U15" s="76" t="str">
        <x:f>IF('07_Form_Mobilite'!$Q15="Validé humainement",'07_Form_Mobilite'!U15,"")</x:f>
      </x:c>
      <x:c r="V15" s="76" t="str">
        <x:f>IF('07_Form_Mobilite'!$Q15="Validé humainement",'07_Form_Mobilite'!V15,"")</x:f>
      </x:c>
    </x:row>
    <x:row r="16">
      <x:c r="A16" s="76" t="str">
        <x:f>IF('07_Form_Mobilite'!$Q16="Validé humainement",'07_Form_Mobilite'!A16,"")</x:f>
      </x:c>
      <x:c r="B16" s="76" t="str">
        <x:f>IF('07_Form_Mobilite'!$Q16="Validé humainement",'07_Form_Mobilite'!B16,"")</x:f>
      </x:c>
      <x:c r="C16" s="76" t="str">
        <x:f>IF('07_Form_Mobilite'!$Q16="Validé humainement",'07_Form_Mobilite'!C16,"")</x:f>
      </x:c>
      <x:c r="D16" s="76" t="str">
        <x:f>IF('07_Form_Mobilite'!$Q16="Validé humainement",'07_Form_Mobilite'!D16,"")</x:f>
      </x:c>
      <x:c r="E16" s="76" t="str">
        <x:f>IF('07_Form_Mobilite'!$Q16="Validé humainement",'07_Form_Mobilite'!E16,"")</x:f>
      </x:c>
      <x:c r="F16" s="81" t="str">
        <x:f>IF('07_Form_Mobilite'!$Q16="Validé humainement",'07_Form_Mobilite'!F16,"")</x:f>
      </x:c>
      <x:c r="G16" s="80" t="str">
        <x:f>IF('07_Form_Mobilite'!$Q16="Validé humainement",'07_Form_Mobilite'!G16,"")</x:f>
      </x:c>
      <x:c r="H16" s="81" t="str">
        <x:f>IF('07_Form_Mobilite'!$Q16="Validé humainement",'07_Form_Mobilite'!H16,"")</x:f>
      </x:c>
      <x:c r="I16" s="76" t="str">
        <x:f>IF('07_Form_Mobilite'!$Q16="Validé humainement",'07_Form_Mobilite'!I16,"")</x:f>
      </x:c>
      <x:c r="J16" s="77" t="str">
        <x:f>IF('07_Form_Mobilite'!$Q16="Validé humainement",'07_Form_Mobilite'!J16,"")</x:f>
      </x:c>
      <x:c r="K16" s="76" t="str">
        <x:f>IF('07_Form_Mobilite'!$Q16="Validé humainement",'07_Form_Mobilite'!K16,"")</x:f>
      </x:c>
      <x:c r="L16" s="83" t="str">
        <x:f>IF('07_Form_Mobilite'!$Q16="Validé humainement",'07_Form_Mobilite'!L16,"")</x:f>
      </x:c>
      <x:c r="M16" s="77" t="str">
        <x:f>IF('07_Form_Mobilite'!$Q16="Validé humainement",'07_Form_Mobilite'!M16,"")</x:f>
      </x:c>
      <x:c r="N16" s="76" t="str">
        <x:f>IF('07_Form_Mobilite'!$Q16="Validé humainement",'07_Form_Mobilite'!N16,"")</x:f>
      </x:c>
      <x:c r="O16" s="76" t="str">
        <x:f>IF('07_Form_Mobilite'!$Q16="Validé humainement",'07_Form_Mobilite'!O16,"")</x:f>
      </x:c>
      <x:c r="P16" s="76" t="str">
        <x:f>IF('07_Form_Mobilite'!$Q16="Validé humainement",'07_Form_Mobilite'!P16,"")</x:f>
      </x:c>
      <x:c r="Q16" s="76" t="str">
        <x:f>IF('07_Form_Mobilite'!$Q16="Validé humainement",'07_Form_Mobilite'!Q16,"")</x:f>
      </x:c>
      <x:c r="R16" s="76" t="str">
        <x:f>IF('07_Form_Mobilite'!$Q16="Validé humainement",'07_Form_Mobilite'!R16,"")</x:f>
      </x:c>
      <x:c r="S16" s="78" t="str">
        <x:f>IF('07_Form_Mobilite'!$Q16="Validé humainement",'07_Form_Mobilite'!S16,"")</x:f>
      </x:c>
      <x:c r="T16" s="76" t="str">
        <x:f>IF('07_Form_Mobilite'!$Q16="Validé humainement",'07_Form_Mobilite'!T16,"")</x:f>
      </x:c>
      <x:c r="U16" s="76" t="str">
        <x:f>IF('07_Form_Mobilite'!$Q16="Validé humainement",'07_Form_Mobilite'!U16,"")</x:f>
      </x:c>
      <x:c r="V16" s="76" t="str">
        <x:f>IF('07_Form_Mobilite'!$Q16="Validé humainement",'07_Form_Mobilite'!V16,"")</x:f>
      </x:c>
    </x:row>
    <x:row r="17">
      <x:c r="A17" s="76" t="str">
        <x:f>IF('07_Form_Mobilite'!$Q17="Validé humainement",'07_Form_Mobilite'!A17,"")</x:f>
      </x:c>
      <x:c r="B17" s="76" t="str">
        <x:f>IF('07_Form_Mobilite'!$Q17="Validé humainement",'07_Form_Mobilite'!B17,"")</x:f>
      </x:c>
      <x:c r="C17" s="76" t="str">
        <x:f>IF('07_Form_Mobilite'!$Q17="Validé humainement",'07_Form_Mobilite'!C17,"")</x:f>
      </x:c>
      <x:c r="D17" s="76" t="str">
        <x:f>IF('07_Form_Mobilite'!$Q17="Validé humainement",'07_Form_Mobilite'!D17,"")</x:f>
      </x:c>
      <x:c r="E17" s="76" t="str">
        <x:f>IF('07_Form_Mobilite'!$Q17="Validé humainement",'07_Form_Mobilite'!E17,"")</x:f>
      </x:c>
      <x:c r="F17" s="81" t="str">
        <x:f>IF('07_Form_Mobilite'!$Q17="Validé humainement",'07_Form_Mobilite'!F17,"")</x:f>
      </x:c>
      <x:c r="G17" s="80" t="str">
        <x:f>IF('07_Form_Mobilite'!$Q17="Validé humainement",'07_Form_Mobilite'!G17,"")</x:f>
      </x:c>
      <x:c r="H17" s="81" t="str">
        <x:f>IF('07_Form_Mobilite'!$Q17="Validé humainement",'07_Form_Mobilite'!H17,"")</x:f>
      </x:c>
      <x:c r="I17" s="76" t="str">
        <x:f>IF('07_Form_Mobilite'!$Q17="Validé humainement",'07_Form_Mobilite'!I17,"")</x:f>
      </x:c>
      <x:c r="J17" s="77" t="str">
        <x:f>IF('07_Form_Mobilite'!$Q17="Validé humainement",'07_Form_Mobilite'!J17,"")</x:f>
      </x:c>
      <x:c r="K17" s="76" t="str">
        <x:f>IF('07_Form_Mobilite'!$Q17="Validé humainement",'07_Form_Mobilite'!K17,"")</x:f>
      </x:c>
      <x:c r="L17" s="83" t="str">
        <x:f>IF('07_Form_Mobilite'!$Q17="Validé humainement",'07_Form_Mobilite'!L17,"")</x:f>
      </x:c>
      <x:c r="M17" s="77" t="str">
        <x:f>IF('07_Form_Mobilite'!$Q17="Validé humainement",'07_Form_Mobilite'!M17,"")</x:f>
      </x:c>
      <x:c r="N17" s="76" t="str">
        <x:f>IF('07_Form_Mobilite'!$Q17="Validé humainement",'07_Form_Mobilite'!N17,"")</x:f>
      </x:c>
      <x:c r="O17" s="76" t="str">
        <x:f>IF('07_Form_Mobilite'!$Q17="Validé humainement",'07_Form_Mobilite'!O17,"")</x:f>
      </x:c>
      <x:c r="P17" s="76" t="str">
        <x:f>IF('07_Form_Mobilite'!$Q17="Validé humainement",'07_Form_Mobilite'!P17,"")</x:f>
      </x:c>
      <x:c r="Q17" s="76" t="str">
        <x:f>IF('07_Form_Mobilite'!$Q17="Validé humainement",'07_Form_Mobilite'!Q17,"")</x:f>
      </x:c>
      <x:c r="R17" s="76" t="str">
        <x:f>IF('07_Form_Mobilite'!$Q17="Validé humainement",'07_Form_Mobilite'!R17,"")</x:f>
      </x:c>
      <x:c r="S17" s="78" t="str">
        <x:f>IF('07_Form_Mobilite'!$Q17="Validé humainement",'07_Form_Mobilite'!S17,"")</x:f>
      </x:c>
      <x:c r="T17" s="76" t="str">
        <x:f>IF('07_Form_Mobilite'!$Q17="Validé humainement",'07_Form_Mobilite'!T17,"")</x:f>
      </x:c>
      <x:c r="U17" s="76" t="str">
        <x:f>IF('07_Form_Mobilite'!$Q17="Validé humainement",'07_Form_Mobilite'!U17,"")</x:f>
      </x:c>
      <x:c r="V17" s="76" t="str">
        <x:f>IF('07_Form_Mobilite'!$Q17="Validé humainement",'07_Form_Mobilite'!V17,"")</x:f>
      </x:c>
    </x:row>
    <x:row r="18">
      <x:c r="A18" s="76" t="str">
        <x:f>IF('07_Form_Mobilite'!$Q18="Validé humainement",'07_Form_Mobilite'!A18,"")</x:f>
      </x:c>
      <x:c r="B18" s="76" t="str">
        <x:f>IF('07_Form_Mobilite'!$Q18="Validé humainement",'07_Form_Mobilite'!B18,"")</x:f>
      </x:c>
      <x:c r="C18" s="76" t="str">
        <x:f>IF('07_Form_Mobilite'!$Q18="Validé humainement",'07_Form_Mobilite'!C18,"")</x:f>
      </x:c>
      <x:c r="D18" s="76" t="str">
        <x:f>IF('07_Form_Mobilite'!$Q18="Validé humainement",'07_Form_Mobilite'!D18,"")</x:f>
      </x:c>
      <x:c r="E18" s="76" t="str">
        <x:f>IF('07_Form_Mobilite'!$Q18="Validé humainement",'07_Form_Mobilite'!E18,"")</x:f>
      </x:c>
      <x:c r="F18" s="81" t="str">
        <x:f>IF('07_Form_Mobilite'!$Q18="Validé humainement",'07_Form_Mobilite'!F18,"")</x:f>
      </x:c>
      <x:c r="G18" s="80" t="str">
        <x:f>IF('07_Form_Mobilite'!$Q18="Validé humainement",'07_Form_Mobilite'!G18,"")</x:f>
      </x:c>
      <x:c r="H18" s="81" t="str">
        <x:f>IF('07_Form_Mobilite'!$Q18="Validé humainement",'07_Form_Mobilite'!H18,"")</x:f>
      </x:c>
      <x:c r="I18" s="76" t="str">
        <x:f>IF('07_Form_Mobilite'!$Q18="Validé humainement",'07_Form_Mobilite'!I18,"")</x:f>
      </x:c>
      <x:c r="J18" s="77" t="str">
        <x:f>IF('07_Form_Mobilite'!$Q18="Validé humainement",'07_Form_Mobilite'!J18,"")</x:f>
      </x:c>
      <x:c r="K18" s="76" t="str">
        <x:f>IF('07_Form_Mobilite'!$Q18="Validé humainement",'07_Form_Mobilite'!K18,"")</x:f>
      </x:c>
      <x:c r="L18" s="83" t="str">
        <x:f>IF('07_Form_Mobilite'!$Q18="Validé humainement",'07_Form_Mobilite'!L18,"")</x:f>
      </x:c>
      <x:c r="M18" s="77" t="str">
        <x:f>IF('07_Form_Mobilite'!$Q18="Validé humainement",'07_Form_Mobilite'!M18,"")</x:f>
      </x:c>
      <x:c r="N18" s="76" t="str">
        <x:f>IF('07_Form_Mobilite'!$Q18="Validé humainement",'07_Form_Mobilite'!N18,"")</x:f>
      </x:c>
      <x:c r="O18" s="76" t="str">
        <x:f>IF('07_Form_Mobilite'!$Q18="Validé humainement",'07_Form_Mobilite'!O18,"")</x:f>
      </x:c>
      <x:c r="P18" s="76" t="str">
        <x:f>IF('07_Form_Mobilite'!$Q18="Validé humainement",'07_Form_Mobilite'!P18,"")</x:f>
      </x:c>
      <x:c r="Q18" s="76" t="str">
        <x:f>IF('07_Form_Mobilite'!$Q18="Validé humainement",'07_Form_Mobilite'!Q18,"")</x:f>
      </x:c>
      <x:c r="R18" s="76" t="str">
        <x:f>IF('07_Form_Mobilite'!$Q18="Validé humainement",'07_Form_Mobilite'!R18,"")</x:f>
      </x:c>
      <x:c r="S18" s="78" t="str">
        <x:f>IF('07_Form_Mobilite'!$Q18="Validé humainement",'07_Form_Mobilite'!S18,"")</x:f>
      </x:c>
      <x:c r="T18" s="76" t="str">
        <x:f>IF('07_Form_Mobilite'!$Q18="Validé humainement",'07_Form_Mobilite'!T18,"")</x:f>
      </x:c>
      <x:c r="U18" s="76" t="str">
        <x:f>IF('07_Form_Mobilite'!$Q18="Validé humainement",'07_Form_Mobilite'!U18,"")</x:f>
      </x:c>
      <x:c r="V18" s="76" t="str">
        <x:f>IF('07_Form_Mobilite'!$Q18="Validé humainement",'07_Form_Mobilite'!V18,"")</x:f>
      </x:c>
    </x:row>
    <x:row r="19">
      <x:c r="A19" s="76" t="str">
        <x:f>IF('07_Form_Mobilite'!$Q19="Validé humainement",'07_Form_Mobilite'!A19,"")</x:f>
      </x:c>
      <x:c r="B19" s="76" t="str">
        <x:f>IF('07_Form_Mobilite'!$Q19="Validé humainement",'07_Form_Mobilite'!B19,"")</x:f>
      </x:c>
      <x:c r="C19" s="76" t="str">
        <x:f>IF('07_Form_Mobilite'!$Q19="Validé humainement",'07_Form_Mobilite'!C19,"")</x:f>
      </x:c>
      <x:c r="D19" s="76" t="str">
        <x:f>IF('07_Form_Mobilite'!$Q19="Validé humainement",'07_Form_Mobilite'!D19,"")</x:f>
      </x:c>
      <x:c r="E19" s="76" t="str">
        <x:f>IF('07_Form_Mobilite'!$Q19="Validé humainement",'07_Form_Mobilite'!E19,"")</x:f>
      </x:c>
      <x:c r="F19" s="81" t="str">
        <x:f>IF('07_Form_Mobilite'!$Q19="Validé humainement",'07_Form_Mobilite'!F19,"")</x:f>
      </x:c>
      <x:c r="G19" s="80" t="str">
        <x:f>IF('07_Form_Mobilite'!$Q19="Validé humainement",'07_Form_Mobilite'!G19,"")</x:f>
      </x:c>
      <x:c r="H19" s="81" t="str">
        <x:f>IF('07_Form_Mobilite'!$Q19="Validé humainement",'07_Form_Mobilite'!H19,"")</x:f>
      </x:c>
      <x:c r="I19" s="76" t="str">
        <x:f>IF('07_Form_Mobilite'!$Q19="Validé humainement",'07_Form_Mobilite'!I19,"")</x:f>
      </x:c>
      <x:c r="J19" s="77" t="str">
        <x:f>IF('07_Form_Mobilite'!$Q19="Validé humainement",'07_Form_Mobilite'!J19,"")</x:f>
      </x:c>
      <x:c r="K19" s="76" t="str">
        <x:f>IF('07_Form_Mobilite'!$Q19="Validé humainement",'07_Form_Mobilite'!K19,"")</x:f>
      </x:c>
      <x:c r="L19" s="83" t="str">
        <x:f>IF('07_Form_Mobilite'!$Q19="Validé humainement",'07_Form_Mobilite'!L19,"")</x:f>
      </x:c>
      <x:c r="M19" s="77" t="str">
        <x:f>IF('07_Form_Mobilite'!$Q19="Validé humainement",'07_Form_Mobilite'!M19,"")</x:f>
      </x:c>
      <x:c r="N19" s="76" t="str">
        <x:f>IF('07_Form_Mobilite'!$Q19="Validé humainement",'07_Form_Mobilite'!N19,"")</x:f>
      </x:c>
      <x:c r="O19" s="76" t="str">
        <x:f>IF('07_Form_Mobilite'!$Q19="Validé humainement",'07_Form_Mobilite'!O19,"")</x:f>
      </x:c>
      <x:c r="P19" s="76" t="str">
        <x:f>IF('07_Form_Mobilite'!$Q19="Validé humainement",'07_Form_Mobilite'!P19,"")</x:f>
      </x:c>
      <x:c r="Q19" s="76" t="str">
        <x:f>IF('07_Form_Mobilite'!$Q19="Validé humainement",'07_Form_Mobilite'!Q19,"")</x:f>
      </x:c>
      <x:c r="R19" s="76" t="str">
        <x:f>IF('07_Form_Mobilite'!$Q19="Validé humainement",'07_Form_Mobilite'!R19,"")</x:f>
      </x:c>
      <x:c r="S19" s="78" t="str">
        <x:f>IF('07_Form_Mobilite'!$Q19="Validé humainement",'07_Form_Mobilite'!S19,"")</x:f>
      </x:c>
      <x:c r="T19" s="76" t="str">
        <x:f>IF('07_Form_Mobilite'!$Q19="Validé humainement",'07_Form_Mobilite'!T19,"")</x:f>
      </x:c>
      <x:c r="U19" s="76" t="str">
        <x:f>IF('07_Form_Mobilite'!$Q19="Validé humainement",'07_Form_Mobilite'!U19,"")</x:f>
      </x:c>
      <x:c r="V19" s="76" t="str">
        <x:f>IF('07_Form_Mobilite'!$Q19="Validé humainement",'07_Form_Mobilite'!V19,"")</x:f>
      </x:c>
    </x:row>
    <x:row r="20">
      <x:c r="A20" s="76" t="str">
        <x:f>IF('07_Form_Mobilite'!$Q20="Validé humainement",'07_Form_Mobilite'!A20,"")</x:f>
      </x:c>
      <x:c r="B20" s="76" t="str">
        <x:f>IF('07_Form_Mobilite'!$Q20="Validé humainement",'07_Form_Mobilite'!B20,"")</x:f>
      </x:c>
      <x:c r="C20" s="76" t="str">
        <x:f>IF('07_Form_Mobilite'!$Q20="Validé humainement",'07_Form_Mobilite'!C20,"")</x:f>
      </x:c>
      <x:c r="D20" s="76" t="str">
        <x:f>IF('07_Form_Mobilite'!$Q20="Validé humainement",'07_Form_Mobilite'!D20,"")</x:f>
      </x:c>
      <x:c r="E20" s="76" t="str">
        <x:f>IF('07_Form_Mobilite'!$Q20="Validé humainement",'07_Form_Mobilite'!E20,"")</x:f>
      </x:c>
      <x:c r="F20" s="81" t="str">
        <x:f>IF('07_Form_Mobilite'!$Q20="Validé humainement",'07_Form_Mobilite'!F20,"")</x:f>
      </x:c>
      <x:c r="G20" s="80" t="str">
        <x:f>IF('07_Form_Mobilite'!$Q20="Validé humainement",'07_Form_Mobilite'!G20,"")</x:f>
      </x:c>
      <x:c r="H20" s="81" t="str">
        <x:f>IF('07_Form_Mobilite'!$Q20="Validé humainement",'07_Form_Mobilite'!H20,"")</x:f>
      </x:c>
      <x:c r="I20" s="76" t="str">
        <x:f>IF('07_Form_Mobilite'!$Q20="Validé humainement",'07_Form_Mobilite'!I20,"")</x:f>
      </x:c>
      <x:c r="J20" s="77" t="str">
        <x:f>IF('07_Form_Mobilite'!$Q20="Validé humainement",'07_Form_Mobilite'!J20,"")</x:f>
      </x:c>
      <x:c r="K20" s="76" t="str">
        <x:f>IF('07_Form_Mobilite'!$Q20="Validé humainement",'07_Form_Mobilite'!K20,"")</x:f>
      </x:c>
      <x:c r="L20" s="83" t="str">
        <x:f>IF('07_Form_Mobilite'!$Q20="Validé humainement",'07_Form_Mobilite'!L20,"")</x:f>
      </x:c>
      <x:c r="M20" s="77" t="str">
        <x:f>IF('07_Form_Mobilite'!$Q20="Validé humainement",'07_Form_Mobilite'!M20,"")</x:f>
      </x:c>
      <x:c r="N20" s="76" t="str">
        <x:f>IF('07_Form_Mobilite'!$Q20="Validé humainement",'07_Form_Mobilite'!N20,"")</x:f>
      </x:c>
      <x:c r="O20" s="76" t="str">
        <x:f>IF('07_Form_Mobilite'!$Q20="Validé humainement",'07_Form_Mobilite'!O20,"")</x:f>
      </x:c>
      <x:c r="P20" s="76" t="str">
        <x:f>IF('07_Form_Mobilite'!$Q20="Validé humainement",'07_Form_Mobilite'!P20,"")</x:f>
      </x:c>
      <x:c r="Q20" s="76" t="str">
        <x:f>IF('07_Form_Mobilite'!$Q20="Validé humainement",'07_Form_Mobilite'!Q20,"")</x:f>
      </x:c>
      <x:c r="R20" s="76" t="str">
        <x:f>IF('07_Form_Mobilite'!$Q20="Validé humainement",'07_Form_Mobilite'!R20,"")</x:f>
      </x:c>
      <x:c r="S20" s="78" t="str">
        <x:f>IF('07_Form_Mobilite'!$Q20="Validé humainement",'07_Form_Mobilite'!S20,"")</x:f>
      </x:c>
      <x:c r="T20" s="76" t="str">
        <x:f>IF('07_Form_Mobilite'!$Q20="Validé humainement",'07_Form_Mobilite'!T20,"")</x:f>
      </x:c>
      <x:c r="U20" s="76" t="str">
        <x:f>IF('07_Form_Mobilite'!$Q20="Validé humainement",'07_Form_Mobilite'!U20,"")</x:f>
      </x:c>
      <x:c r="V20" s="76" t="str">
        <x:f>IF('07_Form_Mobilite'!$Q20="Validé humainement",'07_Form_Mobilite'!V20,"")</x:f>
      </x:c>
    </x:row>
    <x:row r="21">
      <x:c r="A21" s="76" t="str">
        <x:f>IF('07_Form_Mobilite'!$Q21="Validé humainement",'07_Form_Mobilite'!A21,"")</x:f>
      </x:c>
      <x:c r="B21" s="76" t="str">
        <x:f>IF('07_Form_Mobilite'!$Q21="Validé humainement",'07_Form_Mobilite'!B21,"")</x:f>
      </x:c>
      <x:c r="C21" s="76" t="str">
        <x:f>IF('07_Form_Mobilite'!$Q21="Validé humainement",'07_Form_Mobilite'!C21,"")</x:f>
      </x:c>
      <x:c r="D21" s="76" t="str">
        <x:f>IF('07_Form_Mobilite'!$Q21="Validé humainement",'07_Form_Mobilite'!D21,"")</x:f>
      </x:c>
      <x:c r="E21" s="76" t="str">
        <x:f>IF('07_Form_Mobilite'!$Q21="Validé humainement",'07_Form_Mobilite'!E21,"")</x:f>
      </x:c>
      <x:c r="F21" s="81" t="str">
        <x:f>IF('07_Form_Mobilite'!$Q21="Validé humainement",'07_Form_Mobilite'!F21,"")</x:f>
      </x:c>
      <x:c r="G21" s="80" t="str">
        <x:f>IF('07_Form_Mobilite'!$Q21="Validé humainement",'07_Form_Mobilite'!G21,"")</x:f>
      </x:c>
      <x:c r="H21" s="81" t="str">
        <x:f>IF('07_Form_Mobilite'!$Q21="Validé humainement",'07_Form_Mobilite'!H21,"")</x:f>
      </x:c>
      <x:c r="I21" s="76" t="str">
        <x:f>IF('07_Form_Mobilite'!$Q21="Validé humainement",'07_Form_Mobilite'!I21,"")</x:f>
      </x:c>
      <x:c r="J21" s="77" t="str">
        <x:f>IF('07_Form_Mobilite'!$Q21="Validé humainement",'07_Form_Mobilite'!J21,"")</x:f>
      </x:c>
      <x:c r="K21" s="76" t="str">
        <x:f>IF('07_Form_Mobilite'!$Q21="Validé humainement",'07_Form_Mobilite'!K21,"")</x:f>
      </x:c>
      <x:c r="L21" s="83" t="str">
        <x:f>IF('07_Form_Mobilite'!$Q21="Validé humainement",'07_Form_Mobilite'!L21,"")</x:f>
      </x:c>
      <x:c r="M21" s="77" t="str">
        <x:f>IF('07_Form_Mobilite'!$Q21="Validé humainement",'07_Form_Mobilite'!M21,"")</x:f>
      </x:c>
      <x:c r="N21" s="76" t="str">
        <x:f>IF('07_Form_Mobilite'!$Q21="Validé humainement",'07_Form_Mobilite'!N21,"")</x:f>
      </x:c>
      <x:c r="O21" s="76" t="str">
        <x:f>IF('07_Form_Mobilite'!$Q21="Validé humainement",'07_Form_Mobilite'!O21,"")</x:f>
      </x:c>
      <x:c r="P21" s="76" t="str">
        <x:f>IF('07_Form_Mobilite'!$Q21="Validé humainement",'07_Form_Mobilite'!P21,"")</x:f>
      </x:c>
      <x:c r="Q21" s="76" t="str">
        <x:f>IF('07_Form_Mobilite'!$Q21="Validé humainement",'07_Form_Mobilite'!Q21,"")</x:f>
      </x:c>
      <x:c r="R21" s="76" t="str">
        <x:f>IF('07_Form_Mobilite'!$Q21="Validé humainement",'07_Form_Mobilite'!R21,"")</x:f>
      </x:c>
      <x:c r="S21" s="78" t="str">
        <x:f>IF('07_Form_Mobilite'!$Q21="Validé humainement",'07_Form_Mobilite'!S21,"")</x:f>
      </x:c>
      <x:c r="T21" s="76" t="str">
        <x:f>IF('07_Form_Mobilite'!$Q21="Validé humainement",'07_Form_Mobilite'!T21,"")</x:f>
      </x:c>
      <x:c r="U21" s="76" t="str">
        <x:f>IF('07_Form_Mobilite'!$Q21="Validé humainement",'07_Form_Mobilite'!U21,"")</x:f>
      </x:c>
      <x:c r="V21" s="76" t="str">
        <x:f>IF('07_Form_Mobilite'!$Q21="Validé humainement",'07_Form_Mobilite'!V21,"")</x:f>
      </x:c>
    </x:row>
    <x:row r="22">
      <x:c r="A22" s="76" t="str">
        <x:f>IF('07_Form_Mobilite'!$Q22="Validé humainement",'07_Form_Mobilite'!A22,"")</x:f>
      </x:c>
      <x:c r="B22" s="76" t="str">
        <x:f>IF('07_Form_Mobilite'!$Q22="Validé humainement",'07_Form_Mobilite'!B22,"")</x:f>
      </x:c>
      <x:c r="C22" s="76" t="str">
        <x:f>IF('07_Form_Mobilite'!$Q22="Validé humainement",'07_Form_Mobilite'!C22,"")</x:f>
      </x:c>
      <x:c r="D22" s="76" t="str">
        <x:f>IF('07_Form_Mobilite'!$Q22="Validé humainement",'07_Form_Mobilite'!D22,"")</x:f>
      </x:c>
      <x:c r="E22" s="76" t="str">
        <x:f>IF('07_Form_Mobilite'!$Q22="Validé humainement",'07_Form_Mobilite'!E22,"")</x:f>
      </x:c>
      <x:c r="F22" s="81" t="str">
        <x:f>IF('07_Form_Mobilite'!$Q22="Validé humainement",'07_Form_Mobilite'!F22,"")</x:f>
      </x:c>
      <x:c r="G22" s="80" t="str">
        <x:f>IF('07_Form_Mobilite'!$Q22="Validé humainement",'07_Form_Mobilite'!G22,"")</x:f>
      </x:c>
      <x:c r="H22" s="81" t="str">
        <x:f>IF('07_Form_Mobilite'!$Q22="Validé humainement",'07_Form_Mobilite'!H22,"")</x:f>
      </x:c>
      <x:c r="I22" s="76" t="str">
        <x:f>IF('07_Form_Mobilite'!$Q22="Validé humainement",'07_Form_Mobilite'!I22,"")</x:f>
      </x:c>
      <x:c r="J22" s="77" t="str">
        <x:f>IF('07_Form_Mobilite'!$Q22="Validé humainement",'07_Form_Mobilite'!J22,"")</x:f>
      </x:c>
      <x:c r="K22" s="76" t="str">
        <x:f>IF('07_Form_Mobilite'!$Q22="Validé humainement",'07_Form_Mobilite'!K22,"")</x:f>
      </x:c>
      <x:c r="L22" s="83" t="str">
        <x:f>IF('07_Form_Mobilite'!$Q22="Validé humainement",'07_Form_Mobilite'!L22,"")</x:f>
      </x:c>
      <x:c r="M22" s="77" t="str">
        <x:f>IF('07_Form_Mobilite'!$Q22="Validé humainement",'07_Form_Mobilite'!M22,"")</x:f>
      </x:c>
      <x:c r="N22" s="76" t="str">
        <x:f>IF('07_Form_Mobilite'!$Q22="Validé humainement",'07_Form_Mobilite'!N22,"")</x:f>
      </x:c>
      <x:c r="O22" s="76" t="str">
        <x:f>IF('07_Form_Mobilite'!$Q22="Validé humainement",'07_Form_Mobilite'!O22,"")</x:f>
      </x:c>
      <x:c r="P22" s="76" t="str">
        <x:f>IF('07_Form_Mobilite'!$Q22="Validé humainement",'07_Form_Mobilite'!P22,"")</x:f>
      </x:c>
      <x:c r="Q22" s="76" t="str">
        <x:f>IF('07_Form_Mobilite'!$Q22="Validé humainement",'07_Form_Mobilite'!Q22,"")</x:f>
      </x:c>
      <x:c r="R22" s="76" t="str">
        <x:f>IF('07_Form_Mobilite'!$Q22="Validé humainement",'07_Form_Mobilite'!R22,"")</x:f>
      </x:c>
      <x:c r="S22" s="78" t="str">
        <x:f>IF('07_Form_Mobilite'!$Q22="Validé humainement",'07_Form_Mobilite'!S22,"")</x:f>
      </x:c>
      <x:c r="T22" s="76" t="str">
        <x:f>IF('07_Form_Mobilite'!$Q22="Validé humainement",'07_Form_Mobilite'!T22,"")</x:f>
      </x:c>
      <x:c r="U22" s="76" t="str">
        <x:f>IF('07_Form_Mobilite'!$Q22="Validé humainement",'07_Form_Mobilite'!U22,"")</x:f>
      </x:c>
      <x:c r="V22" s="76" t="str">
        <x:f>IF('07_Form_Mobilite'!$Q22="Validé humainement",'07_Form_Mobilite'!V22,"")</x:f>
      </x:c>
    </x:row>
    <x:row r="23">
      <x:c r="A23" s="76" t="str">
        <x:f>IF('07_Form_Mobilite'!$Q23="Validé humainement",'07_Form_Mobilite'!A23,"")</x:f>
      </x:c>
      <x:c r="B23" s="76" t="str">
        <x:f>IF('07_Form_Mobilite'!$Q23="Validé humainement",'07_Form_Mobilite'!B23,"")</x:f>
      </x:c>
      <x:c r="C23" s="76" t="str">
        <x:f>IF('07_Form_Mobilite'!$Q23="Validé humainement",'07_Form_Mobilite'!C23,"")</x:f>
      </x:c>
      <x:c r="D23" s="76" t="str">
        <x:f>IF('07_Form_Mobilite'!$Q23="Validé humainement",'07_Form_Mobilite'!D23,"")</x:f>
      </x:c>
      <x:c r="E23" s="76" t="str">
        <x:f>IF('07_Form_Mobilite'!$Q23="Validé humainement",'07_Form_Mobilite'!E23,"")</x:f>
      </x:c>
      <x:c r="F23" s="81" t="str">
        <x:f>IF('07_Form_Mobilite'!$Q23="Validé humainement",'07_Form_Mobilite'!F23,"")</x:f>
      </x:c>
      <x:c r="G23" s="80" t="str">
        <x:f>IF('07_Form_Mobilite'!$Q23="Validé humainement",'07_Form_Mobilite'!G23,"")</x:f>
      </x:c>
      <x:c r="H23" s="81" t="str">
        <x:f>IF('07_Form_Mobilite'!$Q23="Validé humainement",'07_Form_Mobilite'!H23,"")</x:f>
      </x:c>
      <x:c r="I23" s="76" t="str">
        <x:f>IF('07_Form_Mobilite'!$Q23="Validé humainement",'07_Form_Mobilite'!I23,"")</x:f>
      </x:c>
      <x:c r="J23" s="77" t="str">
        <x:f>IF('07_Form_Mobilite'!$Q23="Validé humainement",'07_Form_Mobilite'!J23,"")</x:f>
      </x:c>
      <x:c r="K23" s="76" t="str">
        <x:f>IF('07_Form_Mobilite'!$Q23="Validé humainement",'07_Form_Mobilite'!K23,"")</x:f>
      </x:c>
      <x:c r="L23" s="83" t="str">
        <x:f>IF('07_Form_Mobilite'!$Q23="Validé humainement",'07_Form_Mobilite'!L23,"")</x:f>
      </x:c>
      <x:c r="M23" s="77" t="str">
        <x:f>IF('07_Form_Mobilite'!$Q23="Validé humainement",'07_Form_Mobilite'!M23,"")</x:f>
      </x:c>
      <x:c r="N23" s="76" t="str">
        <x:f>IF('07_Form_Mobilite'!$Q23="Validé humainement",'07_Form_Mobilite'!N23,"")</x:f>
      </x:c>
      <x:c r="O23" s="76" t="str">
        <x:f>IF('07_Form_Mobilite'!$Q23="Validé humainement",'07_Form_Mobilite'!O23,"")</x:f>
      </x:c>
      <x:c r="P23" s="76" t="str">
        <x:f>IF('07_Form_Mobilite'!$Q23="Validé humainement",'07_Form_Mobilite'!P23,"")</x:f>
      </x:c>
      <x:c r="Q23" s="76" t="str">
        <x:f>IF('07_Form_Mobilite'!$Q23="Validé humainement",'07_Form_Mobilite'!Q23,"")</x:f>
      </x:c>
      <x:c r="R23" s="76" t="str">
        <x:f>IF('07_Form_Mobilite'!$Q23="Validé humainement",'07_Form_Mobilite'!R23,"")</x:f>
      </x:c>
      <x:c r="S23" s="78" t="str">
        <x:f>IF('07_Form_Mobilite'!$Q23="Validé humainement",'07_Form_Mobilite'!S23,"")</x:f>
      </x:c>
      <x:c r="T23" s="76" t="str">
        <x:f>IF('07_Form_Mobilite'!$Q23="Validé humainement",'07_Form_Mobilite'!T23,"")</x:f>
      </x:c>
      <x:c r="U23" s="76" t="str">
        <x:f>IF('07_Form_Mobilite'!$Q23="Validé humainement",'07_Form_Mobilite'!U23,"")</x:f>
      </x:c>
      <x:c r="V23" s="76" t="str">
        <x:f>IF('07_Form_Mobilite'!$Q23="Validé humainement",'07_Form_Mobilite'!V23,"")</x:f>
      </x:c>
    </x:row>
    <x:row r="24">
      <x:c r="A24" s="76" t="str">
        <x:f>IF('07_Form_Mobilite'!$Q24="Validé humainement",'07_Form_Mobilite'!A24,"")</x:f>
      </x:c>
      <x:c r="B24" s="76" t="str">
        <x:f>IF('07_Form_Mobilite'!$Q24="Validé humainement",'07_Form_Mobilite'!B24,"")</x:f>
      </x:c>
      <x:c r="C24" s="76" t="str">
        <x:f>IF('07_Form_Mobilite'!$Q24="Validé humainement",'07_Form_Mobilite'!C24,"")</x:f>
      </x:c>
      <x:c r="D24" s="76" t="str">
        <x:f>IF('07_Form_Mobilite'!$Q24="Validé humainement",'07_Form_Mobilite'!D24,"")</x:f>
      </x:c>
      <x:c r="E24" s="76" t="str">
        <x:f>IF('07_Form_Mobilite'!$Q24="Validé humainement",'07_Form_Mobilite'!E24,"")</x:f>
      </x:c>
      <x:c r="F24" s="81" t="str">
        <x:f>IF('07_Form_Mobilite'!$Q24="Validé humainement",'07_Form_Mobilite'!F24,"")</x:f>
      </x:c>
      <x:c r="G24" s="80" t="str">
        <x:f>IF('07_Form_Mobilite'!$Q24="Validé humainement",'07_Form_Mobilite'!G24,"")</x:f>
      </x:c>
      <x:c r="H24" s="81" t="str">
        <x:f>IF('07_Form_Mobilite'!$Q24="Validé humainement",'07_Form_Mobilite'!H24,"")</x:f>
      </x:c>
      <x:c r="I24" s="76" t="str">
        <x:f>IF('07_Form_Mobilite'!$Q24="Validé humainement",'07_Form_Mobilite'!I24,"")</x:f>
      </x:c>
      <x:c r="J24" s="77" t="str">
        <x:f>IF('07_Form_Mobilite'!$Q24="Validé humainement",'07_Form_Mobilite'!J24,"")</x:f>
      </x:c>
      <x:c r="K24" s="76" t="str">
        <x:f>IF('07_Form_Mobilite'!$Q24="Validé humainement",'07_Form_Mobilite'!K24,"")</x:f>
      </x:c>
      <x:c r="L24" s="83" t="str">
        <x:f>IF('07_Form_Mobilite'!$Q24="Validé humainement",'07_Form_Mobilite'!L24,"")</x:f>
      </x:c>
      <x:c r="M24" s="77" t="str">
        <x:f>IF('07_Form_Mobilite'!$Q24="Validé humainement",'07_Form_Mobilite'!M24,"")</x:f>
      </x:c>
      <x:c r="N24" s="76" t="str">
        <x:f>IF('07_Form_Mobilite'!$Q24="Validé humainement",'07_Form_Mobilite'!N24,"")</x:f>
      </x:c>
      <x:c r="O24" s="76" t="str">
        <x:f>IF('07_Form_Mobilite'!$Q24="Validé humainement",'07_Form_Mobilite'!O24,"")</x:f>
      </x:c>
      <x:c r="P24" s="76" t="str">
        <x:f>IF('07_Form_Mobilite'!$Q24="Validé humainement",'07_Form_Mobilite'!P24,"")</x:f>
      </x:c>
      <x:c r="Q24" s="76" t="str">
        <x:f>IF('07_Form_Mobilite'!$Q24="Validé humainement",'07_Form_Mobilite'!Q24,"")</x:f>
      </x:c>
      <x:c r="R24" s="76" t="str">
        <x:f>IF('07_Form_Mobilite'!$Q24="Validé humainement",'07_Form_Mobilite'!R24,"")</x:f>
      </x:c>
      <x:c r="S24" s="78" t="str">
        <x:f>IF('07_Form_Mobilite'!$Q24="Validé humainement",'07_Form_Mobilite'!S24,"")</x:f>
      </x:c>
      <x:c r="T24" s="76" t="str">
        <x:f>IF('07_Form_Mobilite'!$Q24="Validé humainement",'07_Form_Mobilite'!T24,"")</x:f>
      </x:c>
      <x:c r="U24" s="76" t="str">
        <x:f>IF('07_Form_Mobilite'!$Q24="Validé humainement",'07_Form_Mobilite'!U24,"")</x:f>
      </x:c>
      <x:c r="V24" s="76" t="str">
        <x:f>IF('07_Form_Mobilite'!$Q24="Validé humainement",'07_Form_Mobilite'!V24,"")</x:f>
      </x:c>
    </x:row>
    <x:row r="25">
      <x:c r="A25" s="76" t="str">
        <x:f>IF('07_Form_Mobilite'!$Q25="Validé humainement",'07_Form_Mobilite'!A25,"")</x:f>
      </x:c>
      <x:c r="B25" s="76" t="str">
        <x:f>IF('07_Form_Mobilite'!$Q25="Validé humainement",'07_Form_Mobilite'!B25,"")</x:f>
      </x:c>
      <x:c r="C25" s="76" t="str">
        <x:f>IF('07_Form_Mobilite'!$Q25="Validé humainement",'07_Form_Mobilite'!C25,"")</x:f>
      </x:c>
      <x:c r="D25" s="76" t="str">
        <x:f>IF('07_Form_Mobilite'!$Q25="Validé humainement",'07_Form_Mobilite'!D25,"")</x:f>
      </x:c>
      <x:c r="E25" s="76" t="str">
        <x:f>IF('07_Form_Mobilite'!$Q25="Validé humainement",'07_Form_Mobilite'!E25,"")</x:f>
      </x:c>
      <x:c r="F25" s="81" t="str">
        <x:f>IF('07_Form_Mobilite'!$Q25="Validé humainement",'07_Form_Mobilite'!F25,"")</x:f>
      </x:c>
      <x:c r="G25" s="80" t="str">
        <x:f>IF('07_Form_Mobilite'!$Q25="Validé humainement",'07_Form_Mobilite'!G25,"")</x:f>
      </x:c>
      <x:c r="H25" s="81" t="str">
        <x:f>IF('07_Form_Mobilite'!$Q25="Validé humainement",'07_Form_Mobilite'!H25,"")</x:f>
      </x:c>
      <x:c r="I25" s="76" t="str">
        <x:f>IF('07_Form_Mobilite'!$Q25="Validé humainement",'07_Form_Mobilite'!I25,"")</x:f>
      </x:c>
      <x:c r="J25" s="77" t="str">
        <x:f>IF('07_Form_Mobilite'!$Q25="Validé humainement",'07_Form_Mobilite'!J25,"")</x:f>
      </x:c>
      <x:c r="K25" s="76" t="str">
        <x:f>IF('07_Form_Mobilite'!$Q25="Validé humainement",'07_Form_Mobilite'!K25,"")</x:f>
      </x:c>
      <x:c r="L25" s="83" t="str">
        <x:f>IF('07_Form_Mobilite'!$Q25="Validé humainement",'07_Form_Mobilite'!L25,"")</x:f>
      </x:c>
      <x:c r="M25" s="77" t="str">
        <x:f>IF('07_Form_Mobilite'!$Q25="Validé humainement",'07_Form_Mobilite'!M25,"")</x:f>
      </x:c>
      <x:c r="N25" s="76" t="str">
        <x:f>IF('07_Form_Mobilite'!$Q25="Validé humainement",'07_Form_Mobilite'!N25,"")</x:f>
      </x:c>
      <x:c r="O25" s="76" t="str">
        <x:f>IF('07_Form_Mobilite'!$Q25="Validé humainement",'07_Form_Mobilite'!O25,"")</x:f>
      </x:c>
      <x:c r="P25" s="76" t="str">
        <x:f>IF('07_Form_Mobilite'!$Q25="Validé humainement",'07_Form_Mobilite'!P25,"")</x:f>
      </x:c>
      <x:c r="Q25" s="76" t="str">
        <x:f>IF('07_Form_Mobilite'!$Q25="Validé humainement",'07_Form_Mobilite'!Q25,"")</x:f>
      </x:c>
      <x:c r="R25" s="76" t="str">
        <x:f>IF('07_Form_Mobilite'!$Q25="Validé humainement",'07_Form_Mobilite'!R25,"")</x:f>
      </x:c>
      <x:c r="S25" s="78" t="str">
        <x:f>IF('07_Form_Mobilite'!$Q25="Validé humainement",'07_Form_Mobilite'!S25,"")</x:f>
      </x:c>
      <x:c r="T25" s="76" t="str">
        <x:f>IF('07_Form_Mobilite'!$Q25="Validé humainement",'07_Form_Mobilite'!T25,"")</x:f>
      </x:c>
      <x:c r="U25" s="76" t="str">
        <x:f>IF('07_Form_Mobilite'!$Q25="Validé humainement",'07_Form_Mobilite'!U25,"")</x:f>
      </x:c>
      <x:c r="V25" s="76" t="str">
        <x:f>IF('07_Form_Mobilite'!$Q25="Validé humainement",'07_Form_Mobilite'!V25,"")</x:f>
      </x:c>
    </x:row>
    <x:row r="26">
      <x:c r="A26" s="76" t="str">
        <x:f>IF('07_Form_Mobilite'!$Q26="Validé humainement",'07_Form_Mobilite'!A26,"")</x:f>
      </x:c>
      <x:c r="B26" s="76" t="str">
        <x:f>IF('07_Form_Mobilite'!$Q26="Validé humainement",'07_Form_Mobilite'!B26,"")</x:f>
      </x:c>
      <x:c r="C26" s="76" t="str">
        <x:f>IF('07_Form_Mobilite'!$Q26="Validé humainement",'07_Form_Mobilite'!C26,"")</x:f>
      </x:c>
      <x:c r="D26" s="76" t="str">
        <x:f>IF('07_Form_Mobilite'!$Q26="Validé humainement",'07_Form_Mobilite'!D26,"")</x:f>
      </x:c>
      <x:c r="E26" s="76" t="str">
        <x:f>IF('07_Form_Mobilite'!$Q26="Validé humainement",'07_Form_Mobilite'!E26,"")</x:f>
      </x:c>
      <x:c r="F26" s="81" t="str">
        <x:f>IF('07_Form_Mobilite'!$Q26="Validé humainement",'07_Form_Mobilite'!F26,"")</x:f>
      </x:c>
      <x:c r="G26" s="80" t="str">
        <x:f>IF('07_Form_Mobilite'!$Q26="Validé humainement",'07_Form_Mobilite'!G26,"")</x:f>
      </x:c>
      <x:c r="H26" s="81" t="str">
        <x:f>IF('07_Form_Mobilite'!$Q26="Validé humainement",'07_Form_Mobilite'!H26,"")</x:f>
      </x:c>
      <x:c r="I26" s="76" t="str">
        <x:f>IF('07_Form_Mobilite'!$Q26="Validé humainement",'07_Form_Mobilite'!I26,"")</x:f>
      </x:c>
      <x:c r="J26" s="77" t="str">
        <x:f>IF('07_Form_Mobilite'!$Q26="Validé humainement",'07_Form_Mobilite'!J26,"")</x:f>
      </x:c>
      <x:c r="K26" s="76" t="str">
        <x:f>IF('07_Form_Mobilite'!$Q26="Validé humainement",'07_Form_Mobilite'!K26,"")</x:f>
      </x:c>
      <x:c r="L26" s="83" t="str">
        <x:f>IF('07_Form_Mobilite'!$Q26="Validé humainement",'07_Form_Mobilite'!L26,"")</x:f>
      </x:c>
      <x:c r="M26" s="77" t="str">
        <x:f>IF('07_Form_Mobilite'!$Q26="Validé humainement",'07_Form_Mobilite'!M26,"")</x:f>
      </x:c>
      <x:c r="N26" s="76" t="str">
        <x:f>IF('07_Form_Mobilite'!$Q26="Validé humainement",'07_Form_Mobilite'!N26,"")</x:f>
      </x:c>
      <x:c r="O26" s="76" t="str">
        <x:f>IF('07_Form_Mobilite'!$Q26="Validé humainement",'07_Form_Mobilite'!O26,"")</x:f>
      </x:c>
      <x:c r="P26" s="76" t="str">
        <x:f>IF('07_Form_Mobilite'!$Q26="Validé humainement",'07_Form_Mobilite'!P26,"")</x:f>
      </x:c>
      <x:c r="Q26" s="76" t="str">
        <x:f>IF('07_Form_Mobilite'!$Q26="Validé humainement",'07_Form_Mobilite'!Q26,"")</x:f>
      </x:c>
      <x:c r="R26" s="76" t="str">
        <x:f>IF('07_Form_Mobilite'!$Q26="Validé humainement",'07_Form_Mobilite'!R26,"")</x:f>
      </x:c>
      <x:c r="S26" s="78" t="str">
        <x:f>IF('07_Form_Mobilite'!$Q26="Validé humainement",'07_Form_Mobilite'!S26,"")</x:f>
      </x:c>
      <x:c r="T26" s="76" t="str">
        <x:f>IF('07_Form_Mobilite'!$Q26="Validé humainement",'07_Form_Mobilite'!T26,"")</x:f>
      </x:c>
      <x:c r="U26" s="76" t="str">
        <x:f>IF('07_Form_Mobilite'!$Q26="Validé humainement",'07_Form_Mobilite'!U26,"")</x:f>
      </x:c>
      <x:c r="V26" s="76" t="str">
        <x:f>IF('07_Form_Mobilite'!$Q26="Validé humainement",'07_Form_Mobilite'!V26,"")</x:f>
      </x:c>
    </x:row>
    <x:row r="27">
      <x:c r="A27" s="76" t="str">
        <x:f>IF('07_Form_Mobilite'!$Q27="Validé humainement",'07_Form_Mobilite'!A27,"")</x:f>
      </x:c>
      <x:c r="B27" s="76" t="str">
        <x:f>IF('07_Form_Mobilite'!$Q27="Validé humainement",'07_Form_Mobilite'!B27,"")</x:f>
      </x:c>
      <x:c r="C27" s="76" t="str">
        <x:f>IF('07_Form_Mobilite'!$Q27="Validé humainement",'07_Form_Mobilite'!C27,"")</x:f>
      </x:c>
      <x:c r="D27" s="76" t="str">
        <x:f>IF('07_Form_Mobilite'!$Q27="Validé humainement",'07_Form_Mobilite'!D27,"")</x:f>
      </x:c>
      <x:c r="E27" s="76" t="str">
        <x:f>IF('07_Form_Mobilite'!$Q27="Validé humainement",'07_Form_Mobilite'!E27,"")</x:f>
      </x:c>
      <x:c r="F27" s="81" t="str">
        <x:f>IF('07_Form_Mobilite'!$Q27="Validé humainement",'07_Form_Mobilite'!F27,"")</x:f>
      </x:c>
      <x:c r="G27" s="80" t="str">
        <x:f>IF('07_Form_Mobilite'!$Q27="Validé humainement",'07_Form_Mobilite'!G27,"")</x:f>
      </x:c>
      <x:c r="H27" s="81" t="str">
        <x:f>IF('07_Form_Mobilite'!$Q27="Validé humainement",'07_Form_Mobilite'!H27,"")</x:f>
      </x:c>
      <x:c r="I27" s="76" t="str">
        <x:f>IF('07_Form_Mobilite'!$Q27="Validé humainement",'07_Form_Mobilite'!I27,"")</x:f>
      </x:c>
      <x:c r="J27" s="77" t="str">
        <x:f>IF('07_Form_Mobilite'!$Q27="Validé humainement",'07_Form_Mobilite'!J27,"")</x:f>
      </x:c>
      <x:c r="K27" s="76" t="str">
        <x:f>IF('07_Form_Mobilite'!$Q27="Validé humainement",'07_Form_Mobilite'!K27,"")</x:f>
      </x:c>
      <x:c r="L27" s="83" t="str">
        <x:f>IF('07_Form_Mobilite'!$Q27="Validé humainement",'07_Form_Mobilite'!L27,"")</x:f>
      </x:c>
      <x:c r="M27" s="77" t="str">
        <x:f>IF('07_Form_Mobilite'!$Q27="Validé humainement",'07_Form_Mobilite'!M27,"")</x:f>
      </x:c>
      <x:c r="N27" s="76" t="str">
        <x:f>IF('07_Form_Mobilite'!$Q27="Validé humainement",'07_Form_Mobilite'!N27,"")</x:f>
      </x:c>
      <x:c r="O27" s="76" t="str">
        <x:f>IF('07_Form_Mobilite'!$Q27="Validé humainement",'07_Form_Mobilite'!O27,"")</x:f>
      </x:c>
      <x:c r="P27" s="76" t="str">
        <x:f>IF('07_Form_Mobilite'!$Q27="Validé humainement",'07_Form_Mobilite'!P27,"")</x:f>
      </x:c>
      <x:c r="Q27" s="76" t="str">
        <x:f>IF('07_Form_Mobilite'!$Q27="Validé humainement",'07_Form_Mobilite'!Q27,"")</x:f>
      </x:c>
      <x:c r="R27" s="76" t="str">
        <x:f>IF('07_Form_Mobilite'!$Q27="Validé humainement",'07_Form_Mobilite'!R27,"")</x:f>
      </x:c>
      <x:c r="S27" s="78" t="str">
        <x:f>IF('07_Form_Mobilite'!$Q27="Validé humainement",'07_Form_Mobilite'!S27,"")</x:f>
      </x:c>
      <x:c r="T27" s="76" t="str">
        <x:f>IF('07_Form_Mobilite'!$Q27="Validé humainement",'07_Form_Mobilite'!T27,"")</x:f>
      </x:c>
      <x:c r="U27" s="76" t="str">
        <x:f>IF('07_Form_Mobilite'!$Q27="Validé humainement",'07_Form_Mobilite'!U27,"")</x:f>
      </x:c>
      <x:c r="V27" s="76" t="str">
        <x:f>IF('07_Form_Mobilite'!$Q27="Validé humainement",'07_Form_Mobilite'!V27,"")</x:f>
      </x:c>
    </x:row>
    <x:row r="28">
      <x:c r="A28" s="76" t="str">
        <x:f>IF('07_Form_Mobilite'!$Q28="Validé humainement",'07_Form_Mobilite'!A28,"")</x:f>
      </x:c>
      <x:c r="B28" s="76" t="str">
        <x:f>IF('07_Form_Mobilite'!$Q28="Validé humainement",'07_Form_Mobilite'!B28,"")</x:f>
      </x:c>
      <x:c r="C28" s="76" t="str">
        <x:f>IF('07_Form_Mobilite'!$Q28="Validé humainement",'07_Form_Mobilite'!C28,"")</x:f>
      </x:c>
      <x:c r="D28" s="76" t="str">
        <x:f>IF('07_Form_Mobilite'!$Q28="Validé humainement",'07_Form_Mobilite'!D28,"")</x:f>
      </x:c>
      <x:c r="E28" s="76" t="str">
        <x:f>IF('07_Form_Mobilite'!$Q28="Validé humainement",'07_Form_Mobilite'!E28,"")</x:f>
      </x:c>
      <x:c r="F28" s="81" t="str">
        <x:f>IF('07_Form_Mobilite'!$Q28="Validé humainement",'07_Form_Mobilite'!F28,"")</x:f>
      </x:c>
      <x:c r="G28" s="80" t="str">
        <x:f>IF('07_Form_Mobilite'!$Q28="Validé humainement",'07_Form_Mobilite'!G28,"")</x:f>
      </x:c>
      <x:c r="H28" s="81" t="str">
        <x:f>IF('07_Form_Mobilite'!$Q28="Validé humainement",'07_Form_Mobilite'!H28,"")</x:f>
      </x:c>
      <x:c r="I28" s="76" t="str">
        <x:f>IF('07_Form_Mobilite'!$Q28="Validé humainement",'07_Form_Mobilite'!I28,"")</x:f>
      </x:c>
      <x:c r="J28" s="77" t="str">
        <x:f>IF('07_Form_Mobilite'!$Q28="Validé humainement",'07_Form_Mobilite'!J28,"")</x:f>
      </x:c>
      <x:c r="K28" s="76" t="str">
        <x:f>IF('07_Form_Mobilite'!$Q28="Validé humainement",'07_Form_Mobilite'!K28,"")</x:f>
      </x:c>
      <x:c r="L28" s="83" t="str">
        <x:f>IF('07_Form_Mobilite'!$Q28="Validé humainement",'07_Form_Mobilite'!L28,"")</x:f>
      </x:c>
      <x:c r="M28" s="77" t="str">
        <x:f>IF('07_Form_Mobilite'!$Q28="Validé humainement",'07_Form_Mobilite'!M28,"")</x:f>
      </x:c>
      <x:c r="N28" s="76" t="str">
        <x:f>IF('07_Form_Mobilite'!$Q28="Validé humainement",'07_Form_Mobilite'!N28,"")</x:f>
      </x:c>
      <x:c r="O28" s="76" t="str">
        <x:f>IF('07_Form_Mobilite'!$Q28="Validé humainement",'07_Form_Mobilite'!O28,"")</x:f>
      </x:c>
      <x:c r="P28" s="76" t="str">
        <x:f>IF('07_Form_Mobilite'!$Q28="Validé humainement",'07_Form_Mobilite'!P28,"")</x:f>
      </x:c>
      <x:c r="Q28" s="76" t="str">
        <x:f>IF('07_Form_Mobilite'!$Q28="Validé humainement",'07_Form_Mobilite'!Q28,"")</x:f>
      </x:c>
      <x:c r="R28" s="76" t="str">
        <x:f>IF('07_Form_Mobilite'!$Q28="Validé humainement",'07_Form_Mobilite'!R28,"")</x:f>
      </x:c>
      <x:c r="S28" s="78" t="str">
        <x:f>IF('07_Form_Mobilite'!$Q28="Validé humainement",'07_Form_Mobilite'!S28,"")</x:f>
      </x:c>
      <x:c r="T28" s="76" t="str">
        <x:f>IF('07_Form_Mobilite'!$Q28="Validé humainement",'07_Form_Mobilite'!T28,"")</x:f>
      </x:c>
      <x:c r="U28" s="76" t="str">
        <x:f>IF('07_Form_Mobilite'!$Q28="Validé humainement",'07_Form_Mobilite'!U28,"")</x:f>
      </x:c>
      <x:c r="V28" s="76" t="str">
        <x:f>IF('07_Form_Mobilite'!$Q28="Validé humainement",'07_Form_Mobilite'!V28,"")</x:f>
      </x:c>
    </x:row>
    <x:row r="29">
      <x:c r="A29" s="76" t="str">
        <x:f>IF('07_Form_Mobilite'!$Q29="Validé humainement",'07_Form_Mobilite'!A29,"")</x:f>
      </x:c>
      <x:c r="B29" s="76" t="str">
        <x:f>IF('07_Form_Mobilite'!$Q29="Validé humainement",'07_Form_Mobilite'!B29,"")</x:f>
      </x:c>
      <x:c r="C29" s="76" t="str">
        <x:f>IF('07_Form_Mobilite'!$Q29="Validé humainement",'07_Form_Mobilite'!C29,"")</x:f>
      </x:c>
      <x:c r="D29" s="76" t="str">
        <x:f>IF('07_Form_Mobilite'!$Q29="Validé humainement",'07_Form_Mobilite'!D29,"")</x:f>
      </x:c>
      <x:c r="E29" s="76" t="str">
        <x:f>IF('07_Form_Mobilite'!$Q29="Validé humainement",'07_Form_Mobilite'!E29,"")</x:f>
      </x:c>
      <x:c r="F29" s="81" t="str">
        <x:f>IF('07_Form_Mobilite'!$Q29="Validé humainement",'07_Form_Mobilite'!F29,"")</x:f>
      </x:c>
      <x:c r="G29" s="80" t="str">
        <x:f>IF('07_Form_Mobilite'!$Q29="Validé humainement",'07_Form_Mobilite'!G29,"")</x:f>
      </x:c>
      <x:c r="H29" s="81" t="str">
        <x:f>IF('07_Form_Mobilite'!$Q29="Validé humainement",'07_Form_Mobilite'!H29,"")</x:f>
      </x:c>
      <x:c r="I29" s="76" t="str">
        <x:f>IF('07_Form_Mobilite'!$Q29="Validé humainement",'07_Form_Mobilite'!I29,"")</x:f>
      </x:c>
      <x:c r="J29" s="77" t="str">
        <x:f>IF('07_Form_Mobilite'!$Q29="Validé humainement",'07_Form_Mobilite'!J29,"")</x:f>
      </x:c>
      <x:c r="K29" s="76" t="str">
        <x:f>IF('07_Form_Mobilite'!$Q29="Validé humainement",'07_Form_Mobilite'!K29,"")</x:f>
      </x:c>
      <x:c r="L29" s="83" t="str">
        <x:f>IF('07_Form_Mobilite'!$Q29="Validé humainement",'07_Form_Mobilite'!L29,"")</x:f>
      </x:c>
      <x:c r="M29" s="77" t="str">
        <x:f>IF('07_Form_Mobilite'!$Q29="Validé humainement",'07_Form_Mobilite'!M29,"")</x:f>
      </x:c>
      <x:c r="N29" s="76" t="str">
        <x:f>IF('07_Form_Mobilite'!$Q29="Validé humainement",'07_Form_Mobilite'!N29,"")</x:f>
      </x:c>
      <x:c r="O29" s="76" t="str">
        <x:f>IF('07_Form_Mobilite'!$Q29="Validé humainement",'07_Form_Mobilite'!O29,"")</x:f>
      </x:c>
      <x:c r="P29" s="76" t="str">
        <x:f>IF('07_Form_Mobilite'!$Q29="Validé humainement",'07_Form_Mobilite'!P29,"")</x:f>
      </x:c>
      <x:c r="Q29" s="76" t="str">
        <x:f>IF('07_Form_Mobilite'!$Q29="Validé humainement",'07_Form_Mobilite'!Q29,"")</x:f>
      </x:c>
      <x:c r="R29" s="76" t="str">
        <x:f>IF('07_Form_Mobilite'!$Q29="Validé humainement",'07_Form_Mobilite'!R29,"")</x:f>
      </x:c>
      <x:c r="S29" s="78" t="str">
        <x:f>IF('07_Form_Mobilite'!$Q29="Validé humainement",'07_Form_Mobilite'!S29,"")</x:f>
      </x:c>
      <x:c r="T29" s="76" t="str">
        <x:f>IF('07_Form_Mobilite'!$Q29="Validé humainement",'07_Form_Mobilite'!T29,"")</x:f>
      </x:c>
      <x:c r="U29" s="76" t="str">
        <x:f>IF('07_Form_Mobilite'!$Q29="Validé humainement",'07_Form_Mobilite'!U29,"")</x:f>
      </x:c>
      <x:c r="V29" s="76" t="str">
        <x:f>IF('07_Form_Mobilite'!$Q29="Validé humainement",'07_Form_Mobilite'!V29,"")</x:f>
      </x:c>
    </x:row>
    <x:row r="30">
      <x:c r="A30" s="76" t="str">
        <x:f>IF('07_Form_Mobilite'!$Q30="Validé humainement",'07_Form_Mobilite'!A30,"")</x:f>
      </x:c>
      <x:c r="B30" s="76" t="str">
        <x:f>IF('07_Form_Mobilite'!$Q30="Validé humainement",'07_Form_Mobilite'!B30,"")</x:f>
      </x:c>
      <x:c r="C30" s="76" t="str">
        <x:f>IF('07_Form_Mobilite'!$Q30="Validé humainement",'07_Form_Mobilite'!C30,"")</x:f>
      </x:c>
      <x:c r="D30" s="76" t="str">
        <x:f>IF('07_Form_Mobilite'!$Q30="Validé humainement",'07_Form_Mobilite'!D30,"")</x:f>
      </x:c>
      <x:c r="E30" s="76" t="str">
        <x:f>IF('07_Form_Mobilite'!$Q30="Validé humainement",'07_Form_Mobilite'!E30,"")</x:f>
      </x:c>
      <x:c r="F30" s="81" t="str">
        <x:f>IF('07_Form_Mobilite'!$Q30="Validé humainement",'07_Form_Mobilite'!F30,"")</x:f>
      </x:c>
      <x:c r="G30" s="80" t="str">
        <x:f>IF('07_Form_Mobilite'!$Q30="Validé humainement",'07_Form_Mobilite'!G30,"")</x:f>
      </x:c>
      <x:c r="H30" s="81" t="str">
        <x:f>IF('07_Form_Mobilite'!$Q30="Validé humainement",'07_Form_Mobilite'!H30,"")</x:f>
      </x:c>
      <x:c r="I30" s="76" t="str">
        <x:f>IF('07_Form_Mobilite'!$Q30="Validé humainement",'07_Form_Mobilite'!I30,"")</x:f>
      </x:c>
      <x:c r="J30" s="77" t="str">
        <x:f>IF('07_Form_Mobilite'!$Q30="Validé humainement",'07_Form_Mobilite'!J30,"")</x:f>
      </x:c>
      <x:c r="K30" s="76" t="str">
        <x:f>IF('07_Form_Mobilite'!$Q30="Validé humainement",'07_Form_Mobilite'!K30,"")</x:f>
      </x:c>
      <x:c r="L30" s="83" t="str">
        <x:f>IF('07_Form_Mobilite'!$Q30="Validé humainement",'07_Form_Mobilite'!L30,"")</x:f>
      </x:c>
      <x:c r="M30" s="77" t="str">
        <x:f>IF('07_Form_Mobilite'!$Q30="Validé humainement",'07_Form_Mobilite'!M30,"")</x:f>
      </x:c>
      <x:c r="N30" s="76" t="str">
        <x:f>IF('07_Form_Mobilite'!$Q30="Validé humainement",'07_Form_Mobilite'!N30,"")</x:f>
      </x:c>
      <x:c r="O30" s="76" t="str">
        <x:f>IF('07_Form_Mobilite'!$Q30="Validé humainement",'07_Form_Mobilite'!O30,"")</x:f>
      </x:c>
      <x:c r="P30" s="76" t="str">
        <x:f>IF('07_Form_Mobilite'!$Q30="Validé humainement",'07_Form_Mobilite'!P30,"")</x:f>
      </x:c>
      <x:c r="Q30" s="76" t="str">
        <x:f>IF('07_Form_Mobilite'!$Q30="Validé humainement",'07_Form_Mobilite'!Q30,"")</x:f>
      </x:c>
      <x:c r="R30" s="76" t="str">
        <x:f>IF('07_Form_Mobilite'!$Q30="Validé humainement",'07_Form_Mobilite'!R30,"")</x:f>
      </x:c>
      <x:c r="S30" s="78" t="str">
        <x:f>IF('07_Form_Mobilite'!$Q30="Validé humainement",'07_Form_Mobilite'!S30,"")</x:f>
      </x:c>
      <x:c r="T30" s="76" t="str">
        <x:f>IF('07_Form_Mobilite'!$Q30="Validé humainement",'07_Form_Mobilite'!T30,"")</x:f>
      </x:c>
      <x:c r="U30" s="76" t="str">
        <x:f>IF('07_Form_Mobilite'!$Q30="Validé humainement",'07_Form_Mobilite'!U30,"")</x:f>
      </x:c>
      <x:c r="V30" s="76" t="str">
        <x:f>IF('07_Form_Mobilite'!$Q30="Validé humainement",'07_Form_Mobilite'!V30,"")</x:f>
      </x:c>
    </x:row>
    <x:row r="31">
      <x:c r="A31" s="76" t="str">
        <x:f>IF('07_Form_Mobilite'!$Q31="Validé humainement",'07_Form_Mobilite'!A31,"")</x:f>
      </x:c>
      <x:c r="B31" s="76" t="str">
        <x:f>IF('07_Form_Mobilite'!$Q31="Validé humainement",'07_Form_Mobilite'!B31,"")</x:f>
      </x:c>
      <x:c r="C31" s="76" t="str">
        <x:f>IF('07_Form_Mobilite'!$Q31="Validé humainement",'07_Form_Mobilite'!C31,"")</x:f>
      </x:c>
      <x:c r="D31" s="76" t="str">
        <x:f>IF('07_Form_Mobilite'!$Q31="Validé humainement",'07_Form_Mobilite'!D31,"")</x:f>
      </x:c>
      <x:c r="E31" s="76" t="str">
        <x:f>IF('07_Form_Mobilite'!$Q31="Validé humainement",'07_Form_Mobilite'!E31,"")</x:f>
      </x:c>
      <x:c r="F31" s="81" t="str">
        <x:f>IF('07_Form_Mobilite'!$Q31="Validé humainement",'07_Form_Mobilite'!F31,"")</x:f>
      </x:c>
      <x:c r="G31" s="80" t="str">
        <x:f>IF('07_Form_Mobilite'!$Q31="Validé humainement",'07_Form_Mobilite'!G31,"")</x:f>
      </x:c>
      <x:c r="H31" s="81" t="str">
        <x:f>IF('07_Form_Mobilite'!$Q31="Validé humainement",'07_Form_Mobilite'!H31,"")</x:f>
      </x:c>
      <x:c r="I31" s="76" t="str">
        <x:f>IF('07_Form_Mobilite'!$Q31="Validé humainement",'07_Form_Mobilite'!I31,"")</x:f>
      </x:c>
      <x:c r="J31" s="77" t="str">
        <x:f>IF('07_Form_Mobilite'!$Q31="Validé humainement",'07_Form_Mobilite'!J31,"")</x:f>
      </x:c>
      <x:c r="K31" s="76" t="str">
        <x:f>IF('07_Form_Mobilite'!$Q31="Validé humainement",'07_Form_Mobilite'!K31,"")</x:f>
      </x:c>
      <x:c r="L31" s="83" t="str">
        <x:f>IF('07_Form_Mobilite'!$Q31="Validé humainement",'07_Form_Mobilite'!L31,"")</x:f>
      </x:c>
      <x:c r="M31" s="77" t="str">
        <x:f>IF('07_Form_Mobilite'!$Q31="Validé humainement",'07_Form_Mobilite'!M31,"")</x:f>
      </x:c>
      <x:c r="N31" s="76" t="str">
        <x:f>IF('07_Form_Mobilite'!$Q31="Validé humainement",'07_Form_Mobilite'!N31,"")</x:f>
      </x:c>
      <x:c r="O31" s="76" t="str">
        <x:f>IF('07_Form_Mobilite'!$Q31="Validé humainement",'07_Form_Mobilite'!O31,"")</x:f>
      </x:c>
      <x:c r="P31" s="76" t="str">
        <x:f>IF('07_Form_Mobilite'!$Q31="Validé humainement",'07_Form_Mobilite'!P31,"")</x:f>
      </x:c>
      <x:c r="Q31" s="76" t="str">
        <x:f>IF('07_Form_Mobilite'!$Q31="Validé humainement",'07_Form_Mobilite'!Q31,"")</x:f>
      </x:c>
      <x:c r="R31" s="76" t="str">
        <x:f>IF('07_Form_Mobilite'!$Q31="Validé humainement",'07_Form_Mobilite'!R31,"")</x:f>
      </x:c>
      <x:c r="S31" s="78" t="str">
        <x:f>IF('07_Form_Mobilite'!$Q31="Validé humainement",'07_Form_Mobilite'!S31,"")</x:f>
      </x:c>
      <x:c r="T31" s="76" t="str">
        <x:f>IF('07_Form_Mobilite'!$Q31="Validé humainement",'07_Form_Mobilite'!T31,"")</x:f>
      </x:c>
      <x:c r="U31" s="76" t="str">
        <x:f>IF('07_Form_Mobilite'!$Q31="Validé humainement",'07_Form_Mobilite'!U31,"")</x:f>
      </x:c>
      <x:c r="V31" s="76" t="str">
        <x:f>IF('07_Form_Mobilite'!$Q31="Validé humainement",'07_Form_Mobilite'!V31,"")</x:f>
      </x:c>
    </x:row>
    <x:row r="32">
      <x:c r="A32" s="76" t="str">
        <x:f>IF('07_Form_Mobilite'!$Q32="Validé humainement",'07_Form_Mobilite'!A32,"")</x:f>
      </x:c>
      <x:c r="B32" s="76" t="str">
        <x:f>IF('07_Form_Mobilite'!$Q32="Validé humainement",'07_Form_Mobilite'!B32,"")</x:f>
      </x:c>
      <x:c r="C32" s="76" t="str">
        <x:f>IF('07_Form_Mobilite'!$Q32="Validé humainement",'07_Form_Mobilite'!C32,"")</x:f>
      </x:c>
      <x:c r="D32" s="76" t="str">
        <x:f>IF('07_Form_Mobilite'!$Q32="Validé humainement",'07_Form_Mobilite'!D32,"")</x:f>
      </x:c>
      <x:c r="E32" s="76" t="str">
        <x:f>IF('07_Form_Mobilite'!$Q32="Validé humainement",'07_Form_Mobilite'!E32,"")</x:f>
      </x:c>
      <x:c r="F32" s="81" t="str">
        <x:f>IF('07_Form_Mobilite'!$Q32="Validé humainement",'07_Form_Mobilite'!F32,"")</x:f>
      </x:c>
      <x:c r="G32" s="80" t="str">
        <x:f>IF('07_Form_Mobilite'!$Q32="Validé humainement",'07_Form_Mobilite'!G32,"")</x:f>
      </x:c>
      <x:c r="H32" s="81" t="str">
        <x:f>IF('07_Form_Mobilite'!$Q32="Validé humainement",'07_Form_Mobilite'!H32,"")</x:f>
      </x:c>
      <x:c r="I32" s="76" t="str">
        <x:f>IF('07_Form_Mobilite'!$Q32="Validé humainement",'07_Form_Mobilite'!I32,"")</x:f>
      </x:c>
      <x:c r="J32" s="77" t="str">
        <x:f>IF('07_Form_Mobilite'!$Q32="Validé humainement",'07_Form_Mobilite'!J32,"")</x:f>
      </x:c>
      <x:c r="K32" s="76" t="str">
        <x:f>IF('07_Form_Mobilite'!$Q32="Validé humainement",'07_Form_Mobilite'!K32,"")</x:f>
      </x:c>
      <x:c r="L32" s="83" t="str">
        <x:f>IF('07_Form_Mobilite'!$Q32="Validé humainement",'07_Form_Mobilite'!L32,"")</x:f>
      </x:c>
      <x:c r="M32" s="77" t="str">
        <x:f>IF('07_Form_Mobilite'!$Q32="Validé humainement",'07_Form_Mobilite'!M32,"")</x:f>
      </x:c>
      <x:c r="N32" s="76" t="str">
        <x:f>IF('07_Form_Mobilite'!$Q32="Validé humainement",'07_Form_Mobilite'!N32,"")</x:f>
      </x:c>
      <x:c r="O32" s="76" t="str">
        <x:f>IF('07_Form_Mobilite'!$Q32="Validé humainement",'07_Form_Mobilite'!O32,"")</x:f>
      </x:c>
      <x:c r="P32" s="76" t="str">
        <x:f>IF('07_Form_Mobilite'!$Q32="Validé humainement",'07_Form_Mobilite'!P32,"")</x:f>
      </x:c>
      <x:c r="Q32" s="76" t="str">
        <x:f>IF('07_Form_Mobilite'!$Q32="Validé humainement",'07_Form_Mobilite'!Q32,"")</x:f>
      </x:c>
      <x:c r="R32" s="76" t="str">
        <x:f>IF('07_Form_Mobilite'!$Q32="Validé humainement",'07_Form_Mobilite'!R32,"")</x:f>
      </x:c>
      <x:c r="S32" s="78" t="str">
        <x:f>IF('07_Form_Mobilite'!$Q32="Validé humainement",'07_Form_Mobilite'!S32,"")</x:f>
      </x:c>
      <x:c r="T32" s="76" t="str">
        <x:f>IF('07_Form_Mobilite'!$Q32="Validé humainement",'07_Form_Mobilite'!T32,"")</x:f>
      </x:c>
      <x:c r="U32" s="76" t="str">
        <x:f>IF('07_Form_Mobilite'!$Q32="Validé humainement",'07_Form_Mobilite'!U32,"")</x:f>
      </x:c>
      <x:c r="V32" s="76" t="str">
        <x:f>IF('07_Form_Mobilite'!$Q32="Validé humainement",'07_Form_Mobilite'!V32,"")</x:f>
      </x:c>
    </x:row>
    <x:row r="33">
      <x:c r="A33" s="76" t="str">
        <x:f>IF('07_Form_Mobilite'!$Q33="Validé humainement",'07_Form_Mobilite'!A33,"")</x:f>
      </x:c>
      <x:c r="B33" s="76" t="str">
        <x:f>IF('07_Form_Mobilite'!$Q33="Validé humainement",'07_Form_Mobilite'!B33,"")</x:f>
      </x:c>
      <x:c r="C33" s="76" t="str">
        <x:f>IF('07_Form_Mobilite'!$Q33="Validé humainement",'07_Form_Mobilite'!C33,"")</x:f>
      </x:c>
      <x:c r="D33" s="76" t="str">
        <x:f>IF('07_Form_Mobilite'!$Q33="Validé humainement",'07_Form_Mobilite'!D33,"")</x:f>
      </x:c>
      <x:c r="E33" s="76" t="str">
        <x:f>IF('07_Form_Mobilite'!$Q33="Validé humainement",'07_Form_Mobilite'!E33,"")</x:f>
      </x:c>
      <x:c r="F33" s="81" t="str">
        <x:f>IF('07_Form_Mobilite'!$Q33="Validé humainement",'07_Form_Mobilite'!F33,"")</x:f>
      </x:c>
      <x:c r="G33" s="80" t="str">
        <x:f>IF('07_Form_Mobilite'!$Q33="Validé humainement",'07_Form_Mobilite'!G33,"")</x:f>
      </x:c>
      <x:c r="H33" s="81" t="str">
        <x:f>IF('07_Form_Mobilite'!$Q33="Validé humainement",'07_Form_Mobilite'!H33,"")</x:f>
      </x:c>
      <x:c r="I33" s="76" t="str">
        <x:f>IF('07_Form_Mobilite'!$Q33="Validé humainement",'07_Form_Mobilite'!I33,"")</x:f>
      </x:c>
      <x:c r="J33" s="77" t="str">
        <x:f>IF('07_Form_Mobilite'!$Q33="Validé humainement",'07_Form_Mobilite'!J33,"")</x:f>
      </x:c>
      <x:c r="K33" s="76" t="str">
        <x:f>IF('07_Form_Mobilite'!$Q33="Validé humainement",'07_Form_Mobilite'!K33,"")</x:f>
      </x:c>
      <x:c r="L33" s="83" t="str">
        <x:f>IF('07_Form_Mobilite'!$Q33="Validé humainement",'07_Form_Mobilite'!L33,"")</x:f>
      </x:c>
      <x:c r="M33" s="77" t="str">
        <x:f>IF('07_Form_Mobilite'!$Q33="Validé humainement",'07_Form_Mobilite'!M33,"")</x:f>
      </x:c>
      <x:c r="N33" s="76" t="str">
        <x:f>IF('07_Form_Mobilite'!$Q33="Validé humainement",'07_Form_Mobilite'!N33,"")</x:f>
      </x:c>
      <x:c r="O33" s="76" t="str">
        <x:f>IF('07_Form_Mobilite'!$Q33="Validé humainement",'07_Form_Mobilite'!O33,"")</x:f>
      </x:c>
      <x:c r="P33" s="76" t="str">
        <x:f>IF('07_Form_Mobilite'!$Q33="Validé humainement",'07_Form_Mobilite'!P33,"")</x:f>
      </x:c>
      <x:c r="Q33" s="76" t="str">
        <x:f>IF('07_Form_Mobilite'!$Q33="Validé humainement",'07_Form_Mobilite'!Q33,"")</x:f>
      </x:c>
      <x:c r="R33" s="76" t="str">
        <x:f>IF('07_Form_Mobilite'!$Q33="Validé humainement",'07_Form_Mobilite'!R33,"")</x:f>
      </x:c>
      <x:c r="S33" s="78" t="str">
        <x:f>IF('07_Form_Mobilite'!$Q33="Validé humainement",'07_Form_Mobilite'!S33,"")</x:f>
      </x:c>
      <x:c r="T33" s="76" t="str">
        <x:f>IF('07_Form_Mobilite'!$Q33="Validé humainement",'07_Form_Mobilite'!T33,"")</x:f>
      </x:c>
      <x:c r="U33" s="76" t="str">
        <x:f>IF('07_Form_Mobilite'!$Q33="Validé humainement",'07_Form_Mobilite'!U33,"")</x:f>
      </x:c>
      <x:c r="V33" s="76" t="str">
        <x:f>IF('07_Form_Mobilite'!$Q33="Validé humainement",'07_Form_Mobilite'!V33,"")</x:f>
      </x:c>
    </x:row>
    <x:row r="34">
      <x:c r="A34" s="76" t="str">
        <x:f>IF('07_Form_Mobilite'!$Q34="Validé humainement",'07_Form_Mobilite'!A34,"")</x:f>
      </x:c>
      <x:c r="B34" s="76" t="str">
        <x:f>IF('07_Form_Mobilite'!$Q34="Validé humainement",'07_Form_Mobilite'!B34,"")</x:f>
      </x:c>
      <x:c r="C34" s="76" t="str">
        <x:f>IF('07_Form_Mobilite'!$Q34="Validé humainement",'07_Form_Mobilite'!C34,"")</x:f>
      </x:c>
      <x:c r="D34" s="76" t="str">
        <x:f>IF('07_Form_Mobilite'!$Q34="Validé humainement",'07_Form_Mobilite'!D34,"")</x:f>
      </x:c>
      <x:c r="E34" s="76" t="str">
        <x:f>IF('07_Form_Mobilite'!$Q34="Validé humainement",'07_Form_Mobilite'!E34,"")</x:f>
      </x:c>
      <x:c r="F34" s="81" t="str">
        <x:f>IF('07_Form_Mobilite'!$Q34="Validé humainement",'07_Form_Mobilite'!F34,"")</x:f>
      </x:c>
      <x:c r="G34" s="80" t="str">
        <x:f>IF('07_Form_Mobilite'!$Q34="Validé humainement",'07_Form_Mobilite'!G34,"")</x:f>
      </x:c>
      <x:c r="H34" s="81" t="str">
        <x:f>IF('07_Form_Mobilite'!$Q34="Validé humainement",'07_Form_Mobilite'!H34,"")</x:f>
      </x:c>
      <x:c r="I34" s="76" t="str">
        <x:f>IF('07_Form_Mobilite'!$Q34="Validé humainement",'07_Form_Mobilite'!I34,"")</x:f>
      </x:c>
      <x:c r="J34" s="77" t="str">
        <x:f>IF('07_Form_Mobilite'!$Q34="Validé humainement",'07_Form_Mobilite'!J34,"")</x:f>
      </x:c>
      <x:c r="K34" s="76" t="str">
        <x:f>IF('07_Form_Mobilite'!$Q34="Validé humainement",'07_Form_Mobilite'!K34,"")</x:f>
      </x:c>
      <x:c r="L34" s="83" t="str">
        <x:f>IF('07_Form_Mobilite'!$Q34="Validé humainement",'07_Form_Mobilite'!L34,"")</x:f>
      </x:c>
      <x:c r="M34" s="77" t="str">
        <x:f>IF('07_Form_Mobilite'!$Q34="Validé humainement",'07_Form_Mobilite'!M34,"")</x:f>
      </x:c>
      <x:c r="N34" s="76" t="str">
        <x:f>IF('07_Form_Mobilite'!$Q34="Validé humainement",'07_Form_Mobilite'!N34,"")</x:f>
      </x:c>
      <x:c r="O34" s="76" t="str">
        <x:f>IF('07_Form_Mobilite'!$Q34="Validé humainement",'07_Form_Mobilite'!O34,"")</x:f>
      </x:c>
      <x:c r="P34" s="76" t="str">
        <x:f>IF('07_Form_Mobilite'!$Q34="Validé humainement",'07_Form_Mobilite'!P34,"")</x:f>
      </x:c>
      <x:c r="Q34" s="76" t="str">
        <x:f>IF('07_Form_Mobilite'!$Q34="Validé humainement",'07_Form_Mobilite'!Q34,"")</x:f>
      </x:c>
      <x:c r="R34" s="76" t="str">
        <x:f>IF('07_Form_Mobilite'!$Q34="Validé humainement",'07_Form_Mobilite'!R34,"")</x:f>
      </x:c>
      <x:c r="S34" s="78" t="str">
        <x:f>IF('07_Form_Mobilite'!$Q34="Validé humainement",'07_Form_Mobilite'!S34,"")</x:f>
      </x:c>
      <x:c r="T34" s="76" t="str">
        <x:f>IF('07_Form_Mobilite'!$Q34="Validé humainement",'07_Form_Mobilite'!T34,"")</x:f>
      </x:c>
      <x:c r="U34" s="76" t="str">
        <x:f>IF('07_Form_Mobilite'!$Q34="Validé humainement",'07_Form_Mobilite'!U34,"")</x:f>
      </x:c>
      <x:c r="V34" s="76" t="str">
        <x:f>IF('07_Form_Mobilite'!$Q34="Validé humainement",'07_Form_Mobilite'!V34,"")</x:f>
      </x:c>
    </x:row>
    <x:row r="35">
      <x:c r="A35" s="76" t="str">
        <x:f>IF('07_Form_Mobilite'!$Q35="Validé humainement",'07_Form_Mobilite'!A35,"")</x:f>
      </x:c>
      <x:c r="B35" s="76" t="str">
        <x:f>IF('07_Form_Mobilite'!$Q35="Validé humainement",'07_Form_Mobilite'!B35,"")</x:f>
      </x:c>
      <x:c r="C35" s="76" t="str">
        <x:f>IF('07_Form_Mobilite'!$Q35="Validé humainement",'07_Form_Mobilite'!C35,"")</x:f>
      </x:c>
      <x:c r="D35" s="76" t="str">
        <x:f>IF('07_Form_Mobilite'!$Q35="Validé humainement",'07_Form_Mobilite'!D35,"")</x:f>
      </x:c>
      <x:c r="E35" s="76" t="str">
        <x:f>IF('07_Form_Mobilite'!$Q35="Validé humainement",'07_Form_Mobilite'!E35,"")</x:f>
      </x:c>
      <x:c r="F35" s="81" t="str">
        <x:f>IF('07_Form_Mobilite'!$Q35="Validé humainement",'07_Form_Mobilite'!F35,"")</x:f>
      </x:c>
      <x:c r="G35" s="80" t="str">
        <x:f>IF('07_Form_Mobilite'!$Q35="Validé humainement",'07_Form_Mobilite'!G35,"")</x:f>
      </x:c>
      <x:c r="H35" s="81" t="str">
        <x:f>IF('07_Form_Mobilite'!$Q35="Validé humainement",'07_Form_Mobilite'!H35,"")</x:f>
      </x:c>
      <x:c r="I35" s="76" t="str">
        <x:f>IF('07_Form_Mobilite'!$Q35="Validé humainement",'07_Form_Mobilite'!I35,"")</x:f>
      </x:c>
      <x:c r="J35" s="77" t="str">
        <x:f>IF('07_Form_Mobilite'!$Q35="Validé humainement",'07_Form_Mobilite'!J35,"")</x:f>
      </x:c>
      <x:c r="K35" s="76" t="str">
        <x:f>IF('07_Form_Mobilite'!$Q35="Validé humainement",'07_Form_Mobilite'!K35,"")</x:f>
      </x:c>
      <x:c r="L35" s="83" t="str">
        <x:f>IF('07_Form_Mobilite'!$Q35="Validé humainement",'07_Form_Mobilite'!L35,"")</x:f>
      </x:c>
      <x:c r="M35" s="77" t="str">
        <x:f>IF('07_Form_Mobilite'!$Q35="Validé humainement",'07_Form_Mobilite'!M35,"")</x:f>
      </x:c>
      <x:c r="N35" s="76" t="str">
        <x:f>IF('07_Form_Mobilite'!$Q35="Validé humainement",'07_Form_Mobilite'!N35,"")</x:f>
      </x:c>
      <x:c r="O35" s="76" t="str">
        <x:f>IF('07_Form_Mobilite'!$Q35="Validé humainement",'07_Form_Mobilite'!O35,"")</x:f>
      </x:c>
      <x:c r="P35" s="76" t="str">
        <x:f>IF('07_Form_Mobilite'!$Q35="Validé humainement",'07_Form_Mobilite'!P35,"")</x:f>
      </x:c>
      <x:c r="Q35" s="76" t="str">
        <x:f>IF('07_Form_Mobilite'!$Q35="Validé humainement",'07_Form_Mobilite'!Q35,"")</x:f>
      </x:c>
      <x:c r="R35" s="76" t="str">
        <x:f>IF('07_Form_Mobilite'!$Q35="Validé humainement",'07_Form_Mobilite'!R35,"")</x:f>
      </x:c>
      <x:c r="S35" s="78" t="str">
        <x:f>IF('07_Form_Mobilite'!$Q35="Validé humainement",'07_Form_Mobilite'!S35,"")</x:f>
      </x:c>
      <x:c r="T35" s="76" t="str">
        <x:f>IF('07_Form_Mobilite'!$Q35="Validé humainement",'07_Form_Mobilite'!T35,"")</x:f>
      </x:c>
      <x:c r="U35" s="76" t="str">
        <x:f>IF('07_Form_Mobilite'!$Q35="Validé humainement",'07_Form_Mobilite'!U35,"")</x:f>
      </x:c>
      <x:c r="V35" s="76" t="str">
        <x:f>IF('07_Form_Mobilite'!$Q35="Validé humainement",'07_Form_Mobilite'!V35,"")</x:f>
      </x:c>
    </x:row>
    <x:row r="36">
      <x:c r="A36" s="76" t="str">
        <x:f>IF('07_Form_Mobilite'!$Q36="Validé humainement",'07_Form_Mobilite'!A36,"")</x:f>
      </x:c>
      <x:c r="B36" s="76" t="str">
        <x:f>IF('07_Form_Mobilite'!$Q36="Validé humainement",'07_Form_Mobilite'!B36,"")</x:f>
      </x:c>
      <x:c r="C36" s="76" t="str">
        <x:f>IF('07_Form_Mobilite'!$Q36="Validé humainement",'07_Form_Mobilite'!C36,"")</x:f>
      </x:c>
      <x:c r="D36" s="76" t="str">
        <x:f>IF('07_Form_Mobilite'!$Q36="Validé humainement",'07_Form_Mobilite'!D36,"")</x:f>
      </x:c>
      <x:c r="E36" s="76" t="str">
        <x:f>IF('07_Form_Mobilite'!$Q36="Validé humainement",'07_Form_Mobilite'!E36,"")</x:f>
      </x:c>
      <x:c r="F36" s="81" t="str">
        <x:f>IF('07_Form_Mobilite'!$Q36="Validé humainement",'07_Form_Mobilite'!F36,"")</x:f>
      </x:c>
      <x:c r="G36" s="80" t="str">
        <x:f>IF('07_Form_Mobilite'!$Q36="Validé humainement",'07_Form_Mobilite'!G36,"")</x:f>
      </x:c>
      <x:c r="H36" s="81" t="str">
        <x:f>IF('07_Form_Mobilite'!$Q36="Validé humainement",'07_Form_Mobilite'!H36,"")</x:f>
      </x:c>
      <x:c r="I36" s="76" t="str">
        <x:f>IF('07_Form_Mobilite'!$Q36="Validé humainement",'07_Form_Mobilite'!I36,"")</x:f>
      </x:c>
      <x:c r="J36" s="77" t="str">
        <x:f>IF('07_Form_Mobilite'!$Q36="Validé humainement",'07_Form_Mobilite'!J36,"")</x:f>
      </x:c>
      <x:c r="K36" s="76" t="str">
        <x:f>IF('07_Form_Mobilite'!$Q36="Validé humainement",'07_Form_Mobilite'!K36,"")</x:f>
      </x:c>
      <x:c r="L36" s="83" t="str">
        <x:f>IF('07_Form_Mobilite'!$Q36="Validé humainement",'07_Form_Mobilite'!L36,"")</x:f>
      </x:c>
      <x:c r="M36" s="77" t="str">
        <x:f>IF('07_Form_Mobilite'!$Q36="Validé humainement",'07_Form_Mobilite'!M36,"")</x:f>
      </x:c>
      <x:c r="N36" s="76" t="str">
        <x:f>IF('07_Form_Mobilite'!$Q36="Validé humainement",'07_Form_Mobilite'!N36,"")</x:f>
      </x:c>
      <x:c r="O36" s="76" t="str">
        <x:f>IF('07_Form_Mobilite'!$Q36="Validé humainement",'07_Form_Mobilite'!O36,"")</x:f>
      </x:c>
      <x:c r="P36" s="76" t="str">
        <x:f>IF('07_Form_Mobilite'!$Q36="Validé humainement",'07_Form_Mobilite'!P36,"")</x:f>
      </x:c>
      <x:c r="Q36" s="76" t="str">
        <x:f>IF('07_Form_Mobilite'!$Q36="Validé humainement",'07_Form_Mobilite'!Q36,"")</x:f>
      </x:c>
      <x:c r="R36" s="76" t="str">
        <x:f>IF('07_Form_Mobilite'!$Q36="Validé humainement",'07_Form_Mobilite'!R36,"")</x:f>
      </x:c>
      <x:c r="S36" s="78" t="str">
        <x:f>IF('07_Form_Mobilite'!$Q36="Validé humainement",'07_Form_Mobilite'!S36,"")</x:f>
      </x:c>
      <x:c r="T36" s="76" t="str">
        <x:f>IF('07_Form_Mobilite'!$Q36="Validé humainement",'07_Form_Mobilite'!T36,"")</x:f>
      </x:c>
      <x:c r="U36" s="76" t="str">
        <x:f>IF('07_Form_Mobilite'!$Q36="Validé humainement",'07_Form_Mobilite'!U36,"")</x:f>
      </x:c>
      <x:c r="V36" s="76" t="str">
        <x:f>IF('07_Form_Mobilite'!$Q36="Validé humainement",'07_Form_Mobilite'!V36,"")</x:f>
      </x:c>
    </x:row>
    <x:row r="37">
      <x:c r="A37" s="76" t="str">
        <x:f>IF('07_Form_Mobilite'!$Q37="Validé humainement",'07_Form_Mobilite'!A37,"")</x:f>
      </x:c>
      <x:c r="B37" s="76" t="str">
        <x:f>IF('07_Form_Mobilite'!$Q37="Validé humainement",'07_Form_Mobilite'!B37,"")</x:f>
      </x:c>
      <x:c r="C37" s="76" t="str">
        <x:f>IF('07_Form_Mobilite'!$Q37="Validé humainement",'07_Form_Mobilite'!C37,"")</x:f>
      </x:c>
      <x:c r="D37" s="76" t="str">
        <x:f>IF('07_Form_Mobilite'!$Q37="Validé humainement",'07_Form_Mobilite'!D37,"")</x:f>
      </x:c>
      <x:c r="E37" s="76" t="str">
        <x:f>IF('07_Form_Mobilite'!$Q37="Validé humainement",'07_Form_Mobilite'!E37,"")</x:f>
      </x:c>
      <x:c r="F37" s="81" t="str">
        <x:f>IF('07_Form_Mobilite'!$Q37="Validé humainement",'07_Form_Mobilite'!F37,"")</x:f>
      </x:c>
      <x:c r="G37" s="80" t="str">
        <x:f>IF('07_Form_Mobilite'!$Q37="Validé humainement",'07_Form_Mobilite'!G37,"")</x:f>
      </x:c>
      <x:c r="H37" s="81" t="str">
        <x:f>IF('07_Form_Mobilite'!$Q37="Validé humainement",'07_Form_Mobilite'!H37,"")</x:f>
      </x:c>
      <x:c r="I37" s="76" t="str">
        <x:f>IF('07_Form_Mobilite'!$Q37="Validé humainement",'07_Form_Mobilite'!I37,"")</x:f>
      </x:c>
      <x:c r="J37" s="77" t="str">
        <x:f>IF('07_Form_Mobilite'!$Q37="Validé humainement",'07_Form_Mobilite'!J37,"")</x:f>
      </x:c>
      <x:c r="K37" s="76" t="str">
        <x:f>IF('07_Form_Mobilite'!$Q37="Validé humainement",'07_Form_Mobilite'!K37,"")</x:f>
      </x:c>
      <x:c r="L37" s="83" t="str">
        <x:f>IF('07_Form_Mobilite'!$Q37="Validé humainement",'07_Form_Mobilite'!L37,"")</x:f>
      </x:c>
      <x:c r="M37" s="77" t="str">
        <x:f>IF('07_Form_Mobilite'!$Q37="Validé humainement",'07_Form_Mobilite'!M37,"")</x:f>
      </x:c>
      <x:c r="N37" s="76" t="str">
        <x:f>IF('07_Form_Mobilite'!$Q37="Validé humainement",'07_Form_Mobilite'!N37,"")</x:f>
      </x:c>
      <x:c r="O37" s="76" t="str">
        <x:f>IF('07_Form_Mobilite'!$Q37="Validé humainement",'07_Form_Mobilite'!O37,"")</x:f>
      </x:c>
      <x:c r="P37" s="76" t="str">
        <x:f>IF('07_Form_Mobilite'!$Q37="Validé humainement",'07_Form_Mobilite'!P37,"")</x:f>
      </x:c>
      <x:c r="Q37" s="76" t="str">
        <x:f>IF('07_Form_Mobilite'!$Q37="Validé humainement",'07_Form_Mobilite'!Q37,"")</x:f>
      </x:c>
      <x:c r="R37" s="76" t="str">
        <x:f>IF('07_Form_Mobilite'!$Q37="Validé humainement",'07_Form_Mobilite'!R37,"")</x:f>
      </x:c>
      <x:c r="S37" s="78" t="str">
        <x:f>IF('07_Form_Mobilite'!$Q37="Validé humainement",'07_Form_Mobilite'!S37,"")</x:f>
      </x:c>
      <x:c r="T37" s="76" t="str">
        <x:f>IF('07_Form_Mobilite'!$Q37="Validé humainement",'07_Form_Mobilite'!T37,"")</x:f>
      </x:c>
      <x:c r="U37" s="76" t="str">
        <x:f>IF('07_Form_Mobilite'!$Q37="Validé humainement",'07_Form_Mobilite'!U37,"")</x:f>
      </x:c>
      <x:c r="V37" s="76" t="str">
        <x:f>IF('07_Form_Mobilite'!$Q37="Validé humainement",'07_Form_Mobilite'!V37,"")</x:f>
      </x:c>
    </x:row>
    <x:row r="38">
      <x:c r="A38" s="76" t="str">
        <x:f>IF('07_Form_Mobilite'!$Q38="Validé humainement",'07_Form_Mobilite'!A38,"")</x:f>
      </x:c>
      <x:c r="B38" s="76" t="str">
        <x:f>IF('07_Form_Mobilite'!$Q38="Validé humainement",'07_Form_Mobilite'!B38,"")</x:f>
      </x:c>
      <x:c r="C38" s="76" t="str">
        <x:f>IF('07_Form_Mobilite'!$Q38="Validé humainement",'07_Form_Mobilite'!C38,"")</x:f>
      </x:c>
      <x:c r="D38" s="76" t="str">
        <x:f>IF('07_Form_Mobilite'!$Q38="Validé humainement",'07_Form_Mobilite'!D38,"")</x:f>
      </x:c>
      <x:c r="E38" s="76" t="str">
        <x:f>IF('07_Form_Mobilite'!$Q38="Validé humainement",'07_Form_Mobilite'!E38,"")</x:f>
      </x:c>
      <x:c r="F38" s="81" t="str">
        <x:f>IF('07_Form_Mobilite'!$Q38="Validé humainement",'07_Form_Mobilite'!F38,"")</x:f>
      </x:c>
      <x:c r="G38" s="80" t="str">
        <x:f>IF('07_Form_Mobilite'!$Q38="Validé humainement",'07_Form_Mobilite'!G38,"")</x:f>
      </x:c>
      <x:c r="H38" s="81" t="str">
        <x:f>IF('07_Form_Mobilite'!$Q38="Validé humainement",'07_Form_Mobilite'!H38,"")</x:f>
      </x:c>
      <x:c r="I38" s="76" t="str">
        <x:f>IF('07_Form_Mobilite'!$Q38="Validé humainement",'07_Form_Mobilite'!I38,"")</x:f>
      </x:c>
      <x:c r="J38" s="77" t="str">
        <x:f>IF('07_Form_Mobilite'!$Q38="Validé humainement",'07_Form_Mobilite'!J38,"")</x:f>
      </x:c>
      <x:c r="K38" s="76" t="str">
        <x:f>IF('07_Form_Mobilite'!$Q38="Validé humainement",'07_Form_Mobilite'!K38,"")</x:f>
      </x:c>
      <x:c r="L38" s="83" t="str">
        <x:f>IF('07_Form_Mobilite'!$Q38="Validé humainement",'07_Form_Mobilite'!L38,"")</x:f>
      </x:c>
      <x:c r="M38" s="77" t="str">
        <x:f>IF('07_Form_Mobilite'!$Q38="Validé humainement",'07_Form_Mobilite'!M38,"")</x:f>
      </x:c>
      <x:c r="N38" s="76" t="str">
        <x:f>IF('07_Form_Mobilite'!$Q38="Validé humainement",'07_Form_Mobilite'!N38,"")</x:f>
      </x:c>
      <x:c r="O38" s="76" t="str">
        <x:f>IF('07_Form_Mobilite'!$Q38="Validé humainement",'07_Form_Mobilite'!O38,"")</x:f>
      </x:c>
      <x:c r="P38" s="76" t="str">
        <x:f>IF('07_Form_Mobilite'!$Q38="Validé humainement",'07_Form_Mobilite'!P38,"")</x:f>
      </x:c>
      <x:c r="Q38" s="76" t="str">
        <x:f>IF('07_Form_Mobilite'!$Q38="Validé humainement",'07_Form_Mobilite'!Q38,"")</x:f>
      </x:c>
      <x:c r="R38" s="76" t="str">
        <x:f>IF('07_Form_Mobilite'!$Q38="Validé humainement",'07_Form_Mobilite'!R38,"")</x:f>
      </x:c>
      <x:c r="S38" s="78" t="str">
        <x:f>IF('07_Form_Mobilite'!$Q38="Validé humainement",'07_Form_Mobilite'!S38,"")</x:f>
      </x:c>
      <x:c r="T38" s="76" t="str">
        <x:f>IF('07_Form_Mobilite'!$Q38="Validé humainement",'07_Form_Mobilite'!T38,"")</x:f>
      </x:c>
      <x:c r="U38" s="76" t="str">
        <x:f>IF('07_Form_Mobilite'!$Q38="Validé humainement",'07_Form_Mobilite'!U38,"")</x:f>
      </x:c>
      <x:c r="V38" s="76" t="str">
        <x:f>IF('07_Form_Mobilite'!$Q38="Validé humainement",'07_Form_Mobilite'!V38,"")</x:f>
      </x:c>
    </x:row>
    <x:row r="39">
      <x:c r="A39" s="76" t="str">
        <x:f>IF('07_Form_Mobilite'!$Q39="Validé humainement",'07_Form_Mobilite'!A39,"")</x:f>
      </x:c>
      <x:c r="B39" s="76" t="str">
        <x:f>IF('07_Form_Mobilite'!$Q39="Validé humainement",'07_Form_Mobilite'!B39,"")</x:f>
      </x:c>
      <x:c r="C39" s="76" t="str">
        <x:f>IF('07_Form_Mobilite'!$Q39="Validé humainement",'07_Form_Mobilite'!C39,"")</x:f>
      </x:c>
      <x:c r="D39" s="76" t="str">
        <x:f>IF('07_Form_Mobilite'!$Q39="Validé humainement",'07_Form_Mobilite'!D39,"")</x:f>
      </x:c>
      <x:c r="E39" s="76" t="str">
        <x:f>IF('07_Form_Mobilite'!$Q39="Validé humainement",'07_Form_Mobilite'!E39,"")</x:f>
      </x:c>
      <x:c r="F39" s="81" t="str">
        <x:f>IF('07_Form_Mobilite'!$Q39="Validé humainement",'07_Form_Mobilite'!F39,"")</x:f>
      </x:c>
      <x:c r="G39" s="80" t="str">
        <x:f>IF('07_Form_Mobilite'!$Q39="Validé humainement",'07_Form_Mobilite'!G39,"")</x:f>
      </x:c>
      <x:c r="H39" s="81" t="str">
        <x:f>IF('07_Form_Mobilite'!$Q39="Validé humainement",'07_Form_Mobilite'!H39,"")</x:f>
      </x:c>
      <x:c r="I39" s="76" t="str">
        <x:f>IF('07_Form_Mobilite'!$Q39="Validé humainement",'07_Form_Mobilite'!I39,"")</x:f>
      </x:c>
      <x:c r="J39" s="77" t="str">
        <x:f>IF('07_Form_Mobilite'!$Q39="Validé humainement",'07_Form_Mobilite'!J39,"")</x:f>
      </x:c>
      <x:c r="K39" s="76" t="str">
        <x:f>IF('07_Form_Mobilite'!$Q39="Validé humainement",'07_Form_Mobilite'!K39,"")</x:f>
      </x:c>
      <x:c r="L39" s="83" t="str">
        <x:f>IF('07_Form_Mobilite'!$Q39="Validé humainement",'07_Form_Mobilite'!L39,"")</x:f>
      </x:c>
      <x:c r="M39" s="77" t="str">
        <x:f>IF('07_Form_Mobilite'!$Q39="Validé humainement",'07_Form_Mobilite'!M39,"")</x:f>
      </x:c>
      <x:c r="N39" s="76" t="str">
        <x:f>IF('07_Form_Mobilite'!$Q39="Validé humainement",'07_Form_Mobilite'!N39,"")</x:f>
      </x:c>
      <x:c r="O39" s="76" t="str">
        <x:f>IF('07_Form_Mobilite'!$Q39="Validé humainement",'07_Form_Mobilite'!O39,"")</x:f>
      </x:c>
      <x:c r="P39" s="76" t="str">
        <x:f>IF('07_Form_Mobilite'!$Q39="Validé humainement",'07_Form_Mobilite'!P39,"")</x:f>
      </x:c>
      <x:c r="Q39" s="76" t="str">
        <x:f>IF('07_Form_Mobilite'!$Q39="Validé humainement",'07_Form_Mobilite'!Q39,"")</x:f>
      </x:c>
      <x:c r="R39" s="76" t="str">
        <x:f>IF('07_Form_Mobilite'!$Q39="Validé humainement",'07_Form_Mobilite'!R39,"")</x:f>
      </x:c>
      <x:c r="S39" s="78" t="str">
        <x:f>IF('07_Form_Mobilite'!$Q39="Validé humainement",'07_Form_Mobilite'!S39,"")</x:f>
      </x:c>
      <x:c r="T39" s="76" t="str">
        <x:f>IF('07_Form_Mobilite'!$Q39="Validé humainement",'07_Form_Mobilite'!T39,"")</x:f>
      </x:c>
      <x:c r="U39" s="76" t="str">
        <x:f>IF('07_Form_Mobilite'!$Q39="Validé humainement",'07_Form_Mobilite'!U39,"")</x:f>
      </x:c>
      <x:c r="V39" s="76" t="str">
        <x:f>IF('07_Form_Mobilite'!$Q39="Validé humainement",'07_Form_Mobilite'!V39,"")</x:f>
      </x:c>
    </x:row>
    <x:row r="40">
      <x:c r="A40" s="76" t="str">
        <x:f>IF('07_Form_Mobilite'!$Q40="Validé humainement",'07_Form_Mobilite'!A40,"")</x:f>
      </x:c>
      <x:c r="B40" s="76" t="str">
        <x:f>IF('07_Form_Mobilite'!$Q40="Validé humainement",'07_Form_Mobilite'!B40,"")</x:f>
      </x:c>
      <x:c r="C40" s="76" t="str">
        <x:f>IF('07_Form_Mobilite'!$Q40="Validé humainement",'07_Form_Mobilite'!C40,"")</x:f>
      </x:c>
      <x:c r="D40" s="76" t="str">
        <x:f>IF('07_Form_Mobilite'!$Q40="Validé humainement",'07_Form_Mobilite'!D40,"")</x:f>
      </x:c>
      <x:c r="E40" s="76" t="str">
        <x:f>IF('07_Form_Mobilite'!$Q40="Validé humainement",'07_Form_Mobilite'!E40,"")</x:f>
      </x:c>
      <x:c r="F40" s="81" t="str">
        <x:f>IF('07_Form_Mobilite'!$Q40="Validé humainement",'07_Form_Mobilite'!F40,"")</x:f>
      </x:c>
      <x:c r="G40" s="80" t="str">
        <x:f>IF('07_Form_Mobilite'!$Q40="Validé humainement",'07_Form_Mobilite'!G40,"")</x:f>
      </x:c>
      <x:c r="H40" s="81" t="str">
        <x:f>IF('07_Form_Mobilite'!$Q40="Validé humainement",'07_Form_Mobilite'!H40,"")</x:f>
      </x:c>
      <x:c r="I40" s="76" t="str">
        <x:f>IF('07_Form_Mobilite'!$Q40="Validé humainement",'07_Form_Mobilite'!I40,"")</x:f>
      </x:c>
      <x:c r="J40" s="77" t="str">
        <x:f>IF('07_Form_Mobilite'!$Q40="Validé humainement",'07_Form_Mobilite'!J40,"")</x:f>
      </x:c>
      <x:c r="K40" s="76" t="str">
        <x:f>IF('07_Form_Mobilite'!$Q40="Validé humainement",'07_Form_Mobilite'!K40,"")</x:f>
      </x:c>
      <x:c r="L40" s="83" t="str">
        <x:f>IF('07_Form_Mobilite'!$Q40="Validé humainement",'07_Form_Mobilite'!L40,"")</x:f>
      </x:c>
      <x:c r="M40" s="77" t="str">
        <x:f>IF('07_Form_Mobilite'!$Q40="Validé humainement",'07_Form_Mobilite'!M40,"")</x:f>
      </x:c>
      <x:c r="N40" s="76" t="str">
        <x:f>IF('07_Form_Mobilite'!$Q40="Validé humainement",'07_Form_Mobilite'!N40,"")</x:f>
      </x:c>
      <x:c r="O40" s="76" t="str">
        <x:f>IF('07_Form_Mobilite'!$Q40="Validé humainement",'07_Form_Mobilite'!O40,"")</x:f>
      </x:c>
      <x:c r="P40" s="76" t="str">
        <x:f>IF('07_Form_Mobilite'!$Q40="Validé humainement",'07_Form_Mobilite'!P40,"")</x:f>
      </x:c>
      <x:c r="Q40" s="76" t="str">
        <x:f>IF('07_Form_Mobilite'!$Q40="Validé humainement",'07_Form_Mobilite'!Q40,"")</x:f>
      </x:c>
      <x:c r="R40" s="76" t="str">
        <x:f>IF('07_Form_Mobilite'!$Q40="Validé humainement",'07_Form_Mobilite'!R40,"")</x:f>
      </x:c>
      <x:c r="S40" s="78" t="str">
        <x:f>IF('07_Form_Mobilite'!$Q40="Validé humainement",'07_Form_Mobilite'!S40,"")</x:f>
      </x:c>
      <x:c r="T40" s="76" t="str">
        <x:f>IF('07_Form_Mobilite'!$Q40="Validé humainement",'07_Form_Mobilite'!T40,"")</x:f>
      </x:c>
      <x:c r="U40" s="76" t="str">
        <x:f>IF('07_Form_Mobilite'!$Q40="Validé humainement",'07_Form_Mobilite'!U40,"")</x:f>
      </x:c>
      <x:c r="V40" s="76" t="str">
        <x:f>IF('07_Form_Mobilite'!$Q40="Validé humainement",'07_Form_Mobilite'!V40,"")</x:f>
      </x:c>
    </x:row>
    <x:row r="41">
      <x:c r="A41" s="76" t="str">
        <x:f>IF('07_Form_Mobilite'!$Q41="Validé humainement",'07_Form_Mobilite'!A41,"")</x:f>
      </x:c>
      <x:c r="B41" s="76" t="str">
        <x:f>IF('07_Form_Mobilite'!$Q41="Validé humainement",'07_Form_Mobilite'!B41,"")</x:f>
      </x:c>
      <x:c r="C41" s="76" t="str">
        <x:f>IF('07_Form_Mobilite'!$Q41="Validé humainement",'07_Form_Mobilite'!C41,"")</x:f>
      </x:c>
      <x:c r="D41" s="76" t="str">
        <x:f>IF('07_Form_Mobilite'!$Q41="Validé humainement",'07_Form_Mobilite'!D41,"")</x:f>
      </x:c>
      <x:c r="E41" s="76" t="str">
        <x:f>IF('07_Form_Mobilite'!$Q41="Validé humainement",'07_Form_Mobilite'!E41,"")</x:f>
      </x:c>
      <x:c r="F41" s="81" t="str">
        <x:f>IF('07_Form_Mobilite'!$Q41="Validé humainement",'07_Form_Mobilite'!F41,"")</x:f>
      </x:c>
      <x:c r="G41" s="80" t="str">
        <x:f>IF('07_Form_Mobilite'!$Q41="Validé humainement",'07_Form_Mobilite'!G41,"")</x:f>
      </x:c>
      <x:c r="H41" s="81" t="str">
        <x:f>IF('07_Form_Mobilite'!$Q41="Validé humainement",'07_Form_Mobilite'!H41,"")</x:f>
      </x:c>
      <x:c r="I41" s="76" t="str">
        <x:f>IF('07_Form_Mobilite'!$Q41="Validé humainement",'07_Form_Mobilite'!I41,"")</x:f>
      </x:c>
      <x:c r="J41" s="77" t="str">
        <x:f>IF('07_Form_Mobilite'!$Q41="Validé humainement",'07_Form_Mobilite'!J41,"")</x:f>
      </x:c>
      <x:c r="K41" s="76" t="str">
        <x:f>IF('07_Form_Mobilite'!$Q41="Validé humainement",'07_Form_Mobilite'!K41,"")</x:f>
      </x:c>
      <x:c r="L41" s="83" t="str">
        <x:f>IF('07_Form_Mobilite'!$Q41="Validé humainement",'07_Form_Mobilite'!L41,"")</x:f>
      </x:c>
      <x:c r="M41" s="77" t="str">
        <x:f>IF('07_Form_Mobilite'!$Q41="Validé humainement",'07_Form_Mobilite'!M41,"")</x:f>
      </x:c>
      <x:c r="N41" s="76" t="str">
        <x:f>IF('07_Form_Mobilite'!$Q41="Validé humainement",'07_Form_Mobilite'!N41,"")</x:f>
      </x:c>
      <x:c r="O41" s="76" t="str">
        <x:f>IF('07_Form_Mobilite'!$Q41="Validé humainement",'07_Form_Mobilite'!O41,"")</x:f>
      </x:c>
      <x:c r="P41" s="76" t="str">
        <x:f>IF('07_Form_Mobilite'!$Q41="Validé humainement",'07_Form_Mobilite'!P41,"")</x:f>
      </x:c>
      <x:c r="Q41" s="76" t="str">
        <x:f>IF('07_Form_Mobilite'!$Q41="Validé humainement",'07_Form_Mobilite'!Q41,"")</x:f>
      </x:c>
      <x:c r="R41" s="76" t="str">
        <x:f>IF('07_Form_Mobilite'!$Q41="Validé humainement",'07_Form_Mobilite'!R41,"")</x:f>
      </x:c>
      <x:c r="S41" s="78" t="str">
        <x:f>IF('07_Form_Mobilite'!$Q41="Validé humainement",'07_Form_Mobilite'!S41,"")</x:f>
      </x:c>
      <x:c r="T41" s="76" t="str">
        <x:f>IF('07_Form_Mobilite'!$Q41="Validé humainement",'07_Form_Mobilite'!T41,"")</x:f>
      </x:c>
      <x:c r="U41" s="76" t="str">
        <x:f>IF('07_Form_Mobilite'!$Q41="Validé humainement",'07_Form_Mobilite'!U41,"")</x:f>
      </x:c>
      <x:c r="V41" s="76" t="str">
        <x:f>IF('07_Form_Mobilite'!$Q41="Validé humainement",'07_Form_Mobilite'!V41,"")</x:f>
      </x:c>
    </x:row>
    <x:row r="42">
      <x:c r="A42" s="76" t="str">
        <x:f>IF('07_Form_Mobilite'!$Q42="Validé humainement",'07_Form_Mobilite'!A42,"")</x:f>
      </x:c>
      <x:c r="B42" s="76" t="str">
        <x:f>IF('07_Form_Mobilite'!$Q42="Validé humainement",'07_Form_Mobilite'!B42,"")</x:f>
      </x:c>
      <x:c r="C42" s="76" t="str">
        <x:f>IF('07_Form_Mobilite'!$Q42="Validé humainement",'07_Form_Mobilite'!C42,"")</x:f>
      </x:c>
      <x:c r="D42" s="76" t="str">
        <x:f>IF('07_Form_Mobilite'!$Q42="Validé humainement",'07_Form_Mobilite'!D42,"")</x:f>
      </x:c>
      <x:c r="E42" s="76" t="str">
        <x:f>IF('07_Form_Mobilite'!$Q42="Validé humainement",'07_Form_Mobilite'!E42,"")</x:f>
      </x:c>
      <x:c r="F42" s="81" t="str">
        <x:f>IF('07_Form_Mobilite'!$Q42="Validé humainement",'07_Form_Mobilite'!F42,"")</x:f>
      </x:c>
      <x:c r="G42" s="80" t="str">
        <x:f>IF('07_Form_Mobilite'!$Q42="Validé humainement",'07_Form_Mobilite'!G42,"")</x:f>
      </x:c>
      <x:c r="H42" s="81" t="str">
        <x:f>IF('07_Form_Mobilite'!$Q42="Validé humainement",'07_Form_Mobilite'!H42,"")</x:f>
      </x:c>
      <x:c r="I42" s="76" t="str">
        <x:f>IF('07_Form_Mobilite'!$Q42="Validé humainement",'07_Form_Mobilite'!I42,"")</x:f>
      </x:c>
      <x:c r="J42" s="77" t="str">
        <x:f>IF('07_Form_Mobilite'!$Q42="Validé humainement",'07_Form_Mobilite'!J42,"")</x:f>
      </x:c>
      <x:c r="K42" s="76" t="str">
        <x:f>IF('07_Form_Mobilite'!$Q42="Validé humainement",'07_Form_Mobilite'!K42,"")</x:f>
      </x:c>
      <x:c r="L42" s="83" t="str">
        <x:f>IF('07_Form_Mobilite'!$Q42="Validé humainement",'07_Form_Mobilite'!L42,"")</x:f>
      </x:c>
      <x:c r="M42" s="77" t="str">
        <x:f>IF('07_Form_Mobilite'!$Q42="Validé humainement",'07_Form_Mobilite'!M42,"")</x:f>
      </x:c>
      <x:c r="N42" s="76" t="str">
        <x:f>IF('07_Form_Mobilite'!$Q42="Validé humainement",'07_Form_Mobilite'!N42,"")</x:f>
      </x:c>
      <x:c r="O42" s="76" t="str">
        <x:f>IF('07_Form_Mobilite'!$Q42="Validé humainement",'07_Form_Mobilite'!O42,"")</x:f>
      </x:c>
      <x:c r="P42" s="76" t="str">
        <x:f>IF('07_Form_Mobilite'!$Q42="Validé humainement",'07_Form_Mobilite'!P42,"")</x:f>
      </x:c>
      <x:c r="Q42" s="76" t="str">
        <x:f>IF('07_Form_Mobilite'!$Q42="Validé humainement",'07_Form_Mobilite'!Q42,"")</x:f>
      </x:c>
      <x:c r="R42" s="76" t="str">
        <x:f>IF('07_Form_Mobilite'!$Q42="Validé humainement",'07_Form_Mobilite'!R42,"")</x:f>
      </x:c>
      <x:c r="S42" s="78" t="str">
        <x:f>IF('07_Form_Mobilite'!$Q42="Validé humainement",'07_Form_Mobilite'!S42,"")</x:f>
      </x:c>
      <x:c r="T42" s="76" t="str">
        <x:f>IF('07_Form_Mobilite'!$Q42="Validé humainement",'07_Form_Mobilite'!T42,"")</x:f>
      </x:c>
      <x:c r="U42" s="76" t="str">
        <x:f>IF('07_Form_Mobilite'!$Q42="Validé humainement",'07_Form_Mobilite'!U42,"")</x:f>
      </x:c>
      <x:c r="V42" s="76" t="str">
        <x:f>IF('07_Form_Mobilite'!$Q42="Validé humainement",'07_Form_Mobilite'!V42,"")</x:f>
      </x:c>
    </x:row>
    <x:row r="43">
      <x:c r="A43" s="76" t="str">
        <x:f>IF('07_Form_Mobilite'!$Q43="Validé humainement",'07_Form_Mobilite'!A43,"")</x:f>
      </x:c>
      <x:c r="B43" s="76" t="str">
        <x:f>IF('07_Form_Mobilite'!$Q43="Validé humainement",'07_Form_Mobilite'!B43,"")</x:f>
      </x:c>
      <x:c r="C43" s="76" t="str">
        <x:f>IF('07_Form_Mobilite'!$Q43="Validé humainement",'07_Form_Mobilite'!C43,"")</x:f>
      </x:c>
      <x:c r="D43" s="76" t="str">
        <x:f>IF('07_Form_Mobilite'!$Q43="Validé humainement",'07_Form_Mobilite'!D43,"")</x:f>
      </x:c>
      <x:c r="E43" s="76" t="str">
        <x:f>IF('07_Form_Mobilite'!$Q43="Validé humainement",'07_Form_Mobilite'!E43,"")</x:f>
      </x:c>
      <x:c r="F43" s="81" t="str">
        <x:f>IF('07_Form_Mobilite'!$Q43="Validé humainement",'07_Form_Mobilite'!F43,"")</x:f>
      </x:c>
      <x:c r="G43" s="80" t="str">
        <x:f>IF('07_Form_Mobilite'!$Q43="Validé humainement",'07_Form_Mobilite'!G43,"")</x:f>
      </x:c>
      <x:c r="H43" s="81" t="str">
        <x:f>IF('07_Form_Mobilite'!$Q43="Validé humainement",'07_Form_Mobilite'!H43,"")</x:f>
      </x:c>
      <x:c r="I43" s="76" t="str">
        <x:f>IF('07_Form_Mobilite'!$Q43="Validé humainement",'07_Form_Mobilite'!I43,"")</x:f>
      </x:c>
      <x:c r="J43" s="77" t="str">
        <x:f>IF('07_Form_Mobilite'!$Q43="Validé humainement",'07_Form_Mobilite'!J43,"")</x:f>
      </x:c>
      <x:c r="K43" s="76" t="str">
        <x:f>IF('07_Form_Mobilite'!$Q43="Validé humainement",'07_Form_Mobilite'!K43,"")</x:f>
      </x:c>
      <x:c r="L43" s="83" t="str">
        <x:f>IF('07_Form_Mobilite'!$Q43="Validé humainement",'07_Form_Mobilite'!L43,"")</x:f>
      </x:c>
      <x:c r="M43" s="77" t="str">
        <x:f>IF('07_Form_Mobilite'!$Q43="Validé humainement",'07_Form_Mobilite'!M43,"")</x:f>
      </x:c>
      <x:c r="N43" s="76" t="str">
        <x:f>IF('07_Form_Mobilite'!$Q43="Validé humainement",'07_Form_Mobilite'!N43,"")</x:f>
      </x:c>
      <x:c r="O43" s="76" t="str">
        <x:f>IF('07_Form_Mobilite'!$Q43="Validé humainement",'07_Form_Mobilite'!O43,"")</x:f>
      </x:c>
      <x:c r="P43" s="76" t="str">
        <x:f>IF('07_Form_Mobilite'!$Q43="Validé humainement",'07_Form_Mobilite'!P43,"")</x:f>
      </x:c>
      <x:c r="Q43" s="76" t="str">
        <x:f>IF('07_Form_Mobilite'!$Q43="Validé humainement",'07_Form_Mobilite'!Q43,"")</x:f>
      </x:c>
      <x:c r="R43" s="76" t="str">
        <x:f>IF('07_Form_Mobilite'!$Q43="Validé humainement",'07_Form_Mobilite'!R43,"")</x:f>
      </x:c>
      <x:c r="S43" s="78" t="str">
        <x:f>IF('07_Form_Mobilite'!$Q43="Validé humainement",'07_Form_Mobilite'!S43,"")</x:f>
      </x:c>
      <x:c r="T43" s="76" t="str">
        <x:f>IF('07_Form_Mobilite'!$Q43="Validé humainement",'07_Form_Mobilite'!T43,"")</x:f>
      </x:c>
      <x:c r="U43" s="76" t="str">
        <x:f>IF('07_Form_Mobilite'!$Q43="Validé humainement",'07_Form_Mobilite'!U43,"")</x:f>
      </x:c>
      <x:c r="V43" s="76" t="str">
        <x:f>IF('07_Form_Mobilite'!$Q43="Validé humainement",'07_Form_Mobilite'!V43,"")</x:f>
      </x:c>
    </x:row>
    <x:row r="44">
      <x:c r="A44" s="76" t="str">
        <x:f>IF('07_Form_Mobilite'!$Q44="Validé humainement",'07_Form_Mobilite'!A44,"")</x:f>
      </x:c>
      <x:c r="B44" s="76" t="str">
        <x:f>IF('07_Form_Mobilite'!$Q44="Validé humainement",'07_Form_Mobilite'!B44,"")</x:f>
      </x:c>
      <x:c r="C44" s="76" t="str">
        <x:f>IF('07_Form_Mobilite'!$Q44="Validé humainement",'07_Form_Mobilite'!C44,"")</x:f>
      </x:c>
      <x:c r="D44" s="76" t="str">
        <x:f>IF('07_Form_Mobilite'!$Q44="Validé humainement",'07_Form_Mobilite'!D44,"")</x:f>
      </x:c>
      <x:c r="E44" s="76" t="str">
        <x:f>IF('07_Form_Mobilite'!$Q44="Validé humainement",'07_Form_Mobilite'!E44,"")</x:f>
      </x:c>
      <x:c r="F44" s="81" t="str">
        <x:f>IF('07_Form_Mobilite'!$Q44="Validé humainement",'07_Form_Mobilite'!F44,"")</x:f>
      </x:c>
      <x:c r="G44" s="80" t="str">
        <x:f>IF('07_Form_Mobilite'!$Q44="Validé humainement",'07_Form_Mobilite'!G44,"")</x:f>
      </x:c>
      <x:c r="H44" s="81" t="str">
        <x:f>IF('07_Form_Mobilite'!$Q44="Validé humainement",'07_Form_Mobilite'!H44,"")</x:f>
      </x:c>
      <x:c r="I44" s="76" t="str">
        <x:f>IF('07_Form_Mobilite'!$Q44="Validé humainement",'07_Form_Mobilite'!I44,"")</x:f>
      </x:c>
      <x:c r="J44" s="77" t="str">
        <x:f>IF('07_Form_Mobilite'!$Q44="Validé humainement",'07_Form_Mobilite'!J44,"")</x:f>
      </x:c>
      <x:c r="K44" s="76" t="str">
        <x:f>IF('07_Form_Mobilite'!$Q44="Validé humainement",'07_Form_Mobilite'!K44,"")</x:f>
      </x:c>
      <x:c r="L44" s="83" t="str">
        <x:f>IF('07_Form_Mobilite'!$Q44="Validé humainement",'07_Form_Mobilite'!L44,"")</x:f>
      </x:c>
      <x:c r="M44" s="77" t="str">
        <x:f>IF('07_Form_Mobilite'!$Q44="Validé humainement",'07_Form_Mobilite'!M44,"")</x:f>
      </x:c>
      <x:c r="N44" s="76" t="str">
        <x:f>IF('07_Form_Mobilite'!$Q44="Validé humainement",'07_Form_Mobilite'!N44,"")</x:f>
      </x:c>
      <x:c r="O44" s="76" t="str">
        <x:f>IF('07_Form_Mobilite'!$Q44="Validé humainement",'07_Form_Mobilite'!O44,"")</x:f>
      </x:c>
      <x:c r="P44" s="76" t="str">
        <x:f>IF('07_Form_Mobilite'!$Q44="Validé humainement",'07_Form_Mobilite'!P44,"")</x:f>
      </x:c>
      <x:c r="Q44" s="76" t="str">
        <x:f>IF('07_Form_Mobilite'!$Q44="Validé humainement",'07_Form_Mobilite'!Q44,"")</x:f>
      </x:c>
      <x:c r="R44" s="76" t="str">
        <x:f>IF('07_Form_Mobilite'!$Q44="Validé humainement",'07_Form_Mobilite'!R44,"")</x:f>
      </x:c>
      <x:c r="S44" s="78" t="str">
        <x:f>IF('07_Form_Mobilite'!$Q44="Validé humainement",'07_Form_Mobilite'!S44,"")</x:f>
      </x:c>
      <x:c r="T44" s="76" t="str">
        <x:f>IF('07_Form_Mobilite'!$Q44="Validé humainement",'07_Form_Mobilite'!T44,"")</x:f>
      </x:c>
      <x:c r="U44" s="76" t="str">
        <x:f>IF('07_Form_Mobilite'!$Q44="Validé humainement",'07_Form_Mobilite'!U44,"")</x:f>
      </x:c>
      <x:c r="V44" s="76" t="str">
        <x:f>IF('07_Form_Mobilite'!$Q44="Validé humainement",'07_Form_Mobilite'!V44,"")</x:f>
      </x:c>
    </x:row>
    <x:row r="45">
      <x:c r="A45" s="76" t="str">
        <x:f>IF('07_Form_Mobilite'!$Q45="Validé humainement",'07_Form_Mobilite'!A45,"")</x:f>
      </x:c>
      <x:c r="B45" s="76" t="str">
        <x:f>IF('07_Form_Mobilite'!$Q45="Validé humainement",'07_Form_Mobilite'!B45,"")</x:f>
      </x:c>
      <x:c r="C45" s="76" t="str">
        <x:f>IF('07_Form_Mobilite'!$Q45="Validé humainement",'07_Form_Mobilite'!C45,"")</x:f>
      </x:c>
      <x:c r="D45" s="76" t="str">
        <x:f>IF('07_Form_Mobilite'!$Q45="Validé humainement",'07_Form_Mobilite'!D45,"")</x:f>
      </x:c>
      <x:c r="E45" s="76" t="str">
        <x:f>IF('07_Form_Mobilite'!$Q45="Validé humainement",'07_Form_Mobilite'!E45,"")</x:f>
      </x:c>
      <x:c r="F45" s="81" t="str">
        <x:f>IF('07_Form_Mobilite'!$Q45="Validé humainement",'07_Form_Mobilite'!F45,"")</x:f>
      </x:c>
      <x:c r="G45" s="80" t="str">
        <x:f>IF('07_Form_Mobilite'!$Q45="Validé humainement",'07_Form_Mobilite'!G45,"")</x:f>
      </x:c>
      <x:c r="H45" s="81" t="str">
        <x:f>IF('07_Form_Mobilite'!$Q45="Validé humainement",'07_Form_Mobilite'!H45,"")</x:f>
      </x:c>
      <x:c r="I45" s="76" t="str">
        <x:f>IF('07_Form_Mobilite'!$Q45="Validé humainement",'07_Form_Mobilite'!I45,"")</x:f>
      </x:c>
      <x:c r="J45" s="77" t="str">
        <x:f>IF('07_Form_Mobilite'!$Q45="Validé humainement",'07_Form_Mobilite'!J45,"")</x:f>
      </x:c>
      <x:c r="K45" s="76" t="str">
        <x:f>IF('07_Form_Mobilite'!$Q45="Validé humainement",'07_Form_Mobilite'!K45,"")</x:f>
      </x:c>
      <x:c r="L45" s="83" t="str">
        <x:f>IF('07_Form_Mobilite'!$Q45="Validé humainement",'07_Form_Mobilite'!L45,"")</x:f>
      </x:c>
      <x:c r="M45" s="77" t="str">
        <x:f>IF('07_Form_Mobilite'!$Q45="Validé humainement",'07_Form_Mobilite'!M45,"")</x:f>
      </x:c>
      <x:c r="N45" s="76" t="str">
        <x:f>IF('07_Form_Mobilite'!$Q45="Validé humainement",'07_Form_Mobilite'!N45,"")</x:f>
      </x:c>
      <x:c r="O45" s="76" t="str">
        <x:f>IF('07_Form_Mobilite'!$Q45="Validé humainement",'07_Form_Mobilite'!O45,"")</x:f>
      </x:c>
      <x:c r="P45" s="76" t="str">
        <x:f>IF('07_Form_Mobilite'!$Q45="Validé humainement",'07_Form_Mobilite'!P45,"")</x:f>
      </x:c>
      <x:c r="Q45" s="76" t="str">
        <x:f>IF('07_Form_Mobilite'!$Q45="Validé humainement",'07_Form_Mobilite'!Q45,"")</x:f>
      </x:c>
      <x:c r="R45" s="76" t="str">
        <x:f>IF('07_Form_Mobilite'!$Q45="Validé humainement",'07_Form_Mobilite'!R45,"")</x:f>
      </x:c>
      <x:c r="S45" s="78" t="str">
        <x:f>IF('07_Form_Mobilite'!$Q45="Validé humainement",'07_Form_Mobilite'!S45,"")</x:f>
      </x:c>
      <x:c r="T45" s="76" t="str">
        <x:f>IF('07_Form_Mobilite'!$Q45="Validé humainement",'07_Form_Mobilite'!T45,"")</x:f>
      </x:c>
      <x:c r="U45" s="76" t="str">
        <x:f>IF('07_Form_Mobilite'!$Q45="Validé humainement",'07_Form_Mobilite'!U45,"")</x:f>
      </x:c>
      <x:c r="V45" s="76" t="str">
        <x:f>IF('07_Form_Mobilite'!$Q45="Validé humainement",'07_Form_Mobilite'!V45,"")</x:f>
      </x:c>
    </x:row>
    <x:row r="46">
      <x:c r="A46" s="76" t="str">
        <x:f>IF('07_Form_Mobilite'!$Q46="Validé humainement",'07_Form_Mobilite'!A46,"")</x:f>
      </x:c>
      <x:c r="B46" s="76" t="str">
        <x:f>IF('07_Form_Mobilite'!$Q46="Validé humainement",'07_Form_Mobilite'!B46,"")</x:f>
      </x:c>
      <x:c r="C46" s="76" t="str">
        <x:f>IF('07_Form_Mobilite'!$Q46="Validé humainement",'07_Form_Mobilite'!C46,"")</x:f>
      </x:c>
      <x:c r="D46" s="76" t="str">
        <x:f>IF('07_Form_Mobilite'!$Q46="Validé humainement",'07_Form_Mobilite'!D46,"")</x:f>
      </x:c>
      <x:c r="E46" s="76" t="str">
        <x:f>IF('07_Form_Mobilite'!$Q46="Validé humainement",'07_Form_Mobilite'!E46,"")</x:f>
      </x:c>
      <x:c r="F46" s="81" t="str">
        <x:f>IF('07_Form_Mobilite'!$Q46="Validé humainement",'07_Form_Mobilite'!F46,"")</x:f>
      </x:c>
      <x:c r="G46" s="80" t="str">
        <x:f>IF('07_Form_Mobilite'!$Q46="Validé humainement",'07_Form_Mobilite'!G46,"")</x:f>
      </x:c>
      <x:c r="H46" s="81" t="str">
        <x:f>IF('07_Form_Mobilite'!$Q46="Validé humainement",'07_Form_Mobilite'!H46,"")</x:f>
      </x:c>
      <x:c r="I46" s="76" t="str">
        <x:f>IF('07_Form_Mobilite'!$Q46="Validé humainement",'07_Form_Mobilite'!I46,"")</x:f>
      </x:c>
      <x:c r="J46" s="77" t="str">
        <x:f>IF('07_Form_Mobilite'!$Q46="Validé humainement",'07_Form_Mobilite'!J46,"")</x:f>
      </x:c>
      <x:c r="K46" s="76" t="str">
        <x:f>IF('07_Form_Mobilite'!$Q46="Validé humainement",'07_Form_Mobilite'!K46,"")</x:f>
      </x:c>
      <x:c r="L46" s="83" t="str">
        <x:f>IF('07_Form_Mobilite'!$Q46="Validé humainement",'07_Form_Mobilite'!L46,"")</x:f>
      </x:c>
      <x:c r="M46" s="77" t="str">
        <x:f>IF('07_Form_Mobilite'!$Q46="Validé humainement",'07_Form_Mobilite'!M46,"")</x:f>
      </x:c>
      <x:c r="N46" s="76" t="str">
        <x:f>IF('07_Form_Mobilite'!$Q46="Validé humainement",'07_Form_Mobilite'!N46,"")</x:f>
      </x:c>
      <x:c r="O46" s="76" t="str">
        <x:f>IF('07_Form_Mobilite'!$Q46="Validé humainement",'07_Form_Mobilite'!O46,"")</x:f>
      </x:c>
      <x:c r="P46" s="76" t="str">
        <x:f>IF('07_Form_Mobilite'!$Q46="Validé humainement",'07_Form_Mobilite'!P46,"")</x:f>
      </x:c>
      <x:c r="Q46" s="76" t="str">
        <x:f>IF('07_Form_Mobilite'!$Q46="Validé humainement",'07_Form_Mobilite'!Q46,"")</x:f>
      </x:c>
      <x:c r="R46" s="76" t="str">
        <x:f>IF('07_Form_Mobilite'!$Q46="Validé humainement",'07_Form_Mobilite'!R46,"")</x:f>
      </x:c>
      <x:c r="S46" s="78" t="str">
        <x:f>IF('07_Form_Mobilite'!$Q46="Validé humainement",'07_Form_Mobilite'!S46,"")</x:f>
      </x:c>
      <x:c r="T46" s="76" t="str">
        <x:f>IF('07_Form_Mobilite'!$Q46="Validé humainement",'07_Form_Mobilite'!T46,"")</x:f>
      </x:c>
      <x:c r="U46" s="76" t="str">
        <x:f>IF('07_Form_Mobilite'!$Q46="Validé humainement",'07_Form_Mobilite'!U46,"")</x:f>
      </x:c>
      <x:c r="V46" s="76" t="str">
        <x:f>IF('07_Form_Mobilite'!$Q46="Validé humainement",'07_Form_Mobilite'!V46,"")</x:f>
      </x:c>
    </x:row>
    <x:row r="47">
      <x:c r="A47" s="76" t="str">
        <x:f>IF('07_Form_Mobilite'!$Q47="Validé humainement",'07_Form_Mobilite'!A47,"")</x:f>
      </x:c>
      <x:c r="B47" s="76" t="str">
        <x:f>IF('07_Form_Mobilite'!$Q47="Validé humainement",'07_Form_Mobilite'!B47,"")</x:f>
      </x:c>
      <x:c r="C47" s="76" t="str">
        <x:f>IF('07_Form_Mobilite'!$Q47="Validé humainement",'07_Form_Mobilite'!C47,"")</x:f>
      </x:c>
      <x:c r="D47" s="76" t="str">
        <x:f>IF('07_Form_Mobilite'!$Q47="Validé humainement",'07_Form_Mobilite'!D47,"")</x:f>
      </x:c>
      <x:c r="E47" s="76" t="str">
        <x:f>IF('07_Form_Mobilite'!$Q47="Validé humainement",'07_Form_Mobilite'!E47,"")</x:f>
      </x:c>
      <x:c r="F47" s="81" t="str">
        <x:f>IF('07_Form_Mobilite'!$Q47="Validé humainement",'07_Form_Mobilite'!F47,"")</x:f>
      </x:c>
      <x:c r="G47" s="80" t="str">
        <x:f>IF('07_Form_Mobilite'!$Q47="Validé humainement",'07_Form_Mobilite'!G47,"")</x:f>
      </x:c>
      <x:c r="H47" s="81" t="str">
        <x:f>IF('07_Form_Mobilite'!$Q47="Validé humainement",'07_Form_Mobilite'!H47,"")</x:f>
      </x:c>
      <x:c r="I47" s="76" t="str">
        <x:f>IF('07_Form_Mobilite'!$Q47="Validé humainement",'07_Form_Mobilite'!I47,"")</x:f>
      </x:c>
      <x:c r="J47" s="77" t="str">
        <x:f>IF('07_Form_Mobilite'!$Q47="Validé humainement",'07_Form_Mobilite'!J47,"")</x:f>
      </x:c>
      <x:c r="K47" s="76" t="str">
        <x:f>IF('07_Form_Mobilite'!$Q47="Validé humainement",'07_Form_Mobilite'!K47,"")</x:f>
      </x:c>
      <x:c r="L47" s="83" t="str">
        <x:f>IF('07_Form_Mobilite'!$Q47="Validé humainement",'07_Form_Mobilite'!L47,"")</x:f>
      </x:c>
      <x:c r="M47" s="77" t="str">
        <x:f>IF('07_Form_Mobilite'!$Q47="Validé humainement",'07_Form_Mobilite'!M47,"")</x:f>
      </x:c>
      <x:c r="N47" s="76" t="str">
        <x:f>IF('07_Form_Mobilite'!$Q47="Validé humainement",'07_Form_Mobilite'!N47,"")</x:f>
      </x:c>
      <x:c r="O47" s="76" t="str">
        <x:f>IF('07_Form_Mobilite'!$Q47="Validé humainement",'07_Form_Mobilite'!O47,"")</x:f>
      </x:c>
      <x:c r="P47" s="76" t="str">
        <x:f>IF('07_Form_Mobilite'!$Q47="Validé humainement",'07_Form_Mobilite'!P47,"")</x:f>
      </x:c>
      <x:c r="Q47" s="76" t="str">
        <x:f>IF('07_Form_Mobilite'!$Q47="Validé humainement",'07_Form_Mobilite'!Q47,"")</x:f>
      </x:c>
      <x:c r="R47" s="76" t="str">
        <x:f>IF('07_Form_Mobilite'!$Q47="Validé humainement",'07_Form_Mobilite'!R47,"")</x:f>
      </x:c>
      <x:c r="S47" s="78" t="str">
        <x:f>IF('07_Form_Mobilite'!$Q47="Validé humainement",'07_Form_Mobilite'!S47,"")</x:f>
      </x:c>
      <x:c r="T47" s="76" t="str">
        <x:f>IF('07_Form_Mobilite'!$Q47="Validé humainement",'07_Form_Mobilite'!T47,"")</x:f>
      </x:c>
      <x:c r="U47" s="76" t="str">
        <x:f>IF('07_Form_Mobilite'!$Q47="Validé humainement",'07_Form_Mobilite'!U47,"")</x:f>
      </x:c>
      <x:c r="V47" s="76" t="str">
        <x:f>IF('07_Form_Mobilite'!$Q47="Validé humainement",'07_Form_Mobilite'!V47,"")</x:f>
      </x:c>
    </x:row>
    <x:row r="48">
      <x:c r="A48" s="76" t="str">
        <x:f>IF('07_Form_Mobilite'!$Q48="Validé humainement",'07_Form_Mobilite'!A48,"")</x:f>
      </x:c>
      <x:c r="B48" s="76" t="str">
        <x:f>IF('07_Form_Mobilite'!$Q48="Validé humainement",'07_Form_Mobilite'!B48,"")</x:f>
      </x:c>
      <x:c r="C48" s="76" t="str">
        <x:f>IF('07_Form_Mobilite'!$Q48="Validé humainement",'07_Form_Mobilite'!C48,"")</x:f>
      </x:c>
      <x:c r="D48" s="76" t="str">
        <x:f>IF('07_Form_Mobilite'!$Q48="Validé humainement",'07_Form_Mobilite'!D48,"")</x:f>
      </x:c>
      <x:c r="E48" s="76" t="str">
        <x:f>IF('07_Form_Mobilite'!$Q48="Validé humainement",'07_Form_Mobilite'!E48,"")</x:f>
      </x:c>
      <x:c r="F48" s="81" t="str">
        <x:f>IF('07_Form_Mobilite'!$Q48="Validé humainement",'07_Form_Mobilite'!F48,"")</x:f>
      </x:c>
      <x:c r="G48" s="80" t="str">
        <x:f>IF('07_Form_Mobilite'!$Q48="Validé humainement",'07_Form_Mobilite'!G48,"")</x:f>
      </x:c>
      <x:c r="H48" s="81" t="str">
        <x:f>IF('07_Form_Mobilite'!$Q48="Validé humainement",'07_Form_Mobilite'!H48,"")</x:f>
      </x:c>
      <x:c r="I48" s="76" t="str">
        <x:f>IF('07_Form_Mobilite'!$Q48="Validé humainement",'07_Form_Mobilite'!I48,"")</x:f>
      </x:c>
      <x:c r="J48" s="77" t="str">
        <x:f>IF('07_Form_Mobilite'!$Q48="Validé humainement",'07_Form_Mobilite'!J48,"")</x:f>
      </x:c>
      <x:c r="K48" s="76" t="str">
        <x:f>IF('07_Form_Mobilite'!$Q48="Validé humainement",'07_Form_Mobilite'!K48,"")</x:f>
      </x:c>
      <x:c r="L48" s="83" t="str">
        <x:f>IF('07_Form_Mobilite'!$Q48="Validé humainement",'07_Form_Mobilite'!L48,"")</x:f>
      </x:c>
      <x:c r="M48" s="77" t="str">
        <x:f>IF('07_Form_Mobilite'!$Q48="Validé humainement",'07_Form_Mobilite'!M48,"")</x:f>
      </x:c>
      <x:c r="N48" s="76" t="str">
        <x:f>IF('07_Form_Mobilite'!$Q48="Validé humainement",'07_Form_Mobilite'!N48,"")</x:f>
      </x:c>
      <x:c r="O48" s="76" t="str">
        <x:f>IF('07_Form_Mobilite'!$Q48="Validé humainement",'07_Form_Mobilite'!O48,"")</x:f>
      </x:c>
      <x:c r="P48" s="76" t="str">
        <x:f>IF('07_Form_Mobilite'!$Q48="Validé humainement",'07_Form_Mobilite'!P48,"")</x:f>
      </x:c>
      <x:c r="Q48" s="76" t="str">
        <x:f>IF('07_Form_Mobilite'!$Q48="Validé humainement",'07_Form_Mobilite'!Q48,"")</x:f>
      </x:c>
      <x:c r="R48" s="76" t="str">
        <x:f>IF('07_Form_Mobilite'!$Q48="Validé humainement",'07_Form_Mobilite'!R48,"")</x:f>
      </x:c>
      <x:c r="S48" s="78" t="str">
        <x:f>IF('07_Form_Mobilite'!$Q48="Validé humainement",'07_Form_Mobilite'!S48,"")</x:f>
      </x:c>
      <x:c r="T48" s="76" t="str">
        <x:f>IF('07_Form_Mobilite'!$Q48="Validé humainement",'07_Form_Mobilite'!T48,"")</x:f>
      </x:c>
      <x:c r="U48" s="76" t="str">
        <x:f>IF('07_Form_Mobilite'!$Q48="Validé humainement",'07_Form_Mobilite'!U48,"")</x:f>
      </x:c>
      <x:c r="V48" s="76" t="str">
        <x:f>IF('07_Form_Mobilite'!$Q48="Validé humainement",'07_Form_Mobilite'!V48,"")</x:f>
      </x:c>
    </x:row>
    <x:row r="49">
      <x:c r="A49" s="76" t="str">
        <x:f>IF('07_Form_Mobilite'!$Q49="Validé humainement",'07_Form_Mobilite'!A49,"")</x:f>
      </x:c>
      <x:c r="B49" s="76" t="str">
        <x:f>IF('07_Form_Mobilite'!$Q49="Validé humainement",'07_Form_Mobilite'!B49,"")</x:f>
      </x:c>
      <x:c r="C49" s="76" t="str">
        <x:f>IF('07_Form_Mobilite'!$Q49="Validé humainement",'07_Form_Mobilite'!C49,"")</x:f>
      </x:c>
      <x:c r="D49" s="76" t="str">
        <x:f>IF('07_Form_Mobilite'!$Q49="Validé humainement",'07_Form_Mobilite'!D49,"")</x:f>
      </x:c>
      <x:c r="E49" s="76" t="str">
        <x:f>IF('07_Form_Mobilite'!$Q49="Validé humainement",'07_Form_Mobilite'!E49,"")</x:f>
      </x:c>
      <x:c r="F49" s="81" t="str">
        <x:f>IF('07_Form_Mobilite'!$Q49="Validé humainement",'07_Form_Mobilite'!F49,"")</x:f>
      </x:c>
      <x:c r="G49" s="80" t="str">
        <x:f>IF('07_Form_Mobilite'!$Q49="Validé humainement",'07_Form_Mobilite'!G49,"")</x:f>
      </x:c>
      <x:c r="H49" s="81" t="str">
        <x:f>IF('07_Form_Mobilite'!$Q49="Validé humainement",'07_Form_Mobilite'!H49,"")</x:f>
      </x:c>
      <x:c r="I49" s="76" t="str">
        <x:f>IF('07_Form_Mobilite'!$Q49="Validé humainement",'07_Form_Mobilite'!I49,"")</x:f>
      </x:c>
      <x:c r="J49" s="77" t="str">
        <x:f>IF('07_Form_Mobilite'!$Q49="Validé humainement",'07_Form_Mobilite'!J49,"")</x:f>
      </x:c>
      <x:c r="K49" s="76" t="str">
        <x:f>IF('07_Form_Mobilite'!$Q49="Validé humainement",'07_Form_Mobilite'!K49,"")</x:f>
      </x:c>
      <x:c r="L49" s="83" t="str">
        <x:f>IF('07_Form_Mobilite'!$Q49="Validé humainement",'07_Form_Mobilite'!L49,"")</x:f>
      </x:c>
      <x:c r="M49" s="77" t="str">
        <x:f>IF('07_Form_Mobilite'!$Q49="Validé humainement",'07_Form_Mobilite'!M49,"")</x:f>
      </x:c>
      <x:c r="N49" s="76" t="str">
        <x:f>IF('07_Form_Mobilite'!$Q49="Validé humainement",'07_Form_Mobilite'!N49,"")</x:f>
      </x:c>
      <x:c r="O49" s="76" t="str">
        <x:f>IF('07_Form_Mobilite'!$Q49="Validé humainement",'07_Form_Mobilite'!O49,"")</x:f>
      </x:c>
      <x:c r="P49" s="76" t="str">
        <x:f>IF('07_Form_Mobilite'!$Q49="Validé humainement",'07_Form_Mobilite'!P49,"")</x:f>
      </x:c>
      <x:c r="Q49" s="76" t="str">
        <x:f>IF('07_Form_Mobilite'!$Q49="Validé humainement",'07_Form_Mobilite'!Q49,"")</x:f>
      </x:c>
      <x:c r="R49" s="76" t="str">
        <x:f>IF('07_Form_Mobilite'!$Q49="Validé humainement",'07_Form_Mobilite'!R49,"")</x:f>
      </x:c>
      <x:c r="S49" s="78" t="str">
        <x:f>IF('07_Form_Mobilite'!$Q49="Validé humainement",'07_Form_Mobilite'!S49,"")</x:f>
      </x:c>
      <x:c r="T49" s="76" t="str">
        <x:f>IF('07_Form_Mobilite'!$Q49="Validé humainement",'07_Form_Mobilite'!T49,"")</x:f>
      </x:c>
      <x:c r="U49" s="76" t="str">
        <x:f>IF('07_Form_Mobilite'!$Q49="Validé humainement",'07_Form_Mobilite'!U49,"")</x:f>
      </x:c>
      <x:c r="V49" s="76" t="str">
        <x:f>IF('07_Form_Mobilite'!$Q49="Validé humainement",'07_Form_Mobilite'!V49,"")</x:f>
      </x:c>
    </x:row>
    <x:row r="50">
      <x:c r="A50" s="76" t="str">
        <x:f>IF('07_Form_Mobilite'!$Q50="Validé humainement",'07_Form_Mobilite'!A50,"")</x:f>
      </x:c>
      <x:c r="B50" s="76" t="str">
        <x:f>IF('07_Form_Mobilite'!$Q50="Validé humainement",'07_Form_Mobilite'!B50,"")</x:f>
      </x:c>
      <x:c r="C50" s="76" t="str">
        <x:f>IF('07_Form_Mobilite'!$Q50="Validé humainement",'07_Form_Mobilite'!C50,"")</x:f>
      </x:c>
      <x:c r="D50" s="76" t="str">
        <x:f>IF('07_Form_Mobilite'!$Q50="Validé humainement",'07_Form_Mobilite'!D50,"")</x:f>
      </x:c>
      <x:c r="E50" s="76" t="str">
        <x:f>IF('07_Form_Mobilite'!$Q50="Validé humainement",'07_Form_Mobilite'!E50,"")</x:f>
      </x:c>
      <x:c r="F50" s="81" t="str">
        <x:f>IF('07_Form_Mobilite'!$Q50="Validé humainement",'07_Form_Mobilite'!F50,"")</x:f>
      </x:c>
      <x:c r="G50" s="80" t="str">
        <x:f>IF('07_Form_Mobilite'!$Q50="Validé humainement",'07_Form_Mobilite'!G50,"")</x:f>
      </x:c>
      <x:c r="H50" s="81" t="str">
        <x:f>IF('07_Form_Mobilite'!$Q50="Validé humainement",'07_Form_Mobilite'!H50,"")</x:f>
      </x:c>
      <x:c r="I50" s="76" t="str">
        <x:f>IF('07_Form_Mobilite'!$Q50="Validé humainement",'07_Form_Mobilite'!I50,"")</x:f>
      </x:c>
      <x:c r="J50" s="77" t="str">
        <x:f>IF('07_Form_Mobilite'!$Q50="Validé humainement",'07_Form_Mobilite'!J50,"")</x:f>
      </x:c>
      <x:c r="K50" s="76" t="str">
        <x:f>IF('07_Form_Mobilite'!$Q50="Validé humainement",'07_Form_Mobilite'!K50,"")</x:f>
      </x:c>
      <x:c r="L50" s="83" t="str">
        <x:f>IF('07_Form_Mobilite'!$Q50="Validé humainement",'07_Form_Mobilite'!L50,"")</x:f>
      </x:c>
      <x:c r="M50" s="77" t="str">
        <x:f>IF('07_Form_Mobilite'!$Q50="Validé humainement",'07_Form_Mobilite'!M50,"")</x:f>
      </x:c>
      <x:c r="N50" s="76" t="str">
        <x:f>IF('07_Form_Mobilite'!$Q50="Validé humainement",'07_Form_Mobilite'!N50,"")</x:f>
      </x:c>
      <x:c r="O50" s="76" t="str">
        <x:f>IF('07_Form_Mobilite'!$Q50="Validé humainement",'07_Form_Mobilite'!O50,"")</x:f>
      </x:c>
      <x:c r="P50" s="76" t="str">
        <x:f>IF('07_Form_Mobilite'!$Q50="Validé humainement",'07_Form_Mobilite'!P50,"")</x:f>
      </x:c>
      <x:c r="Q50" s="76" t="str">
        <x:f>IF('07_Form_Mobilite'!$Q50="Validé humainement",'07_Form_Mobilite'!Q50,"")</x:f>
      </x:c>
      <x:c r="R50" s="76" t="str">
        <x:f>IF('07_Form_Mobilite'!$Q50="Validé humainement",'07_Form_Mobilite'!R50,"")</x:f>
      </x:c>
      <x:c r="S50" s="78" t="str">
        <x:f>IF('07_Form_Mobilite'!$Q50="Validé humainement",'07_Form_Mobilite'!S50,"")</x:f>
      </x:c>
      <x:c r="T50" s="76" t="str">
        <x:f>IF('07_Form_Mobilite'!$Q50="Validé humainement",'07_Form_Mobilite'!T50,"")</x:f>
      </x:c>
      <x:c r="U50" s="76" t="str">
        <x:f>IF('07_Form_Mobilite'!$Q50="Validé humainement",'07_Form_Mobilite'!U50,"")</x:f>
      </x:c>
      <x:c r="V50" s="76" t="str">
        <x:f>IF('07_Form_Mobilite'!$Q50="Validé humainement",'07_Form_Mobilite'!V50,"")</x:f>
      </x:c>
    </x:row>
    <x:row r="51">
      <x:c r="A51" s="76" t="str">
        <x:f>IF('07_Form_Mobilite'!$Q51="Validé humainement",'07_Form_Mobilite'!A51,"")</x:f>
      </x:c>
      <x:c r="B51" s="76" t="str">
        <x:f>IF('07_Form_Mobilite'!$Q51="Validé humainement",'07_Form_Mobilite'!B51,"")</x:f>
      </x:c>
      <x:c r="C51" s="76" t="str">
        <x:f>IF('07_Form_Mobilite'!$Q51="Validé humainement",'07_Form_Mobilite'!C51,"")</x:f>
      </x:c>
      <x:c r="D51" s="76" t="str">
        <x:f>IF('07_Form_Mobilite'!$Q51="Validé humainement",'07_Form_Mobilite'!D51,"")</x:f>
      </x:c>
      <x:c r="E51" s="76" t="str">
        <x:f>IF('07_Form_Mobilite'!$Q51="Validé humainement",'07_Form_Mobilite'!E51,"")</x:f>
      </x:c>
      <x:c r="F51" s="81" t="str">
        <x:f>IF('07_Form_Mobilite'!$Q51="Validé humainement",'07_Form_Mobilite'!F51,"")</x:f>
      </x:c>
      <x:c r="G51" s="80" t="str">
        <x:f>IF('07_Form_Mobilite'!$Q51="Validé humainement",'07_Form_Mobilite'!G51,"")</x:f>
      </x:c>
      <x:c r="H51" s="81" t="str">
        <x:f>IF('07_Form_Mobilite'!$Q51="Validé humainement",'07_Form_Mobilite'!H51,"")</x:f>
      </x:c>
      <x:c r="I51" s="76" t="str">
        <x:f>IF('07_Form_Mobilite'!$Q51="Validé humainement",'07_Form_Mobilite'!I51,"")</x:f>
      </x:c>
      <x:c r="J51" s="77" t="str">
        <x:f>IF('07_Form_Mobilite'!$Q51="Validé humainement",'07_Form_Mobilite'!J51,"")</x:f>
      </x:c>
      <x:c r="K51" s="76" t="str">
        <x:f>IF('07_Form_Mobilite'!$Q51="Validé humainement",'07_Form_Mobilite'!K51,"")</x:f>
      </x:c>
      <x:c r="L51" s="83" t="str">
        <x:f>IF('07_Form_Mobilite'!$Q51="Validé humainement",'07_Form_Mobilite'!L51,"")</x:f>
      </x:c>
      <x:c r="M51" s="77" t="str">
        <x:f>IF('07_Form_Mobilite'!$Q51="Validé humainement",'07_Form_Mobilite'!M51,"")</x:f>
      </x:c>
      <x:c r="N51" s="76" t="str">
        <x:f>IF('07_Form_Mobilite'!$Q51="Validé humainement",'07_Form_Mobilite'!N51,"")</x:f>
      </x:c>
      <x:c r="O51" s="76" t="str">
        <x:f>IF('07_Form_Mobilite'!$Q51="Validé humainement",'07_Form_Mobilite'!O51,"")</x:f>
      </x:c>
      <x:c r="P51" s="76" t="str">
        <x:f>IF('07_Form_Mobilite'!$Q51="Validé humainement",'07_Form_Mobilite'!P51,"")</x:f>
      </x:c>
      <x:c r="Q51" s="76" t="str">
        <x:f>IF('07_Form_Mobilite'!$Q51="Validé humainement",'07_Form_Mobilite'!Q51,"")</x:f>
      </x:c>
      <x:c r="R51" s="76" t="str">
        <x:f>IF('07_Form_Mobilite'!$Q51="Validé humainement",'07_Form_Mobilite'!R51,"")</x:f>
      </x:c>
      <x:c r="S51" s="78" t="str">
        <x:f>IF('07_Form_Mobilite'!$Q51="Validé humainement",'07_Form_Mobilite'!S51,"")</x:f>
      </x:c>
      <x:c r="T51" s="76" t="str">
        <x:f>IF('07_Form_Mobilite'!$Q51="Validé humainement",'07_Form_Mobilite'!T51,"")</x:f>
      </x:c>
      <x:c r="U51" s="76" t="str">
        <x:f>IF('07_Form_Mobilite'!$Q51="Validé humainement",'07_Form_Mobilite'!U51,"")</x:f>
      </x:c>
      <x:c r="V51" s="76" t="str">
        <x:f>IF('07_Form_Mobilite'!$Q51="Validé humainement",'07_Form_Mobilite'!V51,"")</x:f>
      </x:c>
    </x:row>
    <x:row r="52">
      <x:c r="A52" s="76" t="str">
        <x:f>IF('07_Form_Mobilite'!$Q52="Validé humainement",'07_Form_Mobilite'!A52,"")</x:f>
      </x:c>
      <x:c r="B52" s="76" t="str">
        <x:f>IF('07_Form_Mobilite'!$Q52="Validé humainement",'07_Form_Mobilite'!B52,"")</x:f>
      </x:c>
      <x:c r="C52" s="76" t="str">
        <x:f>IF('07_Form_Mobilite'!$Q52="Validé humainement",'07_Form_Mobilite'!C52,"")</x:f>
      </x:c>
      <x:c r="D52" s="76" t="str">
        <x:f>IF('07_Form_Mobilite'!$Q52="Validé humainement",'07_Form_Mobilite'!D52,"")</x:f>
      </x:c>
      <x:c r="E52" s="76" t="str">
        <x:f>IF('07_Form_Mobilite'!$Q52="Validé humainement",'07_Form_Mobilite'!E52,"")</x:f>
      </x:c>
      <x:c r="F52" s="81" t="str">
        <x:f>IF('07_Form_Mobilite'!$Q52="Validé humainement",'07_Form_Mobilite'!F52,"")</x:f>
      </x:c>
      <x:c r="G52" s="80" t="str">
        <x:f>IF('07_Form_Mobilite'!$Q52="Validé humainement",'07_Form_Mobilite'!G52,"")</x:f>
      </x:c>
      <x:c r="H52" s="81" t="str">
        <x:f>IF('07_Form_Mobilite'!$Q52="Validé humainement",'07_Form_Mobilite'!H52,"")</x:f>
      </x:c>
      <x:c r="I52" s="76" t="str">
        <x:f>IF('07_Form_Mobilite'!$Q52="Validé humainement",'07_Form_Mobilite'!I52,"")</x:f>
      </x:c>
      <x:c r="J52" s="77" t="str">
        <x:f>IF('07_Form_Mobilite'!$Q52="Validé humainement",'07_Form_Mobilite'!J52,"")</x:f>
      </x:c>
      <x:c r="K52" s="76" t="str">
        <x:f>IF('07_Form_Mobilite'!$Q52="Validé humainement",'07_Form_Mobilite'!K52,"")</x:f>
      </x:c>
      <x:c r="L52" s="83" t="str">
        <x:f>IF('07_Form_Mobilite'!$Q52="Validé humainement",'07_Form_Mobilite'!L52,"")</x:f>
      </x:c>
      <x:c r="M52" s="77" t="str">
        <x:f>IF('07_Form_Mobilite'!$Q52="Validé humainement",'07_Form_Mobilite'!M52,"")</x:f>
      </x:c>
      <x:c r="N52" s="76" t="str">
        <x:f>IF('07_Form_Mobilite'!$Q52="Validé humainement",'07_Form_Mobilite'!N52,"")</x:f>
      </x:c>
      <x:c r="O52" s="76" t="str">
        <x:f>IF('07_Form_Mobilite'!$Q52="Validé humainement",'07_Form_Mobilite'!O52,"")</x:f>
      </x:c>
      <x:c r="P52" s="76" t="str">
        <x:f>IF('07_Form_Mobilite'!$Q52="Validé humainement",'07_Form_Mobilite'!P52,"")</x:f>
      </x:c>
      <x:c r="Q52" s="76" t="str">
        <x:f>IF('07_Form_Mobilite'!$Q52="Validé humainement",'07_Form_Mobilite'!Q52,"")</x:f>
      </x:c>
      <x:c r="R52" s="76" t="str">
        <x:f>IF('07_Form_Mobilite'!$Q52="Validé humainement",'07_Form_Mobilite'!R52,"")</x:f>
      </x:c>
      <x:c r="S52" s="78" t="str">
        <x:f>IF('07_Form_Mobilite'!$Q52="Validé humainement",'07_Form_Mobilite'!S52,"")</x:f>
      </x:c>
      <x:c r="T52" s="76" t="str">
        <x:f>IF('07_Form_Mobilite'!$Q52="Validé humainement",'07_Form_Mobilite'!T52,"")</x:f>
      </x:c>
      <x:c r="U52" s="76" t="str">
        <x:f>IF('07_Form_Mobilite'!$Q52="Validé humainement",'07_Form_Mobilite'!U52,"")</x:f>
      </x:c>
      <x:c r="V52" s="76" t="str">
        <x:f>IF('07_Form_Mobilite'!$Q52="Validé humainement",'07_Form_Mobilite'!V52,"")</x:f>
      </x:c>
    </x:row>
    <x:row r="53">
      <x:c r="A53" s="76" t="str">
        <x:f>IF('07_Form_Mobilite'!$Q53="Validé humainement",'07_Form_Mobilite'!A53,"")</x:f>
      </x:c>
      <x:c r="B53" s="76" t="str">
        <x:f>IF('07_Form_Mobilite'!$Q53="Validé humainement",'07_Form_Mobilite'!B53,"")</x:f>
      </x:c>
      <x:c r="C53" s="76" t="str">
        <x:f>IF('07_Form_Mobilite'!$Q53="Validé humainement",'07_Form_Mobilite'!C53,"")</x:f>
      </x:c>
      <x:c r="D53" s="76" t="str">
        <x:f>IF('07_Form_Mobilite'!$Q53="Validé humainement",'07_Form_Mobilite'!D53,"")</x:f>
      </x:c>
      <x:c r="E53" s="76" t="str">
        <x:f>IF('07_Form_Mobilite'!$Q53="Validé humainement",'07_Form_Mobilite'!E53,"")</x:f>
      </x:c>
      <x:c r="F53" s="81" t="str">
        <x:f>IF('07_Form_Mobilite'!$Q53="Validé humainement",'07_Form_Mobilite'!F53,"")</x:f>
      </x:c>
      <x:c r="G53" s="80" t="str">
        <x:f>IF('07_Form_Mobilite'!$Q53="Validé humainement",'07_Form_Mobilite'!G53,"")</x:f>
      </x:c>
      <x:c r="H53" s="81" t="str">
        <x:f>IF('07_Form_Mobilite'!$Q53="Validé humainement",'07_Form_Mobilite'!H53,"")</x:f>
      </x:c>
      <x:c r="I53" s="76" t="str">
        <x:f>IF('07_Form_Mobilite'!$Q53="Validé humainement",'07_Form_Mobilite'!I53,"")</x:f>
      </x:c>
      <x:c r="J53" s="77" t="str">
        <x:f>IF('07_Form_Mobilite'!$Q53="Validé humainement",'07_Form_Mobilite'!J53,"")</x:f>
      </x:c>
      <x:c r="K53" s="76" t="str">
        <x:f>IF('07_Form_Mobilite'!$Q53="Validé humainement",'07_Form_Mobilite'!K53,"")</x:f>
      </x:c>
      <x:c r="L53" s="83" t="str">
        <x:f>IF('07_Form_Mobilite'!$Q53="Validé humainement",'07_Form_Mobilite'!L53,"")</x:f>
      </x:c>
      <x:c r="M53" s="77" t="str">
        <x:f>IF('07_Form_Mobilite'!$Q53="Validé humainement",'07_Form_Mobilite'!M53,"")</x:f>
      </x:c>
      <x:c r="N53" s="76" t="str">
        <x:f>IF('07_Form_Mobilite'!$Q53="Validé humainement",'07_Form_Mobilite'!N53,"")</x:f>
      </x:c>
      <x:c r="O53" s="76" t="str">
        <x:f>IF('07_Form_Mobilite'!$Q53="Validé humainement",'07_Form_Mobilite'!O53,"")</x:f>
      </x:c>
      <x:c r="P53" s="76" t="str">
        <x:f>IF('07_Form_Mobilite'!$Q53="Validé humainement",'07_Form_Mobilite'!P53,"")</x:f>
      </x:c>
      <x:c r="Q53" s="76" t="str">
        <x:f>IF('07_Form_Mobilite'!$Q53="Validé humainement",'07_Form_Mobilite'!Q53,"")</x:f>
      </x:c>
      <x:c r="R53" s="76" t="str">
        <x:f>IF('07_Form_Mobilite'!$Q53="Validé humainement",'07_Form_Mobilite'!R53,"")</x:f>
      </x:c>
      <x:c r="S53" s="78" t="str">
        <x:f>IF('07_Form_Mobilite'!$Q53="Validé humainement",'07_Form_Mobilite'!S53,"")</x:f>
      </x:c>
      <x:c r="T53" s="76" t="str">
        <x:f>IF('07_Form_Mobilite'!$Q53="Validé humainement",'07_Form_Mobilite'!T53,"")</x:f>
      </x:c>
      <x:c r="U53" s="76" t="str">
        <x:f>IF('07_Form_Mobilite'!$Q53="Validé humainement",'07_Form_Mobilite'!U53,"")</x:f>
      </x:c>
      <x:c r="V53" s="76" t="str">
        <x:f>IF('07_Form_Mobilite'!$Q53="Validé humainement",'07_Form_Mobilite'!V53,"")</x:f>
      </x:c>
    </x:row>
    <x:row r="54">
      <x:c r="A54" s="76" t="str">
        <x:f>IF('07_Form_Mobilite'!$Q54="Validé humainement",'07_Form_Mobilite'!A54,"")</x:f>
      </x:c>
      <x:c r="B54" s="76" t="str">
        <x:f>IF('07_Form_Mobilite'!$Q54="Validé humainement",'07_Form_Mobilite'!B54,"")</x:f>
      </x:c>
      <x:c r="C54" s="76" t="str">
        <x:f>IF('07_Form_Mobilite'!$Q54="Validé humainement",'07_Form_Mobilite'!C54,"")</x:f>
      </x:c>
      <x:c r="D54" s="76" t="str">
        <x:f>IF('07_Form_Mobilite'!$Q54="Validé humainement",'07_Form_Mobilite'!D54,"")</x:f>
      </x:c>
      <x:c r="E54" s="76" t="str">
        <x:f>IF('07_Form_Mobilite'!$Q54="Validé humainement",'07_Form_Mobilite'!E54,"")</x:f>
      </x:c>
      <x:c r="F54" s="81" t="str">
        <x:f>IF('07_Form_Mobilite'!$Q54="Validé humainement",'07_Form_Mobilite'!F54,"")</x:f>
      </x:c>
      <x:c r="G54" s="80" t="str">
        <x:f>IF('07_Form_Mobilite'!$Q54="Validé humainement",'07_Form_Mobilite'!G54,"")</x:f>
      </x:c>
      <x:c r="H54" s="81" t="str">
        <x:f>IF('07_Form_Mobilite'!$Q54="Validé humainement",'07_Form_Mobilite'!H54,"")</x:f>
      </x:c>
      <x:c r="I54" s="76" t="str">
        <x:f>IF('07_Form_Mobilite'!$Q54="Validé humainement",'07_Form_Mobilite'!I54,"")</x:f>
      </x:c>
      <x:c r="J54" s="77" t="str">
        <x:f>IF('07_Form_Mobilite'!$Q54="Validé humainement",'07_Form_Mobilite'!J54,"")</x:f>
      </x:c>
      <x:c r="K54" s="76" t="str">
        <x:f>IF('07_Form_Mobilite'!$Q54="Validé humainement",'07_Form_Mobilite'!K54,"")</x:f>
      </x:c>
      <x:c r="L54" s="83" t="str">
        <x:f>IF('07_Form_Mobilite'!$Q54="Validé humainement",'07_Form_Mobilite'!L54,"")</x:f>
      </x:c>
      <x:c r="M54" s="77" t="str">
        <x:f>IF('07_Form_Mobilite'!$Q54="Validé humainement",'07_Form_Mobilite'!M54,"")</x:f>
      </x:c>
      <x:c r="N54" s="76" t="str">
        <x:f>IF('07_Form_Mobilite'!$Q54="Validé humainement",'07_Form_Mobilite'!N54,"")</x:f>
      </x:c>
      <x:c r="O54" s="76" t="str">
        <x:f>IF('07_Form_Mobilite'!$Q54="Validé humainement",'07_Form_Mobilite'!O54,"")</x:f>
      </x:c>
      <x:c r="P54" s="76" t="str">
        <x:f>IF('07_Form_Mobilite'!$Q54="Validé humainement",'07_Form_Mobilite'!P54,"")</x:f>
      </x:c>
      <x:c r="Q54" s="76" t="str">
        <x:f>IF('07_Form_Mobilite'!$Q54="Validé humainement",'07_Form_Mobilite'!Q54,"")</x:f>
      </x:c>
      <x:c r="R54" s="76" t="str">
        <x:f>IF('07_Form_Mobilite'!$Q54="Validé humainement",'07_Form_Mobilite'!R54,"")</x:f>
      </x:c>
      <x:c r="S54" s="78" t="str">
        <x:f>IF('07_Form_Mobilite'!$Q54="Validé humainement",'07_Form_Mobilite'!S54,"")</x:f>
      </x:c>
      <x:c r="T54" s="76" t="str">
        <x:f>IF('07_Form_Mobilite'!$Q54="Validé humainement",'07_Form_Mobilite'!T54,"")</x:f>
      </x:c>
      <x:c r="U54" s="76" t="str">
        <x:f>IF('07_Form_Mobilite'!$Q54="Validé humainement",'07_Form_Mobilite'!U54,"")</x:f>
      </x:c>
      <x:c r="V54" s="76" t="str">
        <x:f>IF('07_Form_Mobilite'!$Q54="Validé humainement",'07_Form_Mobilite'!V54,"")</x:f>
      </x:c>
    </x:row>
    <x:row r="55">
      <x:c r="A55" s="76" t="str">
        <x:f>IF('07_Form_Mobilite'!$Q55="Validé humainement",'07_Form_Mobilite'!A55,"")</x:f>
      </x:c>
      <x:c r="B55" s="76" t="str">
        <x:f>IF('07_Form_Mobilite'!$Q55="Validé humainement",'07_Form_Mobilite'!B55,"")</x:f>
      </x:c>
      <x:c r="C55" s="76" t="str">
        <x:f>IF('07_Form_Mobilite'!$Q55="Validé humainement",'07_Form_Mobilite'!C55,"")</x:f>
      </x:c>
      <x:c r="D55" s="76" t="str">
        <x:f>IF('07_Form_Mobilite'!$Q55="Validé humainement",'07_Form_Mobilite'!D55,"")</x:f>
      </x:c>
      <x:c r="E55" s="76" t="str">
        <x:f>IF('07_Form_Mobilite'!$Q55="Validé humainement",'07_Form_Mobilite'!E55,"")</x:f>
      </x:c>
      <x:c r="F55" s="81" t="str">
        <x:f>IF('07_Form_Mobilite'!$Q55="Validé humainement",'07_Form_Mobilite'!F55,"")</x:f>
      </x:c>
      <x:c r="G55" s="80" t="str">
        <x:f>IF('07_Form_Mobilite'!$Q55="Validé humainement",'07_Form_Mobilite'!G55,"")</x:f>
      </x:c>
      <x:c r="H55" s="81" t="str">
        <x:f>IF('07_Form_Mobilite'!$Q55="Validé humainement",'07_Form_Mobilite'!H55,"")</x:f>
      </x:c>
      <x:c r="I55" s="76" t="str">
        <x:f>IF('07_Form_Mobilite'!$Q55="Validé humainement",'07_Form_Mobilite'!I55,"")</x:f>
      </x:c>
      <x:c r="J55" s="77" t="str">
        <x:f>IF('07_Form_Mobilite'!$Q55="Validé humainement",'07_Form_Mobilite'!J55,"")</x:f>
      </x:c>
      <x:c r="K55" s="76" t="str">
        <x:f>IF('07_Form_Mobilite'!$Q55="Validé humainement",'07_Form_Mobilite'!K55,"")</x:f>
      </x:c>
      <x:c r="L55" s="83" t="str">
        <x:f>IF('07_Form_Mobilite'!$Q55="Validé humainement",'07_Form_Mobilite'!L55,"")</x:f>
      </x:c>
      <x:c r="M55" s="77" t="str">
        <x:f>IF('07_Form_Mobilite'!$Q55="Validé humainement",'07_Form_Mobilite'!M55,"")</x:f>
      </x:c>
      <x:c r="N55" s="76" t="str">
        <x:f>IF('07_Form_Mobilite'!$Q55="Validé humainement",'07_Form_Mobilite'!N55,"")</x:f>
      </x:c>
      <x:c r="O55" s="76" t="str">
        <x:f>IF('07_Form_Mobilite'!$Q55="Validé humainement",'07_Form_Mobilite'!O55,"")</x:f>
      </x:c>
      <x:c r="P55" s="76" t="str">
        <x:f>IF('07_Form_Mobilite'!$Q55="Validé humainement",'07_Form_Mobilite'!P55,"")</x:f>
      </x:c>
      <x:c r="Q55" s="76" t="str">
        <x:f>IF('07_Form_Mobilite'!$Q55="Validé humainement",'07_Form_Mobilite'!Q55,"")</x:f>
      </x:c>
      <x:c r="R55" s="76" t="str">
        <x:f>IF('07_Form_Mobilite'!$Q55="Validé humainement",'07_Form_Mobilite'!R55,"")</x:f>
      </x:c>
      <x:c r="S55" s="78" t="str">
        <x:f>IF('07_Form_Mobilite'!$Q55="Validé humainement",'07_Form_Mobilite'!S55,"")</x:f>
      </x:c>
      <x:c r="T55" s="76" t="str">
        <x:f>IF('07_Form_Mobilite'!$Q55="Validé humainement",'07_Form_Mobilite'!T55,"")</x:f>
      </x:c>
      <x:c r="U55" s="76" t="str">
        <x:f>IF('07_Form_Mobilite'!$Q55="Validé humainement",'07_Form_Mobilite'!U55,"")</x:f>
      </x:c>
      <x:c r="V55" s="76" t="str">
        <x:f>IF('07_Form_Mobilite'!$Q55="Validé humainement",'07_Form_Mobilite'!V55,"")</x:f>
      </x:c>
    </x:row>
    <x:row r="56">
      <x:c r="A56" s="76" t="str">
        <x:f>IF('07_Form_Mobilite'!$Q56="Validé humainement",'07_Form_Mobilite'!A56,"")</x:f>
      </x:c>
      <x:c r="B56" s="76" t="str">
        <x:f>IF('07_Form_Mobilite'!$Q56="Validé humainement",'07_Form_Mobilite'!B56,"")</x:f>
      </x:c>
      <x:c r="C56" s="76" t="str">
        <x:f>IF('07_Form_Mobilite'!$Q56="Validé humainement",'07_Form_Mobilite'!C56,"")</x:f>
      </x:c>
      <x:c r="D56" s="76" t="str">
        <x:f>IF('07_Form_Mobilite'!$Q56="Validé humainement",'07_Form_Mobilite'!D56,"")</x:f>
      </x:c>
      <x:c r="E56" s="76" t="str">
        <x:f>IF('07_Form_Mobilite'!$Q56="Validé humainement",'07_Form_Mobilite'!E56,"")</x:f>
      </x:c>
      <x:c r="F56" s="81" t="str">
        <x:f>IF('07_Form_Mobilite'!$Q56="Validé humainement",'07_Form_Mobilite'!F56,"")</x:f>
      </x:c>
      <x:c r="G56" s="80" t="str">
        <x:f>IF('07_Form_Mobilite'!$Q56="Validé humainement",'07_Form_Mobilite'!G56,"")</x:f>
      </x:c>
      <x:c r="H56" s="81" t="str">
        <x:f>IF('07_Form_Mobilite'!$Q56="Validé humainement",'07_Form_Mobilite'!H56,"")</x:f>
      </x:c>
      <x:c r="I56" s="76" t="str">
        <x:f>IF('07_Form_Mobilite'!$Q56="Validé humainement",'07_Form_Mobilite'!I56,"")</x:f>
      </x:c>
      <x:c r="J56" s="77" t="str">
        <x:f>IF('07_Form_Mobilite'!$Q56="Validé humainement",'07_Form_Mobilite'!J56,"")</x:f>
      </x:c>
      <x:c r="K56" s="76" t="str">
        <x:f>IF('07_Form_Mobilite'!$Q56="Validé humainement",'07_Form_Mobilite'!K56,"")</x:f>
      </x:c>
      <x:c r="L56" s="83" t="str">
        <x:f>IF('07_Form_Mobilite'!$Q56="Validé humainement",'07_Form_Mobilite'!L56,"")</x:f>
      </x:c>
      <x:c r="M56" s="77" t="str">
        <x:f>IF('07_Form_Mobilite'!$Q56="Validé humainement",'07_Form_Mobilite'!M56,"")</x:f>
      </x:c>
      <x:c r="N56" s="76" t="str">
        <x:f>IF('07_Form_Mobilite'!$Q56="Validé humainement",'07_Form_Mobilite'!N56,"")</x:f>
      </x:c>
      <x:c r="O56" s="76" t="str">
        <x:f>IF('07_Form_Mobilite'!$Q56="Validé humainement",'07_Form_Mobilite'!O56,"")</x:f>
      </x:c>
      <x:c r="P56" s="76" t="str">
        <x:f>IF('07_Form_Mobilite'!$Q56="Validé humainement",'07_Form_Mobilite'!P56,"")</x:f>
      </x:c>
      <x:c r="Q56" s="76" t="str">
        <x:f>IF('07_Form_Mobilite'!$Q56="Validé humainement",'07_Form_Mobilite'!Q56,"")</x:f>
      </x:c>
      <x:c r="R56" s="76" t="str">
        <x:f>IF('07_Form_Mobilite'!$Q56="Validé humainement",'07_Form_Mobilite'!R56,"")</x:f>
      </x:c>
      <x:c r="S56" s="78" t="str">
        <x:f>IF('07_Form_Mobilite'!$Q56="Validé humainement",'07_Form_Mobilite'!S56,"")</x:f>
      </x:c>
      <x:c r="T56" s="76" t="str">
        <x:f>IF('07_Form_Mobilite'!$Q56="Validé humainement",'07_Form_Mobilite'!T56,"")</x:f>
      </x:c>
      <x:c r="U56" s="76" t="str">
        <x:f>IF('07_Form_Mobilite'!$Q56="Validé humainement",'07_Form_Mobilite'!U56,"")</x:f>
      </x:c>
      <x:c r="V56" s="76" t="str">
        <x:f>IF('07_Form_Mobilite'!$Q56="Validé humainement",'07_Form_Mobilite'!V56,"")</x:f>
      </x:c>
    </x:row>
    <x:row r="57">
      <x:c r="A57" s="76" t="str">
        <x:f>IF('07_Form_Mobilite'!$Q57="Validé humainement",'07_Form_Mobilite'!A57,"")</x:f>
      </x:c>
      <x:c r="B57" s="76" t="str">
        <x:f>IF('07_Form_Mobilite'!$Q57="Validé humainement",'07_Form_Mobilite'!B57,"")</x:f>
      </x:c>
      <x:c r="C57" s="76" t="str">
        <x:f>IF('07_Form_Mobilite'!$Q57="Validé humainement",'07_Form_Mobilite'!C57,"")</x:f>
      </x:c>
      <x:c r="D57" s="76" t="str">
        <x:f>IF('07_Form_Mobilite'!$Q57="Validé humainement",'07_Form_Mobilite'!D57,"")</x:f>
      </x:c>
      <x:c r="E57" s="76" t="str">
        <x:f>IF('07_Form_Mobilite'!$Q57="Validé humainement",'07_Form_Mobilite'!E57,"")</x:f>
      </x:c>
      <x:c r="F57" s="81" t="str">
        <x:f>IF('07_Form_Mobilite'!$Q57="Validé humainement",'07_Form_Mobilite'!F57,"")</x:f>
      </x:c>
      <x:c r="G57" s="80" t="str">
        <x:f>IF('07_Form_Mobilite'!$Q57="Validé humainement",'07_Form_Mobilite'!G57,"")</x:f>
      </x:c>
      <x:c r="H57" s="81" t="str">
        <x:f>IF('07_Form_Mobilite'!$Q57="Validé humainement",'07_Form_Mobilite'!H57,"")</x:f>
      </x:c>
      <x:c r="I57" s="76" t="str">
        <x:f>IF('07_Form_Mobilite'!$Q57="Validé humainement",'07_Form_Mobilite'!I57,"")</x:f>
      </x:c>
      <x:c r="J57" s="77" t="str">
        <x:f>IF('07_Form_Mobilite'!$Q57="Validé humainement",'07_Form_Mobilite'!J57,"")</x:f>
      </x:c>
      <x:c r="K57" s="76" t="str">
        <x:f>IF('07_Form_Mobilite'!$Q57="Validé humainement",'07_Form_Mobilite'!K57,"")</x:f>
      </x:c>
      <x:c r="L57" s="83" t="str">
        <x:f>IF('07_Form_Mobilite'!$Q57="Validé humainement",'07_Form_Mobilite'!L57,"")</x:f>
      </x:c>
      <x:c r="M57" s="77" t="str">
        <x:f>IF('07_Form_Mobilite'!$Q57="Validé humainement",'07_Form_Mobilite'!M57,"")</x:f>
      </x:c>
      <x:c r="N57" s="76" t="str">
        <x:f>IF('07_Form_Mobilite'!$Q57="Validé humainement",'07_Form_Mobilite'!N57,"")</x:f>
      </x:c>
      <x:c r="O57" s="76" t="str">
        <x:f>IF('07_Form_Mobilite'!$Q57="Validé humainement",'07_Form_Mobilite'!O57,"")</x:f>
      </x:c>
      <x:c r="P57" s="76" t="str">
        <x:f>IF('07_Form_Mobilite'!$Q57="Validé humainement",'07_Form_Mobilite'!P57,"")</x:f>
      </x:c>
      <x:c r="Q57" s="76" t="str">
        <x:f>IF('07_Form_Mobilite'!$Q57="Validé humainement",'07_Form_Mobilite'!Q57,"")</x:f>
      </x:c>
      <x:c r="R57" s="76" t="str">
        <x:f>IF('07_Form_Mobilite'!$Q57="Validé humainement",'07_Form_Mobilite'!R57,"")</x:f>
      </x:c>
      <x:c r="S57" s="78" t="str">
        <x:f>IF('07_Form_Mobilite'!$Q57="Validé humainement",'07_Form_Mobilite'!S57,"")</x:f>
      </x:c>
      <x:c r="T57" s="76" t="str">
        <x:f>IF('07_Form_Mobilite'!$Q57="Validé humainement",'07_Form_Mobilite'!T57,"")</x:f>
      </x:c>
      <x:c r="U57" s="76" t="str">
        <x:f>IF('07_Form_Mobilite'!$Q57="Validé humainement",'07_Form_Mobilite'!U57,"")</x:f>
      </x:c>
      <x:c r="V57" s="76" t="str">
        <x:f>IF('07_Form_Mobilite'!$Q57="Validé humainement",'07_Form_Mobilite'!V57,"")</x:f>
      </x:c>
    </x:row>
    <x:row r="58">
      <x:c r="A58" s="76" t="str">
        <x:f>IF('07_Form_Mobilite'!$Q58="Validé humainement",'07_Form_Mobilite'!A58,"")</x:f>
      </x:c>
      <x:c r="B58" s="76" t="str">
        <x:f>IF('07_Form_Mobilite'!$Q58="Validé humainement",'07_Form_Mobilite'!B58,"")</x:f>
      </x:c>
      <x:c r="C58" s="76" t="str">
        <x:f>IF('07_Form_Mobilite'!$Q58="Validé humainement",'07_Form_Mobilite'!C58,"")</x:f>
      </x:c>
      <x:c r="D58" s="76" t="str">
        <x:f>IF('07_Form_Mobilite'!$Q58="Validé humainement",'07_Form_Mobilite'!D58,"")</x:f>
      </x:c>
      <x:c r="E58" s="76" t="str">
        <x:f>IF('07_Form_Mobilite'!$Q58="Validé humainement",'07_Form_Mobilite'!E58,"")</x:f>
      </x:c>
      <x:c r="F58" s="81" t="str">
        <x:f>IF('07_Form_Mobilite'!$Q58="Validé humainement",'07_Form_Mobilite'!F58,"")</x:f>
      </x:c>
      <x:c r="G58" s="80" t="str">
        <x:f>IF('07_Form_Mobilite'!$Q58="Validé humainement",'07_Form_Mobilite'!G58,"")</x:f>
      </x:c>
      <x:c r="H58" s="81" t="str">
        <x:f>IF('07_Form_Mobilite'!$Q58="Validé humainement",'07_Form_Mobilite'!H58,"")</x:f>
      </x:c>
      <x:c r="I58" s="76" t="str">
        <x:f>IF('07_Form_Mobilite'!$Q58="Validé humainement",'07_Form_Mobilite'!I58,"")</x:f>
      </x:c>
      <x:c r="J58" s="77" t="str">
        <x:f>IF('07_Form_Mobilite'!$Q58="Validé humainement",'07_Form_Mobilite'!J58,"")</x:f>
      </x:c>
      <x:c r="K58" s="76" t="str">
        <x:f>IF('07_Form_Mobilite'!$Q58="Validé humainement",'07_Form_Mobilite'!K58,"")</x:f>
      </x:c>
      <x:c r="L58" s="83" t="str">
        <x:f>IF('07_Form_Mobilite'!$Q58="Validé humainement",'07_Form_Mobilite'!L58,"")</x:f>
      </x:c>
      <x:c r="M58" s="77" t="str">
        <x:f>IF('07_Form_Mobilite'!$Q58="Validé humainement",'07_Form_Mobilite'!M58,"")</x:f>
      </x:c>
      <x:c r="N58" s="76" t="str">
        <x:f>IF('07_Form_Mobilite'!$Q58="Validé humainement",'07_Form_Mobilite'!N58,"")</x:f>
      </x:c>
      <x:c r="O58" s="76" t="str">
        <x:f>IF('07_Form_Mobilite'!$Q58="Validé humainement",'07_Form_Mobilite'!O58,"")</x:f>
      </x:c>
      <x:c r="P58" s="76" t="str">
        <x:f>IF('07_Form_Mobilite'!$Q58="Validé humainement",'07_Form_Mobilite'!P58,"")</x:f>
      </x:c>
      <x:c r="Q58" s="76" t="str">
        <x:f>IF('07_Form_Mobilite'!$Q58="Validé humainement",'07_Form_Mobilite'!Q58,"")</x:f>
      </x:c>
      <x:c r="R58" s="76" t="str">
        <x:f>IF('07_Form_Mobilite'!$Q58="Validé humainement",'07_Form_Mobilite'!R58,"")</x:f>
      </x:c>
      <x:c r="S58" s="78" t="str">
        <x:f>IF('07_Form_Mobilite'!$Q58="Validé humainement",'07_Form_Mobilite'!S58,"")</x:f>
      </x:c>
      <x:c r="T58" s="76" t="str">
        <x:f>IF('07_Form_Mobilite'!$Q58="Validé humainement",'07_Form_Mobilite'!T58,"")</x:f>
      </x:c>
      <x:c r="U58" s="76" t="str">
        <x:f>IF('07_Form_Mobilite'!$Q58="Validé humainement",'07_Form_Mobilite'!U58,"")</x:f>
      </x:c>
      <x:c r="V58" s="76" t="str">
        <x:f>IF('07_Form_Mobilite'!$Q58="Validé humainement",'07_Form_Mobilite'!V58,"")</x:f>
      </x:c>
    </x:row>
    <x:row r="59">
      <x:c r="A59" s="76" t="str">
        <x:f>IF('07_Form_Mobilite'!$Q59="Validé humainement",'07_Form_Mobilite'!A59,"")</x:f>
      </x:c>
      <x:c r="B59" s="76" t="str">
        <x:f>IF('07_Form_Mobilite'!$Q59="Validé humainement",'07_Form_Mobilite'!B59,"")</x:f>
      </x:c>
      <x:c r="C59" s="76" t="str">
        <x:f>IF('07_Form_Mobilite'!$Q59="Validé humainement",'07_Form_Mobilite'!C59,"")</x:f>
      </x:c>
      <x:c r="D59" s="76" t="str">
        <x:f>IF('07_Form_Mobilite'!$Q59="Validé humainement",'07_Form_Mobilite'!D59,"")</x:f>
      </x:c>
      <x:c r="E59" s="76" t="str">
        <x:f>IF('07_Form_Mobilite'!$Q59="Validé humainement",'07_Form_Mobilite'!E59,"")</x:f>
      </x:c>
      <x:c r="F59" s="81" t="str">
        <x:f>IF('07_Form_Mobilite'!$Q59="Validé humainement",'07_Form_Mobilite'!F59,"")</x:f>
      </x:c>
      <x:c r="G59" s="80" t="str">
        <x:f>IF('07_Form_Mobilite'!$Q59="Validé humainement",'07_Form_Mobilite'!G59,"")</x:f>
      </x:c>
      <x:c r="H59" s="81" t="str">
        <x:f>IF('07_Form_Mobilite'!$Q59="Validé humainement",'07_Form_Mobilite'!H59,"")</x:f>
      </x:c>
      <x:c r="I59" s="76" t="str">
        <x:f>IF('07_Form_Mobilite'!$Q59="Validé humainement",'07_Form_Mobilite'!I59,"")</x:f>
      </x:c>
      <x:c r="J59" s="77" t="str">
        <x:f>IF('07_Form_Mobilite'!$Q59="Validé humainement",'07_Form_Mobilite'!J59,"")</x:f>
      </x:c>
      <x:c r="K59" s="76" t="str">
        <x:f>IF('07_Form_Mobilite'!$Q59="Validé humainement",'07_Form_Mobilite'!K59,"")</x:f>
      </x:c>
      <x:c r="L59" s="83" t="str">
        <x:f>IF('07_Form_Mobilite'!$Q59="Validé humainement",'07_Form_Mobilite'!L59,"")</x:f>
      </x:c>
      <x:c r="M59" s="77" t="str">
        <x:f>IF('07_Form_Mobilite'!$Q59="Validé humainement",'07_Form_Mobilite'!M59,"")</x:f>
      </x:c>
      <x:c r="N59" s="76" t="str">
        <x:f>IF('07_Form_Mobilite'!$Q59="Validé humainement",'07_Form_Mobilite'!N59,"")</x:f>
      </x:c>
      <x:c r="O59" s="76" t="str">
        <x:f>IF('07_Form_Mobilite'!$Q59="Validé humainement",'07_Form_Mobilite'!O59,"")</x:f>
      </x:c>
      <x:c r="P59" s="76" t="str">
        <x:f>IF('07_Form_Mobilite'!$Q59="Validé humainement",'07_Form_Mobilite'!P59,"")</x:f>
      </x:c>
      <x:c r="Q59" s="76" t="str">
        <x:f>IF('07_Form_Mobilite'!$Q59="Validé humainement",'07_Form_Mobilite'!Q59,"")</x:f>
      </x:c>
      <x:c r="R59" s="76" t="str">
        <x:f>IF('07_Form_Mobilite'!$Q59="Validé humainement",'07_Form_Mobilite'!R59,"")</x:f>
      </x:c>
      <x:c r="S59" s="78" t="str">
        <x:f>IF('07_Form_Mobilite'!$Q59="Validé humainement",'07_Form_Mobilite'!S59,"")</x:f>
      </x:c>
      <x:c r="T59" s="76" t="str">
        <x:f>IF('07_Form_Mobilite'!$Q59="Validé humainement",'07_Form_Mobilite'!T59,"")</x:f>
      </x:c>
      <x:c r="U59" s="76" t="str">
        <x:f>IF('07_Form_Mobilite'!$Q59="Validé humainement",'07_Form_Mobilite'!U59,"")</x:f>
      </x:c>
      <x:c r="V59" s="76" t="str">
        <x:f>IF('07_Form_Mobilite'!$Q59="Validé humainement",'07_Form_Mobilite'!V59,"")</x:f>
      </x:c>
    </x:row>
    <x:row r="60">
      <x:c r="A60" s="76" t="str">
        <x:f>IF('07_Form_Mobilite'!$Q60="Validé humainement",'07_Form_Mobilite'!A60,"")</x:f>
      </x:c>
      <x:c r="B60" s="76" t="str">
        <x:f>IF('07_Form_Mobilite'!$Q60="Validé humainement",'07_Form_Mobilite'!B60,"")</x:f>
      </x:c>
      <x:c r="C60" s="76" t="str">
        <x:f>IF('07_Form_Mobilite'!$Q60="Validé humainement",'07_Form_Mobilite'!C60,"")</x:f>
      </x:c>
      <x:c r="D60" s="76" t="str">
        <x:f>IF('07_Form_Mobilite'!$Q60="Validé humainement",'07_Form_Mobilite'!D60,"")</x:f>
      </x:c>
      <x:c r="E60" s="76" t="str">
        <x:f>IF('07_Form_Mobilite'!$Q60="Validé humainement",'07_Form_Mobilite'!E60,"")</x:f>
      </x:c>
      <x:c r="F60" s="81" t="str">
        <x:f>IF('07_Form_Mobilite'!$Q60="Validé humainement",'07_Form_Mobilite'!F60,"")</x:f>
      </x:c>
      <x:c r="G60" s="80" t="str">
        <x:f>IF('07_Form_Mobilite'!$Q60="Validé humainement",'07_Form_Mobilite'!G60,"")</x:f>
      </x:c>
      <x:c r="H60" s="81" t="str">
        <x:f>IF('07_Form_Mobilite'!$Q60="Validé humainement",'07_Form_Mobilite'!H60,"")</x:f>
      </x:c>
      <x:c r="I60" s="76" t="str">
        <x:f>IF('07_Form_Mobilite'!$Q60="Validé humainement",'07_Form_Mobilite'!I60,"")</x:f>
      </x:c>
      <x:c r="J60" s="77" t="str">
        <x:f>IF('07_Form_Mobilite'!$Q60="Validé humainement",'07_Form_Mobilite'!J60,"")</x:f>
      </x:c>
      <x:c r="K60" s="76" t="str">
        <x:f>IF('07_Form_Mobilite'!$Q60="Validé humainement",'07_Form_Mobilite'!K60,"")</x:f>
      </x:c>
      <x:c r="L60" s="83" t="str">
        <x:f>IF('07_Form_Mobilite'!$Q60="Validé humainement",'07_Form_Mobilite'!L60,"")</x:f>
      </x:c>
      <x:c r="M60" s="77" t="str">
        <x:f>IF('07_Form_Mobilite'!$Q60="Validé humainement",'07_Form_Mobilite'!M60,"")</x:f>
      </x:c>
      <x:c r="N60" s="76" t="str">
        <x:f>IF('07_Form_Mobilite'!$Q60="Validé humainement",'07_Form_Mobilite'!N60,"")</x:f>
      </x:c>
      <x:c r="O60" s="76" t="str">
        <x:f>IF('07_Form_Mobilite'!$Q60="Validé humainement",'07_Form_Mobilite'!O60,"")</x:f>
      </x:c>
      <x:c r="P60" s="76" t="str">
        <x:f>IF('07_Form_Mobilite'!$Q60="Validé humainement",'07_Form_Mobilite'!P60,"")</x:f>
      </x:c>
      <x:c r="Q60" s="76" t="str">
        <x:f>IF('07_Form_Mobilite'!$Q60="Validé humainement",'07_Form_Mobilite'!Q60,"")</x:f>
      </x:c>
      <x:c r="R60" s="76" t="str">
        <x:f>IF('07_Form_Mobilite'!$Q60="Validé humainement",'07_Form_Mobilite'!R60,"")</x:f>
      </x:c>
      <x:c r="S60" s="78" t="str">
        <x:f>IF('07_Form_Mobilite'!$Q60="Validé humainement",'07_Form_Mobilite'!S60,"")</x:f>
      </x:c>
      <x:c r="T60" s="76" t="str">
        <x:f>IF('07_Form_Mobilite'!$Q60="Validé humainement",'07_Form_Mobilite'!T60,"")</x:f>
      </x:c>
      <x:c r="U60" s="76" t="str">
        <x:f>IF('07_Form_Mobilite'!$Q60="Validé humainement",'07_Form_Mobilite'!U60,"")</x:f>
      </x:c>
      <x:c r="V60" s="76" t="str">
        <x:f>IF('07_Form_Mobilite'!$Q60="Validé humainement",'07_Form_Mobilite'!V60,"")</x:f>
      </x:c>
    </x:row>
    <x:row r="61">
      <x:c r="A61" s="76" t="str">
        <x:f>IF('07_Form_Mobilite'!$Q61="Validé humainement",'07_Form_Mobilite'!A61,"")</x:f>
      </x:c>
      <x:c r="B61" s="76" t="str">
        <x:f>IF('07_Form_Mobilite'!$Q61="Validé humainement",'07_Form_Mobilite'!B61,"")</x:f>
      </x:c>
      <x:c r="C61" s="76" t="str">
        <x:f>IF('07_Form_Mobilite'!$Q61="Validé humainement",'07_Form_Mobilite'!C61,"")</x:f>
      </x:c>
      <x:c r="D61" s="76" t="str">
        <x:f>IF('07_Form_Mobilite'!$Q61="Validé humainement",'07_Form_Mobilite'!D61,"")</x:f>
      </x:c>
      <x:c r="E61" s="76" t="str">
        <x:f>IF('07_Form_Mobilite'!$Q61="Validé humainement",'07_Form_Mobilite'!E61,"")</x:f>
      </x:c>
      <x:c r="F61" s="81" t="str">
        <x:f>IF('07_Form_Mobilite'!$Q61="Validé humainement",'07_Form_Mobilite'!F61,"")</x:f>
      </x:c>
      <x:c r="G61" s="80" t="str">
        <x:f>IF('07_Form_Mobilite'!$Q61="Validé humainement",'07_Form_Mobilite'!G61,"")</x:f>
      </x:c>
      <x:c r="H61" s="81" t="str">
        <x:f>IF('07_Form_Mobilite'!$Q61="Validé humainement",'07_Form_Mobilite'!H61,"")</x:f>
      </x:c>
      <x:c r="I61" s="76" t="str">
        <x:f>IF('07_Form_Mobilite'!$Q61="Validé humainement",'07_Form_Mobilite'!I61,"")</x:f>
      </x:c>
      <x:c r="J61" s="77" t="str">
        <x:f>IF('07_Form_Mobilite'!$Q61="Validé humainement",'07_Form_Mobilite'!J61,"")</x:f>
      </x:c>
      <x:c r="K61" s="76" t="str">
        <x:f>IF('07_Form_Mobilite'!$Q61="Validé humainement",'07_Form_Mobilite'!K61,"")</x:f>
      </x:c>
      <x:c r="L61" s="83" t="str">
        <x:f>IF('07_Form_Mobilite'!$Q61="Validé humainement",'07_Form_Mobilite'!L61,"")</x:f>
      </x:c>
      <x:c r="M61" s="77" t="str">
        <x:f>IF('07_Form_Mobilite'!$Q61="Validé humainement",'07_Form_Mobilite'!M61,"")</x:f>
      </x:c>
      <x:c r="N61" s="76" t="str">
        <x:f>IF('07_Form_Mobilite'!$Q61="Validé humainement",'07_Form_Mobilite'!N61,"")</x:f>
      </x:c>
      <x:c r="O61" s="76" t="str">
        <x:f>IF('07_Form_Mobilite'!$Q61="Validé humainement",'07_Form_Mobilite'!O61,"")</x:f>
      </x:c>
      <x:c r="P61" s="76" t="str">
        <x:f>IF('07_Form_Mobilite'!$Q61="Validé humainement",'07_Form_Mobilite'!P61,"")</x:f>
      </x:c>
      <x:c r="Q61" s="76" t="str">
        <x:f>IF('07_Form_Mobilite'!$Q61="Validé humainement",'07_Form_Mobilite'!Q61,"")</x:f>
      </x:c>
      <x:c r="R61" s="76" t="str">
        <x:f>IF('07_Form_Mobilite'!$Q61="Validé humainement",'07_Form_Mobilite'!R61,"")</x:f>
      </x:c>
      <x:c r="S61" s="78" t="str">
        <x:f>IF('07_Form_Mobilite'!$Q61="Validé humainement",'07_Form_Mobilite'!S61,"")</x:f>
      </x:c>
      <x:c r="T61" s="76" t="str">
        <x:f>IF('07_Form_Mobilite'!$Q61="Validé humainement",'07_Form_Mobilite'!T61,"")</x:f>
      </x:c>
      <x:c r="U61" s="76" t="str">
        <x:f>IF('07_Form_Mobilite'!$Q61="Validé humainement",'07_Form_Mobilite'!U61,"")</x:f>
      </x:c>
      <x:c r="V61" s="76" t="str">
        <x:f>IF('07_Form_Mobilite'!$Q61="Validé humainement",'07_Form_Mobilite'!V61,"")</x:f>
      </x:c>
    </x:row>
    <x:row r="62">
      <x:c r="A62" s="76" t="str">
        <x:f>IF('07_Form_Mobilite'!$Q62="Validé humainement",'07_Form_Mobilite'!A62,"")</x:f>
      </x:c>
      <x:c r="B62" s="76" t="str">
        <x:f>IF('07_Form_Mobilite'!$Q62="Validé humainement",'07_Form_Mobilite'!B62,"")</x:f>
      </x:c>
      <x:c r="C62" s="76" t="str">
        <x:f>IF('07_Form_Mobilite'!$Q62="Validé humainement",'07_Form_Mobilite'!C62,"")</x:f>
      </x:c>
      <x:c r="D62" s="76" t="str">
        <x:f>IF('07_Form_Mobilite'!$Q62="Validé humainement",'07_Form_Mobilite'!D62,"")</x:f>
      </x:c>
      <x:c r="E62" s="76" t="str">
        <x:f>IF('07_Form_Mobilite'!$Q62="Validé humainement",'07_Form_Mobilite'!E62,"")</x:f>
      </x:c>
      <x:c r="F62" s="81" t="str">
        <x:f>IF('07_Form_Mobilite'!$Q62="Validé humainement",'07_Form_Mobilite'!F62,"")</x:f>
      </x:c>
      <x:c r="G62" s="80" t="str">
        <x:f>IF('07_Form_Mobilite'!$Q62="Validé humainement",'07_Form_Mobilite'!G62,"")</x:f>
      </x:c>
      <x:c r="H62" s="81" t="str">
        <x:f>IF('07_Form_Mobilite'!$Q62="Validé humainement",'07_Form_Mobilite'!H62,"")</x:f>
      </x:c>
      <x:c r="I62" s="76" t="str">
        <x:f>IF('07_Form_Mobilite'!$Q62="Validé humainement",'07_Form_Mobilite'!I62,"")</x:f>
      </x:c>
      <x:c r="J62" s="77" t="str">
        <x:f>IF('07_Form_Mobilite'!$Q62="Validé humainement",'07_Form_Mobilite'!J62,"")</x:f>
      </x:c>
      <x:c r="K62" s="76" t="str">
        <x:f>IF('07_Form_Mobilite'!$Q62="Validé humainement",'07_Form_Mobilite'!K62,"")</x:f>
      </x:c>
      <x:c r="L62" s="83" t="str">
        <x:f>IF('07_Form_Mobilite'!$Q62="Validé humainement",'07_Form_Mobilite'!L62,"")</x:f>
      </x:c>
      <x:c r="M62" s="77" t="str">
        <x:f>IF('07_Form_Mobilite'!$Q62="Validé humainement",'07_Form_Mobilite'!M62,"")</x:f>
      </x:c>
      <x:c r="N62" s="76" t="str">
        <x:f>IF('07_Form_Mobilite'!$Q62="Validé humainement",'07_Form_Mobilite'!N62,"")</x:f>
      </x:c>
      <x:c r="O62" s="76" t="str">
        <x:f>IF('07_Form_Mobilite'!$Q62="Validé humainement",'07_Form_Mobilite'!O62,"")</x:f>
      </x:c>
      <x:c r="P62" s="76" t="str">
        <x:f>IF('07_Form_Mobilite'!$Q62="Validé humainement",'07_Form_Mobilite'!P62,"")</x:f>
      </x:c>
      <x:c r="Q62" s="76" t="str">
        <x:f>IF('07_Form_Mobilite'!$Q62="Validé humainement",'07_Form_Mobilite'!Q62,"")</x:f>
      </x:c>
      <x:c r="R62" s="76" t="str">
        <x:f>IF('07_Form_Mobilite'!$Q62="Validé humainement",'07_Form_Mobilite'!R62,"")</x:f>
      </x:c>
      <x:c r="S62" s="78" t="str">
        <x:f>IF('07_Form_Mobilite'!$Q62="Validé humainement",'07_Form_Mobilite'!S62,"")</x:f>
      </x:c>
      <x:c r="T62" s="76" t="str">
        <x:f>IF('07_Form_Mobilite'!$Q62="Validé humainement",'07_Form_Mobilite'!T62,"")</x:f>
      </x:c>
      <x:c r="U62" s="76" t="str">
        <x:f>IF('07_Form_Mobilite'!$Q62="Validé humainement",'07_Form_Mobilite'!U62,"")</x:f>
      </x:c>
      <x:c r="V62" s="76" t="str">
        <x:f>IF('07_Form_Mobilite'!$Q62="Validé humainement",'07_Form_Mobilite'!V62,"")</x:f>
      </x:c>
    </x:row>
    <x:row r="63">
      <x:c r="A63" s="76" t="str">
        <x:f>IF('07_Form_Mobilite'!$Q63="Validé humainement",'07_Form_Mobilite'!A63,"")</x:f>
      </x:c>
      <x:c r="B63" s="76" t="str">
        <x:f>IF('07_Form_Mobilite'!$Q63="Validé humainement",'07_Form_Mobilite'!B63,"")</x:f>
      </x:c>
      <x:c r="C63" s="76" t="str">
        <x:f>IF('07_Form_Mobilite'!$Q63="Validé humainement",'07_Form_Mobilite'!C63,"")</x:f>
      </x:c>
      <x:c r="D63" s="76" t="str">
        <x:f>IF('07_Form_Mobilite'!$Q63="Validé humainement",'07_Form_Mobilite'!D63,"")</x:f>
      </x:c>
      <x:c r="E63" s="76" t="str">
        <x:f>IF('07_Form_Mobilite'!$Q63="Validé humainement",'07_Form_Mobilite'!E63,"")</x:f>
      </x:c>
      <x:c r="F63" s="81" t="str">
        <x:f>IF('07_Form_Mobilite'!$Q63="Validé humainement",'07_Form_Mobilite'!F63,"")</x:f>
      </x:c>
      <x:c r="G63" s="80" t="str">
        <x:f>IF('07_Form_Mobilite'!$Q63="Validé humainement",'07_Form_Mobilite'!G63,"")</x:f>
      </x:c>
      <x:c r="H63" s="81" t="str">
        <x:f>IF('07_Form_Mobilite'!$Q63="Validé humainement",'07_Form_Mobilite'!H63,"")</x:f>
      </x:c>
      <x:c r="I63" s="76" t="str">
        <x:f>IF('07_Form_Mobilite'!$Q63="Validé humainement",'07_Form_Mobilite'!I63,"")</x:f>
      </x:c>
      <x:c r="J63" s="77" t="str">
        <x:f>IF('07_Form_Mobilite'!$Q63="Validé humainement",'07_Form_Mobilite'!J63,"")</x:f>
      </x:c>
      <x:c r="K63" s="76" t="str">
        <x:f>IF('07_Form_Mobilite'!$Q63="Validé humainement",'07_Form_Mobilite'!K63,"")</x:f>
      </x:c>
      <x:c r="L63" s="83" t="str">
        <x:f>IF('07_Form_Mobilite'!$Q63="Validé humainement",'07_Form_Mobilite'!L63,"")</x:f>
      </x:c>
      <x:c r="M63" s="77" t="str">
        <x:f>IF('07_Form_Mobilite'!$Q63="Validé humainement",'07_Form_Mobilite'!M63,"")</x:f>
      </x:c>
      <x:c r="N63" s="76" t="str">
        <x:f>IF('07_Form_Mobilite'!$Q63="Validé humainement",'07_Form_Mobilite'!N63,"")</x:f>
      </x:c>
      <x:c r="O63" s="76" t="str">
        <x:f>IF('07_Form_Mobilite'!$Q63="Validé humainement",'07_Form_Mobilite'!O63,"")</x:f>
      </x:c>
      <x:c r="P63" s="76" t="str">
        <x:f>IF('07_Form_Mobilite'!$Q63="Validé humainement",'07_Form_Mobilite'!P63,"")</x:f>
      </x:c>
      <x:c r="Q63" s="76" t="str">
        <x:f>IF('07_Form_Mobilite'!$Q63="Validé humainement",'07_Form_Mobilite'!Q63,"")</x:f>
      </x:c>
      <x:c r="R63" s="76" t="str">
        <x:f>IF('07_Form_Mobilite'!$Q63="Validé humainement",'07_Form_Mobilite'!R63,"")</x:f>
      </x:c>
      <x:c r="S63" s="78" t="str">
        <x:f>IF('07_Form_Mobilite'!$Q63="Validé humainement",'07_Form_Mobilite'!S63,"")</x:f>
      </x:c>
      <x:c r="T63" s="76" t="str">
        <x:f>IF('07_Form_Mobilite'!$Q63="Validé humainement",'07_Form_Mobilite'!T63,"")</x:f>
      </x:c>
      <x:c r="U63" s="76" t="str">
        <x:f>IF('07_Form_Mobilite'!$Q63="Validé humainement",'07_Form_Mobilite'!U63,"")</x:f>
      </x:c>
      <x:c r="V63" s="76" t="str">
        <x:f>IF('07_Form_Mobilite'!$Q63="Validé humainement",'07_Form_Mobilite'!V63,"")</x:f>
      </x:c>
    </x:row>
    <x:row r="64">
      <x:c r="A64" s="76" t="str">
        <x:f>IF('07_Form_Mobilite'!$Q64="Validé humainement",'07_Form_Mobilite'!A64,"")</x:f>
      </x:c>
      <x:c r="B64" s="76" t="str">
        <x:f>IF('07_Form_Mobilite'!$Q64="Validé humainement",'07_Form_Mobilite'!B64,"")</x:f>
      </x:c>
      <x:c r="C64" s="76" t="str">
        <x:f>IF('07_Form_Mobilite'!$Q64="Validé humainement",'07_Form_Mobilite'!C64,"")</x:f>
      </x:c>
      <x:c r="D64" s="76" t="str">
        <x:f>IF('07_Form_Mobilite'!$Q64="Validé humainement",'07_Form_Mobilite'!D64,"")</x:f>
      </x:c>
      <x:c r="E64" s="76" t="str">
        <x:f>IF('07_Form_Mobilite'!$Q64="Validé humainement",'07_Form_Mobilite'!E64,"")</x:f>
      </x:c>
      <x:c r="F64" s="81" t="str">
        <x:f>IF('07_Form_Mobilite'!$Q64="Validé humainement",'07_Form_Mobilite'!F64,"")</x:f>
      </x:c>
      <x:c r="G64" s="80" t="str">
        <x:f>IF('07_Form_Mobilite'!$Q64="Validé humainement",'07_Form_Mobilite'!G64,"")</x:f>
      </x:c>
      <x:c r="H64" s="81" t="str">
        <x:f>IF('07_Form_Mobilite'!$Q64="Validé humainement",'07_Form_Mobilite'!H64,"")</x:f>
      </x:c>
      <x:c r="I64" s="76" t="str">
        <x:f>IF('07_Form_Mobilite'!$Q64="Validé humainement",'07_Form_Mobilite'!I64,"")</x:f>
      </x:c>
      <x:c r="J64" s="77" t="str">
        <x:f>IF('07_Form_Mobilite'!$Q64="Validé humainement",'07_Form_Mobilite'!J64,"")</x:f>
      </x:c>
      <x:c r="K64" s="76" t="str">
        <x:f>IF('07_Form_Mobilite'!$Q64="Validé humainement",'07_Form_Mobilite'!K64,"")</x:f>
      </x:c>
      <x:c r="L64" s="83" t="str">
        <x:f>IF('07_Form_Mobilite'!$Q64="Validé humainement",'07_Form_Mobilite'!L64,"")</x:f>
      </x:c>
      <x:c r="M64" s="77" t="str">
        <x:f>IF('07_Form_Mobilite'!$Q64="Validé humainement",'07_Form_Mobilite'!M64,"")</x:f>
      </x:c>
      <x:c r="N64" s="76" t="str">
        <x:f>IF('07_Form_Mobilite'!$Q64="Validé humainement",'07_Form_Mobilite'!N64,"")</x:f>
      </x:c>
      <x:c r="O64" s="76" t="str">
        <x:f>IF('07_Form_Mobilite'!$Q64="Validé humainement",'07_Form_Mobilite'!O64,"")</x:f>
      </x:c>
      <x:c r="P64" s="76" t="str">
        <x:f>IF('07_Form_Mobilite'!$Q64="Validé humainement",'07_Form_Mobilite'!P64,"")</x:f>
      </x:c>
      <x:c r="Q64" s="76" t="str">
        <x:f>IF('07_Form_Mobilite'!$Q64="Validé humainement",'07_Form_Mobilite'!Q64,"")</x:f>
      </x:c>
      <x:c r="R64" s="76" t="str">
        <x:f>IF('07_Form_Mobilite'!$Q64="Validé humainement",'07_Form_Mobilite'!R64,"")</x:f>
      </x:c>
      <x:c r="S64" s="78" t="str">
        <x:f>IF('07_Form_Mobilite'!$Q64="Validé humainement",'07_Form_Mobilite'!S64,"")</x:f>
      </x:c>
      <x:c r="T64" s="76" t="str">
        <x:f>IF('07_Form_Mobilite'!$Q64="Validé humainement",'07_Form_Mobilite'!T64,"")</x:f>
      </x:c>
      <x:c r="U64" s="76" t="str">
        <x:f>IF('07_Form_Mobilite'!$Q64="Validé humainement",'07_Form_Mobilite'!U64,"")</x:f>
      </x:c>
      <x:c r="V64" s="76" t="str">
        <x:f>IF('07_Form_Mobilite'!$Q64="Validé humainement",'07_Form_Mobilite'!V64,"")</x:f>
      </x:c>
    </x:row>
    <x:row r="65">
      <x:c r="A65" s="76" t="str">
        <x:f>IF('07_Form_Mobilite'!$Q65="Validé humainement",'07_Form_Mobilite'!A65,"")</x:f>
      </x:c>
      <x:c r="B65" s="76" t="str">
        <x:f>IF('07_Form_Mobilite'!$Q65="Validé humainement",'07_Form_Mobilite'!B65,"")</x:f>
      </x:c>
      <x:c r="C65" s="76" t="str">
        <x:f>IF('07_Form_Mobilite'!$Q65="Validé humainement",'07_Form_Mobilite'!C65,"")</x:f>
      </x:c>
      <x:c r="D65" s="76" t="str">
        <x:f>IF('07_Form_Mobilite'!$Q65="Validé humainement",'07_Form_Mobilite'!D65,"")</x:f>
      </x:c>
      <x:c r="E65" s="76" t="str">
        <x:f>IF('07_Form_Mobilite'!$Q65="Validé humainement",'07_Form_Mobilite'!E65,"")</x:f>
      </x:c>
      <x:c r="F65" s="81" t="str">
        <x:f>IF('07_Form_Mobilite'!$Q65="Validé humainement",'07_Form_Mobilite'!F65,"")</x:f>
      </x:c>
      <x:c r="G65" s="80" t="str">
        <x:f>IF('07_Form_Mobilite'!$Q65="Validé humainement",'07_Form_Mobilite'!G65,"")</x:f>
      </x:c>
      <x:c r="H65" s="81" t="str">
        <x:f>IF('07_Form_Mobilite'!$Q65="Validé humainement",'07_Form_Mobilite'!H65,"")</x:f>
      </x:c>
      <x:c r="I65" s="76" t="str">
        <x:f>IF('07_Form_Mobilite'!$Q65="Validé humainement",'07_Form_Mobilite'!I65,"")</x:f>
      </x:c>
      <x:c r="J65" s="77" t="str">
        <x:f>IF('07_Form_Mobilite'!$Q65="Validé humainement",'07_Form_Mobilite'!J65,"")</x:f>
      </x:c>
      <x:c r="K65" s="76" t="str">
        <x:f>IF('07_Form_Mobilite'!$Q65="Validé humainement",'07_Form_Mobilite'!K65,"")</x:f>
      </x:c>
      <x:c r="L65" s="83" t="str">
        <x:f>IF('07_Form_Mobilite'!$Q65="Validé humainement",'07_Form_Mobilite'!L65,"")</x:f>
      </x:c>
      <x:c r="M65" s="77" t="str">
        <x:f>IF('07_Form_Mobilite'!$Q65="Validé humainement",'07_Form_Mobilite'!M65,"")</x:f>
      </x:c>
      <x:c r="N65" s="76" t="str">
        <x:f>IF('07_Form_Mobilite'!$Q65="Validé humainement",'07_Form_Mobilite'!N65,"")</x:f>
      </x:c>
      <x:c r="O65" s="76" t="str">
        <x:f>IF('07_Form_Mobilite'!$Q65="Validé humainement",'07_Form_Mobilite'!O65,"")</x:f>
      </x:c>
      <x:c r="P65" s="76" t="str">
        <x:f>IF('07_Form_Mobilite'!$Q65="Validé humainement",'07_Form_Mobilite'!P65,"")</x:f>
      </x:c>
      <x:c r="Q65" s="76" t="str">
        <x:f>IF('07_Form_Mobilite'!$Q65="Validé humainement",'07_Form_Mobilite'!Q65,"")</x:f>
      </x:c>
      <x:c r="R65" s="76" t="str">
        <x:f>IF('07_Form_Mobilite'!$Q65="Validé humainement",'07_Form_Mobilite'!R65,"")</x:f>
      </x:c>
      <x:c r="S65" s="78" t="str">
        <x:f>IF('07_Form_Mobilite'!$Q65="Validé humainement",'07_Form_Mobilite'!S65,"")</x:f>
      </x:c>
      <x:c r="T65" s="76" t="str">
        <x:f>IF('07_Form_Mobilite'!$Q65="Validé humainement",'07_Form_Mobilite'!T65,"")</x:f>
      </x:c>
      <x:c r="U65" s="76" t="str">
        <x:f>IF('07_Form_Mobilite'!$Q65="Validé humainement",'07_Form_Mobilite'!U65,"")</x:f>
      </x:c>
      <x:c r="V65" s="76" t="str">
        <x:f>IF('07_Form_Mobilite'!$Q65="Validé humainement",'07_Form_Mobilite'!V65,"")</x:f>
      </x:c>
    </x:row>
    <x:row r="66">
      <x:c r="A66" s="76" t="str">
        <x:f>IF('07_Form_Mobilite'!$Q66="Validé humainement",'07_Form_Mobilite'!A66,"")</x:f>
      </x:c>
      <x:c r="B66" s="76" t="str">
        <x:f>IF('07_Form_Mobilite'!$Q66="Validé humainement",'07_Form_Mobilite'!B66,"")</x:f>
      </x:c>
      <x:c r="C66" s="76" t="str">
        <x:f>IF('07_Form_Mobilite'!$Q66="Validé humainement",'07_Form_Mobilite'!C66,"")</x:f>
      </x:c>
      <x:c r="D66" s="76" t="str">
        <x:f>IF('07_Form_Mobilite'!$Q66="Validé humainement",'07_Form_Mobilite'!D66,"")</x:f>
      </x:c>
      <x:c r="E66" s="76" t="str">
        <x:f>IF('07_Form_Mobilite'!$Q66="Validé humainement",'07_Form_Mobilite'!E66,"")</x:f>
      </x:c>
      <x:c r="F66" s="81" t="str">
        <x:f>IF('07_Form_Mobilite'!$Q66="Validé humainement",'07_Form_Mobilite'!F66,"")</x:f>
      </x:c>
      <x:c r="G66" s="80" t="str">
        <x:f>IF('07_Form_Mobilite'!$Q66="Validé humainement",'07_Form_Mobilite'!G66,"")</x:f>
      </x:c>
      <x:c r="H66" s="81" t="str">
        <x:f>IF('07_Form_Mobilite'!$Q66="Validé humainement",'07_Form_Mobilite'!H66,"")</x:f>
      </x:c>
      <x:c r="I66" s="76" t="str">
        <x:f>IF('07_Form_Mobilite'!$Q66="Validé humainement",'07_Form_Mobilite'!I66,"")</x:f>
      </x:c>
      <x:c r="J66" s="77" t="str">
        <x:f>IF('07_Form_Mobilite'!$Q66="Validé humainement",'07_Form_Mobilite'!J66,"")</x:f>
      </x:c>
      <x:c r="K66" s="76" t="str">
        <x:f>IF('07_Form_Mobilite'!$Q66="Validé humainement",'07_Form_Mobilite'!K66,"")</x:f>
      </x:c>
      <x:c r="L66" s="83" t="str">
        <x:f>IF('07_Form_Mobilite'!$Q66="Validé humainement",'07_Form_Mobilite'!L66,"")</x:f>
      </x:c>
      <x:c r="M66" s="77" t="str">
        <x:f>IF('07_Form_Mobilite'!$Q66="Validé humainement",'07_Form_Mobilite'!M66,"")</x:f>
      </x:c>
      <x:c r="N66" s="76" t="str">
        <x:f>IF('07_Form_Mobilite'!$Q66="Validé humainement",'07_Form_Mobilite'!N66,"")</x:f>
      </x:c>
      <x:c r="O66" s="76" t="str">
        <x:f>IF('07_Form_Mobilite'!$Q66="Validé humainement",'07_Form_Mobilite'!O66,"")</x:f>
      </x:c>
      <x:c r="P66" s="76" t="str">
        <x:f>IF('07_Form_Mobilite'!$Q66="Validé humainement",'07_Form_Mobilite'!P66,"")</x:f>
      </x:c>
      <x:c r="Q66" s="76" t="str">
        <x:f>IF('07_Form_Mobilite'!$Q66="Validé humainement",'07_Form_Mobilite'!Q66,"")</x:f>
      </x:c>
      <x:c r="R66" s="76" t="str">
        <x:f>IF('07_Form_Mobilite'!$Q66="Validé humainement",'07_Form_Mobilite'!R66,"")</x:f>
      </x:c>
      <x:c r="S66" s="78" t="str">
        <x:f>IF('07_Form_Mobilite'!$Q66="Validé humainement",'07_Form_Mobilite'!S66,"")</x:f>
      </x:c>
      <x:c r="T66" s="76" t="str">
        <x:f>IF('07_Form_Mobilite'!$Q66="Validé humainement",'07_Form_Mobilite'!T66,"")</x:f>
      </x:c>
      <x:c r="U66" s="76" t="str">
        <x:f>IF('07_Form_Mobilite'!$Q66="Validé humainement",'07_Form_Mobilite'!U66,"")</x:f>
      </x:c>
      <x:c r="V66" s="76" t="str">
        <x:f>IF('07_Form_Mobilite'!$Q66="Validé humainement",'07_Form_Mobilite'!V66,"")</x:f>
      </x:c>
    </x:row>
    <x:row r="67">
      <x:c r="A67" s="76" t="str">
        <x:f>IF('07_Form_Mobilite'!$Q67="Validé humainement",'07_Form_Mobilite'!A67,"")</x:f>
      </x:c>
      <x:c r="B67" s="76" t="str">
        <x:f>IF('07_Form_Mobilite'!$Q67="Validé humainement",'07_Form_Mobilite'!B67,"")</x:f>
      </x:c>
      <x:c r="C67" s="76" t="str">
        <x:f>IF('07_Form_Mobilite'!$Q67="Validé humainement",'07_Form_Mobilite'!C67,"")</x:f>
      </x:c>
      <x:c r="D67" s="76" t="str">
        <x:f>IF('07_Form_Mobilite'!$Q67="Validé humainement",'07_Form_Mobilite'!D67,"")</x:f>
      </x:c>
      <x:c r="E67" s="76" t="str">
        <x:f>IF('07_Form_Mobilite'!$Q67="Validé humainement",'07_Form_Mobilite'!E67,"")</x:f>
      </x:c>
      <x:c r="F67" s="81" t="str">
        <x:f>IF('07_Form_Mobilite'!$Q67="Validé humainement",'07_Form_Mobilite'!F67,"")</x:f>
      </x:c>
      <x:c r="G67" s="80" t="str">
        <x:f>IF('07_Form_Mobilite'!$Q67="Validé humainement",'07_Form_Mobilite'!G67,"")</x:f>
      </x:c>
      <x:c r="H67" s="81" t="str">
        <x:f>IF('07_Form_Mobilite'!$Q67="Validé humainement",'07_Form_Mobilite'!H67,"")</x:f>
      </x:c>
      <x:c r="I67" s="76" t="str">
        <x:f>IF('07_Form_Mobilite'!$Q67="Validé humainement",'07_Form_Mobilite'!I67,"")</x:f>
      </x:c>
      <x:c r="J67" s="77" t="str">
        <x:f>IF('07_Form_Mobilite'!$Q67="Validé humainement",'07_Form_Mobilite'!J67,"")</x:f>
      </x:c>
      <x:c r="K67" s="76" t="str">
        <x:f>IF('07_Form_Mobilite'!$Q67="Validé humainement",'07_Form_Mobilite'!K67,"")</x:f>
      </x:c>
      <x:c r="L67" s="83" t="str">
        <x:f>IF('07_Form_Mobilite'!$Q67="Validé humainement",'07_Form_Mobilite'!L67,"")</x:f>
      </x:c>
      <x:c r="M67" s="77" t="str">
        <x:f>IF('07_Form_Mobilite'!$Q67="Validé humainement",'07_Form_Mobilite'!M67,"")</x:f>
      </x:c>
      <x:c r="N67" s="76" t="str">
        <x:f>IF('07_Form_Mobilite'!$Q67="Validé humainement",'07_Form_Mobilite'!N67,"")</x:f>
      </x:c>
      <x:c r="O67" s="76" t="str">
        <x:f>IF('07_Form_Mobilite'!$Q67="Validé humainement",'07_Form_Mobilite'!O67,"")</x:f>
      </x:c>
      <x:c r="P67" s="76" t="str">
        <x:f>IF('07_Form_Mobilite'!$Q67="Validé humainement",'07_Form_Mobilite'!P67,"")</x:f>
      </x:c>
      <x:c r="Q67" s="76" t="str">
        <x:f>IF('07_Form_Mobilite'!$Q67="Validé humainement",'07_Form_Mobilite'!Q67,"")</x:f>
      </x:c>
      <x:c r="R67" s="76" t="str">
        <x:f>IF('07_Form_Mobilite'!$Q67="Validé humainement",'07_Form_Mobilite'!R67,"")</x:f>
      </x:c>
      <x:c r="S67" s="78" t="str">
        <x:f>IF('07_Form_Mobilite'!$Q67="Validé humainement",'07_Form_Mobilite'!S67,"")</x:f>
      </x:c>
      <x:c r="T67" s="76" t="str">
        <x:f>IF('07_Form_Mobilite'!$Q67="Validé humainement",'07_Form_Mobilite'!T67,"")</x:f>
      </x:c>
      <x:c r="U67" s="76" t="str">
        <x:f>IF('07_Form_Mobilite'!$Q67="Validé humainement",'07_Form_Mobilite'!U67,"")</x:f>
      </x:c>
      <x:c r="V67" s="76" t="str">
        <x:f>IF('07_Form_Mobilite'!$Q67="Validé humainement",'07_Form_Mobilite'!V67,"")</x:f>
      </x:c>
    </x:row>
    <x:row r="68">
      <x:c r="A68" s="76" t="str">
        <x:f>IF('07_Form_Mobilite'!$Q68="Validé humainement",'07_Form_Mobilite'!A68,"")</x:f>
      </x:c>
      <x:c r="B68" s="76" t="str">
        <x:f>IF('07_Form_Mobilite'!$Q68="Validé humainement",'07_Form_Mobilite'!B68,"")</x:f>
      </x:c>
      <x:c r="C68" s="76" t="str">
        <x:f>IF('07_Form_Mobilite'!$Q68="Validé humainement",'07_Form_Mobilite'!C68,"")</x:f>
      </x:c>
      <x:c r="D68" s="76" t="str">
        <x:f>IF('07_Form_Mobilite'!$Q68="Validé humainement",'07_Form_Mobilite'!D68,"")</x:f>
      </x:c>
      <x:c r="E68" s="76" t="str">
        <x:f>IF('07_Form_Mobilite'!$Q68="Validé humainement",'07_Form_Mobilite'!E68,"")</x:f>
      </x:c>
      <x:c r="F68" s="81" t="str">
        <x:f>IF('07_Form_Mobilite'!$Q68="Validé humainement",'07_Form_Mobilite'!F68,"")</x:f>
      </x:c>
      <x:c r="G68" s="80" t="str">
        <x:f>IF('07_Form_Mobilite'!$Q68="Validé humainement",'07_Form_Mobilite'!G68,"")</x:f>
      </x:c>
      <x:c r="H68" s="81" t="str">
        <x:f>IF('07_Form_Mobilite'!$Q68="Validé humainement",'07_Form_Mobilite'!H68,"")</x:f>
      </x:c>
      <x:c r="I68" s="76" t="str">
        <x:f>IF('07_Form_Mobilite'!$Q68="Validé humainement",'07_Form_Mobilite'!I68,"")</x:f>
      </x:c>
      <x:c r="J68" s="77" t="str">
        <x:f>IF('07_Form_Mobilite'!$Q68="Validé humainement",'07_Form_Mobilite'!J68,"")</x:f>
      </x:c>
      <x:c r="K68" s="76" t="str">
        <x:f>IF('07_Form_Mobilite'!$Q68="Validé humainement",'07_Form_Mobilite'!K68,"")</x:f>
      </x:c>
      <x:c r="L68" s="83" t="str">
        <x:f>IF('07_Form_Mobilite'!$Q68="Validé humainement",'07_Form_Mobilite'!L68,"")</x:f>
      </x:c>
      <x:c r="M68" s="77" t="str">
        <x:f>IF('07_Form_Mobilite'!$Q68="Validé humainement",'07_Form_Mobilite'!M68,"")</x:f>
      </x:c>
      <x:c r="N68" s="76" t="str">
        <x:f>IF('07_Form_Mobilite'!$Q68="Validé humainement",'07_Form_Mobilite'!N68,"")</x:f>
      </x:c>
      <x:c r="O68" s="76" t="str">
        <x:f>IF('07_Form_Mobilite'!$Q68="Validé humainement",'07_Form_Mobilite'!O68,"")</x:f>
      </x:c>
      <x:c r="P68" s="76" t="str">
        <x:f>IF('07_Form_Mobilite'!$Q68="Validé humainement",'07_Form_Mobilite'!P68,"")</x:f>
      </x:c>
      <x:c r="Q68" s="76" t="str">
        <x:f>IF('07_Form_Mobilite'!$Q68="Validé humainement",'07_Form_Mobilite'!Q68,"")</x:f>
      </x:c>
      <x:c r="R68" s="76" t="str">
        <x:f>IF('07_Form_Mobilite'!$Q68="Validé humainement",'07_Form_Mobilite'!R68,"")</x:f>
      </x:c>
      <x:c r="S68" s="78" t="str">
        <x:f>IF('07_Form_Mobilite'!$Q68="Validé humainement",'07_Form_Mobilite'!S68,"")</x:f>
      </x:c>
      <x:c r="T68" s="76" t="str">
        <x:f>IF('07_Form_Mobilite'!$Q68="Validé humainement",'07_Form_Mobilite'!T68,"")</x:f>
      </x:c>
      <x:c r="U68" s="76" t="str">
        <x:f>IF('07_Form_Mobilite'!$Q68="Validé humainement",'07_Form_Mobilite'!U68,"")</x:f>
      </x:c>
      <x:c r="V68" s="76" t="str">
        <x:f>IF('07_Form_Mobilite'!$Q68="Validé humainement",'07_Form_Mobilite'!V68,"")</x:f>
      </x:c>
    </x:row>
    <x:row r="69">
      <x:c r="A69" s="76" t="str">
        <x:f>IF('07_Form_Mobilite'!$Q69="Validé humainement",'07_Form_Mobilite'!A69,"")</x:f>
      </x:c>
      <x:c r="B69" s="76" t="str">
        <x:f>IF('07_Form_Mobilite'!$Q69="Validé humainement",'07_Form_Mobilite'!B69,"")</x:f>
      </x:c>
      <x:c r="C69" s="76" t="str">
        <x:f>IF('07_Form_Mobilite'!$Q69="Validé humainement",'07_Form_Mobilite'!C69,"")</x:f>
      </x:c>
      <x:c r="D69" s="76" t="str">
        <x:f>IF('07_Form_Mobilite'!$Q69="Validé humainement",'07_Form_Mobilite'!D69,"")</x:f>
      </x:c>
      <x:c r="E69" s="76" t="str">
        <x:f>IF('07_Form_Mobilite'!$Q69="Validé humainement",'07_Form_Mobilite'!E69,"")</x:f>
      </x:c>
      <x:c r="F69" s="81" t="str">
        <x:f>IF('07_Form_Mobilite'!$Q69="Validé humainement",'07_Form_Mobilite'!F69,"")</x:f>
      </x:c>
      <x:c r="G69" s="80" t="str">
        <x:f>IF('07_Form_Mobilite'!$Q69="Validé humainement",'07_Form_Mobilite'!G69,"")</x:f>
      </x:c>
      <x:c r="H69" s="81" t="str">
        <x:f>IF('07_Form_Mobilite'!$Q69="Validé humainement",'07_Form_Mobilite'!H69,"")</x:f>
      </x:c>
      <x:c r="I69" s="76" t="str">
        <x:f>IF('07_Form_Mobilite'!$Q69="Validé humainement",'07_Form_Mobilite'!I69,"")</x:f>
      </x:c>
      <x:c r="J69" s="77" t="str">
        <x:f>IF('07_Form_Mobilite'!$Q69="Validé humainement",'07_Form_Mobilite'!J69,"")</x:f>
      </x:c>
      <x:c r="K69" s="76" t="str">
        <x:f>IF('07_Form_Mobilite'!$Q69="Validé humainement",'07_Form_Mobilite'!K69,"")</x:f>
      </x:c>
      <x:c r="L69" s="83" t="str">
        <x:f>IF('07_Form_Mobilite'!$Q69="Validé humainement",'07_Form_Mobilite'!L69,"")</x:f>
      </x:c>
      <x:c r="M69" s="77" t="str">
        <x:f>IF('07_Form_Mobilite'!$Q69="Validé humainement",'07_Form_Mobilite'!M69,"")</x:f>
      </x:c>
      <x:c r="N69" s="76" t="str">
        <x:f>IF('07_Form_Mobilite'!$Q69="Validé humainement",'07_Form_Mobilite'!N69,"")</x:f>
      </x:c>
      <x:c r="O69" s="76" t="str">
        <x:f>IF('07_Form_Mobilite'!$Q69="Validé humainement",'07_Form_Mobilite'!O69,"")</x:f>
      </x:c>
      <x:c r="P69" s="76" t="str">
        <x:f>IF('07_Form_Mobilite'!$Q69="Validé humainement",'07_Form_Mobilite'!P69,"")</x:f>
      </x:c>
      <x:c r="Q69" s="76" t="str">
        <x:f>IF('07_Form_Mobilite'!$Q69="Validé humainement",'07_Form_Mobilite'!Q69,"")</x:f>
      </x:c>
      <x:c r="R69" s="76" t="str">
        <x:f>IF('07_Form_Mobilite'!$Q69="Validé humainement",'07_Form_Mobilite'!R69,"")</x:f>
      </x:c>
      <x:c r="S69" s="78" t="str">
        <x:f>IF('07_Form_Mobilite'!$Q69="Validé humainement",'07_Form_Mobilite'!S69,"")</x:f>
      </x:c>
      <x:c r="T69" s="76" t="str">
        <x:f>IF('07_Form_Mobilite'!$Q69="Validé humainement",'07_Form_Mobilite'!T69,"")</x:f>
      </x:c>
      <x:c r="U69" s="76" t="str">
        <x:f>IF('07_Form_Mobilite'!$Q69="Validé humainement",'07_Form_Mobilite'!U69,"")</x:f>
      </x:c>
      <x:c r="V69" s="76" t="str">
        <x:f>IF('07_Form_Mobilite'!$Q69="Validé humainement",'07_Form_Mobilite'!V69,"")</x:f>
      </x:c>
    </x:row>
    <x:row r="70">
      <x:c r="A70" s="76" t="str">
        <x:f>IF('07_Form_Mobilite'!$Q70="Validé humainement",'07_Form_Mobilite'!A70,"")</x:f>
      </x:c>
      <x:c r="B70" s="76" t="str">
        <x:f>IF('07_Form_Mobilite'!$Q70="Validé humainement",'07_Form_Mobilite'!B70,"")</x:f>
      </x:c>
      <x:c r="C70" s="76" t="str">
        <x:f>IF('07_Form_Mobilite'!$Q70="Validé humainement",'07_Form_Mobilite'!C70,"")</x:f>
      </x:c>
      <x:c r="D70" s="76" t="str">
        <x:f>IF('07_Form_Mobilite'!$Q70="Validé humainement",'07_Form_Mobilite'!D70,"")</x:f>
      </x:c>
      <x:c r="E70" s="76" t="str">
        <x:f>IF('07_Form_Mobilite'!$Q70="Validé humainement",'07_Form_Mobilite'!E70,"")</x:f>
      </x:c>
      <x:c r="F70" s="81" t="str">
        <x:f>IF('07_Form_Mobilite'!$Q70="Validé humainement",'07_Form_Mobilite'!F70,"")</x:f>
      </x:c>
      <x:c r="G70" s="80" t="str">
        <x:f>IF('07_Form_Mobilite'!$Q70="Validé humainement",'07_Form_Mobilite'!G70,"")</x:f>
      </x:c>
      <x:c r="H70" s="81" t="str">
        <x:f>IF('07_Form_Mobilite'!$Q70="Validé humainement",'07_Form_Mobilite'!H70,"")</x:f>
      </x:c>
      <x:c r="I70" s="76" t="str">
        <x:f>IF('07_Form_Mobilite'!$Q70="Validé humainement",'07_Form_Mobilite'!I70,"")</x:f>
      </x:c>
      <x:c r="J70" s="77" t="str">
        <x:f>IF('07_Form_Mobilite'!$Q70="Validé humainement",'07_Form_Mobilite'!J70,"")</x:f>
      </x:c>
      <x:c r="K70" s="76" t="str">
        <x:f>IF('07_Form_Mobilite'!$Q70="Validé humainement",'07_Form_Mobilite'!K70,"")</x:f>
      </x:c>
      <x:c r="L70" s="83" t="str">
        <x:f>IF('07_Form_Mobilite'!$Q70="Validé humainement",'07_Form_Mobilite'!L70,"")</x:f>
      </x:c>
      <x:c r="M70" s="77" t="str">
        <x:f>IF('07_Form_Mobilite'!$Q70="Validé humainement",'07_Form_Mobilite'!M70,"")</x:f>
      </x:c>
      <x:c r="N70" s="76" t="str">
        <x:f>IF('07_Form_Mobilite'!$Q70="Validé humainement",'07_Form_Mobilite'!N70,"")</x:f>
      </x:c>
      <x:c r="O70" s="76" t="str">
        <x:f>IF('07_Form_Mobilite'!$Q70="Validé humainement",'07_Form_Mobilite'!O70,"")</x:f>
      </x:c>
      <x:c r="P70" s="76" t="str">
        <x:f>IF('07_Form_Mobilite'!$Q70="Validé humainement",'07_Form_Mobilite'!P70,"")</x:f>
      </x:c>
      <x:c r="Q70" s="76" t="str">
        <x:f>IF('07_Form_Mobilite'!$Q70="Validé humainement",'07_Form_Mobilite'!Q70,"")</x:f>
      </x:c>
      <x:c r="R70" s="76" t="str">
        <x:f>IF('07_Form_Mobilite'!$Q70="Validé humainement",'07_Form_Mobilite'!R70,"")</x:f>
      </x:c>
      <x:c r="S70" s="78" t="str">
        <x:f>IF('07_Form_Mobilite'!$Q70="Validé humainement",'07_Form_Mobilite'!S70,"")</x:f>
      </x:c>
      <x:c r="T70" s="76" t="str">
        <x:f>IF('07_Form_Mobilite'!$Q70="Validé humainement",'07_Form_Mobilite'!T70,"")</x:f>
      </x:c>
      <x:c r="U70" s="76" t="str">
        <x:f>IF('07_Form_Mobilite'!$Q70="Validé humainement",'07_Form_Mobilite'!U70,"")</x:f>
      </x:c>
      <x:c r="V70" s="76" t="str">
        <x:f>IF('07_Form_Mobilite'!$Q70="Validé humainement",'07_Form_Mobilite'!V70,"")</x:f>
      </x:c>
    </x:row>
    <x:row r="71">
      <x:c r="A71" s="76" t="str">
        <x:f>IF('07_Form_Mobilite'!$Q71="Validé humainement",'07_Form_Mobilite'!A71,"")</x:f>
      </x:c>
      <x:c r="B71" s="76" t="str">
        <x:f>IF('07_Form_Mobilite'!$Q71="Validé humainement",'07_Form_Mobilite'!B71,"")</x:f>
      </x:c>
      <x:c r="C71" s="76" t="str">
        <x:f>IF('07_Form_Mobilite'!$Q71="Validé humainement",'07_Form_Mobilite'!C71,"")</x:f>
      </x:c>
      <x:c r="D71" s="76" t="str">
        <x:f>IF('07_Form_Mobilite'!$Q71="Validé humainement",'07_Form_Mobilite'!D71,"")</x:f>
      </x:c>
      <x:c r="E71" s="76" t="str">
        <x:f>IF('07_Form_Mobilite'!$Q71="Validé humainement",'07_Form_Mobilite'!E71,"")</x:f>
      </x:c>
      <x:c r="F71" s="81" t="str">
        <x:f>IF('07_Form_Mobilite'!$Q71="Validé humainement",'07_Form_Mobilite'!F71,"")</x:f>
      </x:c>
      <x:c r="G71" s="80" t="str">
        <x:f>IF('07_Form_Mobilite'!$Q71="Validé humainement",'07_Form_Mobilite'!G71,"")</x:f>
      </x:c>
      <x:c r="H71" s="81" t="str">
        <x:f>IF('07_Form_Mobilite'!$Q71="Validé humainement",'07_Form_Mobilite'!H71,"")</x:f>
      </x:c>
      <x:c r="I71" s="76" t="str">
        <x:f>IF('07_Form_Mobilite'!$Q71="Validé humainement",'07_Form_Mobilite'!I71,"")</x:f>
      </x:c>
      <x:c r="J71" s="77" t="str">
        <x:f>IF('07_Form_Mobilite'!$Q71="Validé humainement",'07_Form_Mobilite'!J71,"")</x:f>
      </x:c>
      <x:c r="K71" s="76" t="str">
        <x:f>IF('07_Form_Mobilite'!$Q71="Validé humainement",'07_Form_Mobilite'!K71,"")</x:f>
      </x:c>
      <x:c r="L71" s="83" t="str">
        <x:f>IF('07_Form_Mobilite'!$Q71="Validé humainement",'07_Form_Mobilite'!L71,"")</x:f>
      </x:c>
      <x:c r="M71" s="77" t="str">
        <x:f>IF('07_Form_Mobilite'!$Q71="Validé humainement",'07_Form_Mobilite'!M71,"")</x:f>
      </x:c>
      <x:c r="N71" s="76" t="str">
        <x:f>IF('07_Form_Mobilite'!$Q71="Validé humainement",'07_Form_Mobilite'!N71,"")</x:f>
      </x:c>
      <x:c r="O71" s="76" t="str">
        <x:f>IF('07_Form_Mobilite'!$Q71="Validé humainement",'07_Form_Mobilite'!O71,"")</x:f>
      </x:c>
      <x:c r="P71" s="76" t="str">
        <x:f>IF('07_Form_Mobilite'!$Q71="Validé humainement",'07_Form_Mobilite'!P71,"")</x:f>
      </x:c>
      <x:c r="Q71" s="76" t="str">
        <x:f>IF('07_Form_Mobilite'!$Q71="Validé humainement",'07_Form_Mobilite'!Q71,"")</x:f>
      </x:c>
      <x:c r="R71" s="76" t="str">
        <x:f>IF('07_Form_Mobilite'!$Q71="Validé humainement",'07_Form_Mobilite'!R71,"")</x:f>
      </x:c>
      <x:c r="S71" s="78" t="str">
        <x:f>IF('07_Form_Mobilite'!$Q71="Validé humainement",'07_Form_Mobilite'!S71,"")</x:f>
      </x:c>
      <x:c r="T71" s="76" t="str">
        <x:f>IF('07_Form_Mobilite'!$Q71="Validé humainement",'07_Form_Mobilite'!T71,"")</x:f>
      </x:c>
      <x:c r="U71" s="76" t="str">
        <x:f>IF('07_Form_Mobilite'!$Q71="Validé humainement",'07_Form_Mobilite'!U71,"")</x:f>
      </x:c>
      <x:c r="V71" s="76" t="str">
        <x:f>IF('07_Form_Mobilite'!$Q71="Validé humainement",'07_Form_Mobilite'!V71,"")</x:f>
      </x:c>
    </x:row>
    <x:row r="72">
      <x:c r="A72" s="76" t="str">
        <x:f>IF('07_Form_Mobilite'!$Q72="Validé humainement",'07_Form_Mobilite'!A72,"")</x:f>
      </x:c>
      <x:c r="B72" s="76" t="str">
        <x:f>IF('07_Form_Mobilite'!$Q72="Validé humainement",'07_Form_Mobilite'!B72,"")</x:f>
      </x:c>
      <x:c r="C72" s="76" t="str">
        <x:f>IF('07_Form_Mobilite'!$Q72="Validé humainement",'07_Form_Mobilite'!C72,"")</x:f>
      </x:c>
      <x:c r="D72" s="76" t="str">
        <x:f>IF('07_Form_Mobilite'!$Q72="Validé humainement",'07_Form_Mobilite'!D72,"")</x:f>
      </x:c>
      <x:c r="E72" s="76" t="str">
        <x:f>IF('07_Form_Mobilite'!$Q72="Validé humainement",'07_Form_Mobilite'!E72,"")</x:f>
      </x:c>
      <x:c r="F72" s="81" t="str">
        <x:f>IF('07_Form_Mobilite'!$Q72="Validé humainement",'07_Form_Mobilite'!F72,"")</x:f>
      </x:c>
      <x:c r="G72" s="80" t="str">
        <x:f>IF('07_Form_Mobilite'!$Q72="Validé humainement",'07_Form_Mobilite'!G72,"")</x:f>
      </x:c>
      <x:c r="H72" s="81" t="str">
        <x:f>IF('07_Form_Mobilite'!$Q72="Validé humainement",'07_Form_Mobilite'!H72,"")</x:f>
      </x:c>
      <x:c r="I72" s="76" t="str">
        <x:f>IF('07_Form_Mobilite'!$Q72="Validé humainement",'07_Form_Mobilite'!I72,"")</x:f>
      </x:c>
      <x:c r="J72" s="77" t="str">
        <x:f>IF('07_Form_Mobilite'!$Q72="Validé humainement",'07_Form_Mobilite'!J72,"")</x:f>
      </x:c>
      <x:c r="K72" s="76" t="str">
        <x:f>IF('07_Form_Mobilite'!$Q72="Validé humainement",'07_Form_Mobilite'!K72,"")</x:f>
      </x:c>
      <x:c r="L72" s="83" t="str">
        <x:f>IF('07_Form_Mobilite'!$Q72="Validé humainement",'07_Form_Mobilite'!L72,"")</x:f>
      </x:c>
      <x:c r="M72" s="77" t="str">
        <x:f>IF('07_Form_Mobilite'!$Q72="Validé humainement",'07_Form_Mobilite'!M72,"")</x:f>
      </x:c>
      <x:c r="N72" s="76" t="str">
        <x:f>IF('07_Form_Mobilite'!$Q72="Validé humainement",'07_Form_Mobilite'!N72,"")</x:f>
      </x:c>
      <x:c r="O72" s="76" t="str">
        <x:f>IF('07_Form_Mobilite'!$Q72="Validé humainement",'07_Form_Mobilite'!O72,"")</x:f>
      </x:c>
      <x:c r="P72" s="76" t="str">
        <x:f>IF('07_Form_Mobilite'!$Q72="Validé humainement",'07_Form_Mobilite'!P72,"")</x:f>
      </x:c>
      <x:c r="Q72" s="76" t="str">
        <x:f>IF('07_Form_Mobilite'!$Q72="Validé humainement",'07_Form_Mobilite'!Q72,"")</x:f>
      </x:c>
      <x:c r="R72" s="76" t="str">
        <x:f>IF('07_Form_Mobilite'!$Q72="Validé humainement",'07_Form_Mobilite'!R72,"")</x:f>
      </x:c>
      <x:c r="S72" s="78" t="str">
        <x:f>IF('07_Form_Mobilite'!$Q72="Validé humainement",'07_Form_Mobilite'!S72,"")</x:f>
      </x:c>
      <x:c r="T72" s="76" t="str">
        <x:f>IF('07_Form_Mobilite'!$Q72="Validé humainement",'07_Form_Mobilite'!T72,"")</x:f>
      </x:c>
      <x:c r="U72" s="76" t="str">
        <x:f>IF('07_Form_Mobilite'!$Q72="Validé humainement",'07_Form_Mobilite'!U72,"")</x:f>
      </x:c>
      <x:c r="V72" s="76" t="str">
        <x:f>IF('07_Form_Mobilite'!$Q72="Validé humainement",'07_Form_Mobilite'!V72,"")</x:f>
      </x:c>
    </x:row>
    <x:row r="73">
      <x:c r="A73" s="76" t="str">
        <x:f>IF('07_Form_Mobilite'!$Q73="Validé humainement",'07_Form_Mobilite'!A73,"")</x:f>
      </x:c>
      <x:c r="B73" s="76" t="str">
        <x:f>IF('07_Form_Mobilite'!$Q73="Validé humainement",'07_Form_Mobilite'!B73,"")</x:f>
      </x:c>
      <x:c r="C73" s="76" t="str">
        <x:f>IF('07_Form_Mobilite'!$Q73="Validé humainement",'07_Form_Mobilite'!C73,"")</x:f>
      </x:c>
      <x:c r="D73" s="76" t="str">
        <x:f>IF('07_Form_Mobilite'!$Q73="Validé humainement",'07_Form_Mobilite'!D73,"")</x:f>
      </x:c>
      <x:c r="E73" s="76" t="str">
        <x:f>IF('07_Form_Mobilite'!$Q73="Validé humainement",'07_Form_Mobilite'!E73,"")</x:f>
      </x:c>
      <x:c r="F73" s="81" t="str">
        <x:f>IF('07_Form_Mobilite'!$Q73="Validé humainement",'07_Form_Mobilite'!F73,"")</x:f>
      </x:c>
      <x:c r="G73" s="80" t="str">
        <x:f>IF('07_Form_Mobilite'!$Q73="Validé humainement",'07_Form_Mobilite'!G73,"")</x:f>
      </x:c>
      <x:c r="H73" s="81" t="str">
        <x:f>IF('07_Form_Mobilite'!$Q73="Validé humainement",'07_Form_Mobilite'!H73,"")</x:f>
      </x:c>
      <x:c r="I73" s="76" t="str">
        <x:f>IF('07_Form_Mobilite'!$Q73="Validé humainement",'07_Form_Mobilite'!I73,"")</x:f>
      </x:c>
      <x:c r="J73" s="77" t="str">
        <x:f>IF('07_Form_Mobilite'!$Q73="Validé humainement",'07_Form_Mobilite'!J73,"")</x:f>
      </x:c>
      <x:c r="K73" s="76" t="str">
        <x:f>IF('07_Form_Mobilite'!$Q73="Validé humainement",'07_Form_Mobilite'!K73,"")</x:f>
      </x:c>
      <x:c r="L73" s="83" t="str">
        <x:f>IF('07_Form_Mobilite'!$Q73="Validé humainement",'07_Form_Mobilite'!L73,"")</x:f>
      </x:c>
      <x:c r="M73" s="77" t="str">
        <x:f>IF('07_Form_Mobilite'!$Q73="Validé humainement",'07_Form_Mobilite'!M73,"")</x:f>
      </x:c>
      <x:c r="N73" s="76" t="str">
        <x:f>IF('07_Form_Mobilite'!$Q73="Validé humainement",'07_Form_Mobilite'!N73,"")</x:f>
      </x:c>
      <x:c r="O73" s="76" t="str">
        <x:f>IF('07_Form_Mobilite'!$Q73="Validé humainement",'07_Form_Mobilite'!O73,"")</x:f>
      </x:c>
      <x:c r="P73" s="76" t="str">
        <x:f>IF('07_Form_Mobilite'!$Q73="Validé humainement",'07_Form_Mobilite'!P73,"")</x:f>
      </x:c>
      <x:c r="Q73" s="76" t="str">
        <x:f>IF('07_Form_Mobilite'!$Q73="Validé humainement",'07_Form_Mobilite'!Q73,"")</x:f>
      </x:c>
      <x:c r="R73" s="76" t="str">
        <x:f>IF('07_Form_Mobilite'!$Q73="Validé humainement",'07_Form_Mobilite'!R73,"")</x:f>
      </x:c>
      <x:c r="S73" s="78" t="str">
        <x:f>IF('07_Form_Mobilite'!$Q73="Validé humainement",'07_Form_Mobilite'!S73,"")</x:f>
      </x:c>
      <x:c r="T73" s="76" t="str">
        <x:f>IF('07_Form_Mobilite'!$Q73="Validé humainement",'07_Form_Mobilite'!T73,"")</x:f>
      </x:c>
      <x:c r="U73" s="76" t="str">
        <x:f>IF('07_Form_Mobilite'!$Q73="Validé humainement",'07_Form_Mobilite'!U73,"")</x:f>
      </x:c>
      <x:c r="V73" s="76" t="str">
        <x:f>IF('07_Form_Mobilite'!$Q73="Validé humainement",'07_Form_Mobilite'!V73,"")</x:f>
      </x:c>
    </x:row>
    <x:row r="74">
      <x:c r="A74" s="76" t="str">
        <x:f>IF('07_Form_Mobilite'!$Q74="Validé humainement",'07_Form_Mobilite'!A74,"")</x:f>
      </x:c>
      <x:c r="B74" s="76" t="str">
        <x:f>IF('07_Form_Mobilite'!$Q74="Validé humainement",'07_Form_Mobilite'!B74,"")</x:f>
      </x:c>
      <x:c r="C74" s="76" t="str">
        <x:f>IF('07_Form_Mobilite'!$Q74="Validé humainement",'07_Form_Mobilite'!C74,"")</x:f>
      </x:c>
      <x:c r="D74" s="76" t="str">
        <x:f>IF('07_Form_Mobilite'!$Q74="Validé humainement",'07_Form_Mobilite'!D74,"")</x:f>
      </x:c>
      <x:c r="E74" s="76" t="str">
        <x:f>IF('07_Form_Mobilite'!$Q74="Validé humainement",'07_Form_Mobilite'!E74,"")</x:f>
      </x:c>
      <x:c r="F74" s="81" t="str">
        <x:f>IF('07_Form_Mobilite'!$Q74="Validé humainement",'07_Form_Mobilite'!F74,"")</x:f>
      </x:c>
      <x:c r="G74" s="80" t="str">
        <x:f>IF('07_Form_Mobilite'!$Q74="Validé humainement",'07_Form_Mobilite'!G74,"")</x:f>
      </x:c>
      <x:c r="H74" s="81" t="str">
        <x:f>IF('07_Form_Mobilite'!$Q74="Validé humainement",'07_Form_Mobilite'!H74,"")</x:f>
      </x:c>
      <x:c r="I74" s="76" t="str">
        <x:f>IF('07_Form_Mobilite'!$Q74="Validé humainement",'07_Form_Mobilite'!I74,"")</x:f>
      </x:c>
      <x:c r="J74" s="77" t="str">
        <x:f>IF('07_Form_Mobilite'!$Q74="Validé humainement",'07_Form_Mobilite'!J74,"")</x:f>
      </x:c>
      <x:c r="K74" s="76" t="str">
        <x:f>IF('07_Form_Mobilite'!$Q74="Validé humainement",'07_Form_Mobilite'!K74,"")</x:f>
      </x:c>
      <x:c r="L74" s="83" t="str">
        <x:f>IF('07_Form_Mobilite'!$Q74="Validé humainement",'07_Form_Mobilite'!L74,"")</x:f>
      </x:c>
      <x:c r="M74" s="77" t="str">
        <x:f>IF('07_Form_Mobilite'!$Q74="Validé humainement",'07_Form_Mobilite'!M74,"")</x:f>
      </x:c>
      <x:c r="N74" s="76" t="str">
        <x:f>IF('07_Form_Mobilite'!$Q74="Validé humainement",'07_Form_Mobilite'!N74,"")</x:f>
      </x:c>
      <x:c r="O74" s="76" t="str">
        <x:f>IF('07_Form_Mobilite'!$Q74="Validé humainement",'07_Form_Mobilite'!O74,"")</x:f>
      </x:c>
      <x:c r="P74" s="76" t="str">
        <x:f>IF('07_Form_Mobilite'!$Q74="Validé humainement",'07_Form_Mobilite'!P74,"")</x:f>
      </x:c>
      <x:c r="Q74" s="76" t="str">
        <x:f>IF('07_Form_Mobilite'!$Q74="Validé humainement",'07_Form_Mobilite'!Q74,"")</x:f>
      </x:c>
      <x:c r="R74" s="76" t="str">
        <x:f>IF('07_Form_Mobilite'!$Q74="Validé humainement",'07_Form_Mobilite'!R74,"")</x:f>
      </x:c>
      <x:c r="S74" s="78" t="str">
        <x:f>IF('07_Form_Mobilite'!$Q74="Validé humainement",'07_Form_Mobilite'!S74,"")</x:f>
      </x:c>
      <x:c r="T74" s="76" t="str">
        <x:f>IF('07_Form_Mobilite'!$Q74="Validé humainement",'07_Form_Mobilite'!T74,"")</x:f>
      </x:c>
      <x:c r="U74" s="76" t="str">
        <x:f>IF('07_Form_Mobilite'!$Q74="Validé humainement",'07_Form_Mobilite'!U74,"")</x:f>
      </x:c>
      <x:c r="V74" s="76" t="str">
        <x:f>IF('07_Form_Mobilite'!$Q74="Validé humainement",'07_Form_Mobilite'!V74,"")</x:f>
      </x:c>
    </x:row>
    <x:row r="75">
      <x:c r="A75" s="76" t="str">
        <x:f>IF('07_Form_Mobilite'!$Q75="Validé humainement",'07_Form_Mobilite'!A75,"")</x:f>
      </x:c>
      <x:c r="B75" s="76" t="str">
        <x:f>IF('07_Form_Mobilite'!$Q75="Validé humainement",'07_Form_Mobilite'!B75,"")</x:f>
      </x:c>
      <x:c r="C75" s="76" t="str">
        <x:f>IF('07_Form_Mobilite'!$Q75="Validé humainement",'07_Form_Mobilite'!C75,"")</x:f>
      </x:c>
      <x:c r="D75" s="76" t="str">
        <x:f>IF('07_Form_Mobilite'!$Q75="Validé humainement",'07_Form_Mobilite'!D75,"")</x:f>
      </x:c>
      <x:c r="E75" s="76" t="str">
        <x:f>IF('07_Form_Mobilite'!$Q75="Validé humainement",'07_Form_Mobilite'!E75,"")</x:f>
      </x:c>
      <x:c r="F75" s="81" t="str">
        <x:f>IF('07_Form_Mobilite'!$Q75="Validé humainement",'07_Form_Mobilite'!F75,"")</x:f>
      </x:c>
      <x:c r="G75" s="80" t="str">
        <x:f>IF('07_Form_Mobilite'!$Q75="Validé humainement",'07_Form_Mobilite'!G75,"")</x:f>
      </x:c>
      <x:c r="H75" s="81" t="str">
        <x:f>IF('07_Form_Mobilite'!$Q75="Validé humainement",'07_Form_Mobilite'!H75,"")</x:f>
      </x:c>
      <x:c r="I75" s="76" t="str">
        <x:f>IF('07_Form_Mobilite'!$Q75="Validé humainement",'07_Form_Mobilite'!I75,"")</x:f>
      </x:c>
      <x:c r="J75" s="77" t="str">
        <x:f>IF('07_Form_Mobilite'!$Q75="Validé humainement",'07_Form_Mobilite'!J75,"")</x:f>
      </x:c>
      <x:c r="K75" s="76" t="str">
        <x:f>IF('07_Form_Mobilite'!$Q75="Validé humainement",'07_Form_Mobilite'!K75,"")</x:f>
      </x:c>
      <x:c r="L75" s="83" t="str">
        <x:f>IF('07_Form_Mobilite'!$Q75="Validé humainement",'07_Form_Mobilite'!L75,"")</x:f>
      </x:c>
      <x:c r="M75" s="77" t="str">
        <x:f>IF('07_Form_Mobilite'!$Q75="Validé humainement",'07_Form_Mobilite'!M75,"")</x:f>
      </x:c>
      <x:c r="N75" s="76" t="str">
        <x:f>IF('07_Form_Mobilite'!$Q75="Validé humainement",'07_Form_Mobilite'!N75,"")</x:f>
      </x:c>
      <x:c r="O75" s="76" t="str">
        <x:f>IF('07_Form_Mobilite'!$Q75="Validé humainement",'07_Form_Mobilite'!O75,"")</x:f>
      </x:c>
      <x:c r="P75" s="76" t="str">
        <x:f>IF('07_Form_Mobilite'!$Q75="Validé humainement",'07_Form_Mobilite'!P75,"")</x:f>
      </x:c>
      <x:c r="Q75" s="76" t="str">
        <x:f>IF('07_Form_Mobilite'!$Q75="Validé humainement",'07_Form_Mobilite'!Q75,"")</x:f>
      </x:c>
      <x:c r="R75" s="76" t="str">
        <x:f>IF('07_Form_Mobilite'!$Q75="Validé humainement",'07_Form_Mobilite'!R75,"")</x:f>
      </x:c>
      <x:c r="S75" s="78" t="str">
        <x:f>IF('07_Form_Mobilite'!$Q75="Validé humainement",'07_Form_Mobilite'!S75,"")</x:f>
      </x:c>
      <x:c r="T75" s="76" t="str">
        <x:f>IF('07_Form_Mobilite'!$Q75="Validé humainement",'07_Form_Mobilite'!T75,"")</x:f>
      </x:c>
      <x:c r="U75" s="76" t="str">
        <x:f>IF('07_Form_Mobilite'!$Q75="Validé humainement",'07_Form_Mobilite'!U75,"")</x:f>
      </x:c>
      <x:c r="V75" s="76" t="str">
        <x:f>IF('07_Form_Mobilite'!$Q75="Validé humainement",'07_Form_Mobilite'!V75,"")</x:f>
      </x:c>
    </x:row>
    <x:row r="76">
      <x:c r="A76" s="76" t="str">
        <x:f>IF('07_Form_Mobilite'!$Q76="Validé humainement",'07_Form_Mobilite'!A76,"")</x:f>
      </x:c>
      <x:c r="B76" s="76" t="str">
        <x:f>IF('07_Form_Mobilite'!$Q76="Validé humainement",'07_Form_Mobilite'!B76,"")</x:f>
      </x:c>
      <x:c r="C76" s="76" t="str">
        <x:f>IF('07_Form_Mobilite'!$Q76="Validé humainement",'07_Form_Mobilite'!C76,"")</x:f>
      </x:c>
      <x:c r="D76" s="76" t="str">
        <x:f>IF('07_Form_Mobilite'!$Q76="Validé humainement",'07_Form_Mobilite'!D76,"")</x:f>
      </x:c>
      <x:c r="E76" s="76" t="str">
        <x:f>IF('07_Form_Mobilite'!$Q76="Validé humainement",'07_Form_Mobilite'!E76,"")</x:f>
      </x:c>
      <x:c r="F76" s="81" t="str">
        <x:f>IF('07_Form_Mobilite'!$Q76="Validé humainement",'07_Form_Mobilite'!F76,"")</x:f>
      </x:c>
      <x:c r="G76" s="80" t="str">
        <x:f>IF('07_Form_Mobilite'!$Q76="Validé humainement",'07_Form_Mobilite'!G76,"")</x:f>
      </x:c>
      <x:c r="H76" s="81" t="str">
        <x:f>IF('07_Form_Mobilite'!$Q76="Validé humainement",'07_Form_Mobilite'!H76,"")</x:f>
      </x:c>
      <x:c r="I76" s="76" t="str">
        <x:f>IF('07_Form_Mobilite'!$Q76="Validé humainement",'07_Form_Mobilite'!I76,"")</x:f>
      </x:c>
      <x:c r="J76" s="77" t="str">
        <x:f>IF('07_Form_Mobilite'!$Q76="Validé humainement",'07_Form_Mobilite'!J76,"")</x:f>
      </x:c>
      <x:c r="K76" s="76" t="str">
        <x:f>IF('07_Form_Mobilite'!$Q76="Validé humainement",'07_Form_Mobilite'!K76,"")</x:f>
      </x:c>
      <x:c r="L76" s="83" t="str">
        <x:f>IF('07_Form_Mobilite'!$Q76="Validé humainement",'07_Form_Mobilite'!L76,"")</x:f>
      </x:c>
      <x:c r="M76" s="77" t="str">
        <x:f>IF('07_Form_Mobilite'!$Q76="Validé humainement",'07_Form_Mobilite'!M76,"")</x:f>
      </x:c>
      <x:c r="N76" s="76" t="str">
        <x:f>IF('07_Form_Mobilite'!$Q76="Validé humainement",'07_Form_Mobilite'!N76,"")</x:f>
      </x:c>
      <x:c r="O76" s="76" t="str">
        <x:f>IF('07_Form_Mobilite'!$Q76="Validé humainement",'07_Form_Mobilite'!O76,"")</x:f>
      </x:c>
      <x:c r="P76" s="76" t="str">
        <x:f>IF('07_Form_Mobilite'!$Q76="Validé humainement",'07_Form_Mobilite'!P76,"")</x:f>
      </x:c>
      <x:c r="Q76" s="76" t="str">
        <x:f>IF('07_Form_Mobilite'!$Q76="Validé humainement",'07_Form_Mobilite'!Q76,"")</x:f>
      </x:c>
      <x:c r="R76" s="76" t="str">
        <x:f>IF('07_Form_Mobilite'!$Q76="Validé humainement",'07_Form_Mobilite'!R76,"")</x:f>
      </x:c>
      <x:c r="S76" s="78" t="str">
        <x:f>IF('07_Form_Mobilite'!$Q76="Validé humainement",'07_Form_Mobilite'!S76,"")</x:f>
      </x:c>
      <x:c r="T76" s="76" t="str">
        <x:f>IF('07_Form_Mobilite'!$Q76="Validé humainement",'07_Form_Mobilite'!T76,"")</x:f>
      </x:c>
      <x:c r="U76" s="76" t="str">
        <x:f>IF('07_Form_Mobilite'!$Q76="Validé humainement",'07_Form_Mobilite'!U76,"")</x:f>
      </x:c>
      <x:c r="V76" s="76" t="str">
        <x:f>IF('07_Form_Mobilite'!$Q76="Validé humainement",'07_Form_Mobilite'!V76,"")</x:f>
      </x:c>
    </x:row>
    <x:row r="77">
      <x:c r="A77" s="76" t="str">
        <x:f>IF('07_Form_Mobilite'!$Q77="Validé humainement",'07_Form_Mobilite'!A77,"")</x:f>
      </x:c>
      <x:c r="B77" s="76" t="str">
        <x:f>IF('07_Form_Mobilite'!$Q77="Validé humainement",'07_Form_Mobilite'!B77,"")</x:f>
      </x:c>
      <x:c r="C77" s="76" t="str">
        <x:f>IF('07_Form_Mobilite'!$Q77="Validé humainement",'07_Form_Mobilite'!C77,"")</x:f>
      </x:c>
      <x:c r="D77" s="76" t="str">
        <x:f>IF('07_Form_Mobilite'!$Q77="Validé humainement",'07_Form_Mobilite'!D77,"")</x:f>
      </x:c>
      <x:c r="E77" s="76" t="str">
        <x:f>IF('07_Form_Mobilite'!$Q77="Validé humainement",'07_Form_Mobilite'!E77,"")</x:f>
      </x:c>
      <x:c r="F77" s="81" t="str">
        <x:f>IF('07_Form_Mobilite'!$Q77="Validé humainement",'07_Form_Mobilite'!F77,"")</x:f>
      </x:c>
      <x:c r="G77" s="80" t="str">
        <x:f>IF('07_Form_Mobilite'!$Q77="Validé humainement",'07_Form_Mobilite'!G77,"")</x:f>
      </x:c>
      <x:c r="H77" s="81" t="str">
        <x:f>IF('07_Form_Mobilite'!$Q77="Validé humainement",'07_Form_Mobilite'!H77,"")</x:f>
      </x:c>
      <x:c r="I77" s="76" t="str">
        <x:f>IF('07_Form_Mobilite'!$Q77="Validé humainement",'07_Form_Mobilite'!I77,"")</x:f>
      </x:c>
      <x:c r="J77" s="77" t="str">
        <x:f>IF('07_Form_Mobilite'!$Q77="Validé humainement",'07_Form_Mobilite'!J77,"")</x:f>
      </x:c>
      <x:c r="K77" s="76" t="str">
        <x:f>IF('07_Form_Mobilite'!$Q77="Validé humainement",'07_Form_Mobilite'!K77,"")</x:f>
      </x:c>
      <x:c r="L77" s="83" t="str">
        <x:f>IF('07_Form_Mobilite'!$Q77="Validé humainement",'07_Form_Mobilite'!L77,"")</x:f>
      </x:c>
      <x:c r="M77" s="77" t="str">
        <x:f>IF('07_Form_Mobilite'!$Q77="Validé humainement",'07_Form_Mobilite'!M77,"")</x:f>
      </x:c>
      <x:c r="N77" s="76" t="str">
        <x:f>IF('07_Form_Mobilite'!$Q77="Validé humainement",'07_Form_Mobilite'!N77,"")</x:f>
      </x:c>
      <x:c r="O77" s="76" t="str">
        <x:f>IF('07_Form_Mobilite'!$Q77="Validé humainement",'07_Form_Mobilite'!O77,"")</x:f>
      </x:c>
      <x:c r="P77" s="76" t="str">
        <x:f>IF('07_Form_Mobilite'!$Q77="Validé humainement",'07_Form_Mobilite'!P77,"")</x:f>
      </x:c>
      <x:c r="Q77" s="76" t="str">
        <x:f>IF('07_Form_Mobilite'!$Q77="Validé humainement",'07_Form_Mobilite'!Q77,"")</x:f>
      </x:c>
      <x:c r="R77" s="76" t="str">
        <x:f>IF('07_Form_Mobilite'!$Q77="Validé humainement",'07_Form_Mobilite'!R77,"")</x:f>
      </x:c>
      <x:c r="S77" s="78" t="str">
        <x:f>IF('07_Form_Mobilite'!$Q77="Validé humainement",'07_Form_Mobilite'!S77,"")</x:f>
      </x:c>
      <x:c r="T77" s="76" t="str">
        <x:f>IF('07_Form_Mobilite'!$Q77="Validé humainement",'07_Form_Mobilite'!T77,"")</x:f>
      </x:c>
      <x:c r="U77" s="76" t="str">
        <x:f>IF('07_Form_Mobilite'!$Q77="Validé humainement",'07_Form_Mobilite'!U77,"")</x:f>
      </x:c>
      <x:c r="V77" s="76" t="str">
        <x:f>IF('07_Form_Mobilite'!$Q77="Validé humainement",'07_Form_Mobilite'!V77,"")</x:f>
      </x:c>
    </x:row>
    <x:row r="78">
      <x:c r="A78" s="76" t="str">
        <x:f>IF('07_Form_Mobilite'!$Q78="Validé humainement",'07_Form_Mobilite'!A78,"")</x:f>
      </x:c>
      <x:c r="B78" s="76" t="str">
        <x:f>IF('07_Form_Mobilite'!$Q78="Validé humainement",'07_Form_Mobilite'!B78,"")</x:f>
      </x:c>
      <x:c r="C78" s="76" t="str">
        <x:f>IF('07_Form_Mobilite'!$Q78="Validé humainement",'07_Form_Mobilite'!C78,"")</x:f>
      </x:c>
      <x:c r="D78" s="76" t="str">
        <x:f>IF('07_Form_Mobilite'!$Q78="Validé humainement",'07_Form_Mobilite'!D78,"")</x:f>
      </x:c>
      <x:c r="E78" s="76" t="str">
        <x:f>IF('07_Form_Mobilite'!$Q78="Validé humainement",'07_Form_Mobilite'!E78,"")</x:f>
      </x:c>
      <x:c r="F78" s="81" t="str">
        <x:f>IF('07_Form_Mobilite'!$Q78="Validé humainement",'07_Form_Mobilite'!F78,"")</x:f>
      </x:c>
      <x:c r="G78" s="80" t="str">
        <x:f>IF('07_Form_Mobilite'!$Q78="Validé humainement",'07_Form_Mobilite'!G78,"")</x:f>
      </x:c>
      <x:c r="H78" s="81" t="str">
        <x:f>IF('07_Form_Mobilite'!$Q78="Validé humainement",'07_Form_Mobilite'!H78,"")</x:f>
      </x:c>
      <x:c r="I78" s="76" t="str">
        <x:f>IF('07_Form_Mobilite'!$Q78="Validé humainement",'07_Form_Mobilite'!I78,"")</x:f>
      </x:c>
      <x:c r="J78" s="77" t="str">
        <x:f>IF('07_Form_Mobilite'!$Q78="Validé humainement",'07_Form_Mobilite'!J78,"")</x:f>
      </x:c>
      <x:c r="K78" s="76" t="str">
        <x:f>IF('07_Form_Mobilite'!$Q78="Validé humainement",'07_Form_Mobilite'!K78,"")</x:f>
      </x:c>
      <x:c r="L78" s="83" t="str">
        <x:f>IF('07_Form_Mobilite'!$Q78="Validé humainement",'07_Form_Mobilite'!L78,"")</x:f>
      </x:c>
      <x:c r="M78" s="77" t="str">
        <x:f>IF('07_Form_Mobilite'!$Q78="Validé humainement",'07_Form_Mobilite'!M78,"")</x:f>
      </x:c>
      <x:c r="N78" s="76" t="str">
        <x:f>IF('07_Form_Mobilite'!$Q78="Validé humainement",'07_Form_Mobilite'!N78,"")</x:f>
      </x:c>
      <x:c r="O78" s="76" t="str">
        <x:f>IF('07_Form_Mobilite'!$Q78="Validé humainement",'07_Form_Mobilite'!O78,"")</x:f>
      </x:c>
      <x:c r="P78" s="76" t="str">
        <x:f>IF('07_Form_Mobilite'!$Q78="Validé humainement",'07_Form_Mobilite'!P78,"")</x:f>
      </x:c>
      <x:c r="Q78" s="76" t="str">
        <x:f>IF('07_Form_Mobilite'!$Q78="Validé humainement",'07_Form_Mobilite'!Q78,"")</x:f>
      </x:c>
      <x:c r="R78" s="76" t="str">
        <x:f>IF('07_Form_Mobilite'!$Q78="Validé humainement",'07_Form_Mobilite'!R78,"")</x:f>
      </x:c>
      <x:c r="S78" s="78" t="str">
        <x:f>IF('07_Form_Mobilite'!$Q78="Validé humainement",'07_Form_Mobilite'!S78,"")</x:f>
      </x:c>
      <x:c r="T78" s="76" t="str">
        <x:f>IF('07_Form_Mobilite'!$Q78="Validé humainement",'07_Form_Mobilite'!T78,"")</x:f>
      </x:c>
      <x:c r="U78" s="76" t="str">
        <x:f>IF('07_Form_Mobilite'!$Q78="Validé humainement",'07_Form_Mobilite'!U78,"")</x:f>
      </x:c>
      <x:c r="V78" s="76" t="str">
        <x:f>IF('07_Form_Mobilite'!$Q78="Validé humainement",'07_Form_Mobilite'!V78,"")</x:f>
      </x:c>
    </x:row>
    <x:row r="79">
      <x:c r="A79" s="76" t="str">
        <x:f>IF('07_Form_Mobilite'!$Q79="Validé humainement",'07_Form_Mobilite'!A79,"")</x:f>
      </x:c>
      <x:c r="B79" s="76" t="str">
        <x:f>IF('07_Form_Mobilite'!$Q79="Validé humainement",'07_Form_Mobilite'!B79,"")</x:f>
      </x:c>
      <x:c r="C79" s="76" t="str">
        <x:f>IF('07_Form_Mobilite'!$Q79="Validé humainement",'07_Form_Mobilite'!C79,"")</x:f>
      </x:c>
      <x:c r="D79" s="76" t="str">
        <x:f>IF('07_Form_Mobilite'!$Q79="Validé humainement",'07_Form_Mobilite'!D79,"")</x:f>
      </x:c>
      <x:c r="E79" s="76" t="str">
        <x:f>IF('07_Form_Mobilite'!$Q79="Validé humainement",'07_Form_Mobilite'!E79,"")</x:f>
      </x:c>
      <x:c r="F79" s="81" t="str">
        <x:f>IF('07_Form_Mobilite'!$Q79="Validé humainement",'07_Form_Mobilite'!F79,"")</x:f>
      </x:c>
      <x:c r="G79" s="80" t="str">
        <x:f>IF('07_Form_Mobilite'!$Q79="Validé humainement",'07_Form_Mobilite'!G79,"")</x:f>
      </x:c>
      <x:c r="H79" s="81" t="str">
        <x:f>IF('07_Form_Mobilite'!$Q79="Validé humainement",'07_Form_Mobilite'!H79,"")</x:f>
      </x:c>
      <x:c r="I79" s="76" t="str">
        <x:f>IF('07_Form_Mobilite'!$Q79="Validé humainement",'07_Form_Mobilite'!I79,"")</x:f>
      </x:c>
      <x:c r="J79" s="77" t="str">
        <x:f>IF('07_Form_Mobilite'!$Q79="Validé humainement",'07_Form_Mobilite'!J79,"")</x:f>
      </x:c>
      <x:c r="K79" s="76" t="str">
        <x:f>IF('07_Form_Mobilite'!$Q79="Validé humainement",'07_Form_Mobilite'!K79,"")</x:f>
      </x:c>
      <x:c r="L79" s="83" t="str">
        <x:f>IF('07_Form_Mobilite'!$Q79="Validé humainement",'07_Form_Mobilite'!L79,"")</x:f>
      </x:c>
      <x:c r="M79" s="77" t="str">
        <x:f>IF('07_Form_Mobilite'!$Q79="Validé humainement",'07_Form_Mobilite'!M79,"")</x:f>
      </x:c>
      <x:c r="N79" s="76" t="str">
        <x:f>IF('07_Form_Mobilite'!$Q79="Validé humainement",'07_Form_Mobilite'!N79,"")</x:f>
      </x:c>
      <x:c r="O79" s="76" t="str">
        <x:f>IF('07_Form_Mobilite'!$Q79="Validé humainement",'07_Form_Mobilite'!O79,"")</x:f>
      </x:c>
      <x:c r="P79" s="76" t="str">
        <x:f>IF('07_Form_Mobilite'!$Q79="Validé humainement",'07_Form_Mobilite'!P79,"")</x:f>
      </x:c>
      <x:c r="Q79" s="76" t="str">
        <x:f>IF('07_Form_Mobilite'!$Q79="Validé humainement",'07_Form_Mobilite'!Q79,"")</x:f>
      </x:c>
      <x:c r="R79" s="76" t="str">
        <x:f>IF('07_Form_Mobilite'!$Q79="Validé humainement",'07_Form_Mobilite'!R79,"")</x:f>
      </x:c>
      <x:c r="S79" s="78" t="str">
        <x:f>IF('07_Form_Mobilite'!$Q79="Validé humainement",'07_Form_Mobilite'!S79,"")</x:f>
      </x:c>
      <x:c r="T79" s="76" t="str">
        <x:f>IF('07_Form_Mobilite'!$Q79="Validé humainement",'07_Form_Mobilite'!T79,"")</x:f>
      </x:c>
      <x:c r="U79" s="76" t="str">
        <x:f>IF('07_Form_Mobilite'!$Q79="Validé humainement",'07_Form_Mobilite'!U79,"")</x:f>
      </x:c>
      <x:c r="V79" s="76" t="str">
        <x:f>IF('07_Form_Mobilite'!$Q79="Validé humainement",'07_Form_Mobilite'!V79,"")</x:f>
      </x:c>
    </x:row>
    <x:row r="80">
      <x:c r="A80" s="76" t="str">
        <x:f>IF('07_Form_Mobilite'!$Q80="Validé humainement",'07_Form_Mobilite'!A80,"")</x:f>
      </x:c>
      <x:c r="B80" s="76" t="str">
        <x:f>IF('07_Form_Mobilite'!$Q80="Validé humainement",'07_Form_Mobilite'!B80,"")</x:f>
      </x:c>
      <x:c r="C80" s="76" t="str">
        <x:f>IF('07_Form_Mobilite'!$Q80="Validé humainement",'07_Form_Mobilite'!C80,"")</x:f>
      </x:c>
      <x:c r="D80" s="76" t="str">
        <x:f>IF('07_Form_Mobilite'!$Q80="Validé humainement",'07_Form_Mobilite'!D80,"")</x:f>
      </x:c>
      <x:c r="E80" s="76" t="str">
        <x:f>IF('07_Form_Mobilite'!$Q80="Validé humainement",'07_Form_Mobilite'!E80,"")</x:f>
      </x:c>
      <x:c r="F80" s="81" t="str">
        <x:f>IF('07_Form_Mobilite'!$Q80="Validé humainement",'07_Form_Mobilite'!F80,"")</x:f>
      </x:c>
      <x:c r="G80" s="80" t="str">
        <x:f>IF('07_Form_Mobilite'!$Q80="Validé humainement",'07_Form_Mobilite'!G80,"")</x:f>
      </x:c>
      <x:c r="H80" s="81" t="str">
        <x:f>IF('07_Form_Mobilite'!$Q80="Validé humainement",'07_Form_Mobilite'!H80,"")</x:f>
      </x:c>
      <x:c r="I80" s="76" t="str">
        <x:f>IF('07_Form_Mobilite'!$Q80="Validé humainement",'07_Form_Mobilite'!I80,"")</x:f>
      </x:c>
      <x:c r="J80" s="77" t="str">
        <x:f>IF('07_Form_Mobilite'!$Q80="Validé humainement",'07_Form_Mobilite'!J80,"")</x:f>
      </x:c>
      <x:c r="K80" s="76" t="str">
        <x:f>IF('07_Form_Mobilite'!$Q80="Validé humainement",'07_Form_Mobilite'!K80,"")</x:f>
      </x:c>
      <x:c r="L80" s="83" t="str">
        <x:f>IF('07_Form_Mobilite'!$Q80="Validé humainement",'07_Form_Mobilite'!L80,"")</x:f>
      </x:c>
      <x:c r="M80" s="77" t="str">
        <x:f>IF('07_Form_Mobilite'!$Q80="Validé humainement",'07_Form_Mobilite'!M80,"")</x:f>
      </x:c>
      <x:c r="N80" s="76" t="str">
        <x:f>IF('07_Form_Mobilite'!$Q80="Validé humainement",'07_Form_Mobilite'!N80,"")</x:f>
      </x:c>
      <x:c r="O80" s="76" t="str">
        <x:f>IF('07_Form_Mobilite'!$Q80="Validé humainement",'07_Form_Mobilite'!O80,"")</x:f>
      </x:c>
      <x:c r="P80" s="76" t="str">
        <x:f>IF('07_Form_Mobilite'!$Q80="Validé humainement",'07_Form_Mobilite'!P80,"")</x:f>
      </x:c>
      <x:c r="Q80" s="76" t="str">
        <x:f>IF('07_Form_Mobilite'!$Q80="Validé humainement",'07_Form_Mobilite'!Q80,"")</x:f>
      </x:c>
      <x:c r="R80" s="76" t="str">
        <x:f>IF('07_Form_Mobilite'!$Q80="Validé humainement",'07_Form_Mobilite'!R80,"")</x:f>
      </x:c>
      <x:c r="S80" s="78" t="str">
        <x:f>IF('07_Form_Mobilite'!$Q80="Validé humainement",'07_Form_Mobilite'!S80,"")</x:f>
      </x:c>
      <x:c r="T80" s="76" t="str">
        <x:f>IF('07_Form_Mobilite'!$Q80="Validé humainement",'07_Form_Mobilite'!T80,"")</x:f>
      </x:c>
      <x:c r="U80" s="76" t="str">
        <x:f>IF('07_Form_Mobilite'!$Q80="Validé humainement",'07_Form_Mobilite'!U80,"")</x:f>
      </x:c>
      <x:c r="V80" s="76" t="str">
        <x:f>IF('07_Form_Mobilite'!$Q80="Validé humainement",'07_Form_Mobilite'!V80,"")</x:f>
      </x:c>
    </x:row>
    <x:row r="81">
      <x:c r="A81" s="76" t="str">
        <x:f>IF('07_Form_Mobilite'!$Q81="Validé humainement",'07_Form_Mobilite'!A81,"")</x:f>
      </x:c>
      <x:c r="B81" s="76" t="str">
        <x:f>IF('07_Form_Mobilite'!$Q81="Validé humainement",'07_Form_Mobilite'!B81,"")</x:f>
      </x:c>
      <x:c r="C81" s="76" t="str">
        <x:f>IF('07_Form_Mobilite'!$Q81="Validé humainement",'07_Form_Mobilite'!C81,"")</x:f>
      </x:c>
      <x:c r="D81" s="76" t="str">
        <x:f>IF('07_Form_Mobilite'!$Q81="Validé humainement",'07_Form_Mobilite'!D81,"")</x:f>
      </x:c>
      <x:c r="E81" s="76" t="str">
        <x:f>IF('07_Form_Mobilite'!$Q81="Validé humainement",'07_Form_Mobilite'!E81,"")</x:f>
      </x:c>
      <x:c r="F81" s="81" t="str">
        <x:f>IF('07_Form_Mobilite'!$Q81="Validé humainement",'07_Form_Mobilite'!F81,"")</x:f>
      </x:c>
      <x:c r="G81" s="80" t="str">
        <x:f>IF('07_Form_Mobilite'!$Q81="Validé humainement",'07_Form_Mobilite'!G81,"")</x:f>
      </x:c>
      <x:c r="H81" s="81" t="str">
        <x:f>IF('07_Form_Mobilite'!$Q81="Validé humainement",'07_Form_Mobilite'!H81,"")</x:f>
      </x:c>
      <x:c r="I81" s="76" t="str">
        <x:f>IF('07_Form_Mobilite'!$Q81="Validé humainement",'07_Form_Mobilite'!I81,"")</x:f>
      </x:c>
      <x:c r="J81" s="77" t="str">
        <x:f>IF('07_Form_Mobilite'!$Q81="Validé humainement",'07_Form_Mobilite'!J81,"")</x:f>
      </x:c>
      <x:c r="K81" s="76" t="str">
        <x:f>IF('07_Form_Mobilite'!$Q81="Validé humainement",'07_Form_Mobilite'!K81,"")</x:f>
      </x:c>
      <x:c r="L81" s="83" t="str">
        <x:f>IF('07_Form_Mobilite'!$Q81="Validé humainement",'07_Form_Mobilite'!L81,"")</x:f>
      </x:c>
      <x:c r="M81" s="77" t="str">
        <x:f>IF('07_Form_Mobilite'!$Q81="Validé humainement",'07_Form_Mobilite'!M81,"")</x:f>
      </x:c>
      <x:c r="N81" s="76" t="str">
        <x:f>IF('07_Form_Mobilite'!$Q81="Validé humainement",'07_Form_Mobilite'!N81,"")</x:f>
      </x:c>
      <x:c r="O81" s="76" t="str">
        <x:f>IF('07_Form_Mobilite'!$Q81="Validé humainement",'07_Form_Mobilite'!O81,"")</x:f>
      </x:c>
      <x:c r="P81" s="76" t="str">
        <x:f>IF('07_Form_Mobilite'!$Q81="Validé humainement",'07_Form_Mobilite'!P81,"")</x:f>
      </x:c>
      <x:c r="Q81" s="76" t="str">
        <x:f>IF('07_Form_Mobilite'!$Q81="Validé humainement",'07_Form_Mobilite'!Q81,"")</x:f>
      </x:c>
      <x:c r="R81" s="76" t="str">
        <x:f>IF('07_Form_Mobilite'!$Q81="Validé humainement",'07_Form_Mobilite'!R81,"")</x:f>
      </x:c>
      <x:c r="S81" s="78" t="str">
        <x:f>IF('07_Form_Mobilite'!$Q81="Validé humainement",'07_Form_Mobilite'!S81,"")</x:f>
      </x:c>
      <x:c r="T81" s="76" t="str">
        <x:f>IF('07_Form_Mobilite'!$Q81="Validé humainement",'07_Form_Mobilite'!T81,"")</x:f>
      </x:c>
      <x:c r="U81" s="76" t="str">
        <x:f>IF('07_Form_Mobilite'!$Q81="Validé humainement",'07_Form_Mobilite'!U81,"")</x:f>
      </x:c>
      <x:c r="V81" s="76" t="str">
        <x:f>IF('07_Form_Mobilite'!$Q81="Validé humainement",'07_Form_Mobilite'!V81,"")</x:f>
      </x:c>
    </x:row>
    <x:row r="82">
      <x:c r="A82" s="76" t="str">
        <x:f>IF('07_Form_Mobilite'!$Q82="Validé humainement",'07_Form_Mobilite'!A82,"")</x:f>
      </x:c>
      <x:c r="B82" s="76" t="str">
        <x:f>IF('07_Form_Mobilite'!$Q82="Validé humainement",'07_Form_Mobilite'!B82,"")</x:f>
      </x:c>
      <x:c r="C82" s="76" t="str">
        <x:f>IF('07_Form_Mobilite'!$Q82="Validé humainement",'07_Form_Mobilite'!C82,"")</x:f>
      </x:c>
      <x:c r="D82" s="76" t="str">
        <x:f>IF('07_Form_Mobilite'!$Q82="Validé humainement",'07_Form_Mobilite'!D82,"")</x:f>
      </x:c>
      <x:c r="E82" s="76" t="str">
        <x:f>IF('07_Form_Mobilite'!$Q82="Validé humainement",'07_Form_Mobilite'!E82,"")</x:f>
      </x:c>
      <x:c r="F82" s="81" t="str">
        <x:f>IF('07_Form_Mobilite'!$Q82="Validé humainement",'07_Form_Mobilite'!F82,"")</x:f>
      </x:c>
      <x:c r="G82" s="80" t="str">
        <x:f>IF('07_Form_Mobilite'!$Q82="Validé humainement",'07_Form_Mobilite'!G82,"")</x:f>
      </x:c>
      <x:c r="H82" s="81" t="str">
        <x:f>IF('07_Form_Mobilite'!$Q82="Validé humainement",'07_Form_Mobilite'!H82,"")</x:f>
      </x:c>
      <x:c r="I82" s="76" t="str">
        <x:f>IF('07_Form_Mobilite'!$Q82="Validé humainement",'07_Form_Mobilite'!I82,"")</x:f>
      </x:c>
      <x:c r="J82" s="77" t="str">
        <x:f>IF('07_Form_Mobilite'!$Q82="Validé humainement",'07_Form_Mobilite'!J82,"")</x:f>
      </x:c>
      <x:c r="K82" s="76" t="str">
        <x:f>IF('07_Form_Mobilite'!$Q82="Validé humainement",'07_Form_Mobilite'!K82,"")</x:f>
      </x:c>
      <x:c r="L82" s="83" t="str">
        <x:f>IF('07_Form_Mobilite'!$Q82="Validé humainement",'07_Form_Mobilite'!L82,"")</x:f>
      </x:c>
      <x:c r="M82" s="77" t="str">
        <x:f>IF('07_Form_Mobilite'!$Q82="Validé humainement",'07_Form_Mobilite'!M82,"")</x:f>
      </x:c>
      <x:c r="N82" s="76" t="str">
        <x:f>IF('07_Form_Mobilite'!$Q82="Validé humainement",'07_Form_Mobilite'!N82,"")</x:f>
      </x:c>
      <x:c r="O82" s="76" t="str">
        <x:f>IF('07_Form_Mobilite'!$Q82="Validé humainement",'07_Form_Mobilite'!O82,"")</x:f>
      </x:c>
      <x:c r="P82" s="76" t="str">
        <x:f>IF('07_Form_Mobilite'!$Q82="Validé humainement",'07_Form_Mobilite'!P82,"")</x:f>
      </x:c>
      <x:c r="Q82" s="76" t="str">
        <x:f>IF('07_Form_Mobilite'!$Q82="Validé humainement",'07_Form_Mobilite'!Q82,"")</x:f>
      </x:c>
      <x:c r="R82" s="76" t="str">
        <x:f>IF('07_Form_Mobilite'!$Q82="Validé humainement",'07_Form_Mobilite'!R82,"")</x:f>
      </x:c>
      <x:c r="S82" s="78" t="str">
        <x:f>IF('07_Form_Mobilite'!$Q82="Validé humainement",'07_Form_Mobilite'!S82,"")</x:f>
      </x:c>
      <x:c r="T82" s="76" t="str">
        <x:f>IF('07_Form_Mobilite'!$Q82="Validé humainement",'07_Form_Mobilite'!T82,"")</x:f>
      </x:c>
      <x:c r="U82" s="76" t="str">
        <x:f>IF('07_Form_Mobilite'!$Q82="Validé humainement",'07_Form_Mobilite'!U82,"")</x:f>
      </x:c>
      <x:c r="V82" s="76" t="str">
        <x:f>IF('07_Form_Mobilite'!$Q82="Validé humainement",'07_Form_Mobilite'!V82,"")</x:f>
      </x:c>
    </x:row>
    <x:row r="83">
      <x:c r="A83" s="76" t="str">
        <x:f>IF('07_Form_Mobilite'!$Q83="Validé humainement",'07_Form_Mobilite'!A83,"")</x:f>
      </x:c>
      <x:c r="B83" s="76" t="str">
        <x:f>IF('07_Form_Mobilite'!$Q83="Validé humainement",'07_Form_Mobilite'!B83,"")</x:f>
      </x:c>
      <x:c r="C83" s="76" t="str">
        <x:f>IF('07_Form_Mobilite'!$Q83="Validé humainement",'07_Form_Mobilite'!C83,"")</x:f>
      </x:c>
      <x:c r="D83" s="76" t="str">
        <x:f>IF('07_Form_Mobilite'!$Q83="Validé humainement",'07_Form_Mobilite'!D83,"")</x:f>
      </x:c>
      <x:c r="E83" s="76" t="str">
        <x:f>IF('07_Form_Mobilite'!$Q83="Validé humainement",'07_Form_Mobilite'!E83,"")</x:f>
      </x:c>
      <x:c r="F83" s="81" t="str">
        <x:f>IF('07_Form_Mobilite'!$Q83="Validé humainement",'07_Form_Mobilite'!F83,"")</x:f>
      </x:c>
      <x:c r="G83" s="80" t="str">
        <x:f>IF('07_Form_Mobilite'!$Q83="Validé humainement",'07_Form_Mobilite'!G83,"")</x:f>
      </x:c>
      <x:c r="H83" s="81" t="str">
        <x:f>IF('07_Form_Mobilite'!$Q83="Validé humainement",'07_Form_Mobilite'!H83,"")</x:f>
      </x:c>
      <x:c r="I83" s="76" t="str">
        <x:f>IF('07_Form_Mobilite'!$Q83="Validé humainement",'07_Form_Mobilite'!I83,"")</x:f>
      </x:c>
      <x:c r="J83" s="77" t="str">
        <x:f>IF('07_Form_Mobilite'!$Q83="Validé humainement",'07_Form_Mobilite'!J83,"")</x:f>
      </x:c>
      <x:c r="K83" s="76" t="str">
        <x:f>IF('07_Form_Mobilite'!$Q83="Validé humainement",'07_Form_Mobilite'!K83,"")</x:f>
      </x:c>
      <x:c r="L83" s="83" t="str">
        <x:f>IF('07_Form_Mobilite'!$Q83="Validé humainement",'07_Form_Mobilite'!L83,"")</x:f>
      </x:c>
      <x:c r="M83" s="77" t="str">
        <x:f>IF('07_Form_Mobilite'!$Q83="Validé humainement",'07_Form_Mobilite'!M83,"")</x:f>
      </x:c>
      <x:c r="N83" s="76" t="str">
        <x:f>IF('07_Form_Mobilite'!$Q83="Validé humainement",'07_Form_Mobilite'!N83,"")</x:f>
      </x:c>
      <x:c r="O83" s="76" t="str">
        <x:f>IF('07_Form_Mobilite'!$Q83="Validé humainement",'07_Form_Mobilite'!O83,"")</x:f>
      </x:c>
      <x:c r="P83" s="76" t="str">
        <x:f>IF('07_Form_Mobilite'!$Q83="Validé humainement",'07_Form_Mobilite'!P83,"")</x:f>
      </x:c>
      <x:c r="Q83" s="76" t="str">
        <x:f>IF('07_Form_Mobilite'!$Q83="Validé humainement",'07_Form_Mobilite'!Q83,"")</x:f>
      </x:c>
      <x:c r="R83" s="76" t="str">
        <x:f>IF('07_Form_Mobilite'!$Q83="Validé humainement",'07_Form_Mobilite'!R83,"")</x:f>
      </x:c>
      <x:c r="S83" s="78" t="str">
        <x:f>IF('07_Form_Mobilite'!$Q83="Validé humainement",'07_Form_Mobilite'!S83,"")</x:f>
      </x:c>
      <x:c r="T83" s="76" t="str">
        <x:f>IF('07_Form_Mobilite'!$Q83="Validé humainement",'07_Form_Mobilite'!T83,"")</x:f>
      </x:c>
      <x:c r="U83" s="76" t="str">
        <x:f>IF('07_Form_Mobilite'!$Q83="Validé humainement",'07_Form_Mobilite'!U83,"")</x:f>
      </x:c>
      <x:c r="V83" s="76" t="str">
        <x:f>IF('07_Form_Mobilite'!$Q83="Validé humainement",'07_Form_Mobilite'!V83,"")</x:f>
      </x:c>
    </x:row>
    <x:row r="84">
      <x:c r="A84" s="76" t="str">
        <x:f>IF('07_Form_Mobilite'!$Q84="Validé humainement",'07_Form_Mobilite'!A84,"")</x:f>
      </x:c>
      <x:c r="B84" s="76" t="str">
        <x:f>IF('07_Form_Mobilite'!$Q84="Validé humainement",'07_Form_Mobilite'!B84,"")</x:f>
      </x:c>
      <x:c r="C84" s="76" t="str">
        <x:f>IF('07_Form_Mobilite'!$Q84="Validé humainement",'07_Form_Mobilite'!C84,"")</x:f>
      </x:c>
      <x:c r="D84" s="76" t="str">
        <x:f>IF('07_Form_Mobilite'!$Q84="Validé humainement",'07_Form_Mobilite'!D84,"")</x:f>
      </x:c>
      <x:c r="E84" s="76" t="str">
        <x:f>IF('07_Form_Mobilite'!$Q84="Validé humainement",'07_Form_Mobilite'!E84,"")</x:f>
      </x:c>
      <x:c r="F84" s="81" t="str">
        <x:f>IF('07_Form_Mobilite'!$Q84="Validé humainement",'07_Form_Mobilite'!F84,"")</x:f>
      </x:c>
      <x:c r="G84" s="80" t="str">
        <x:f>IF('07_Form_Mobilite'!$Q84="Validé humainement",'07_Form_Mobilite'!G84,"")</x:f>
      </x:c>
      <x:c r="H84" s="81" t="str">
        <x:f>IF('07_Form_Mobilite'!$Q84="Validé humainement",'07_Form_Mobilite'!H84,"")</x:f>
      </x:c>
      <x:c r="I84" s="76" t="str">
        <x:f>IF('07_Form_Mobilite'!$Q84="Validé humainement",'07_Form_Mobilite'!I84,"")</x:f>
      </x:c>
      <x:c r="J84" s="77" t="str">
        <x:f>IF('07_Form_Mobilite'!$Q84="Validé humainement",'07_Form_Mobilite'!J84,"")</x:f>
      </x:c>
      <x:c r="K84" s="76" t="str">
        <x:f>IF('07_Form_Mobilite'!$Q84="Validé humainement",'07_Form_Mobilite'!K84,"")</x:f>
      </x:c>
      <x:c r="L84" s="83" t="str">
        <x:f>IF('07_Form_Mobilite'!$Q84="Validé humainement",'07_Form_Mobilite'!L84,"")</x:f>
      </x:c>
      <x:c r="M84" s="77" t="str">
        <x:f>IF('07_Form_Mobilite'!$Q84="Validé humainement",'07_Form_Mobilite'!M84,"")</x:f>
      </x:c>
      <x:c r="N84" s="76" t="str">
        <x:f>IF('07_Form_Mobilite'!$Q84="Validé humainement",'07_Form_Mobilite'!N84,"")</x:f>
      </x:c>
      <x:c r="O84" s="76" t="str">
        <x:f>IF('07_Form_Mobilite'!$Q84="Validé humainement",'07_Form_Mobilite'!O84,"")</x:f>
      </x:c>
      <x:c r="P84" s="76" t="str">
        <x:f>IF('07_Form_Mobilite'!$Q84="Validé humainement",'07_Form_Mobilite'!P84,"")</x:f>
      </x:c>
      <x:c r="Q84" s="76" t="str">
        <x:f>IF('07_Form_Mobilite'!$Q84="Validé humainement",'07_Form_Mobilite'!Q84,"")</x:f>
      </x:c>
      <x:c r="R84" s="76" t="str">
        <x:f>IF('07_Form_Mobilite'!$Q84="Validé humainement",'07_Form_Mobilite'!R84,"")</x:f>
      </x:c>
      <x:c r="S84" s="78" t="str">
        <x:f>IF('07_Form_Mobilite'!$Q84="Validé humainement",'07_Form_Mobilite'!S84,"")</x:f>
      </x:c>
      <x:c r="T84" s="76" t="str">
        <x:f>IF('07_Form_Mobilite'!$Q84="Validé humainement",'07_Form_Mobilite'!T84,"")</x:f>
      </x:c>
      <x:c r="U84" s="76" t="str">
        <x:f>IF('07_Form_Mobilite'!$Q84="Validé humainement",'07_Form_Mobilite'!U84,"")</x:f>
      </x:c>
      <x:c r="V84" s="76" t="str">
        <x:f>IF('07_Form_Mobilite'!$Q84="Validé humainement",'07_Form_Mobilite'!V84,"")</x:f>
      </x:c>
    </x:row>
    <x:row r="85">
      <x:c r="A85" s="76" t="str">
        <x:f>IF('07_Form_Mobilite'!$Q85="Validé humainement",'07_Form_Mobilite'!A85,"")</x:f>
      </x:c>
      <x:c r="B85" s="76" t="str">
        <x:f>IF('07_Form_Mobilite'!$Q85="Validé humainement",'07_Form_Mobilite'!B85,"")</x:f>
      </x:c>
      <x:c r="C85" s="76" t="str">
        <x:f>IF('07_Form_Mobilite'!$Q85="Validé humainement",'07_Form_Mobilite'!C85,"")</x:f>
      </x:c>
      <x:c r="D85" s="76" t="str">
        <x:f>IF('07_Form_Mobilite'!$Q85="Validé humainement",'07_Form_Mobilite'!D85,"")</x:f>
      </x:c>
      <x:c r="E85" s="76" t="str">
        <x:f>IF('07_Form_Mobilite'!$Q85="Validé humainement",'07_Form_Mobilite'!E85,"")</x:f>
      </x:c>
      <x:c r="F85" s="81" t="str">
        <x:f>IF('07_Form_Mobilite'!$Q85="Validé humainement",'07_Form_Mobilite'!F85,"")</x:f>
      </x:c>
      <x:c r="G85" s="80" t="str">
        <x:f>IF('07_Form_Mobilite'!$Q85="Validé humainement",'07_Form_Mobilite'!G85,"")</x:f>
      </x:c>
      <x:c r="H85" s="81" t="str">
        <x:f>IF('07_Form_Mobilite'!$Q85="Validé humainement",'07_Form_Mobilite'!H85,"")</x:f>
      </x:c>
      <x:c r="I85" s="76" t="str">
        <x:f>IF('07_Form_Mobilite'!$Q85="Validé humainement",'07_Form_Mobilite'!I85,"")</x:f>
      </x:c>
      <x:c r="J85" s="77" t="str">
        <x:f>IF('07_Form_Mobilite'!$Q85="Validé humainement",'07_Form_Mobilite'!J85,"")</x:f>
      </x:c>
      <x:c r="K85" s="76" t="str">
        <x:f>IF('07_Form_Mobilite'!$Q85="Validé humainement",'07_Form_Mobilite'!K85,"")</x:f>
      </x:c>
      <x:c r="L85" s="83" t="str">
        <x:f>IF('07_Form_Mobilite'!$Q85="Validé humainement",'07_Form_Mobilite'!L85,"")</x:f>
      </x:c>
      <x:c r="M85" s="77" t="str">
        <x:f>IF('07_Form_Mobilite'!$Q85="Validé humainement",'07_Form_Mobilite'!M85,"")</x:f>
      </x:c>
      <x:c r="N85" s="76" t="str">
        <x:f>IF('07_Form_Mobilite'!$Q85="Validé humainement",'07_Form_Mobilite'!N85,"")</x:f>
      </x:c>
      <x:c r="O85" s="76" t="str">
        <x:f>IF('07_Form_Mobilite'!$Q85="Validé humainement",'07_Form_Mobilite'!O85,"")</x:f>
      </x:c>
      <x:c r="P85" s="76" t="str">
        <x:f>IF('07_Form_Mobilite'!$Q85="Validé humainement",'07_Form_Mobilite'!P85,"")</x:f>
      </x:c>
      <x:c r="Q85" s="76" t="str">
        <x:f>IF('07_Form_Mobilite'!$Q85="Validé humainement",'07_Form_Mobilite'!Q85,"")</x:f>
      </x:c>
      <x:c r="R85" s="76" t="str">
        <x:f>IF('07_Form_Mobilite'!$Q85="Validé humainement",'07_Form_Mobilite'!R85,"")</x:f>
      </x:c>
      <x:c r="S85" s="78" t="str">
        <x:f>IF('07_Form_Mobilite'!$Q85="Validé humainement",'07_Form_Mobilite'!S85,"")</x:f>
      </x:c>
      <x:c r="T85" s="76" t="str">
        <x:f>IF('07_Form_Mobilite'!$Q85="Validé humainement",'07_Form_Mobilite'!T85,"")</x:f>
      </x:c>
      <x:c r="U85" s="76" t="str">
        <x:f>IF('07_Form_Mobilite'!$Q85="Validé humainement",'07_Form_Mobilite'!U85,"")</x:f>
      </x:c>
      <x:c r="V85" s="76" t="str">
        <x:f>IF('07_Form_Mobilite'!$Q85="Validé humainement",'07_Form_Mobilite'!V85,"")</x:f>
      </x:c>
    </x:row>
    <x:row r="86">
      <x:c r="A86" s="76" t="str">
        <x:f>IF('07_Form_Mobilite'!$Q86="Validé humainement",'07_Form_Mobilite'!A86,"")</x:f>
      </x:c>
      <x:c r="B86" s="76" t="str">
        <x:f>IF('07_Form_Mobilite'!$Q86="Validé humainement",'07_Form_Mobilite'!B86,"")</x:f>
      </x:c>
      <x:c r="C86" s="76" t="str">
        <x:f>IF('07_Form_Mobilite'!$Q86="Validé humainement",'07_Form_Mobilite'!C86,"")</x:f>
      </x:c>
      <x:c r="D86" s="76" t="str">
        <x:f>IF('07_Form_Mobilite'!$Q86="Validé humainement",'07_Form_Mobilite'!D86,"")</x:f>
      </x:c>
      <x:c r="E86" s="76" t="str">
        <x:f>IF('07_Form_Mobilite'!$Q86="Validé humainement",'07_Form_Mobilite'!E86,"")</x:f>
      </x:c>
      <x:c r="F86" s="81" t="str">
        <x:f>IF('07_Form_Mobilite'!$Q86="Validé humainement",'07_Form_Mobilite'!F86,"")</x:f>
      </x:c>
      <x:c r="G86" s="80" t="str">
        <x:f>IF('07_Form_Mobilite'!$Q86="Validé humainement",'07_Form_Mobilite'!G86,"")</x:f>
      </x:c>
      <x:c r="H86" s="81" t="str">
        <x:f>IF('07_Form_Mobilite'!$Q86="Validé humainement",'07_Form_Mobilite'!H86,"")</x:f>
      </x:c>
      <x:c r="I86" s="76" t="str">
        <x:f>IF('07_Form_Mobilite'!$Q86="Validé humainement",'07_Form_Mobilite'!I86,"")</x:f>
      </x:c>
      <x:c r="J86" s="77" t="str">
        <x:f>IF('07_Form_Mobilite'!$Q86="Validé humainement",'07_Form_Mobilite'!J86,"")</x:f>
      </x:c>
      <x:c r="K86" s="76" t="str">
        <x:f>IF('07_Form_Mobilite'!$Q86="Validé humainement",'07_Form_Mobilite'!K86,"")</x:f>
      </x:c>
      <x:c r="L86" s="83" t="str">
        <x:f>IF('07_Form_Mobilite'!$Q86="Validé humainement",'07_Form_Mobilite'!L86,"")</x:f>
      </x:c>
      <x:c r="M86" s="77" t="str">
        <x:f>IF('07_Form_Mobilite'!$Q86="Validé humainement",'07_Form_Mobilite'!M86,"")</x:f>
      </x:c>
      <x:c r="N86" s="76" t="str">
        <x:f>IF('07_Form_Mobilite'!$Q86="Validé humainement",'07_Form_Mobilite'!N86,"")</x:f>
      </x:c>
      <x:c r="O86" s="76" t="str">
        <x:f>IF('07_Form_Mobilite'!$Q86="Validé humainement",'07_Form_Mobilite'!O86,"")</x:f>
      </x:c>
      <x:c r="P86" s="76" t="str">
        <x:f>IF('07_Form_Mobilite'!$Q86="Validé humainement",'07_Form_Mobilite'!P86,"")</x:f>
      </x:c>
      <x:c r="Q86" s="76" t="str">
        <x:f>IF('07_Form_Mobilite'!$Q86="Validé humainement",'07_Form_Mobilite'!Q86,"")</x:f>
      </x:c>
      <x:c r="R86" s="76" t="str">
        <x:f>IF('07_Form_Mobilite'!$Q86="Validé humainement",'07_Form_Mobilite'!R86,"")</x:f>
      </x:c>
      <x:c r="S86" s="78" t="str">
        <x:f>IF('07_Form_Mobilite'!$Q86="Validé humainement",'07_Form_Mobilite'!S86,"")</x:f>
      </x:c>
      <x:c r="T86" s="76" t="str">
        <x:f>IF('07_Form_Mobilite'!$Q86="Validé humainement",'07_Form_Mobilite'!T86,"")</x:f>
      </x:c>
      <x:c r="U86" s="76" t="str">
        <x:f>IF('07_Form_Mobilite'!$Q86="Validé humainement",'07_Form_Mobilite'!U86,"")</x:f>
      </x:c>
      <x:c r="V86" s="76" t="str">
        <x:f>IF('07_Form_Mobilite'!$Q86="Validé humainement",'07_Form_Mobilite'!V86,"")</x:f>
      </x:c>
    </x:row>
    <x:row r="87">
      <x:c r="A87" s="76" t="str">
        <x:f>IF('07_Form_Mobilite'!$Q87="Validé humainement",'07_Form_Mobilite'!A87,"")</x:f>
      </x:c>
      <x:c r="B87" s="76" t="str">
        <x:f>IF('07_Form_Mobilite'!$Q87="Validé humainement",'07_Form_Mobilite'!B87,"")</x:f>
      </x:c>
      <x:c r="C87" s="76" t="str">
        <x:f>IF('07_Form_Mobilite'!$Q87="Validé humainement",'07_Form_Mobilite'!C87,"")</x:f>
      </x:c>
      <x:c r="D87" s="76" t="str">
        <x:f>IF('07_Form_Mobilite'!$Q87="Validé humainement",'07_Form_Mobilite'!D87,"")</x:f>
      </x:c>
      <x:c r="E87" s="76" t="str">
        <x:f>IF('07_Form_Mobilite'!$Q87="Validé humainement",'07_Form_Mobilite'!E87,"")</x:f>
      </x:c>
      <x:c r="F87" s="81" t="str">
        <x:f>IF('07_Form_Mobilite'!$Q87="Validé humainement",'07_Form_Mobilite'!F87,"")</x:f>
      </x:c>
      <x:c r="G87" s="80" t="str">
        <x:f>IF('07_Form_Mobilite'!$Q87="Validé humainement",'07_Form_Mobilite'!G87,"")</x:f>
      </x:c>
      <x:c r="H87" s="81" t="str">
        <x:f>IF('07_Form_Mobilite'!$Q87="Validé humainement",'07_Form_Mobilite'!H87,"")</x:f>
      </x:c>
      <x:c r="I87" s="76" t="str">
        <x:f>IF('07_Form_Mobilite'!$Q87="Validé humainement",'07_Form_Mobilite'!I87,"")</x:f>
      </x:c>
      <x:c r="J87" s="77" t="str">
        <x:f>IF('07_Form_Mobilite'!$Q87="Validé humainement",'07_Form_Mobilite'!J87,"")</x:f>
      </x:c>
      <x:c r="K87" s="76" t="str">
        <x:f>IF('07_Form_Mobilite'!$Q87="Validé humainement",'07_Form_Mobilite'!K87,"")</x:f>
      </x:c>
      <x:c r="L87" s="83" t="str">
        <x:f>IF('07_Form_Mobilite'!$Q87="Validé humainement",'07_Form_Mobilite'!L87,"")</x:f>
      </x:c>
      <x:c r="M87" s="77" t="str">
        <x:f>IF('07_Form_Mobilite'!$Q87="Validé humainement",'07_Form_Mobilite'!M87,"")</x:f>
      </x:c>
      <x:c r="N87" s="76" t="str">
        <x:f>IF('07_Form_Mobilite'!$Q87="Validé humainement",'07_Form_Mobilite'!N87,"")</x:f>
      </x:c>
      <x:c r="O87" s="76" t="str">
        <x:f>IF('07_Form_Mobilite'!$Q87="Validé humainement",'07_Form_Mobilite'!O87,"")</x:f>
      </x:c>
      <x:c r="P87" s="76" t="str">
        <x:f>IF('07_Form_Mobilite'!$Q87="Validé humainement",'07_Form_Mobilite'!P87,"")</x:f>
      </x:c>
      <x:c r="Q87" s="76" t="str">
        <x:f>IF('07_Form_Mobilite'!$Q87="Validé humainement",'07_Form_Mobilite'!Q87,"")</x:f>
      </x:c>
      <x:c r="R87" s="76" t="str">
        <x:f>IF('07_Form_Mobilite'!$Q87="Validé humainement",'07_Form_Mobilite'!R87,"")</x:f>
      </x:c>
      <x:c r="S87" s="78" t="str">
        <x:f>IF('07_Form_Mobilite'!$Q87="Validé humainement",'07_Form_Mobilite'!S87,"")</x:f>
      </x:c>
      <x:c r="T87" s="76" t="str">
        <x:f>IF('07_Form_Mobilite'!$Q87="Validé humainement",'07_Form_Mobilite'!T87,"")</x:f>
      </x:c>
      <x:c r="U87" s="76" t="str">
        <x:f>IF('07_Form_Mobilite'!$Q87="Validé humainement",'07_Form_Mobilite'!U87,"")</x:f>
      </x:c>
      <x:c r="V87" s="76" t="str">
        <x:f>IF('07_Form_Mobilite'!$Q87="Validé humainement",'07_Form_Mobilite'!V87,"")</x:f>
      </x:c>
    </x:row>
    <x:row r="88">
      <x:c r="A88" s="76" t="str">
        <x:f>IF('07_Form_Mobilite'!$Q88="Validé humainement",'07_Form_Mobilite'!A88,"")</x:f>
      </x:c>
      <x:c r="B88" s="76" t="str">
        <x:f>IF('07_Form_Mobilite'!$Q88="Validé humainement",'07_Form_Mobilite'!B88,"")</x:f>
      </x:c>
      <x:c r="C88" s="76" t="str">
        <x:f>IF('07_Form_Mobilite'!$Q88="Validé humainement",'07_Form_Mobilite'!C88,"")</x:f>
      </x:c>
      <x:c r="D88" s="76" t="str">
        <x:f>IF('07_Form_Mobilite'!$Q88="Validé humainement",'07_Form_Mobilite'!D88,"")</x:f>
      </x:c>
      <x:c r="E88" s="76" t="str">
        <x:f>IF('07_Form_Mobilite'!$Q88="Validé humainement",'07_Form_Mobilite'!E88,"")</x:f>
      </x:c>
      <x:c r="F88" s="81" t="str">
        <x:f>IF('07_Form_Mobilite'!$Q88="Validé humainement",'07_Form_Mobilite'!F88,"")</x:f>
      </x:c>
      <x:c r="G88" s="80" t="str">
        <x:f>IF('07_Form_Mobilite'!$Q88="Validé humainement",'07_Form_Mobilite'!G88,"")</x:f>
      </x:c>
      <x:c r="H88" s="81" t="str">
        <x:f>IF('07_Form_Mobilite'!$Q88="Validé humainement",'07_Form_Mobilite'!H88,"")</x:f>
      </x:c>
      <x:c r="I88" s="76" t="str">
        <x:f>IF('07_Form_Mobilite'!$Q88="Validé humainement",'07_Form_Mobilite'!I88,"")</x:f>
      </x:c>
      <x:c r="J88" s="77" t="str">
        <x:f>IF('07_Form_Mobilite'!$Q88="Validé humainement",'07_Form_Mobilite'!J88,"")</x:f>
      </x:c>
      <x:c r="K88" s="76" t="str">
        <x:f>IF('07_Form_Mobilite'!$Q88="Validé humainement",'07_Form_Mobilite'!K88,"")</x:f>
      </x:c>
      <x:c r="L88" s="83" t="str">
        <x:f>IF('07_Form_Mobilite'!$Q88="Validé humainement",'07_Form_Mobilite'!L88,"")</x:f>
      </x:c>
      <x:c r="M88" s="77" t="str">
        <x:f>IF('07_Form_Mobilite'!$Q88="Validé humainement",'07_Form_Mobilite'!M88,"")</x:f>
      </x:c>
      <x:c r="N88" s="76" t="str">
        <x:f>IF('07_Form_Mobilite'!$Q88="Validé humainement",'07_Form_Mobilite'!N88,"")</x:f>
      </x:c>
      <x:c r="O88" s="76" t="str">
        <x:f>IF('07_Form_Mobilite'!$Q88="Validé humainement",'07_Form_Mobilite'!O88,"")</x:f>
      </x:c>
      <x:c r="P88" s="76" t="str">
        <x:f>IF('07_Form_Mobilite'!$Q88="Validé humainement",'07_Form_Mobilite'!P88,"")</x:f>
      </x:c>
      <x:c r="Q88" s="76" t="str">
        <x:f>IF('07_Form_Mobilite'!$Q88="Validé humainement",'07_Form_Mobilite'!Q88,"")</x:f>
      </x:c>
      <x:c r="R88" s="76" t="str">
        <x:f>IF('07_Form_Mobilite'!$Q88="Validé humainement",'07_Form_Mobilite'!R88,"")</x:f>
      </x:c>
      <x:c r="S88" s="78" t="str">
        <x:f>IF('07_Form_Mobilite'!$Q88="Validé humainement",'07_Form_Mobilite'!S88,"")</x:f>
      </x:c>
      <x:c r="T88" s="76" t="str">
        <x:f>IF('07_Form_Mobilite'!$Q88="Validé humainement",'07_Form_Mobilite'!T88,"")</x:f>
      </x:c>
      <x:c r="U88" s="76" t="str">
        <x:f>IF('07_Form_Mobilite'!$Q88="Validé humainement",'07_Form_Mobilite'!U88,"")</x:f>
      </x:c>
      <x:c r="V88" s="76" t="str">
        <x:f>IF('07_Form_Mobilite'!$Q88="Validé humainement",'07_Form_Mobilite'!V88,"")</x:f>
      </x:c>
    </x:row>
    <x:row r="89">
      <x:c r="A89" s="76" t="str">
        <x:f>IF('07_Form_Mobilite'!$Q89="Validé humainement",'07_Form_Mobilite'!A89,"")</x:f>
      </x:c>
      <x:c r="B89" s="76" t="str">
        <x:f>IF('07_Form_Mobilite'!$Q89="Validé humainement",'07_Form_Mobilite'!B89,"")</x:f>
      </x:c>
      <x:c r="C89" s="76" t="str">
        <x:f>IF('07_Form_Mobilite'!$Q89="Validé humainement",'07_Form_Mobilite'!C89,"")</x:f>
      </x:c>
      <x:c r="D89" s="76" t="str">
        <x:f>IF('07_Form_Mobilite'!$Q89="Validé humainement",'07_Form_Mobilite'!D89,"")</x:f>
      </x:c>
      <x:c r="E89" s="76" t="str">
        <x:f>IF('07_Form_Mobilite'!$Q89="Validé humainement",'07_Form_Mobilite'!E89,"")</x:f>
      </x:c>
      <x:c r="F89" s="81" t="str">
        <x:f>IF('07_Form_Mobilite'!$Q89="Validé humainement",'07_Form_Mobilite'!F89,"")</x:f>
      </x:c>
      <x:c r="G89" s="80" t="str">
        <x:f>IF('07_Form_Mobilite'!$Q89="Validé humainement",'07_Form_Mobilite'!G89,"")</x:f>
      </x:c>
      <x:c r="H89" s="81" t="str">
        <x:f>IF('07_Form_Mobilite'!$Q89="Validé humainement",'07_Form_Mobilite'!H89,"")</x:f>
      </x:c>
      <x:c r="I89" s="76" t="str">
        <x:f>IF('07_Form_Mobilite'!$Q89="Validé humainement",'07_Form_Mobilite'!I89,"")</x:f>
      </x:c>
      <x:c r="J89" s="77" t="str">
        <x:f>IF('07_Form_Mobilite'!$Q89="Validé humainement",'07_Form_Mobilite'!J89,"")</x:f>
      </x:c>
      <x:c r="K89" s="76" t="str">
        <x:f>IF('07_Form_Mobilite'!$Q89="Validé humainement",'07_Form_Mobilite'!K89,"")</x:f>
      </x:c>
      <x:c r="L89" s="83" t="str">
        <x:f>IF('07_Form_Mobilite'!$Q89="Validé humainement",'07_Form_Mobilite'!L89,"")</x:f>
      </x:c>
      <x:c r="M89" s="77" t="str">
        <x:f>IF('07_Form_Mobilite'!$Q89="Validé humainement",'07_Form_Mobilite'!M89,"")</x:f>
      </x:c>
      <x:c r="N89" s="76" t="str">
        <x:f>IF('07_Form_Mobilite'!$Q89="Validé humainement",'07_Form_Mobilite'!N89,"")</x:f>
      </x:c>
      <x:c r="O89" s="76" t="str">
        <x:f>IF('07_Form_Mobilite'!$Q89="Validé humainement",'07_Form_Mobilite'!O89,"")</x:f>
      </x:c>
      <x:c r="P89" s="76" t="str">
        <x:f>IF('07_Form_Mobilite'!$Q89="Validé humainement",'07_Form_Mobilite'!P89,"")</x:f>
      </x:c>
      <x:c r="Q89" s="76" t="str">
        <x:f>IF('07_Form_Mobilite'!$Q89="Validé humainement",'07_Form_Mobilite'!Q89,"")</x:f>
      </x:c>
      <x:c r="R89" s="76" t="str">
        <x:f>IF('07_Form_Mobilite'!$Q89="Validé humainement",'07_Form_Mobilite'!R89,"")</x:f>
      </x:c>
      <x:c r="S89" s="78" t="str">
        <x:f>IF('07_Form_Mobilite'!$Q89="Validé humainement",'07_Form_Mobilite'!S89,"")</x:f>
      </x:c>
      <x:c r="T89" s="76" t="str">
        <x:f>IF('07_Form_Mobilite'!$Q89="Validé humainement",'07_Form_Mobilite'!T89,"")</x:f>
      </x:c>
      <x:c r="U89" s="76" t="str">
        <x:f>IF('07_Form_Mobilite'!$Q89="Validé humainement",'07_Form_Mobilite'!U89,"")</x:f>
      </x:c>
      <x:c r="V89" s="76" t="str">
        <x:f>IF('07_Form_Mobilite'!$Q89="Validé humainement",'07_Form_Mobilite'!V89,"")</x:f>
      </x:c>
    </x:row>
    <x:row r="90">
      <x:c r="A90" s="76" t="str">
        <x:f>IF('07_Form_Mobilite'!$Q90="Validé humainement",'07_Form_Mobilite'!A90,"")</x:f>
      </x:c>
      <x:c r="B90" s="76" t="str">
        <x:f>IF('07_Form_Mobilite'!$Q90="Validé humainement",'07_Form_Mobilite'!B90,"")</x:f>
      </x:c>
      <x:c r="C90" s="76" t="str">
        <x:f>IF('07_Form_Mobilite'!$Q90="Validé humainement",'07_Form_Mobilite'!C90,"")</x:f>
      </x:c>
      <x:c r="D90" s="76" t="str">
        <x:f>IF('07_Form_Mobilite'!$Q90="Validé humainement",'07_Form_Mobilite'!D90,"")</x:f>
      </x:c>
      <x:c r="E90" s="76" t="str">
        <x:f>IF('07_Form_Mobilite'!$Q90="Validé humainement",'07_Form_Mobilite'!E90,"")</x:f>
      </x:c>
      <x:c r="F90" s="81" t="str">
        <x:f>IF('07_Form_Mobilite'!$Q90="Validé humainement",'07_Form_Mobilite'!F90,"")</x:f>
      </x:c>
      <x:c r="G90" s="80" t="str">
        <x:f>IF('07_Form_Mobilite'!$Q90="Validé humainement",'07_Form_Mobilite'!G90,"")</x:f>
      </x:c>
      <x:c r="H90" s="81" t="str">
        <x:f>IF('07_Form_Mobilite'!$Q90="Validé humainement",'07_Form_Mobilite'!H90,"")</x:f>
      </x:c>
      <x:c r="I90" s="76" t="str">
        <x:f>IF('07_Form_Mobilite'!$Q90="Validé humainement",'07_Form_Mobilite'!I90,"")</x:f>
      </x:c>
      <x:c r="J90" s="77" t="str">
        <x:f>IF('07_Form_Mobilite'!$Q90="Validé humainement",'07_Form_Mobilite'!J90,"")</x:f>
      </x:c>
      <x:c r="K90" s="76" t="str">
        <x:f>IF('07_Form_Mobilite'!$Q90="Validé humainement",'07_Form_Mobilite'!K90,"")</x:f>
      </x:c>
      <x:c r="L90" s="83" t="str">
        <x:f>IF('07_Form_Mobilite'!$Q90="Validé humainement",'07_Form_Mobilite'!L90,"")</x:f>
      </x:c>
      <x:c r="M90" s="77" t="str">
        <x:f>IF('07_Form_Mobilite'!$Q90="Validé humainement",'07_Form_Mobilite'!M90,"")</x:f>
      </x:c>
      <x:c r="N90" s="76" t="str">
        <x:f>IF('07_Form_Mobilite'!$Q90="Validé humainement",'07_Form_Mobilite'!N90,"")</x:f>
      </x:c>
      <x:c r="O90" s="76" t="str">
        <x:f>IF('07_Form_Mobilite'!$Q90="Validé humainement",'07_Form_Mobilite'!O90,"")</x:f>
      </x:c>
      <x:c r="P90" s="76" t="str">
        <x:f>IF('07_Form_Mobilite'!$Q90="Validé humainement",'07_Form_Mobilite'!P90,"")</x:f>
      </x:c>
      <x:c r="Q90" s="76" t="str">
        <x:f>IF('07_Form_Mobilite'!$Q90="Validé humainement",'07_Form_Mobilite'!Q90,"")</x:f>
      </x:c>
      <x:c r="R90" s="76" t="str">
        <x:f>IF('07_Form_Mobilite'!$Q90="Validé humainement",'07_Form_Mobilite'!R90,"")</x:f>
      </x:c>
      <x:c r="S90" s="78" t="str">
        <x:f>IF('07_Form_Mobilite'!$Q90="Validé humainement",'07_Form_Mobilite'!S90,"")</x:f>
      </x:c>
      <x:c r="T90" s="76" t="str">
        <x:f>IF('07_Form_Mobilite'!$Q90="Validé humainement",'07_Form_Mobilite'!T90,"")</x:f>
      </x:c>
      <x:c r="U90" s="76" t="str">
        <x:f>IF('07_Form_Mobilite'!$Q90="Validé humainement",'07_Form_Mobilite'!U90,"")</x:f>
      </x:c>
      <x:c r="V90" s="76" t="str">
        <x:f>IF('07_Form_Mobilite'!$Q90="Validé humainement",'07_Form_Mobilite'!V90,"")</x:f>
      </x:c>
    </x:row>
    <x:row r="91">
      <x:c r="A91" s="76" t="str">
        <x:f>IF('07_Form_Mobilite'!$Q91="Validé humainement",'07_Form_Mobilite'!A91,"")</x:f>
      </x:c>
      <x:c r="B91" s="76" t="str">
        <x:f>IF('07_Form_Mobilite'!$Q91="Validé humainement",'07_Form_Mobilite'!B91,"")</x:f>
      </x:c>
      <x:c r="C91" s="76" t="str">
        <x:f>IF('07_Form_Mobilite'!$Q91="Validé humainement",'07_Form_Mobilite'!C91,"")</x:f>
      </x:c>
      <x:c r="D91" s="76" t="str">
        <x:f>IF('07_Form_Mobilite'!$Q91="Validé humainement",'07_Form_Mobilite'!D91,"")</x:f>
      </x:c>
      <x:c r="E91" s="76" t="str">
        <x:f>IF('07_Form_Mobilite'!$Q91="Validé humainement",'07_Form_Mobilite'!E91,"")</x:f>
      </x:c>
      <x:c r="F91" s="81" t="str">
        <x:f>IF('07_Form_Mobilite'!$Q91="Validé humainement",'07_Form_Mobilite'!F91,"")</x:f>
      </x:c>
      <x:c r="G91" s="80" t="str">
        <x:f>IF('07_Form_Mobilite'!$Q91="Validé humainement",'07_Form_Mobilite'!G91,"")</x:f>
      </x:c>
      <x:c r="H91" s="81" t="str">
        <x:f>IF('07_Form_Mobilite'!$Q91="Validé humainement",'07_Form_Mobilite'!H91,"")</x:f>
      </x:c>
      <x:c r="I91" s="76" t="str">
        <x:f>IF('07_Form_Mobilite'!$Q91="Validé humainement",'07_Form_Mobilite'!I91,"")</x:f>
      </x:c>
      <x:c r="J91" s="77" t="str">
        <x:f>IF('07_Form_Mobilite'!$Q91="Validé humainement",'07_Form_Mobilite'!J91,"")</x:f>
      </x:c>
      <x:c r="K91" s="76" t="str">
        <x:f>IF('07_Form_Mobilite'!$Q91="Validé humainement",'07_Form_Mobilite'!K91,"")</x:f>
      </x:c>
      <x:c r="L91" s="83" t="str">
        <x:f>IF('07_Form_Mobilite'!$Q91="Validé humainement",'07_Form_Mobilite'!L91,"")</x:f>
      </x:c>
      <x:c r="M91" s="77" t="str">
        <x:f>IF('07_Form_Mobilite'!$Q91="Validé humainement",'07_Form_Mobilite'!M91,"")</x:f>
      </x:c>
      <x:c r="N91" s="76" t="str">
        <x:f>IF('07_Form_Mobilite'!$Q91="Validé humainement",'07_Form_Mobilite'!N91,"")</x:f>
      </x:c>
      <x:c r="O91" s="76" t="str">
        <x:f>IF('07_Form_Mobilite'!$Q91="Validé humainement",'07_Form_Mobilite'!O91,"")</x:f>
      </x:c>
      <x:c r="P91" s="76" t="str">
        <x:f>IF('07_Form_Mobilite'!$Q91="Validé humainement",'07_Form_Mobilite'!P91,"")</x:f>
      </x:c>
      <x:c r="Q91" s="76" t="str">
        <x:f>IF('07_Form_Mobilite'!$Q91="Validé humainement",'07_Form_Mobilite'!Q91,"")</x:f>
      </x:c>
      <x:c r="R91" s="76" t="str">
        <x:f>IF('07_Form_Mobilite'!$Q91="Validé humainement",'07_Form_Mobilite'!R91,"")</x:f>
      </x:c>
      <x:c r="S91" s="78" t="str">
        <x:f>IF('07_Form_Mobilite'!$Q91="Validé humainement",'07_Form_Mobilite'!S91,"")</x:f>
      </x:c>
      <x:c r="T91" s="76" t="str">
        <x:f>IF('07_Form_Mobilite'!$Q91="Validé humainement",'07_Form_Mobilite'!T91,"")</x:f>
      </x:c>
      <x:c r="U91" s="76" t="str">
        <x:f>IF('07_Form_Mobilite'!$Q91="Validé humainement",'07_Form_Mobilite'!U91,"")</x:f>
      </x:c>
      <x:c r="V91" s="76" t="str">
        <x:f>IF('07_Form_Mobilite'!$Q91="Validé humainement",'07_Form_Mobilite'!V91,"")</x:f>
      </x:c>
    </x:row>
    <x:row r="92">
      <x:c r="A92" s="76" t="str">
        <x:f>IF('07_Form_Mobilite'!$Q92="Validé humainement",'07_Form_Mobilite'!A92,"")</x:f>
      </x:c>
      <x:c r="B92" s="76" t="str">
        <x:f>IF('07_Form_Mobilite'!$Q92="Validé humainement",'07_Form_Mobilite'!B92,"")</x:f>
      </x:c>
      <x:c r="C92" s="76" t="str">
        <x:f>IF('07_Form_Mobilite'!$Q92="Validé humainement",'07_Form_Mobilite'!C92,"")</x:f>
      </x:c>
      <x:c r="D92" s="76" t="str">
        <x:f>IF('07_Form_Mobilite'!$Q92="Validé humainement",'07_Form_Mobilite'!D92,"")</x:f>
      </x:c>
      <x:c r="E92" s="76" t="str">
        <x:f>IF('07_Form_Mobilite'!$Q92="Validé humainement",'07_Form_Mobilite'!E92,"")</x:f>
      </x:c>
      <x:c r="F92" s="81" t="str">
        <x:f>IF('07_Form_Mobilite'!$Q92="Validé humainement",'07_Form_Mobilite'!F92,"")</x:f>
      </x:c>
      <x:c r="G92" s="80" t="str">
        <x:f>IF('07_Form_Mobilite'!$Q92="Validé humainement",'07_Form_Mobilite'!G92,"")</x:f>
      </x:c>
      <x:c r="H92" s="81" t="str">
        <x:f>IF('07_Form_Mobilite'!$Q92="Validé humainement",'07_Form_Mobilite'!H92,"")</x:f>
      </x:c>
      <x:c r="I92" s="76" t="str">
        <x:f>IF('07_Form_Mobilite'!$Q92="Validé humainement",'07_Form_Mobilite'!I92,"")</x:f>
      </x:c>
      <x:c r="J92" s="77" t="str">
        <x:f>IF('07_Form_Mobilite'!$Q92="Validé humainement",'07_Form_Mobilite'!J92,"")</x:f>
      </x:c>
      <x:c r="K92" s="76" t="str">
        <x:f>IF('07_Form_Mobilite'!$Q92="Validé humainement",'07_Form_Mobilite'!K92,"")</x:f>
      </x:c>
      <x:c r="L92" s="83" t="str">
        <x:f>IF('07_Form_Mobilite'!$Q92="Validé humainement",'07_Form_Mobilite'!L92,"")</x:f>
      </x:c>
      <x:c r="M92" s="77" t="str">
        <x:f>IF('07_Form_Mobilite'!$Q92="Validé humainement",'07_Form_Mobilite'!M92,"")</x:f>
      </x:c>
      <x:c r="N92" s="76" t="str">
        <x:f>IF('07_Form_Mobilite'!$Q92="Validé humainement",'07_Form_Mobilite'!N92,"")</x:f>
      </x:c>
      <x:c r="O92" s="76" t="str">
        <x:f>IF('07_Form_Mobilite'!$Q92="Validé humainement",'07_Form_Mobilite'!O92,"")</x:f>
      </x:c>
      <x:c r="P92" s="76" t="str">
        <x:f>IF('07_Form_Mobilite'!$Q92="Validé humainement",'07_Form_Mobilite'!P92,"")</x:f>
      </x:c>
      <x:c r="Q92" s="76" t="str">
        <x:f>IF('07_Form_Mobilite'!$Q92="Validé humainement",'07_Form_Mobilite'!Q92,"")</x:f>
      </x:c>
      <x:c r="R92" s="76" t="str">
        <x:f>IF('07_Form_Mobilite'!$Q92="Validé humainement",'07_Form_Mobilite'!R92,"")</x:f>
      </x:c>
      <x:c r="S92" s="78" t="str">
        <x:f>IF('07_Form_Mobilite'!$Q92="Validé humainement",'07_Form_Mobilite'!S92,"")</x:f>
      </x:c>
      <x:c r="T92" s="76" t="str">
        <x:f>IF('07_Form_Mobilite'!$Q92="Validé humainement",'07_Form_Mobilite'!T92,"")</x:f>
      </x:c>
      <x:c r="U92" s="76" t="str">
        <x:f>IF('07_Form_Mobilite'!$Q92="Validé humainement",'07_Form_Mobilite'!U92,"")</x:f>
      </x:c>
      <x:c r="V92" s="76" t="str">
        <x:f>IF('07_Form_Mobilite'!$Q92="Validé humainement",'07_Form_Mobilite'!V92,"")</x:f>
      </x:c>
    </x:row>
    <x:row r="93">
      <x:c r="A93" s="76" t="str">
        <x:f>IF('07_Form_Mobilite'!$Q93="Validé humainement",'07_Form_Mobilite'!A93,"")</x:f>
      </x:c>
      <x:c r="B93" s="76" t="str">
        <x:f>IF('07_Form_Mobilite'!$Q93="Validé humainement",'07_Form_Mobilite'!B93,"")</x:f>
      </x:c>
      <x:c r="C93" s="76" t="str">
        <x:f>IF('07_Form_Mobilite'!$Q93="Validé humainement",'07_Form_Mobilite'!C93,"")</x:f>
      </x:c>
      <x:c r="D93" s="76" t="str">
        <x:f>IF('07_Form_Mobilite'!$Q93="Validé humainement",'07_Form_Mobilite'!D93,"")</x:f>
      </x:c>
      <x:c r="E93" s="76" t="str">
        <x:f>IF('07_Form_Mobilite'!$Q93="Validé humainement",'07_Form_Mobilite'!E93,"")</x:f>
      </x:c>
      <x:c r="F93" s="81" t="str">
        <x:f>IF('07_Form_Mobilite'!$Q93="Validé humainement",'07_Form_Mobilite'!F93,"")</x:f>
      </x:c>
      <x:c r="G93" s="80" t="str">
        <x:f>IF('07_Form_Mobilite'!$Q93="Validé humainement",'07_Form_Mobilite'!G93,"")</x:f>
      </x:c>
      <x:c r="H93" s="81" t="str">
        <x:f>IF('07_Form_Mobilite'!$Q93="Validé humainement",'07_Form_Mobilite'!H93,"")</x:f>
      </x:c>
      <x:c r="I93" s="76" t="str">
        <x:f>IF('07_Form_Mobilite'!$Q93="Validé humainement",'07_Form_Mobilite'!I93,"")</x:f>
      </x:c>
      <x:c r="J93" s="77" t="str">
        <x:f>IF('07_Form_Mobilite'!$Q93="Validé humainement",'07_Form_Mobilite'!J93,"")</x:f>
      </x:c>
      <x:c r="K93" s="76" t="str">
        <x:f>IF('07_Form_Mobilite'!$Q93="Validé humainement",'07_Form_Mobilite'!K93,"")</x:f>
      </x:c>
      <x:c r="L93" s="83" t="str">
        <x:f>IF('07_Form_Mobilite'!$Q93="Validé humainement",'07_Form_Mobilite'!L93,"")</x:f>
      </x:c>
      <x:c r="M93" s="77" t="str">
        <x:f>IF('07_Form_Mobilite'!$Q93="Validé humainement",'07_Form_Mobilite'!M93,"")</x:f>
      </x:c>
      <x:c r="N93" s="76" t="str">
        <x:f>IF('07_Form_Mobilite'!$Q93="Validé humainement",'07_Form_Mobilite'!N93,"")</x:f>
      </x:c>
      <x:c r="O93" s="76" t="str">
        <x:f>IF('07_Form_Mobilite'!$Q93="Validé humainement",'07_Form_Mobilite'!O93,"")</x:f>
      </x:c>
      <x:c r="P93" s="76" t="str">
        <x:f>IF('07_Form_Mobilite'!$Q93="Validé humainement",'07_Form_Mobilite'!P93,"")</x:f>
      </x:c>
      <x:c r="Q93" s="76" t="str">
        <x:f>IF('07_Form_Mobilite'!$Q93="Validé humainement",'07_Form_Mobilite'!Q93,"")</x:f>
      </x:c>
      <x:c r="R93" s="76" t="str">
        <x:f>IF('07_Form_Mobilite'!$Q93="Validé humainement",'07_Form_Mobilite'!R93,"")</x:f>
      </x:c>
      <x:c r="S93" s="78" t="str">
        <x:f>IF('07_Form_Mobilite'!$Q93="Validé humainement",'07_Form_Mobilite'!S93,"")</x:f>
      </x:c>
      <x:c r="T93" s="76" t="str">
        <x:f>IF('07_Form_Mobilite'!$Q93="Validé humainement",'07_Form_Mobilite'!T93,"")</x:f>
      </x:c>
      <x:c r="U93" s="76" t="str">
        <x:f>IF('07_Form_Mobilite'!$Q93="Validé humainement",'07_Form_Mobilite'!U93,"")</x:f>
      </x:c>
      <x:c r="V93" s="76" t="str">
        <x:f>IF('07_Form_Mobilite'!$Q93="Validé humainement",'07_Form_Mobilite'!V93,"")</x:f>
      </x:c>
    </x:row>
    <x:row r="94">
      <x:c r="A94" s="76" t="str">
        <x:f>IF('07_Form_Mobilite'!$Q94="Validé humainement",'07_Form_Mobilite'!A94,"")</x:f>
      </x:c>
      <x:c r="B94" s="76" t="str">
        <x:f>IF('07_Form_Mobilite'!$Q94="Validé humainement",'07_Form_Mobilite'!B94,"")</x:f>
      </x:c>
      <x:c r="C94" s="76" t="str">
        <x:f>IF('07_Form_Mobilite'!$Q94="Validé humainement",'07_Form_Mobilite'!C94,"")</x:f>
      </x:c>
      <x:c r="D94" s="76" t="str">
        <x:f>IF('07_Form_Mobilite'!$Q94="Validé humainement",'07_Form_Mobilite'!D94,"")</x:f>
      </x:c>
      <x:c r="E94" s="76" t="str">
        <x:f>IF('07_Form_Mobilite'!$Q94="Validé humainement",'07_Form_Mobilite'!E94,"")</x:f>
      </x:c>
      <x:c r="F94" s="81" t="str">
        <x:f>IF('07_Form_Mobilite'!$Q94="Validé humainement",'07_Form_Mobilite'!F94,"")</x:f>
      </x:c>
      <x:c r="G94" s="80" t="str">
        <x:f>IF('07_Form_Mobilite'!$Q94="Validé humainement",'07_Form_Mobilite'!G94,"")</x:f>
      </x:c>
      <x:c r="H94" s="81" t="str">
        <x:f>IF('07_Form_Mobilite'!$Q94="Validé humainement",'07_Form_Mobilite'!H94,"")</x:f>
      </x:c>
      <x:c r="I94" s="76" t="str">
        <x:f>IF('07_Form_Mobilite'!$Q94="Validé humainement",'07_Form_Mobilite'!I94,"")</x:f>
      </x:c>
      <x:c r="J94" s="77" t="str">
        <x:f>IF('07_Form_Mobilite'!$Q94="Validé humainement",'07_Form_Mobilite'!J94,"")</x:f>
      </x:c>
      <x:c r="K94" s="76" t="str">
        <x:f>IF('07_Form_Mobilite'!$Q94="Validé humainement",'07_Form_Mobilite'!K94,"")</x:f>
      </x:c>
      <x:c r="L94" s="83" t="str">
        <x:f>IF('07_Form_Mobilite'!$Q94="Validé humainement",'07_Form_Mobilite'!L94,"")</x:f>
      </x:c>
      <x:c r="M94" s="77" t="str">
        <x:f>IF('07_Form_Mobilite'!$Q94="Validé humainement",'07_Form_Mobilite'!M94,"")</x:f>
      </x:c>
      <x:c r="N94" s="76" t="str">
        <x:f>IF('07_Form_Mobilite'!$Q94="Validé humainement",'07_Form_Mobilite'!N94,"")</x:f>
      </x:c>
      <x:c r="O94" s="76" t="str">
        <x:f>IF('07_Form_Mobilite'!$Q94="Validé humainement",'07_Form_Mobilite'!O94,"")</x:f>
      </x:c>
      <x:c r="P94" s="76" t="str">
        <x:f>IF('07_Form_Mobilite'!$Q94="Validé humainement",'07_Form_Mobilite'!P94,"")</x:f>
      </x:c>
      <x:c r="Q94" s="76" t="str">
        <x:f>IF('07_Form_Mobilite'!$Q94="Validé humainement",'07_Form_Mobilite'!Q94,"")</x:f>
      </x:c>
      <x:c r="R94" s="76" t="str">
        <x:f>IF('07_Form_Mobilite'!$Q94="Validé humainement",'07_Form_Mobilite'!R94,"")</x:f>
      </x:c>
      <x:c r="S94" s="78" t="str">
        <x:f>IF('07_Form_Mobilite'!$Q94="Validé humainement",'07_Form_Mobilite'!S94,"")</x:f>
      </x:c>
      <x:c r="T94" s="76" t="str">
        <x:f>IF('07_Form_Mobilite'!$Q94="Validé humainement",'07_Form_Mobilite'!T94,"")</x:f>
      </x:c>
      <x:c r="U94" s="76" t="str">
        <x:f>IF('07_Form_Mobilite'!$Q94="Validé humainement",'07_Form_Mobilite'!U94,"")</x:f>
      </x:c>
      <x:c r="V94" s="76" t="str">
        <x:f>IF('07_Form_Mobilite'!$Q94="Validé humainement",'07_Form_Mobilite'!V94,"")</x:f>
      </x:c>
    </x:row>
    <x:row r="95">
      <x:c r="A95" s="76" t="str">
        <x:f>IF('07_Form_Mobilite'!$Q95="Validé humainement",'07_Form_Mobilite'!A95,"")</x:f>
      </x:c>
      <x:c r="B95" s="76" t="str">
        <x:f>IF('07_Form_Mobilite'!$Q95="Validé humainement",'07_Form_Mobilite'!B95,"")</x:f>
      </x:c>
      <x:c r="C95" s="76" t="str">
        <x:f>IF('07_Form_Mobilite'!$Q95="Validé humainement",'07_Form_Mobilite'!C95,"")</x:f>
      </x:c>
      <x:c r="D95" s="76" t="str">
        <x:f>IF('07_Form_Mobilite'!$Q95="Validé humainement",'07_Form_Mobilite'!D95,"")</x:f>
      </x:c>
      <x:c r="E95" s="76" t="str">
        <x:f>IF('07_Form_Mobilite'!$Q95="Validé humainement",'07_Form_Mobilite'!E95,"")</x:f>
      </x:c>
      <x:c r="F95" s="81" t="str">
        <x:f>IF('07_Form_Mobilite'!$Q95="Validé humainement",'07_Form_Mobilite'!F95,"")</x:f>
      </x:c>
      <x:c r="G95" s="80" t="str">
        <x:f>IF('07_Form_Mobilite'!$Q95="Validé humainement",'07_Form_Mobilite'!G95,"")</x:f>
      </x:c>
      <x:c r="H95" s="81" t="str">
        <x:f>IF('07_Form_Mobilite'!$Q95="Validé humainement",'07_Form_Mobilite'!H95,"")</x:f>
      </x:c>
      <x:c r="I95" s="76" t="str">
        <x:f>IF('07_Form_Mobilite'!$Q95="Validé humainement",'07_Form_Mobilite'!I95,"")</x:f>
      </x:c>
      <x:c r="J95" s="77" t="str">
        <x:f>IF('07_Form_Mobilite'!$Q95="Validé humainement",'07_Form_Mobilite'!J95,"")</x:f>
      </x:c>
      <x:c r="K95" s="76" t="str">
        <x:f>IF('07_Form_Mobilite'!$Q95="Validé humainement",'07_Form_Mobilite'!K95,"")</x:f>
      </x:c>
      <x:c r="L95" s="83" t="str">
        <x:f>IF('07_Form_Mobilite'!$Q95="Validé humainement",'07_Form_Mobilite'!L95,"")</x:f>
      </x:c>
      <x:c r="M95" s="77" t="str">
        <x:f>IF('07_Form_Mobilite'!$Q95="Validé humainement",'07_Form_Mobilite'!M95,"")</x:f>
      </x:c>
      <x:c r="N95" s="76" t="str">
        <x:f>IF('07_Form_Mobilite'!$Q95="Validé humainement",'07_Form_Mobilite'!N95,"")</x:f>
      </x:c>
      <x:c r="O95" s="76" t="str">
        <x:f>IF('07_Form_Mobilite'!$Q95="Validé humainement",'07_Form_Mobilite'!O95,"")</x:f>
      </x:c>
      <x:c r="P95" s="76" t="str">
        <x:f>IF('07_Form_Mobilite'!$Q95="Validé humainement",'07_Form_Mobilite'!P95,"")</x:f>
      </x:c>
      <x:c r="Q95" s="76" t="str">
        <x:f>IF('07_Form_Mobilite'!$Q95="Validé humainement",'07_Form_Mobilite'!Q95,"")</x:f>
      </x:c>
      <x:c r="R95" s="76" t="str">
        <x:f>IF('07_Form_Mobilite'!$Q95="Validé humainement",'07_Form_Mobilite'!R95,"")</x:f>
      </x:c>
      <x:c r="S95" s="78" t="str">
        <x:f>IF('07_Form_Mobilite'!$Q95="Validé humainement",'07_Form_Mobilite'!S95,"")</x:f>
      </x:c>
      <x:c r="T95" s="76" t="str">
        <x:f>IF('07_Form_Mobilite'!$Q95="Validé humainement",'07_Form_Mobilite'!T95,"")</x:f>
      </x:c>
      <x:c r="U95" s="76" t="str">
        <x:f>IF('07_Form_Mobilite'!$Q95="Validé humainement",'07_Form_Mobilite'!U95,"")</x:f>
      </x:c>
      <x:c r="V95" s="76" t="str">
        <x:f>IF('07_Form_Mobilite'!$Q95="Validé humainement",'07_Form_Mobilite'!V95,"")</x:f>
      </x:c>
    </x:row>
    <x:row r="96">
      <x:c r="A96" s="76" t="str">
        <x:f>IF('07_Form_Mobilite'!$Q96="Validé humainement",'07_Form_Mobilite'!A96,"")</x:f>
      </x:c>
      <x:c r="B96" s="76" t="str">
        <x:f>IF('07_Form_Mobilite'!$Q96="Validé humainement",'07_Form_Mobilite'!B96,"")</x:f>
      </x:c>
      <x:c r="C96" s="76" t="str">
        <x:f>IF('07_Form_Mobilite'!$Q96="Validé humainement",'07_Form_Mobilite'!C96,"")</x:f>
      </x:c>
      <x:c r="D96" s="76" t="str">
        <x:f>IF('07_Form_Mobilite'!$Q96="Validé humainement",'07_Form_Mobilite'!D96,"")</x:f>
      </x:c>
      <x:c r="E96" s="76" t="str">
        <x:f>IF('07_Form_Mobilite'!$Q96="Validé humainement",'07_Form_Mobilite'!E96,"")</x:f>
      </x:c>
      <x:c r="F96" s="81" t="str">
        <x:f>IF('07_Form_Mobilite'!$Q96="Validé humainement",'07_Form_Mobilite'!F96,"")</x:f>
      </x:c>
      <x:c r="G96" s="80" t="str">
        <x:f>IF('07_Form_Mobilite'!$Q96="Validé humainement",'07_Form_Mobilite'!G96,"")</x:f>
      </x:c>
      <x:c r="H96" s="81" t="str">
        <x:f>IF('07_Form_Mobilite'!$Q96="Validé humainement",'07_Form_Mobilite'!H96,"")</x:f>
      </x:c>
      <x:c r="I96" s="76" t="str">
        <x:f>IF('07_Form_Mobilite'!$Q96="Validé humainement",'07_Form_Mobilite'!I96,"")</x:f>
      </x:c>
      <x:c r="J96" s="77" t="str">
        <x:f>IF('07_Form_Mobilite'!$Q96="Validé humainement",'07_Form_Mobilite'!J96,"")</x:f>
      </x:c>
      <x:c r="K96" s="76" t="str">
        <x:f>IF('07_Form_Mobilite'!$Q96="Validé humainement",'07_Form_Mobilite'!K96,"")</x:f>
      </x:c>
      <x:c r="L96" s="83" t="str">
        <x:f>IF('07_Form_Mobilite'!$Q96="Validé humainement",'07_Form_Mobilite'!L96,"")</x:f>
      </x:c>
      <x:c r="M96" s="77" t="str">
        <x:f>IF('07_Form_Mobilite'!$Q96="Validé humainement",'07_Form_Mobilite'!M96,"")</x:f>
      </x:c>
      <x:c r="N96" s="76" t="str">
        <x:f>IF('07_Form_Mobilite'!$Q96="Validé humainement",'07_Form_Mobilite'!N96,"")</x:f>
      </x:c>
      <x:c r="O96" s="76" t="str">
        <x:f>IF('07_Form_Mobilite'!$Q96="Validé humainement",'07_Form_Mobilite'!O96,"")</x:f>
      </x:c>
      <x:c r="P96" s="76" t="str">
        <x:f>IF('07_Form_Mobilite'!$Q96="Validé humainement",'07_Form_Mobilite'!P96,"")</x:f>
      </x:c>
      <x:c r="Q96" s="76" t="str">
        <x:f>IF('07_Form_Mobilite'!$Q96="Validé humainement",'07_Form_Mobilite'!Q96,"")</x:f>
      </x:c>
      <x:c r="R96" s="76" t="str">
        <x:f>IF('07_Form_Mobilite'!$Q96="Validé humainement",'07_Form_Mobilite'!R96,"")</x:f>
      </x:c>
      <x:c r="S96" s="78" t="str">
        <x:f>IF('07_Form_Mobilite'!$Q96="Validé humainement",'07_Form_Mobilite'!S96,"")</x:f>
      </x:c>
      <x:c r="T96" s="76" t="str">
        <x:f>IF('07_Form_Mobilite'!$Q96="Validé humainement",'07_Form_Mobilite'!T96,"")</x:f>
      </x:c>
      <x:c r="U96" s="76" t="str">
        <x:f>IF('07_Form_Mobilite'!$Q96="Validé humainement",'07_Form_Mobilite'!U96,"")</x:f>
      </x:c>
      <x:c r="V96" s="76" t="str">
        <x:f>IF('07_Form_Mobilite'!$Q96="Validé humainement",'07_Form_Mobilite'!V96,"")</x:f>
      </x:c>
    </x:row>
    <x:row r="97">
      <x:c r="A97" s="76" t="str">
        <x:f>IF('07_Form_Mobilite'!$Q97="Validé humainement",'07_Form_Mobilite'!A97,"")</x:f>
      </x:c>
      <x:c r="B97" s="76" t="str">
        <x:f>IF('07_Form_Mobilite'!$Q97="Validé humainement",'07_Form_Mobilite'!B97,"")</x:f>
      </x:c>
      <x:c r="C97" s="76" t="str">
        <x:f>IF('07_Form_Mobilite'!$Q97="Validé humainement",'07_Form_Mobilite'!C97,"")</x:f>
      </x:c>
      <x:c r="D97" s="76" t="str">
        <x:f>IF('07_Form_Mobilite'!$Q97="Validé humainement",'07_Form_Mobilite'!D97,"")</x:f>
      </x:c>
      <x:c r="E97" s="76" t="str">
        <x:f>IF('07_Form_Mobilite'!$Q97="Validé humainement",'07_Form_Mobilite'!E97,"")</x:f>
      </x:c>
      <x:c r="F97" s="81" t="str">
        <x:f>IF('07_Form_Mobilite'!$Q97="Validé humainement",'07_Form_Mobilite'!F97,"")</x:f>
      </x:c>
      <x:c r="G97" s="80" t="str">
        <x:f>IF('07_Form_Mobilite'!$Q97="Validé humainement",'07_Form_Mobilite'!G97,"")</x:f>
      </x:c>
      <x:c r="H97" s="81" t="str">
        <x:f>IF('07_Form_Mobilite'!$Q97="Validé humainement",'07_Form_Mobilite'!H97,"")</x:f>
      </x:c>
      <x:c r="I97" s="76" t="str">
        <x:f>IF('07_Form_Mobilite'!$Q97="Validé humainement",'07_Form_Mobilite'!I97,"")</x:f>
      </x:c>
      <x:c r="J97" s="77" t="str">
        <x:f>IF('07_Form_Mobilite'!$Q97="Validé humainement",'07_Form_Mobilite'!J97,"")</x:f>
      </x:c>
      <x:c r="K97" s="76" t="str">
        <x:f>IF('07_Form_Mobilite'!$Q97="Validé humainement",'07_Form_Mobilite'!K97,"")</x:f>
      </x:c>
      <x:c r="L97" s="83" t="str">
        <x:f>IF('07_Form_Mobilite'!$Q97="Validé humainement",'07_Form_Mobilite'!L97,"")</x:f>
      </x:c>
      <x:c r="M97" s="77" t="str">
        <x:f>IF('07_Form_Mobilite'!$Q97="Validé humainement",'07_Form_Mobilite'!M97,"")</x:f>
      </x:c>
      <x:c r="N97" s="76" t="str">
        <x:f>IF('07_Form_Mobilite'!$Q97="Validé humainement",'07_Form_Mobilite'!N97,"")</x:f>
      </x:c>
      <x:c r="O97" s="76" t="str">
        <x:f>IF('07_Form_Mobilite'!$Q97="Validé humainement",'07_Form_Mobilite'!O97,"")</x:f>
      </x:c>
      <x:c r="P97" s="76" t="str">
        <x:f>IF('07_Form_Mobilite'!$Q97="Validé humainement",'07_Form_Mobilite'!P97,"")</x:f>
      </x:c>
      <x:c r="Q97" s="76" t="str">
        <x:f>IF('07_Form_Mobilite'!$Q97="Validé humainement",'07_Form_Mobilite'!Q97,"")</x:f>
      </x:c>
      <x:c r="R97" s="76" t="str">
        <x:f>IF('07_Form_Mobilite'!$Q97="Validé humainement",'07_Form_Mobilite'!R97,"")</x:f>
      </x:c>
      <x:c r="S97" s="78" t="str">
        <x:f>IF('07_Form_Mobilite'!$Q97="Validé humainement",'07_Form_Mobilite'!S97,"")</x:f>
      </x:c>
      <x:c r="T97" s="76" t="str">
        <x:f>IF('07_Form_Mobilite'!$Q97="Validé humainement",'07_Form_Mobilite'!T97,"")</x:f>
      </x:c>
      <x:c r="U97" s="76" t="str">
        <x:f>IF('07_Form_Mobilite'!$Q97="Validé humainement",'07_Form_Mobilite'!U97,"")</x:f>
      </x:c>
      <x:c r="V97" s="76" t="str">
        <x:f>IF('07_Form_Mobilite'!$Q97="Validé humainement",'07_Form_Mobilite'!V97,"")</x:f>
      </x:c>
    </x:row>
    <x:row r="98">
      <x:c r="A98" s="76" t="str">
        <x:f>IF('07_Form_Mobilite'!$Q98="Validé humainement",'07_Form_Mobilite'!A98,"")</x:f>
      </x:c>
      <x:c r="B98" s="76" t="str">
        <x:f>IF('07_Form_Mobilite'!$Q98="Validé humainement",'07_Form_Mobilite'!B98,"")</x:f>
      </x:c>
      <x:c r="C98" s="76" t="str">
        <x:f>IF('07_Form_Mobilite'!$Q98="Validé humainement",'07_Form_Mobilite'!C98,"")</x:f>
      </x:c>
      <x:c r="D98" s="76" t="str">
        <x:f>IF('07_Form_Mobilite'!$Q98="Validé humainement",'07_Form_Mobilite'!D98,"")</x:f>
      </x:c>
      <x:c r="E98" s="76" t="str">
        <x:f>IF('07_Form_Mobilite'!$Q98="Validé humainement",'07_Form_Mobilite'!E98,"")</x:f>
      </x:c>
      <x:c r="F98" s="81" t="str">
        <x:f>IF('07_Form_Mobilite'!$Q98="Validé humainement",'07_Form_Mobilite'!F98,"")</x:f>
      </x:c>
      <x:c r="G98" s="80" t="str">
        <x:f>IF('07_Form_Mobilite'!$Q98="Validé humainement",'07_Form_Mobilite'!G98,"")</x:f>
      </x:c>
      <x:c r="H98" s="81" t="str">
        <x:f>IF('07_Form_Mobilite'!$Q98="Validé humainement",'07_Form_Mobilite'!H98,"")</x:f>
      </x:c>
      <x:c r="I98" s="76" t="str">
        <x:f>IF('07_Form_Mobilite'!$Q98="Validé humainement",'07_Form_Mobilite'!I98,"")</x:f>
      </x:c>
      <x:c r="J98" s="77" t="str">
        <x:f>IF('07_Form_Mobilite'!$Q98="Validé humainement",'07_Form_Mobilite'!J98,"")</x:f>
      </x:c>
      <x:c r="K98" s="76" t="str">
        <x:f>IF('07_Form_Mobilite'!$Q98="Validé humainement",'07_Form_Mobilite'!K98,"")</x:f>
      </x:c>
      <x:c r="L98" s="83" t="str">
        <x:f>IF('07_Form_Mobilite'!$Q98="Validé humainement",'07_Form_Mobilite'!L98,"")</x:f>
      </x:c>
      <x:c r="M98" s="77" t="str">
        <x:f>IF('07_Form_Mobilite'!$Q98="Validé humainement",'07_Form_Mobilite'!M98,"")</x:f>
      </x:c>
      <x:c r="N98" s="76" t="str">
        <x:f>IF('07_Form_Mobilite'!$Q98="Validé humainement",'07_Form_Mobilite'!N98,"")</x:f>
      </x:c>
      <x:c r="O98" s="76" t="str">
        <x:f>IF('07_Form_Mobilite'!$Q98="Validé humainement",'07_Form_Mobilite'!O98,"")</x:f>
      </x:c>
      <x:c r="P98" s="76" t="str">
        <x:f>IF('07_Form_Mobilite'!$Q98="Validé humainement",'07_Form_Mobilite'!P98,"")</x:f>
      </x:c>
      <x:c r="Q98" s="76" t="str">
        <x:f>IF('07_Form_Mobilite'!$Q98="Validé humainement",'07_Form_Mobilite'!Q98,"")</x:f>
      </x:c>
      <x:c r="R98" s="76" t="str">
        <x:f>IF('07_Form_Mobilite'!$Q98="Validé humainement",'07_Form_Mobilite'!R98,"")</x:f>
      </x:c>
      <x:c r="S98" s="78" t="str">
        <x:f>IF('07_Form_Mobilite'!$Q98="Validé humainement",'07_Form_Mobilite'!S98,"")</x:f>
      </x:c>
      <x:c r="T98" s="76" t="str">
        <x:f>IF('07_Form_Mobilite'!$Q98="Validé humainement",'07_Form_Mobilite'!T98,"")</x:f>
      </x:c>
      <x:c r="U98" s="76" t="str">
        <x:f>IF('07_Form_Mobilite'!$Q98="Validé humainement",'07_Form_Mobilite'!U98,"")</x:f>
      </x:c>
      <x:c r="V98" s="76" t="str">
        <x:f>IF('07_Form_Mobilite'!$Q98="Validé humainement",'07_Form_Mobilite'!V98,"")</x:f>
      </x:c>
    </x:row>
    <x:row r="99">
      <x:c r="A99" s="76" t="str">
        <x:f>IF('07_Form_Mobilite'!$Q99="Validé humainement",'07_Form_Mobilite'!A99,"")</x:f>
      </x:c>
      <x:c r="B99" s="76" t="str">
        <x:f>IF('07_Form_Mobilite'!$Q99="Validé humainement",'07_Form_Mobilite'!B99,"")</x:f>
      </x:c>
      <x:c r="C99" s="76" t="str">
        <x:f>IF('07_Form_Mobilite'!$Q99="Validé humainement",'07_Form_Mobilite'!C99,"")</x:f>
      </x:c>
      <x:c r="D99" s="76" t="str">
        <x:f>IF('07_Form_Mobilite'!$Q99="Validé humainement",'07_Form_Mobilite'!D99,"")</x:f>
      </x:c>
      <x:c r="E99" s="76" t="str">
        <x:f>IF('07_Form_Mobilite'!$Q99="Validé humainement",'07_Form_Mobilite'!E99,"")</x:f>
      </x:c>
      <x:c r="F99" s="81" t="str">
        <x:f>IF('07_Form_Mobilite'!$Q99="Validé humainement",'07_Form_Mobilite'!F99,"")</x:f>
      </x:c>
      <x:c r="G99" s="80" t="str">
        <x:f>IF('07_Form_Mobilite'!$Q99="Validé humainement",'07_Form_Mobilite'!G99,"")</x:f>
      </x:c>
      <x:c r="H99" s="81" t="str">
        <x:f>IF('07_Form_Mobilite'!$Q99="Validé humainement",'07_Form_Mobilite'!H99,"")</x:f>
      </x:c>
      <x:c r="I99" s="76" t="str">
        <x:f>IF('07_Form_Mobilite'!$Q99="Validé humainement",'07_Form_Mobilite'!I99,"")</x:f>
      </x:c>
      <x:c r="J99" s="77" t="str">
        <x:f>IF('07_Form_Mobilite'!$Q99="Validé humainement",'07_Form_Mobilite'!J99,"")</x:f>
      </x:c>
      <x:c r="K99" s="76" t="str">
        <x:f>IF('07_Form_Mobilite'!$Q99="Validé humainement",'07_Form_Mobilite'!K99,"")</x:f>
      </x:c>
      <x:c r="L99" s="83" t="str">
        <x:f>IF('07_Form_Mobilite'!$Q99="Validé humainement",'07_Form_Mobilite'!L99,"")</x:f>
      </x:c>
      <x:c r="M99" s="77" t="str">
        <x:f>IF('07_Form_Mobilite'!$Q99="Validé humainement",'07_Form_Mobilite'!M99,"")</x:f>
      </x:c>
      <x:c r="N99" s="76" t="str">
        <x:f>IF('07_Form_Mobilite'!$Q99="Validé humainement",'07_Form_Mobilite'!N99,"")</x:f>
      </x:c>
      <x:c r="O99" s="76" t="str">
        <x:f>IF('07_Form_Mobilite'!$Q99="Validé humainement",'07_Form_Mobilite'!O99,"")</x:f>
      </x:c>
      <x:c r="P99" s="76" t="str">
        <x:f>IF('07_Form_Mobilite'!$Q99="Validé humainement",'07_Form_Mobilite'!P99,"")</x:f>
      </x:c>
      <x:c r="Q99" s="76" t="str">
        <x:f>IF('07_Form_Mobilite'!$Q99="Validé humainement",'07_Form_Mobilite'!Q99,"")</x:f>
      </x:c>
      <x:c r="R99" s="76" t="str">
        <x:f>IF('07_Form_Mobilite'!$Q99="Validé humainement",'07_Form_Mobilite'!R99,"")</x:f>
      </x:c>
      <x:c r="S99" s="78" t="str">
        <x:f>IF('07_Form_Mobilite'!$Q99="Validé humainement",'07_Form_Mobilite'!S99,"")</x:f>
      </x:c>
      <x:c r="T99" s="76" t="str">
        <x:f>IF('07_Form_Mobilite'!$Q99="Validé humainement",'07_Form_Mobilite'!T99,"")</x:f>
      </x:c>
      <x:c r="U99" s="76" t="str">
        <x:f>IF('07_Form_Mobilite'!$Q99="Validé humainement",'07_Form_Mobilite'!U99,"")</x:f>
      </x:c>
      <x:c r="V99" s="76" t="str">
        <x:f>IF('07_Form_Mobilite'!$Q99="Validé humainement",'07_Form_Mobilite'!V99,"")</x:f>
      </x:c>
    </x:row>
    <x:row r="100">
      <x:c r="A100" s="76" t="str">
        <x:f>IF('07_Form_Mobilite'!$Q100="Validé humainement",'07_Form_Mobilite'!A100,"")</x:f>
      </x:c>
      <x:c r="B100" s="76" t="str">
        <x:f>IF('07_Form_Mobilite'!$Q100="Validé humainement",'07_Form_Mobilite'!B100,"")</x:f>
      </x:c>
      <x:c r="C100" s="76" t="str">
        <x:f>IF('07_Form_Mobilite'!$Q100="Validé humainement",'07_Form_Mobilite'!C100,"")</x:f>
      </x:c>
      <x:c r="D100" s="76" t="str">
        <x:f>IF('07_Form_Mobilite'!$Q100="Validé humainement",'07_Form_Mobilite'!D100,"")</x:f>
      </x:c>
      <x:c r="E100" s="76" t="str">
        <x:f>IF('07_Form_Mobilite'!$Q100="Validé humainement",'07_Form_Mobilite'!E100,"")</x:f>
      </x:c>
      <x:c r="F100" s="81" t="str">
        <x:f>IF('07_Form_Mobilite'!$Q100="Validé humainement",'07_Form_Mobilite'!F100,"")</x:f>
      </x:c>
      <x:c r="G100" s="80" t="str">
        <x:f>IF('07_Form_Mobilite'!$Q100="Validé humainement",'07_Form_Mobilite'!G100,"")</x:f>
      </x:c>
      <x:c r="H100" s="81" t="str">
        <x:f>IF('07_Form_Mobilite'!$Q100="Validé humainement",'07_Form_Mobilite'!H100,"")</x:f>
      </x:c>
      <x:c r="I100" s="76" t="str">
        <x:f>IF('07_Form_Mobilite'!$Q100="Validé humainement",'07_Form_Mobilite'!I100,"")</x:f>
      </x:c>
      <x:c r="J100" s="77" t="str">
        <x:f>IF('07_Form_Mobilite'!$Q100="Validé humainement",'07_Form_Mobilite'!J100,"")</x:f>
      </x:c>
      <x:c r="K100" s="76" t="str">
        <x:f>IF('07_Form_Mobilite'!$Q100="Validé humainement",'07_Form_Mobilite'!K100,"")</x:f>
      </x:c>
      <x:c r="L100" s="83" t="str">
        <x:f>IF('07_Form_Mobilite'!$Q100="Validé humainement",'07_Form_Mobilite'!L100,"")</x:f>
      </x:c>
      <x:c r="M100" s="77" t="str">
        <x:f>IF('07_Form_Mobilite'!$Q100="Validé humainement",'07_Form_Mobilite'!M100,"")</x:f>
      </x:c>
      <x:c r="N100" s="76" t="str">
        <x:f>IF('07_Form_Mobilite'!$Q100="Validé humainement",'07_Form_Mobilite'!N100,"")</x:f>
      </x:c>
      <x:c r="O100" s="76" t="str">
        <x:f>IF('07_Form_Mobilite'!$Q100="Validé humainement",'07_Form_Mobilite'!O100,"")</x:f>
      </x:c>
      <x:c r="P100" s="76" t="str">
        <x:f>IF('07_Form_Mobilite'!$Q100="Validé humainement",'07_Form_Mobilite'!P100,"")</x:f>
      </x:c>
      <x:c r="Q100" s="76" t="str">
        <x:f>IF('07_Form_Mobilite'!$Q100="Validé humainement",'07_Form_Mobilite'!Q100,"")</x:f>
      </x:c>
      <x:c r="R100" s="76" t="str">
        <x:f>IF('07_Form_Mobilite'!$Q100="Validé humainement",'07_Form_Mobilite'!R100,"")</x:f>
      </x:c>
      <x:c r="S100" s="78" t="str">
        <x:f>IF('07_Form_Mobilite'!$Q100="Validé humainement",'07_Form_Mobilite'!S100,"")</x:f>
      </x:c>
      <x:c r="T100" s="76" t="str">
        <x:f>IF('07_Form_Mobilite'!$Q100="Validé humainement",'07_Form_Mobilite'!T100,"")</x:f>
      </x:c>
      <x:c r="U100" s="76" t="str">
        <x:f>IF('07_Form_Mobilite'!$Q100="Validé humainement",'07_Form_Mobilite'!U100,"")</x:f>
      </x:c>
      <x:c r="V100" s="76" t="str">
        <x:f>IF('07_Form_Mobilite'!$Q100="Validé humainement",'07_Form_Mobilite'!V100,"")</x:f>
      </x:c>
    </x:row>
    <x:row r="101">
      <x:c r="A101" s="76" t="str">
        <x:f>IF('07_Form_Mobilite'!$Q101="Validé humainement",'07_Form_Mobilite'!A101,"")</x:f>
      </x:c>
      <x:c r="B101" s="76" t="str">
        <x:f>IF('07_Form_Mobilite'!$Q101="Validé humainement",'07_Form_Mobilite'!B101,"")</x:f>
      </x:c>
      <x:c r="C101" s="76" t="str">
        <x:f>IF('07_Form_Mobilite'!$Q101="Validé humainement",'07_Form_Mobilite'!C101,"")</x:f>
      </x:c>
      <x:c r="D101" s="76" t="str">
        <x:f>IF('07_Form_Mobilite'!$Q101="Validé humainement",'07_Form_Mobilite'!D101,"")</x:f>
      </x:c>
      <x:c r="E101" s="76" t="str">
        <x:f>IF('07_Form_Mobilite'!$Q101="Validé humainement",'07_Form_Mobilite'!E101,"")</x:f>
      </x:c>
      <x:c r="F101" s="81" t="str">
        <x:f>IF('07_Form_Mobilite'!$Q101="Validé humainement",'07_Form_Mobilite'!F101,"")</x:f>
      </x:c>
      <x:c r="G101" s="80" t="str">
        <x:f>IF('07_Form_Mobilite'!$Q101="Validé humainement",'07_Form_Mobilite'!G101,"")</x:f>
      </x:c>
      <x:c r="H101" s="81" t="str">
        <x:f>IF('07_Form_Mobilite'!$Q101="Validé humainement",'07_Form_Mobilite'!H101,"")</x:f>
      </x:c>
      <x:c r="I101" s="76" t="str">
        <x:f>IF('07_Form_Mobilite'!$Q101="Validé humainement",'07_Form_Mobilite'!I101,"")</x:f>
      </x:c>
      <x:c r="J101" s="77" t="str">
        <x:f>IF('07_Form_Mobilite'!$Q101="Validé humainement",'07_Form_Mobilite'!J101,"")</x:f>
      </x:c>
      <x:c r="K101" s="76" t="str">
        <x:f>IF('07_Form_Mobilite'!$Q101="Validé humainement",'07_Form_Mobilite'!K101,"")</x:f>
      </x:c>
      <x:c r="L101" s="83" t="str">
        <x:f>IF('07_Form_Mobilite'!$Q101="Validé humainement",'07_Form_Mobilite'!L101,"")</x:f>
      </x:c>
      <x:c r="M101" s="77" t="str">
        <x:f>IF('07_Form_Mobilite'!$Q101="Validé humainement",'07_Form_Mobilite'!M101,"")</x:f>
      </x:c>
      <x:c r="N101" s="76" t="str">
        <x:f>IF('07_Form_Mobilite'!$Q101="Validé humainement",'07_Form_Mobilite'!N101,"")</x:f>
      </x:c>
      <x:c r="O101" s="76" t="str">
        <x:f>IF('07_Form_Mobilite'!$Q101="Validé humainement",'07_Form_Mobilite'!O101,"")</x:f>
      </x:c>
      <x:c r="P101" s="76" t="str">
        <x:f>IF('07_Form_Mobilite'!$Q101="Validé humainement",'07_Form_Mobilite'!P101,"")</x:f>
      </x:c>
      <x:c r="Q101" s="76" t="str">
        <x:f>IF('07_Form_Mobilite'!$Q101="Validé humainement",'07_Form_Mobilite'!Q101,"")</x:f>
      </x:c>
      <x:c r="R101" s="76" t="str">
        <x:f>IF('07_Form_Mobilite'!$Q101="Validé humainement",'07_Form_Mobilite'!R101,"")</x:f>
      </x:c>
      <x:c r="S101" s="78" t="str">
        <x:f>IF('07_Form_Mobilite'!$Q101="Validé humainement",'07_Form_Mobilite'!S101,"")</x:f>
      </x:c>
      <x:c r="T101" s="76" t="str">
        <x:f>IF('07_Form_Mobilite'!$Q101="Validé humainement",'07_Form_Mobilite'!T101,"")</x:f>
      </x:c>
      <x:c r="U101" s="76" t="str">
        <x:f>IF('07_Form_Mobilite'!$Q101="Validé humainement",'07_Form_Mobilite'!U101,"")</x:f>
      </x:c>
      <x:c r="V101" s="76" t="str">
        <x:f>IF('07_Form_Mobilite'!$Q101="Validé humainement",'07_Form_Mobilite'!V101,"")</x:f>
      </x:c>
    </x:row>
    <x:row r="102">
      <x:c r="A102" s="76" t="str">
        <x:f>IF('07_Form_Mobilite'!$Q102="Validé humainement",'07_Form_Mobilite'!A102,"")</x:f>
      </x:c>
      <x:c r="B102" s="76" t="str">
        <x:f>IF('07_Form_Mobilite'!$Q102="Validé humainement",'07_Form_Mobilite'!B102,"")</x:f>
      </x:c>
      <x:c r="C102" s="76" t="str">
        <x:f>IF('07_Form_Mobilite'!$Q102="Validé humainement",'07_Form_Mobilite'!C102,"")</x:f>
      </x:c>
      <x:c r="D102" s="76" t="str">
        <x:f>IF('07_Form_Mobilite'!$Q102="Validé humainement",'07_Form_Mobilite'!D102,"")</x:f>
      </x:c>
      <x:c r="E102" s="76" t="str">
        <x:f>IF('07_Form_Mobilite'!$Q102="Validé humainement",'07_Form_Mobilite'!E102,"")</x:f>
      </x:c>
      <x:c r="F102" s="81" t="str">
        <x:f>IF('07_Form_Mobilite'!$Q102="Validé humainement",'07_Form_Mobilite'!F102,"")</x:f>
      </x:c>
      <x:c r="G102" s="80" t="str">
        <x:f>IF('07_Form_Mobilite'!$Q102="Validé humainement",'07_Form_Mobilite'!G102,"")</x:f>
      </x:c>
      <x:c r="H102" s="81" t="str">
        <x:f>IF('07_Form_Mobilite'!$Q102="Validé humainement",'07_Form_Mobilite'!H102,"")</x:f>
      </x:c>
      <x:c r="I102" s="76" t="str">
        <x:f>IF('07_Form_Mobilite'!$Q102="Validé humainement",'07_Form_Mobilite'!I102,"")</x:f>
      </x:c>
      <x:c r="J102" s="77" t="str">
        <x:f>IF('07_Form_Mobilite'!$Q102="Validé humainement",'07_Form_Mobilite'!J102,"")</x:f>
      </x:c>
      <x:c r="K102" s="76" t="str">
        <x:f>IF('07_Form_Mobilite'!$Q102="Validé humainement",'07_Form_Mobilite'!K102,"")</x:f>
      </x:c>
      <x:c r="L102" s="83" t="str">
        <x:f>IF('07_Form_Mobilite'!$Q102="Validé humainement",'07_Form_Mobilite'!L102,"")</x:f>
      </x:c>
      <x:c r="M102" s="77" t="str">
        <x:f>IF('07_Form_Mobilite'!$Q102="Validé humainement",'07_Form_Mobilite'!M102,"")</x:f>
      </x:c>
      <x:c r="N102" s="76" t="str">
        <x:f>IF('07_Form_Mobilite'!$Q102="Validé humainement",'07_Form_Mobilite'!N102,"")</x:f>
      </x:c>
      <x:c r="O102" s="76" t="str">
        <x:f>IF('07_Form_Mobilite'!$Q102="Validé humainement",'07_Form_Mobilite'!O102,"")</x:f>
      </x:c>
      <x:c r="P102" s="76" t="str">
        <x:f>IF('07_Form_Mobilite'!$Q102="Validé humainement",'07_Form_Mobilite'!P102,"")</x:f>
      </x:c>
      <x:c r="Q102" s="76" t="str">
        <x:f>IF('07_Form_Mobilite'!$Q102="Validé humainement",'07_Form_Mobilite'!Q102,"")</x:f>
      </x:c>
      <x:c r="R102" s="76" t="str">
        <x:f>IF('07_Form_Mobilite'!$Q102="Validé humainement",'07_Form_Mobilite'!R102,"")</x:f>
      </x:c>
      <x:c r="S102" s="78" t="str">
        <x:f>IF('07_Form_Mobilite'!$Q102="Validé humainement",'07_Form_Mobilite'!S102,"")</x:f>
      </x:c>
      <x:c r="T102" s="76" t="str">
        <x:f>IF('07_Form_Mobilite'!$Q102="Validé humainement",'07_Form_Mobilite'!T102,"")</x:f>
      </x:c>
      <x:c r="U102" s="76" t="str">
        <x:f>IF('07_Form_Mobilite'!$Q102="Validé humainement",'07_Form_Mobilite'!U102,"")</x:f>
      </x:c>
      <x:c r="V102" s="76" t="str">
        <x:f>IF('07_Form_Mobilite'!$Q102="Validé humainement",'07_Form_Mobilite'!V102,"")</x:f>
      </x:c>
    </x:row>
    <x:row r="103">
      <x:c r="A103" s="76" t="str">
        <x:f>IF('07_Form_Mobilite'!$Q103="Validé humainement",'07_Form_Mobilite'!A103,"")</x:f>
      </x:c>
      <x:c r="B103" s="76" t="str">
        <x:f>IF('07_Form_Mobilite'!$Q103="Validé humainement",'07_Form_Mobilite'!B103,"")</x:f>
      </x:c>
      <x:c r="C103" s="76" t="str">
        <x:f>IF('07_Form_Mobilite'!$Q103="Validé humainement",'07_Form_Mobilite'!C103,"")</x:f>
      </x:c>
      <x:c r="D103" s="76" t="str">
        <x:f>IF('07_Form_Mobilite'!$Q103="Validé humainement",'07_Form_Mobilite'!D103,"")</x:f>
      </x:c>
      <x:c r="E103" s="76" t="str">
        <x:f>IF('07_Form_Mobilite'!$Q103="Validé humainement",'07_Form_Mobilite'!E103,"")</x:f>
      </x:c>
      <x:c r="F103" s="81" t="str">
        <x:f>IF('07_Form_Mobilite'!$Q103="Validé humainement",'07_Form_Mobilite'!F103,"")</x:f>
      </x:c>
      <x:c r="G103" s="80" t="str">
        <x:f>IF('07_Form_Mobilite'!$Q103="Validé humainement",'07_Form_Mobilite'!G103,"")</x:f>
      </x:c>
      <x:c r="H103" s="81" t="str">
        <x:f>IF('07_Form_Mobilite'!$Q103="Validé humainement",'07_Form_Mobilite'!H103,"")</x:f>
      </x:c>
      <x:c r="I103" s="76" t="str">
        <x:f>IF('07_Form_Mobilite'!$Q103="Validé humainement",'07_Form_Mobilite'!I103,"")</x:f>
      </x:c>
      <x:c r="J103" s="77" t="str">
        <x:f>IF('07_Form_Mobilite'!$Q103="Validé humainement",'07_Form_Mobilite'!J103,"")</x:f>
      </x:c>
      <x:c r="K103" s="76" t="str">
        <x:f>IF('07_Form_Mobilite'!$Q103="Validé humainement",'07_Form_Mobilite'!K103,"")</x:f>
      </x:c>
      <x:c r="L103" s="83" t="str">
        <x:f>IF('07_Form_Mobilite'!$Q103="Validé humainement",'07_Form_Mobilite'!L103,"")</x:f>
      </x:c>
      <x:c r="M103" s="77" t="str">
        <x:f>IF('07_Form_Mobilite'!$Q103="Validé humainement",'07_Form_Mobilite'!M103,"")</x:f>
      </x:c>
      <x:c r="N103" s="76" t="str">
        <x:f>IF('07_Form_Mobilite'!$Q103="Validé humainement",'07_Form_Mobilite'!N103,"")</x:f>
      </x:c>
      <x:c r="O103" s="76" t="str">
        <x:f>IF('07_Form_Mobilite'!$Q103="Validé humainement",'07_Form_Mobilite'!O103,"")</x:f>
      </x:c>
      <x:c r="P103" s="76" t="str">
        <x:f>IF('07_Form_Mobilite'!$Q103="Validé humainement",'07_Form_Mobilite'!P103,"")</x:f>
      </x:c>
      <x:c r="Q103" s="76" t="str">
        <x:f>IF('07_Form_Mobilite'!$Q103="Validé humainement",'07_Form_Mobilite'!Q103,"")</x:f>
      </x:c>
      <x:c r="R103" s="76" t="str">
        <x:f>IF('07_Form_Mobilite'!$Q103="Validé humainement",'07_Form_Mobilite'!R103,"")</x:f>
      </x:c>
      <x:c r="S103" s="78" t="str">
        <x:f>IF('07_Form_Mobilite'!$Q103="Validé humainement",'07_Form_Mobilite'!S103,"")</x:f>
      </x:c>
      <x:c r="T103" s="76" t="str">
        <x:f>IF('07_Form_Mobilite'!$Q103="Validé humainement",'07_Form_Mobilite'!T103,"")</x:f>
      </x:c>
      <x:c r="U103" s="76" t="str">
        <x:f>IF('07_Form_Mobilite'!$Q103="Validé humainement",'07_Form_Mobilite'!U103,"")</x:f>
      </x:c>
      <x:c r="V103" s="76" t="str">
        <x:f>IF('07_Form_Mobilite'!$Q103="Validé humainement",'07_Form_Mobilite'!V103,"")</x:f>
      </x:c>
    </x:row>
    <x:row r="104">
      <x:c r="A104" s="76" t="str">
        <x:f>IF('07_Form_Mobilite'!$Q104="Validé humainement",'07_Form_Mobilite'!A104,"")</x:f>
      </x:c>
      <x:c r="B104" s="76" t="str">
        <x:f>IF('07_Form_Mobilite'!$Q104="Validé humainement",'07_Form_Mobilite'!B104,"")</x:f>
      </x:c>
      <x:c r="C104" s="76" t="str">
        <x:f>IF('07_Form_Mobilite'!$Q104="Validé humainement",'07_Form_Mobilite'!C104,"")</x:f>
      </x:c>
      <x:c r="D104" s="76" t="str">
        <x:f>IF('07_Form_Mobilite'!$Q104="Validé humainement",'07_Form_Mobilite'!D104,"")</x:f>
      </x:c>
      <x:c r="E104" s="76" t="str">
        <x:f>IF('07_Form_Mobilite'!$Q104="Validé humainement",'07_Form_Mobilite'!E104,"")</x:f>
      </x:c>
      <x:c r="F104" s="81" t="str">
        <x:f>IF('07_Form_Mobilite'!$Q104="Validé humainement",'07_Form_Mobilite'!F104,"")</x:f>
      </x:c>
      <x:c r="G104" s="80" t="str">
        <x:f>IF('07_Form_Mobilite'!$Q104="Validé humainement",'07_Form_Mobilite'!G104,"")</x:f>
      </x:c>
      <x:c r="H104" s="81" t="str">
        <x:f>IF('07_Form_Mobilite'!$Q104="Validé humainement",'07_Form_Mobilite'!H104,"")</x:f>
      </x:c>
      <x:c r="I104" s="76" t="str">
        <x:f>IF('07_Form_Mobilite'!$Q104="Validé humainement",'07_Form_Mobilite'!I104,"")</x:f>
      </x:c>
      <x:c r="J104" s="77" t="str">
        <x:f>IF('07_Form_Mobilite'!$Q104="Validé humainement",'07_Form_Mobilite'!J104,"")</x:f>
      </x:c>
      <x:c r="K104" s="76" t="str">
        <x:f>IF('07_Form_Mobilite'!$Q104="Validé humainement",'07_Form_Mobilite'!K104,"")</x:f>
      </x:c>
      <x:c r="L104" s="83" t="str">
        <x:f>IF('07_Form_Mobilite'!$Q104="Validé humainement",'07_Form_Mobilite'!L104,"")</x:f>
      </x:c>
      <x:c r="M104" s="77" t="str">
        <x:f>IF('07_Form_Mobilite'!$Q104="Validé humainement",'07_Form_Mobilite'!M104,"")</x:f>
      </x:c>
      <x:c r="N104" s="76" t="str">
        <x:f>IF('07_Form_Mobilite'!$Q104="Validé humainement",'07_Form_Mobilite'!N104,"")</x:f>
      </x:c>
      <x:c r="O104" s="76" t="str">
        <x:f>IF('07_Form_Mobilite'!$Q104="Validé humainement",'07_Form_Mobilite'!O104,"")</x:f>
      </x:c>
      <x:c r="P104" s="76" t="str">
        <x:f>IF('07_Form_Mobilite'!$Q104="Validé humainement",'07_Form_Mobilite'!P104,"")</x:f>
      </x:c>
      <x:c r="Q104" s="76" t="str">
        <x:f>IF('07_Form_Mobilite'!$Q104="Validé humainement",'07_Form_Mobilite'!Q104,"")</x:f>
      </x:c>
      <x:c r="R104" s="76" t="str">
        <x:f>IF('07_Form_Mobilite'!$Q104="Validé humainement",'07_Form_Mobilite'!R104,"")</x:f>
      </x:c>
      <x:c r="S104" s="78" t="str">
        <x:f>IF('07_Form_Mobilite'!$Q104="Validé humainement",'07_Form_Mobilite'!S104,"")</x:f>
      </x:c>
      <x:c r="T104" s="76" t="str">
        <x:f>IF('07_Form_Mobilite'!$Q104="Validé humainement",'07_Form_Mobilite'!T104,"")</x:f>
      </x:c>
      <x:c r="U104" s="76" t="str">
        <x:f>IF('07_Form_Mobilite'!$Q104="Validé humainement",'07_Form_Mobilite'!U104,"")</x:f>
      </x:c>
      <x:c r="V104" s="76" t="str">
        <x:f>IF('07_Form_Mobilite'!$Q104="Validé humainement",'07_Form_Mobilite'!V104,"")</x:f>
      </x:c>
    </x:row>
  </x:sheetData>
  <x:mergeCells>
    <x:mergeCell ref="A1:V1"/>
    <x:mergeCell ref="A2:V2"/>
  </x:mergeCells>
  <x:pageMargins left="0.7" right="0.7" top="0.75" bottom="0.75" header="0.3" footer="0.3"/>
  <x:tableParts count="1">
    <x:tablePart xmlns:r="http://schemas.openxmlformats.org/officeDocument/2006/relationships" r:id="Re437ac4158b44e93"/>
  </x:tableParts>
</x:worksheet>
</file>

<file path=xl/worksheets/sheet61.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22.5" hidden="0" customWidth="1"/>
    <x:col min="5" max="5" width="20" hidden="0" customWidth="1"/>
    <x:col min="6" max="6" width="11.880000114440918" hidden="0" customWidth="1"/>
    <x:col min="7" max="7" width="23.75" hidden="0" customWidth="1"/>
    <x:col min="8" max="8" width="18.1299991607666" hidden="0" customWidth="1"/>
    <x:col min="9" max="9" width="16.8799991607666" hidden="0" customWidth="1"/>
    <x:col min="10" max="10" width="18.1299991607666" hidden="0" customWidth="1"/>
    <x:col min="11" max="11" width="26.25" hidden="0" customWidth="1"/>
    <x:col min="12" max="12" width="31.25" hidden="0" customWidth="1"/>
    <x:col min="13" max="13" width="20" hidden="0" customWidth="1"/>
    <x:col min="14" max="14" width="15" hidden="0" customWidth="1"/>
    <x:col min="15" max="15" width="18.75" hidden="0" customWidth="1"/>
    <x:col min="16" max="16" width="23.75" hidden="0" customWidth="1"/>
    <x:col min="17" max="17" width="15" hidden="0" customWidth="1"/>
  </x:cols>
  <x:sheetData>
    <x:row r="1" ht="25.5" customHeight="1">
      <x:c r="A1" s="68" t="str">
        <x:v>Base validée - érosion côtière</x:v>
      </x:c>
      <x:c r="B1" s="68"/>
      <x:c r="C1" s="68"/>
      <x:c r="D1" s="68"/>
      <x:c r="E1" s="68"/>
      <x:c r="F1" s="68"/>
      <x:c r="G1" s="68"/>
      <x:c r="H1" s="68"/>
      <x:c r="I1" s="68"/>
      <x:c r="J1" s="68"/>
      <x:c r="K1" s="68"/>
      <x:c r="L1" s="68"/>
      <x:c r="M1" s="68"/>
      <x:c r="N1" s="68"/>
      <x:c r="O1" s="68"/>
      <x:c r="P1" s="68"/>
      <x:c r="Q1" s="68"/>
    </x:row>
    <x:row r="2" ht="33" customHeight="1">
      <x:c r="A2" s="71" t="str">
        <x:v>Cette base est alimentée automatiquement depuis 08_Form_Erosion_Cotiere. Seules les lignes avec le statut "Validé humainement" sont reprises.</x:v>
      </x:c>
      <x:c r="B2" s="71"/>
      <x:c r="C2" s="71"/>
      <x:c r="D2" s="71"/>
      <x:c r="E2" s="71"/>
      <x:c r="F2" s="71"/>
      <x:c r="G2" s="71"/>
      <x:c r="H2" s="71"/>
      <x:c r="I2" s="71"/>
      <x:c r="J2" s="71"/>
      <x:c r="K2" s="71"/>
      <x:c r="L2" s="71"/>
      <x:c r="M2" s="71"/>
      <x:c r="N2" s="71"/>
      <x:c r="O2" s="71"/>
      <x:c r="P2" s="71"/>
      <x:c r="Q2" s="71"/>
    </x:row>
    <x:row r="4">
      <x:c r="A4" s="87" t="str">
        <x:v>ID_Saisie</x:v>
      </x:c>
      <x:c r="B4" s="87" t="str">
        <x:v>Année</x:v>
      </x:c>
      <x:c r="C4" s="87" t="str">
        <x:v>Mois</x:v>
      </x:c>
      <x:c r="D4" s="87" t="str">
        <x:v>Zone côtière</x:v>
      </x:c>
      <x:c r="E4" s="87" t="str">
        <x:v>Recul du trait de côte</x:v>
      </x:c>
      <x:c r="F4" s="87" t="str">
        <x:v>Unité</x:v>
      </x:c>
      <x:c r="G4" s="87" t="str">
        <x:v>Infrastructure exposée</x:v>
      </x:c>
      <x:c r="H4" s="87" t="str">
        <x:v>Population exposée</x:v>
      </x:c>
      <x:c r="I4" s="87" t="str">
        <x:v>Niveau de risque</x:v>
      </x:c>
      <x:c r="J4" s="87" t="str">
        <x:v>Source</x:v>
      </x:c>
      <x:c r="K4" s="87" t="str">
        <x:v>Document source</x:v>
      </x:c>
      <x:c r="L4" s="87" t="str">
        <x:v>Observations</x:v>
      </x:c>
      <x:c r="M4" s="87" t="str">
        <x:v>Statut validation</x:v>
      </x:c>
      <x:c r="N4" s="87" t="str">
        <x:v>Date de saisie</x:v>
      </x:c>
      <x:c r="O4" s="87" t="str">
        <x:v>Responsable</x:v>
      </x:c>
      <x:c r="P4" s="87" t="str">
        <x:v>Alerte_QC</x:v>
      </x:c>
      <x:c r="Q4" s="87" t="str">
        <x:v>Alimente_Rapports</x:v>
      </x:c>
    </x:row>
    <x:row r="5">
      <x:c r="A5" s="76" t="str">
        <x:f>IF('08_Form_Erosion_Cotiere'!$M5="Validé humainement",'08_Form_Erosion_Cotiere'!A5,"")</x:f>
      </x:c>
      <x:c r="B5" s="76" t="str">
        <x:f>IF('08_Form_Erosion_Cotiere'!$M5="Validé humainement",'08_Form_Erosion_Cotiere'!B5,"")</x:f>
      </x:c>
      <x:c r="C5" s="76" t="str">
        <x:f>IF('08_Form_Erosion_Cotiere'!$M5="Validé humainement",'08_Form_Erosion_Cotiere'!C5,"")</x:f>
      </x:c>
      <x:c r="D5" s="76" t="str">
        <x:f>IF('08_Form_Erosion_Cotiere'!$M5="Validé humainement",'08_Form_Erosion_Cotiere'!D5,"")</x:f>
      </x:c>
      <x:c r="E5" s="77" t="str">
        <x:f>IF('08_Form_Erosion_Cotiere'!$M5="Validé humainement",'08_Form_Erosion_Cotiere'!E5,"")</x:f>
      </x:c>
      <x:c r="F5" s="76" t="str">
        <x:f>IF('08_Form_Erosion_Cotiere'!$M5="Validé humainement",'08_Form_Erosion_Cotiere'!F5,"")</x:f>
      </x:c>
      <x:c r="G5" s="76" t="str">
        <x:f>IF('08_Form_Erosion_Cotiere'!$M5="Validé humainement",'08_Form_Erosion_Cotiere'!G5,"")</x:f>
      </x:c>
      <x:c r="H5" s="81" t="str">
        <x:f>IF('08_Form_Erosion_Cotiere'!$M5="Validé humainement",'08_Form_Erosion_Cotiere'!H5,"")</x:f>
      </x:c>
      <x:c r="I5" s="76" t="str">
        <x:f>IF('08_Form_Erosion_Cotiere'!$M5="Validé humainement",'08_Form_Erosion_Cotiere'!I5,"")</x:f>
      </x:c>
      <x:c r="J5" s="76" t="str">
        <x:f>IF('08_Form_Erosion_Cotiere'!$M5="Validé humainement",'08_Form_Erosion_Cotiere'!J5,"")</x:f>
      </x:c>
      <x:c r="K5" s="76" t="str">
        <x:f>IF('08_Form_Erosion_Cotiere'!$M5="Validé humainement",'08_Form_Erosion_Cotiere'!K5,"")</x:f>
      </x:c>
      <x:c r="L5" s="76" t="str">
        <x:f>IF('08_Form_Erosion_Cotiere'!$M5="Validé humainement",'08_Form_Erosion_Cotiere'!L5,"")</x:f>
      </x:c>
      <x:c r="M5" s="76" t="str">
        <x:f>IF('08_Form_Erosion_Cotiere'!$M5="Validé humainement",'08_Form_Erosion_Cotiere'!M5,"")</x:f>
      </x:c>
      <x:c r="N5" s="78" t="str">
        <x:f>IF('08_Form_Erosion_Cotiere'!$M5="Validé humainement",'08_Form_Erosion_Cotiere'!N5,"")</x:f>
      </x:c>
      <x:c r="O5" s="76" t="str">
        <x:f>IF('08_Form_Erosion_Cotiere'!$M5="Validé humainement",'08_Form_Erosion_Cotiere'!O5,"")</x:f>
      </x:c>
      <x:c r="P5" s="76" t="str">
        <x:f>IF('08_Form_Erosion_Cotiere'!$M5="Validé humainement",'08_Form_Erosion_Cotiere'!P5,"")</x:f>
      </x:c>
      <x:c r="Q5" s="76" t="str">
        <x:f>IF('08_Form_Erosion_Cotiere'!$M5="Validé humainement",'08_Form_Erosion_Cotiere'!Q5,"")</x:f>
      </x:c>
    </x:row>
    <x:row r="6">
      <x:c r="A6" s="76" t="str">
        <x:f>IF('08_Form_Erosion_Cotiere'!$M6="Validé humainement",'08_Form_Erosion_Cotiere'!A6,"")</x:f>
      </x:c>
      <x:c r="B6" s="76" t="str">
        <x:f>IF('08_Form_Erosion_Cotiere'!$M6="Validé humainement",'08_Form_Erosion_Cotiere'!B6,"")</x:f>
      </x:c>
      <x:c r="C6" s="76" t="str">
        <x:f>IF('08_Form_Erosion_Cotiere'!$M6="Validé humainement",'08_Form_Erosion_Cotiere'!C6,"")</x:f>
      </x:c>
      <x:c r="D6" s="76" t="str">
        <x:f>IF('08_Form_Erosion_Cotiere'!$M6="Validé humainement",'08_Form_Erosion_Cotiere'!D6,"")</x:f>
      </x:c>
      <x:c r="E6" s="77" t="str">
        <x:f>IF('08_Form_Erosion_Cotiere'!$M6="Validé humainement",'08_Form_Erosion_Cotiere'!E6,"")</x:f>
      </x:c>
      <x:c r="F6" s="76" t="str">
        <x:f>IF('08_Form_Erosion_Cotiere'!$M6="Validé humainement",'08_Form_Erosion_Cotiere'!F6,"")</x:f>
      </x:c>
      <x:c r="G6" s="76" t="str">
        <x:f>IF('08_Form_Erosion_Cotiere'!$M6="Validé humainement",'08_Form_Erosion_Cotiere'!G6,"")</x:f>
      </x:c>
      <x:c r="H6" s="81" t="str">
        <x:f>IF('08_Form_Erosion_Cotiere'!$M6="Validé humainement",'08_Form_Erosion_Cotiere'!H6,"")</x:f>
      </x:c>
      <x:c r="I6" s="76" t="str">
        <x:f>IF('08_Form_Erosion_Cotiere'!$M6="Validé humainement",'08_Form_Erosion_Cotiere'!I6,"")</x:f>
      </x:c>
      <x:c r="J6" s="76" t="str">
        <x:f>IF('08_Form_Erosion_Cotiere'!$M6="Validé humainement",'08_Form_Erosion_Cotiere'!J6,"")</x:f>
      </x:c>
      <x:c r="K6" s="76" t="str">
        <x:f>IF('08_Form_Erosion_Cotiere'!$M6="Validé humainement",'08_Form_Erosion_Cotiere'!K6,"")</x:f>
      </x:c>
      <x:c r="L6" s="76" t="str">
        <x:f>IF('08_Form_Erosion_Cotiere'!$M6="Validé humainement",'08_Form_Erosion_Cotiere'!L6,"")</x:f>
      </x:c>
      <x:c r="M6" s="76" t="str">
        <x:f>IF('08_Form_Erosion_Cotiere'!$M6="Validé humainement",'08_Form_Erosion_Cotiere'!M6,"")</x:f>
      </x:c>
      <x:c r="N6" s="78" t="str">
        <x:f>IF('08_Form_Erosion_Cotiere'!$M6="Validé humainement",'08_Form_Erosion_Cotiere'!N6,"")</x:f>
      </x:c>
      <x:c r="O6" s="76" t="str">
        <x:f>IF('08_Form_Erosion_Cotiere'!$M6="Validé humainement",'08_Form_Erosion_Cotiere'!O6,"")</x:f>
      </x:c>
      <x:c r="P6" s="76" t="str">
        <x:f>IF('08_Form_Erosion_Cotiere'!$M6="Validé humainement",'08_Form_Erosion_Cotiere'!P6,"")</x:f>
      </x:c>
      <x:c r="Q6" s="76" t="str">
        <x:f>IF('08_Form_Erosion_Cotiere'!$M6="Validé humainement",'08_Form_Erosion_Cotiere'!Q6,"")</x:f>
      </x:c>
    </x:row>
    <x:row r="7">
      <x:c r="A7" s="76" t="str">
        <x:f>IF('08_Form_Erosion_Cotiere'!$M7="Validé humainement",'08_Form_Erosion_Cotiere'!A7,"")</x:f>
      </x:c>
      <x:c r="B7" s="76" t="str">
        <x:f>IF('08_Form_Erosion_Cotiere'!$M7="Validé humainement",'08_Form_Erosion_Cotiere'!B7,"")</x:f>
      </x:c>
      <x:c r="C7" s="76" t="str">
        <x:f>IF('08_Form_Erosion_Cotiere'!$M7="Validé humainement",'08_Form_Erosion_Cotiere'!C7,"")</x:f>
      </x:c>
      <x:c r="D7" s="76" t="str">
        <x:f>IF('08_Form_Erosion_Cotiere'!$M7="Validé humainement",'08_Form_Erosion_Cotiere'!D7,"")</x:f>
      </x:c>
      <x:c r="E7" s="77" t="str">
        <x:f>IF('08_Form_Erosion_Cotiere'!$M7="Validé humainement",'08_Form_Erosion_Cotiere'!E7,"")</x:f>
      </x:c>
      <x:c r="F7" s="76" t="str">
        <x:f>IF('08_Form_Erosion_Cotiere'!$M7="Validé humainement",'08_Form_Erosion_Cotiere'!F7,"")</x:f>
      </x:c>
      <x:c r="G7" s="76" t="str">
        <x:f>IF('08_Form_Erosion_Cotiere'!$M7="Validé humainement",'08_Form_Erosion_Cotiere'!G7,"")</x:f>
      </x:c>
      <x:c r="H7" s="81" t="str">
        <x:f>IF('08_Form_Erosion_Cotiere'!$M7="Validé humainement",'08_Form_Erosion_Cotiere'!H7,"")</x:f>
      </x:c>
      <x:c r="I7" s="76" t="str">
        <x:f>IF('08_Form_Erosion_Cotiere'!$M7="Validé humainement",'08_Form_Erosion_Cotiere'!I7,"")</x:f>
      </x:c>
      <x:c r="J7" s="76" t="str">
        <x:f>IF('08_Form_Erosion_Cotiere'!$M7="Validé humainement",'08_Form_Erosion_Cotiere'!J7,"")</x:f>
      </x:c>
      <x:c r="K7" s="76" t="str">
        <x:f>IF('08_Form_Erosion_Cotiere'!$M7="Validé humainement",'08_Form_Erosion_Cotiere'!K7,"")</x:f>
      </x:c>
      <x:c r="L7" s="76" t="str">
        <x:f>IF('08_Form_Erosion_Cotiere'!$M7="Validé humainement",'08_Form_Erosion_Cotiere'!L7,"")</x:f>
      </x:c>
      <x:c r="M7" s="76" t="str">
        <x:f>IF('08_Form_Erosion_Cotiere'!$M7="Validé humainement",'08_Form_Erosion_Cotiere'!M7,"")</x:f>
      </x:c>
      <x:c r="N7" s="78" t="str">
        <x:f>IF('08_Form_Erosion_Cotiere'!$M7="Validé humainement",'08_Form_Erosion_Cotiere'!N7,"")</x:f>
      </x:c>
      <x:c r="O7" s="76" t="str">
        <x:f>IF('08_Form_Erosion_Cotiere'!$M7="Validé humainement",'08_Form_Erosion_Cotiere'!O7,"")</x:f>
      </x:c>
      <x:c r="P7" s="76" t="str">
        <x:f>IF('08_Form_Erosion_Cotiere'!$M7="Validé humainement",'08_Form_Erosion_Cotiere'!P7,"")</x:f>
      </x:c>
      <x:c r="Q7" s="76" t="str">
        <x:f>IF('08_Form_Erosion_Cotiere'!$M7="Validé humainement",'08_Form_Erosion_Cotiere'!Q7,"")</x:f>
      </x:c>
    </x:row>
    <x:row r="8">
      <x:c r="A8" s="76" t="str">
        <x:f>IF('08_Form_Erosion_Cotiere'!$M8="Validé humainement",'08_Form_Erosion_Cotiere'!A8,"")</x:f>
      </x:c>
      <x:c r="B8" s="76" t="str">
        <x:f>IF('08_Form_Erosion_Cotiere'!$M8="Validé humainement",'08_Form_Erosion_Cotiere'!B8,"")</x:f>
      </x:c>
      <x:c r="C8" s="76" t="str">
        <x:f>IF('08_Form_Erosion_Cotiere'!$M8="Validé humainement",'08_Form_Erosion_Cotiere'!C8,"")</x:f>
      </x:c>
      <x:c r="D8" s="76" t="str">
        <x:f>IF('08_Form_Erosion_Cotiere'!$M8="Validé humainement",'08_Form_Erosion_Cotiere'!D8,"")</x:f>
      </x:c>
      <x:c r="E8" s="77" t="str">
        <x:f>IF('08_Form_Erosion_Cotiere'!$M8="Validé humainement",'08_Form_Erosion_Cotiere'!E8,"")</x:f>
      </x:c>
      <x:c r="F8" s="76" t="str">
        <x:f>IF('08_Form_Erosion_Cotiere'!$M8="Validé humainement",'08_Form_Erosion_Cotiere'!F8,"")</x:f>
      </x:c>
      <x:c r="G8" s="76" t="str">
        <x:f>IF('08_Form_Erosion_Cotiere'!$M8="Validé humainement",'08_Form_Erosion_Cotiere'!G8,"")</x:f>
      </x:c>
      <x:c r="H8" s="81" t="str">
        <x:f>IF('08_Form_Erosion_Cotiere'!$M8="Validé humainement",'08_Form_Erosion_Cotiere'!H8,"")</x:f>
      </x:c>
      <x:c r="I8" s="76" t="str">
        <x:f>IF('08_Form_Erosion_Cotiere'!$M8="Validé humainement",'08_Form_Erosion_Cotiere'!I8,"")</x:f>
      </x:c>
      <x:c r="J8" s="76" t="str">
        <x:f>IF('08_Form_Erosion_Cotiere'!$M8="Validé humainement",'08_Form_Erosion_Cotiere'!J8,"")</x:f>
      </x:c>
      <x:c r="K8" s="76" t="str">
        <x:f>IF('08_Form_Erosion_Cotiere'!$M8="Validé humainement",'08_Form_Erosion_Cotiere'!K8,"")</x:f>
      </x:c>
      <x:c r="L8" s="76" t="str">
        <x:f>IF('08_Form_Erosion_Cotiere'!$M8="Validé humainement",'08_Form_Erosion_Cotiere'!L8,"")</x:f>
      </x:c>
      <x:c r="M8" s="76" t="str">
        <x:f>IF('08_Form_Erosion_Cotiere'!$M8="Validé humainement",'08_Form_Erosion_Cotiere'!M8,"")</x:f>
      </x:c>
      <x:c r="N8" s="78" t="str">
        <x:f>IF('08_Form_Erosion_Cotiere'!$M8="Validé humainement",'08_Form_Erosion_Cotiere'!N8,"")</x:f>
      </x:c>
      <x:c r="O8" s="76" t="str">
        <x:f>IF('08_Form_Erosion_Cotiere'!$M8="Validé humainement",'08_Form_Erosion_Cotiere'!O8,"")</x:f>
      </x:c>
      <x:c r="P8" s="76" t="str">
        <x:f>IF('08_Form_Erosion_Cotiere'!$M8="Validé humainement",'08_Form_Erosion_Cotiere'!P8,"")</x:f>
      </x:c>
      <x:c r="Q8" s="76" t="str">
        <x:f>IF('08_Form_Erosion_Cotiere'!$M8="Validé humainement",'08_Form_Erosion_Cotiere'!Q8,"")</x:f>
      </x:c>
    </x:row>
    <x:row r="9">
      <x:c r="A9" s="76" t="str">
        <x:f>IF('08_Form_Erosion_Cotiere'!$M9="Validé humainement",'08_Form_Erosion_Cotiere'!A9,"")</x:f>
      </x:c>
      <x:c r="B9" s="76" t="str">
        <x:f>IF('08_Form_Erosion_Cotiere'!$M9="Validé humainement",'08_Form_Erosion_Cotiere'!B9,"")</x:f>
      </x:c>
      <x:c r="C9" s="76" t="str">
        <x:f>IF('08_Form_Erosion_Cotiere'!$M9="Validé humainement",'08_Form_Erosion_Cotiere'!C9,"")</x:f>
      </x:c>
      <x:c r="D9" s="76" t="str">
        <x:f>IF('08_Form_Erosion_Cotiere'!$M9="Validé humainement",'08_Form_Erosion_Cotiere'!D9,"")</x:f>
      </x:c>
      <x:c r="E9" s="77" t="str">
        <x:f>IF('08_Form_Erosion_Cotiere'!$M9="Validé humainement",'08_Form_Erosion_Cotiere'!E9,"")</x:f>
      </x:c>
      <x:c r="F9" s="76" t="str">
        <x:f>IF('08_Form_Erosion_Cotiere'!$M9="Validé humainement",'08_Form_Erosion_Cotiere'!F9,"")</x:f>
      </x:c>
      <x:c r="G9" s="76" t="str">
        <x:f>IF('08_Form_Erosion_Cotiere'!$M9="Validé humainement",'08_Form_Erosion_Cotiere'!G9,"")</x:f>
      </x:c>
      <x:c r="H9" s="81" t="str">
        <x:f>IF('08_Form_Erosion_Cotiere'!$M9="Validé humainement",'08_Form_Erosion_Cotiere'!H9,"")</x:f>
      </x:c>
      <x:c r="I9" s="76" t="str">
        <x:f>IF('08_Form_Erosion_Cotiere'!$M9="Validé humainement",'08_Form_Erosion_Cotiere'!I9,"")</x:f>
      </x:c>
      <x:c r="J9" s="76" t="str">
        <x:f>IF('08_Form_Erosion_Cotiere'!$M9="Validé humainement",'08_Form_Erosion_Cotiere'!J9,"")</x:f>
      </x:c>
      <x:c r="K9" s="76" t="str">
        <x:f>IF('08_Form_Erosion_Cotiere'!$M9="Validé humainement",'08_Form_Erosion_Cotiere'!K9,"")</x:f>
      </x:c>
      <x:c r="L9" s="76" t="str">
        <x:f>IF('08_Form_Erosion_Cotiere'!$M9="Validé humainement",'08_Form_Erosion_Cotiere'!L9,"")</x:f>
      </x:c>
      <x:c r="M9" s="76" t="str">
        <x:f>IF('08_Form_Erosion_Cotiere'!$M9="Validé humainement",'08_Form_Erosion_Cotiere'!M9,"")</x:f>
      </x:c>
      <x:c r="N9" s="78" t="str">
        <x:f>IF('08_Form_Erosion_Cotiere'!$M9="Validé humainement",'08_Form_Erosion_Cotiere'!N9,"")</x:f>
      </x:c>
      <x:c r="O9" s="76" t="str">
        <x:f>IF('08_Form_Erosion_Cotiere'!$M9="Validé humainement",'08_Form_Erosion_Cotiere'!O9,"")</x:f>
      </x:c>
      <x:c r="P9" s="76" t="str">
        <x:f>IF('08_Form_Erosion_Cotiere'!$M9="Validé humainement",'08_Form_Erosion_Cotiere'!P9,"")</x:f>
      </x:c>
      <x:c r="Q9" s="76" t="str">
        <x:f>IF('08_Form_Erosion_Cotiere'!$M9="Validé humainement",'08_Form_Erosion_Cotiere'!Q9,"")</x:f>
      </x:c>
    </x:row>
    <x:row r="10">
      <x:c r="A10" s="76" t="str">
        <x:f>IF('08_Form_Erosion_Cotiere'!$M10="Validé humainement",'08_Form_Erosion_Cotiere'!A10,"")</x:f>
      </x:c>
      <x:c r="B10" s="76" t="str">
        <x:f>IF('08_Form_Erosion_Cotiere'!$M10="Validé humainement",'08_Form_Erosion_Cotiere'!B10,"")</x:f>
      </x:c>
      <x:c r="C10" s="76" t="str">
        <x:f>IF('08_Form_Erosion_Cotiere'!$M10="Validé humainement",'08_Form_Erosion_Cotiere'!C10,"")</x:f>
      </x:c>
      <x:c r="D10" s="76" t="str">
        <x:f>IF('08_Form_Erosion_Cotiere'!$M10="Validé humainement",'08_Form_Erosion_Cotiere'!D10,"")</x:f>
      </x:c>
      <x:c r="E10" s="77" t="str">
        <x:f>IF('08_Form_Erosion_Cotiere'!$M10="Validé humainement",'08_Form_Erosion_Cotiere'!E10,"")</x:f>
      </x:c>
      <x:c r="F10" s="76" t="str">
        <x:f>IF('08_Form_Erosion_Cotiere'!$M10="Validé humainement",'08_Form_Erosion_Cotiere'!F10,"")</x:f>
      </x:c>
      <x:c r="G10" s="76" t="str">
        <x:f>IF('08_Form_Erosion_Cotiere'!$M10="Validé humainement",'08_Form_Erosion_Cotiere'!G10,"")</x:f>
      </x:c>
      <x:c r="H10" s="81" t="str">
        <x:f>IF('08_Form_Erosion_Cotiere'!$M10="Validé humainement",'08_Form_Erosion_Cotiere'!H10,"")</x:f>
      </x:c>
      <x:c r="I10" s="76" t="str">
        <x:f>IF('08_Form_Erosion_Cotiere'!$M10="Validé humainement",'08_Form_Erosion_Cotiere'!I10,"")</x:f>
      </x:c>
      <x:c r="J10" s="76" t="str">
        <x:f>IF('08_Form_Erosion_Cotiere'!$M10="Validé humainement",'08_Form_Erosion_Cotiere'!J10,"")</x:f>
      </x:c>
      <x:c r="K10" s="76" t="str">
        <x:f>IF('08_Form_Erosion_Cotiere'!$M10="Validé humainement",'08_Form_Erosion_Cotiere'!K10,"")</x:f>
      </x:c>
      <x:c r="L10" s="76" t="str">
        <x:f>IF('08_Form_Erosion_Cotiere'!$M10="Validé humainement",'08_Form_Erosion_Cotiere'!L10,"")</x:f>
      </x:c>
      <x:c r="M10" s="76" t="str">
        <x:f>IF('08_Form_Erosion_Cotiere'!$M10="Validé humainement",'08_Form_Erosion_Cotiere'!M10,"")</x:f>
      </x:c>
      <x:c r="N10" s="78" t="str">
        <x:f>IF('08_Form_Erosion_Cotiere'!$M10="Validé humainement",'08_Form_Erosion_Cotiere'!N10,"")</x:f>
      </x:c>
      <x:c r="O10" s="76" t="str">
        <x:f>IF('08_Form_Erosion_Cotiere'!$M10="Validé humainement",'08_Form_Erosion_Cotiere'!O10,"")</x:f>
      </x:c>
      <x:c r="P10" s="76" t="str">
        <x:f>IF('08_Form_Erosion_Cotiere'!$M10="Validé humainement",'08_Form_Erosion_Cotiere'!P10,"")</x:f>
      </x:c>
      <x:c r="Q10" s="76" t="str">
        <x:f>IF('08_Form_Erosion_Cotiere'!$M10="Validé humainement",'08_Form_Erosion_Cotiere'!Q10,"")</x:f>
      </x:c>
    </x:row>
    <x:row r="11">
      <x:c r="A11" s="76" t="str">
        <x:f>IF('08_Form_Erosion_Cotiere'!$M11="Validé humainement",'08_Form_Erosion_Cotiere'!A11,"")</x:f>
      </x:c>
      <x:c r="B11" s="76" t="str">
        <x:f>IF('08_Form_Erosion_Cotiere'!$M11="Validé humainement",'08_Form_Erosion_Cotiere'!B11,"")</x:f>
      </x:c>
      <x:c r="C11" s="76" t="str">
        <x:f>IF('08_Form_Erosion_Cotiere'!$M11="Validé humainement",'08_Form_Erosion_Cotiere'!C11,"")</x:f>
      </x:c>
      <x:c r="D11" s="76" t="str">
        <x:f>IF('08_Form_Erosion_Cotiere'!$M11="Validé humainement",'08_Form_Erosion_Cotiere'!D11,"")</x:f>
      </x:c>
      <x:c r="E11" s="77" t="str">
        <x:f>IF('08_Form_Erosion_Cotiere'!$M11="Validé humainement",'08_Form_Erosion_Cotiere'!E11,"")</x:f>
      </x:c>
      <x:c r="F11" s="76" t="str">
        <x:f>IF('08_Form_Erosion_Cotiere'!$M11="Validé humainement",'08_Form_Erosion_Cotiere'!F11,"")</x:f>
      </x:c>
      <x:c r="G11" s="76" t="str">
        <x:f>IF('08_Form_Erosion_Cotiere'!$M11="Validé humainement",'08_Form_Erosion_Cotiere'!G11,"")</x:f>
      </x:c>
      <x:c r="H11" s="81" t="str">
        <x:f>IF('08_Form_Erosion_Cotiere'!$M11="Validé humainement",'08_Form_Erosion_Cotiere'!H11,"")</x:f>
      </x:c>
      <x:c r="I11" s="76" t="str">
        <x:f>IF('08_Form_Erosion_Cotiere'!$M11="Validé humainement",'08_Form_Erosion_Cotiere'!I11,"")</x:f>
      </x:c>
      <x:c r="J11" s="76" t="str">
        <x:f>IF('08_Form_Erosion_Cotiere'!$M11="Validé humainement",'08_Form_Erosion_Cotiere'!J11,"")</x:f>
      </x:c>
      <x:c r="K11" s="76" t="str">
        <x:f>IF('08_Form_Erosion_Cotiere'!$M11="Validé humainement",'08_Form_Erosion_Cotiere'!K11,"")</x:f>
      </x:c>
      <x:c r="L11" s="76" t="str">
        <x:f>IF('08_Form_Erosion_Cotiere'!$M11="Validé humainement",'08_Form_Erosion_Cotiere'!L11,"")</x:f>
      </x:c>
      <x:c r="M11" s="76" t="str">
        <x:f>IF('08_Form_Erosion_Cotiere'!$M11="Validé humainement",'08_Form_Erosion_Cotiere'!M11,"")</x:f>
      </x:c>
      <x:c r="N11" s="78" t="str">
        <x:f>IF('08_Form_Erosion_Cotiere'!$M11="Validé humainement",'08_Form_Erosion_Cotiere'!N11,"")</x:f>
      </x:c>
      <x:c r="O11" s="76" t="str">
        <x:f>IF('08_Form_Erosion_Cotiere'!$M11="Validé humainement",'08_Form_Erosion_Cotiere'!O11,"")</x:f>
      </x:c>
      <x:c r="P11" s="76" t="str">
        <x:f>IF('08_Form_Erosion_Cotiere'!$M11="Validé humainement",'08_Form_Erosion_Cotiere'!P11,"")</x:f>
      </x:c>
      <x:c r="Q11" s="76" t="str">
        <x:f>IF('08_Form_Erosion_Cotiere'!$M11="Validé humainement",'08_Form_Erosion_Cotiere'!Q11,"")</x:f>
      </x:c>
    </x:row>
    <x:row r="12">
      <x:c r="A12" s="76" t="str">
        <x:f>IF('08_Form_Erosion_Cotiere'!$M12="Validé humainement",'08_Form_Erosion_Cotiere'!A12,"")</x:f>
      </x:c>
      <x:c r="B12" s="76" t="str">
        <x:f>IF('08_Form_Erosion_Cotiere'!$M12="Validé humainement",'08_Form_Erosion_Cotiere'!B12,"")</x:f>
      </x:c>
      <x:c r="C12" s="76" t="str">
        <x:f>IF('08_Form_Erosion_Cotiere'!$M12="Validé humainement",'08_Form_Erosion_Cotiere'!C12,"")</x:f>
      </x:c>
      <x:c r="D12" s="76" t="str">
        <x:f>IF('08_Form_Erosion_Cotiere'!$M12="Validé humainement",'08_Form_Erosion_Cotiere'!D12,"")</x:f>
      </x:c>
      <x:c r="E12" s="77" t="str">
        <x:f>IF('08_Form_Erosion_Cotiere'!$M12="Validé humainement",'08_Form_Erosion_Cotiere'!E12,"")</x:f>
      </x:c>
      <x:c r="F12" s="76" t="str">
        <x:f>IF('08_Form_Erosion_Cotiere'!$M12="Validé humainement",'08_Form_Erosion_Cotiere'!F12,"")</x:f>
      </x:c>
      <x:c r="G12" s="76" t="str">
        <x:f>IF('08_Form_Erosion_Cotiere'!$M12="Validé humainement",'08_Form_Erosion_Cotiere'!G12,"")</x:f>
      </x:c>
      <x:c r="H12" s="81" t="str">
        <x:f>IF('08_Form_Erosion_Cotiere'!$M12="Validé humainement",'08_Form_Erosion_Cotiere'!H12,"")</x:f>
      </x:c>
      <x:c r="I12" s="76" t="str">
        <x:f>IF('08_Form_Erosion_Cotiere'!$M12="Validé humainement",'08_Form_Erosion_Cotiere'!I12,"")</x:f>
      </x:c>
      <x:c r="J12" s="76" t="str">
        <x:f>IF('08_Form_Erosion_Cotiere'!$M12="Validé humainement",'08_Form_Erosion_Cotiere'!J12,"")</x:f>
      </x:c>
      <x:c r="K12" s="76" t="str">
        <x:f>IF('08_Form_Erosion_Cotiere'!$M12="Validé humainement",'08_Form_Erosion_Cotiere'!K12,"")</x:f>
      </x:c>
      <x:c r="L12" s="76" t="str">
        <x:f>IF('08_Form_Erosion_Cotiere'!$M12="Validé humainement",'08_Form_Erosion_Cotiere'!L12,"")</x:f>
      </x:c>
      <x:c r="M12" s="76" t="str">
        <x:f>IF('08_Form_Erosion_Cotiere'!$M12="Validé humainement",'08_Form_Erosion_Cotiere'!M12,"")</x:f>
      </x:c>
      <x:c r="N12" s="78" t="str">
        <x:f>IF('08_Form_Erosion_Cotiere'!$M12="Validé humainement",'08_Form_Erosion_Cotiere'!N12,"")</x:f>
      </x:c>
      <x:c r="O12" s="76" t="str">
        <x:f>IF('08_Form_Erosion_Cotiere'!$M12="Validé humainement",'08_Form_Erosion_Cotiere'!O12,"")</x:f>
      </x:c>
      <x:c r="P12" s="76" t="str">
        <x:f>IF('08_Form_Erosion_Cotiere'!$M12="Validé humainement",'08_Form_Erosion_Cotiere'!P12,"")</x:f>
      </x:c>
      <x:c r="Q12" s="76" t="str">
        <x:f>IF('08_Form_Erosion_Cotiere'!$M12="Validé humainement",'08_Form_Erosion_Cotiere'!Q12,"")</x:f>
      </x:c>
    </x:row>
    <x:row r="13">
      <x:c r="A13" s="76" t="str">
        <x:f>IF('08_Form_Erosion_Cotiere'!$M13="Validé humainement",'08_Form_Erosion_Cotiere'!A13,"")</x:f>
      </x:c>
      <x:c r="B13" s="76" t="str">
        <x:f>IF('08_Form_Erosion_Cotiere'!$M13="Validé humainement",'08_Form_Erosion_Cotiere'!B13,"")</x:f>
      </x:c>
      <x:c r="C13" s="76" t="str">
        <x:f>IF('08_Form_Erosion_Cotiere'!$M13="Validé humainement",'08_Form_Erosion_Cotiere'!C13,"")</x:f>
      </x:c>
      <x:c r="D13" s="76" t="str">
        <x:f>IF('08_Form_Erosion_Cotiere'!$M13="Validé humainement",'08_Form_Erosion_Cotiere'!D13,"")</x:f>
      </x:c>
      <x:c r="E13" s="77" t="str">
        <x:f>IF('08_Form_Erosion_Cotiere'!$M13="Validé humainement",'08_Form_Erosion_Cotiere'!E13,"")</x:f>
      </x:c>
      <x:c r="F13" s="76" t="str">
        <x:f>IF('08_Form_Erosion_Cotiere'!$M13="Validé humainement",'08_Form_Erosion_Cotiere'!F13,"")</x:f>
      </x:c>
      <x:c r="G13" s="76" t="str">
        <x:f>IF('08_Form_Erosion_Cotiere'!$M13="Validé humainement",'08_Form_Erosion_Cotiere'!G13,"")</x:f>
      </x:c>
      <x:c r="H13" s="81" t="str">
        <x:f>IF('08_Form_Erosion_Cotiere'!$M13="Validé humainement",'08_Form_Erosion_Cotiere'!H13,"")</x:f>
      </x:c>
      <x:c r="I13" s="76" t="str">
        <x:f>IF('08_Form_Erosion_Cotiere'!$M13="Validé humainement",'08_Form_Erosion_Cotiere'!I13,"")</x:f>
      </x:c>
      <x:c r="J13" s="76" t="str">
        <x:f>IF('08_Form_Erosion_Cotiere'!$M13="Validé humainement",'08_Form_Erosion_Cotiere'!J13,"")</x:f>
      </x:c>
      <x:c r="K13" s="76" t="str">
        <x:f>IF('08_Form_Erosion_Cotiere'!$M13="Validé humainement",'08_Form_Erosion_Cotiere'!K13,"")</x:f>
      </x:c>
      <x:c r="L13" s="76" t="str">
        <x:f>IF('08_Form_Erosion_Cotiere'!$M13="Validé humainement",'08_Form_Erosion_Cotiere'!L13,"")</x:f>
      </x:c>
      <x:c r="M13" s="76" t="str">
        <x:f>IF('08_Form_Erosion_Cotiere'!$M13="Validé humainement",'08_Form_Erosion_Cotiere'!M13,"")</x:f>
      </x:c>
      <x:c r="N13" s="78" t="str">
        <x:f>IF('08_Form_Erosion_Cotiere'!$M13="Validé humainement",'08_Form_Erosion_Cotiere'!N13,"")</x:f>
      </x:c>
      <x:c r="O13" s="76" t="str">
        <x:f>IF('08_Form_Erosion_Cotiere'!$M13="Validé humainement",'08_Form_Erosion_Cotiere'!O13,"")</x:f>
      </x:c>
      <x:c r="P13" s="76" t="str">
        <x:f>IF('08_Form_Erosion_Cotiere'!$M13="Validé humainement",'08_Form_Erosion_Cotiere'!P13,"")</x:f>
      </x:c>
      <x:c r="Q13" s="76" t="str">
        <x:f>IF('08_Form_Erosion_Cotiere'!$M13="Validé humainement",'08_Form_Erosion_Cotiere'!Q13,"")</x:f>
      </x:c>
    </x:row>
    <x:row r="14">
      <x:c r="A14" s="76" t="str">
        <x:f>IF('08_Form_Erosion_Cotiere'!$M14="Validé humainement",'08_Form_Erosion_Cotiere'!A14,"")</x:f>
      </x:c>
      <x:c r="B14" s="76" t="str">
        <x:f>IF('08_Form_Erosion_Cotiere'!$M14="Validé humainement",'08_Form_Erosion_Cotiere'!B14,"")</x:f>
      </x:c>
      <x:c r="C14" s="76" t="str">
        <x:f>IF('08_Form_Erosion_Cotiere'!$M14="Validé humainement",'08_Form_Erosion_Cotiere'!C14,"")</x:f>
      </x:c>
      <x:c r="D14" s="76" t="str">
        <x:f>IF('08_Form_Erosion_Cotiere'!$M14="Validé humainement",'08_Form_Erosion_Cotiere'!D14,"")</x:f>
      </x:c>
      <x:c r="E14" s="77" t="str">
        <x:f>IF('08_Form_Erosion_Cotiere'!$M14="Validé humainement",'08_Form_Erosion_Cotiere'!E14,"")</x:f>
      </x:c>
      <x:c r="F14" s="76" t="str">
        <x:f>IF('08_Form_Erosion_Cotiere'!$M14="Validé humainement",'08_Form_Erosion_Cotiere'!F14,"")</x:f>
      </x:c>
      <x:c r="G14" s="76" t="str">
        <x:f>IF('08_Form_Erosion_Cotiere'!$M14="Validé humainement",'08_Form_Erosion_Cotiere'!G14,"")</x:f>
      </x:c>
      <x:c r="H14" s="81" t="str">
        <x:f>IF('08_Form_Erosion_Cotiere'!$M14="Validé humainement",'08_Form_Erosion_Cotiere'!H14,"")</x:f>
      </x:c>
      <x:c r="I14" s="76" t="str">
        <x:f>IF('08_Form_Erosion_Cotiere'!$M14="Validé humainement",'08_Form_Erosion_Cotiere'!I14,"")</x:f>
      </x:c>
      <x:c r="J14" s="76" t="str">
        <x:f>IF('08_Form_Erosion_Cotiere'!$M14="Validé humainement",'08_Form_Erosion_Cotiere'!J14,"")</x:f>
      </x:c>
      <x:c r="K14" s="76" t="str">
        <x:f>IF('08_Form_Erosion_Cotiere'!$M14="Validé humainement",'08_Form_Erosion_Cotiere'!K14,"")</x:f>
      </x:c>
      <x:c r="L14" s="76" t="str">
        <x:f>IF('08_Form_Erosion_Cotiere'!$M14="Validé humainement",'08_Form_Erosion_Cotiere'!L14,"")</x:f>
      </x:c>
      <x:c r="M14" s="76" t="str">
        <x:f>IF('08_Form_Erosion_Cotiere'!$M14="Validé humainement",'08_Form_Erosion_Cotiere'!M14,"")</x:f>
      </x:c>
      <x:c r="N14" s="78" t="str">
        <x:f>IF('08_Form_Erosion_Cotiere'!$M14="Validé humainement",'08_Form_Erosion_Cotiere'!N14,"")</x:f>
      </x:c>
      <x:c r="O14" s="76" t="str">
        <x:f>IF('08_Form_Erosion_Cotiere'!$M14="Validé humainement",'08_Form_Erosion_Cotiere'!O14,"")</x:f>
      </x:c>
      <x:c r="P14" s="76" t="str">
        <x:f>IF('08_Form_Erosion_Cotiere'!$M14="Validé humainement",'08_Form_Erosion_Cotiere'!P14,"")</x:f>
      </x:c>
      <x:c r="Q14" s="76" t="str">
        <x:f>IF('08_Form_Erosion_Cotiere'!$M14="Validé humainement",'08_Form_Erosion_Cotiere'!Q14,"")</x:f>
      </x:c>
    </x:row>
    <x:row r="15">
      <x:c r="A15" s="76" t="str">
        <x:f>IF('08_Form_Erosion_Cotiere'!$M15="Validé humainement",'08_Form_Erosion_Cotiere'!A15,"")</x:f>
      </x:c>
      <x:c r="B15" s="76" t="str">
        <x:f>IF('08_Form_Erosion_Cotiere'!$M15="Validé humainement",'08_Form_Erosion_Cotiere'!B15,"")</x:f>
      </x:c>
      <x:c r="C15" s="76" t="str">
        <x:f>IF('08_Form_Erosion_Cotiere'!$M15="Validé humainement",'08_Form_Erosion_Cotiere'!C15,"")</x:f>
      </x:c>
      <x:c r="D15" s="76" t="str">
        <x:f>IF('08_Form_Erosion_Cotiere'!$M15="Validé humainement",'08_Form_Erosion_Cotiere'!D15,"")</x:f>
      </x:c>
      <x:c r="E15" s="77" t="str">
        <x:f>IF('08_Form_Erosion_Cotiere'!$M15="Validé humainement",'08_Form_Erosion_Cotiere'!E15,"")</x:f>
      </x:c>
      <x:c r="F15" s="76" t="str">
        <x:f>IF('08_Form_Erosion_Cotiere'!$M15="Validé humainement",'08_Form_Erosion_Cotiere'!F15,"")</x:f>
      </x:c>
      <x:c r="G15" s="76" t="str">
        <x:f>IF('08_Form_Erosion_Cotiere'!$M15="Validé humainement",'08_Form_Erosion_Cotiere'!G15,"")</x:f>
      </x:c>
      <x:c r="H15" s="81" t="str">
        <x:f>IF('08_Form_Erosion_Cotiere'!$M15="Validé humainement",'08_Form_Erosion_Cotiere'!H15,"")</x:f>
      </x:c>
      <x:c r="I15" s="76" t="str">
        <x:f>IF('08_Form_Erosion_Cotiere'!$M15="Validé humainement",'08_Form_Erosion_Cotiere'!I15,"")</x:f>
      </x:c>
      <x:c r="J15" s="76" t="str">
        <x:f>IF('08_Form_Erosion_Cotiere'!$M15="Validé humainement",'08_Form_Erosion_Cotiere'!J15,"")</x:f>
      </x:c>
      <x:c r="K15" s="76" t="str">
        <x:f>IF('08_Form_Erosion_Cotiere'!$M15="Validé humainement",'08_Form_Erosion_Cotiere'!K15,"")</x:f>
      </x:c>
      <x:c r="L15" s="76" t="str">
        <x:f>IF('08_Form_Erosion_Cotiere'!$M15="Validé humainement",'08_Form_Erosion_Cotiere'!L15,"")</x:f>
      </x:c>
      <x:c r="M15" s="76" t="str">
        <x:f>IF('08_Form_Erosion_Cotiere'!$M15="Validé humainement",'08_Form_Erosion_Cotiere'!M15,"")</x:f>
      </x:c>
      <x:c r="N15" s="78" t="str">
        <x:f>IF('08_Form_Erosion_Cotiere'!$M15="Validé humainement",'08_Form_Erosion_Cotiere'!N15,"")</x:f>
      </x:c>
      <x:c r="O15" s="76" t="str">
        <x:f>IF('08_Form_Erosion_Cotiere'!$M15="Validé humainement",'08_Form_Erosion_Cotiere'!O15,"")</x:f>
      </x:c>
      <x:c r="P15" s="76" t="str">
        <x:f>IF('08_Form_Erosion_Cotiere'!$M15="Validé humainement",'08_Form_Erosion_Cotiere'!P15,"")</x:f>
      </x:c>
      <x:c r="Q15" s="76" t="str">
        <x:f>IF('08_Form_Erosion_Cotiere'!$M15="Validé humainement",'08_Form_Erosion_Cotiere'!Q15,"")</x:f>
      </x:c>
    </x:row>
    <x:row r="16">
      <x:c r="A16" s="76" t="str">
        <x:f>IF('08_Form_Erosion_Cotiere'!$M16="Validé humainement",'08_Form_Erosion_Cotiere'!A16,"")</x:f>
      </x:c>
      <x:c r="B16" s="76" t="str">
        <x:f>IF('08_Form_Erosion_Cotiere'!$M16="Validé humainement",'08_Form_Erosion_Cotiere'!B16,"")</x:f>
      </x:c>
      <x:c r="C16" s="76" t="str">
        <x:f>IF('08_Form_Erosion_Cotiere'!$M16="Validé humainement",'08_Form_Erosion_Cotiere'!C16,"")</x:f>
      </x:c>
      <x:c r="D16" s="76" t="str">
        <x:f>IF('08_Form_Erosion_Cotiere'!$M16="Validé humainement",'08_Form_Erosion_Cotiere'!D16,"")</x:f>
      </x:c>
      <x:c r="E16" s="77" t="str">
        <x:f>IF('08_Form_Erosion_Cotiere'!$M16="Validé humainement",'08_Form_Erosion_Cotiere'!E16,"")</x:f>
      </x:c>
      <x:c r="F16" s="76" t="str">
        <x:f>IF('08_Form_Erosion_Cotiere'!$M16="Validé humainement",'08_Form_Erosion_Cotiere'!F16,"")</x:f>
      </x:c>
      <x:c r="G16" s="76" t="str">
        <x:f>IF('08_Form_Erosion_Cotiere'!$M16="Validé humainement",'08_Form_Erosion_Cotiere'!G16,"")</x:f>
      </x:c>
      <x:c r="H16" s="81" t="str">
        <x:f>IF('08_Form_Erosion_Cotiere'!$M16="Validé humainement",'08_Form_Erosion_Cotiere'!H16,"")</x:f>
      </x:c>
      <x:c r="I16" s="76" t="str">
        <x:f>IF('08_Form_Erosion_Cotiere'!$M16="Validé humainement",'08_Form_Erosion_Cotiere'!I16,"")</x:f>
      </x:c>
      <x:c r="J16" s="76" t="str">
        <x:f>IF('08_Form_Erosion_Cotiere'!$M16="Validé humainement",'08_Form_Erosion_Cotiere'!J16,"")</x:f>
      </x:c>
      <x:c r="K16" s="76" t="str">
        <x:f>IF('08_Form_Erosion_Cotiere'!$M16="Validé humainement",'08_Form_Erosion_Cotiere'!K16,"")</x:f>
      </x:c>
      <x:c r="L16" s="76" t="str">
        <x:f>IF('08_Form_Erosion_Cotiere'!$M16="Validé humainement",'08_Form_Erosion_Cotiere'!L16,"")</x:f>
      </x:c>
      <x:c r="M16" s="76" t="str">
        <x:f>IF('08_Form_Erosion_Cotiere'!$M16="Validé humainement",'08_Form_Erosion_Cotiere'!M16,"")</x:f>
      </x:c>
      <x:c r="N16" s="78" t="str">
        <x:f>IF('08_Form_Erosion_Cotiere'!$M16="Validé humainement",'08_Form_Erosion_Cotiere'!N16,"")</x:f>
      </x:c>
      <x:c r="O16" s="76" t="str">
        <x:f>IF('08_Form_Erosion_Cotiere'!$M16="Validé humainement",'08_Form_Erosion_Cotiere'!O16,"")</x:f>
      </x:c>
      <x:c r="P16" s="76" t="str">
        <x:f>IF('08_Form_Erosion_Cotiere'!$M16="Validé humainement",'08_Form_Erosion_Cotiere'!P16,"")</x:f>
      </x:c>
      <x:c r="Q16" s="76" t="str">
        <x:f>IF('08_Form_Erosion_Cotiere'!$M16="Validé humainement",'08_Form_Erosion_Cotiere'!Q16,"")</x:f>
      </x:c>
    </x:row>
    <x:row r="17">
      <x:c r="A17" s="76" t="str">
        <x:f>IF('08_Form_Erosion_Cotiere'!$M17="Validé humainement",'08_Form_Erosion_Cotiere'!A17,"")</x:f>
      </x:c>
      <x:c r="B17" s="76" t="str">
        <x:f>IF('08_Form_Erosion_Cotiere'!$M17="Validé humainement",'08_Form_Erosion_Cotiere'!B17,"")</x:f>
      </x:c>
      <x:c r="C17" s="76" t="str">
        <x:f>IF('08_Form_Erosion_Cotiere'!$M17="Validé humainement",'08_Form_Erosion_Cotiere'!C17,"")</x:f>
      </x:c>
      <x:c r="D17" s="76" t="str">
        <x:f>IF('08_Form_Erosion_Cotiere'!$M17="Validé humainement",'08_Form_Erosion_Cotiere'!D17,"")</x:f>
      </x:c>
      <x:c r="E17" s="77" t="str">
        <x:f>IF('08_Form_Erosion_Cotiere'!$M17="Validé humainement",'08_Form_Erosion_Cotiere'!E17,"")</x:f>
      </x:c>
      <x:c r="F17" s="76" t="str">
        <x:f>IF('08_Form_Erosion_Cotiere'!$M17="Validé humainement",'08_Form_Erosion_Cotiere'!F17,"")</x:f>
      </x:c>
      <x:c r="G17" s="76" t="str">
        <x:f>IF('08_Form_Erosion_Cotiere'!$M17="Validé humainement",'08_Form_Erosion_Cotiere'!G17,"")</x:f>
      </x:c>
      <x:c r="H17" s="81" t="str">
        <x:f>IF('08_Form_Erosion_Cotiere'!$M17="Validé humainement",'08_Form_Erosion_Cotiere'!H17,"")</x:f>
      </x:c>
      <x:c r="I17" s="76" t="str">
        <x:f>IF('08_Form_Erosion_Cotiere'!$M17="Validé humainement",'08_Form_Erosion_Cotiere'!I17,"")</x:f>
      </x:c>
      <x:c r="J17" s="76" t="str">
        <x:f>IF('08_Form_Erosion_Cotiere'!$M17="Validé humainement",'08_Form_Erosion_Cotiere'!J17,"")</x:f>
      </x:c>
      <x:c r="K17" s="76" t="str">
        <x:f>IF('08_Form_Erosion_Cotiere'!$M17="Validé humainement",'08_Form_Erosion_Cotiere'!K17,"")</x:f>
      </x:c>
      <x:c r="L17" s="76" t="str">
        <x:f>IF('08_Form_Erosion_Cotiere'!$M17="Validé humainement",'08_Form_Erosion_Cotiere'!L17,"")</x:f>
      </x:c>
      <x:c r="M17" s="76" t="str">
        <x:f>IF('08_Form_Erosion_Cotiere'!$M17="Validé humainement",'08_Form_Erosion_Cotiere'!M17,"")</x:f>
      </x:c>
      <x:c r="N17" s="78" t="str">
        <x:f>IF('08_Form_Erosion_Cotiere'!$M17="Validé humainement",'08_Form_Erosion_Cotiere'!N17,"")</x:f>
      </x:c>
      <x:c r="O17" s="76" t="str">
        <x:f>IF('08_Form_Erosion_Cotiere'!$M17="Validé humainement",'08_Form_Erosion_Cotiere'!O17,"")</x:f>
      </x:c>
      <x:c r="P17" s="76" t="str">
        <x:f>IF('08_Form_Erosion_Cotiere'!$M17="Validé humainement",'08_Form_Erosion_Cotiere'!P17,"")</x:f>
      </x:c>
      <x:c r="Q17" s="76" t="str">
        <x:f>IF('08_Form_Erosion_Cotiere'!$M17="Validé humainement",'08_Form_Erosion_Cotiere'!Q17,"")</x:f>
      </x:c>
    </x:row>
    <x:row r="18">
      <x:c r="A18" s="76" t="str">
        <x:f>IF('08_Form_Erosion_Cotiere'!$M18="Validé humainement",'08_Form_Erosion_Cotiere'!A18,"")</x:f>
      </x:c>
      <x:c r="B18" s="76" t="str">
        <x:f>IF('08_Form_Erosion_Cotiere'!$M18="Validé humainement",'08_Form_Erosion_Cotiere'!B18,"")</x:f>
      </x:c>
      <x:c r="C18" s="76" t="str">
        <x:f>IF('08_Form_Erosion_Cotiere'!$M18="Validé humainement",'08_Form_Erosion_Cotiere'!C18,"")</x:f>
      </x:c>
      <x:c r="D18" s="76" t="str">
        <x:f>IF('08_Form_Erosion_Cotiere'!$M18="Validé humainement",'08_Form_Erosion_Cotiere'!D18,"")</x:f>
      </x:c>
      <x:c r="E18" s="77" t="str">
        <x:f>IF('08_Form_Erosion_Cotiere'!$M18="Validé humainement",'08_Form_Erosion_Cotiere'!E18,"")</x:f>
      </x:c>
      <x:c r="F18" s="76" t="str">
        <x:f>IF('08_Form_Erosion_Cotiere'!$M18="Validé humainement",'08_Form_Erosion_Cotiere'!F18,"")</x:f>
      </x:c>
      <x:c r="G18" s="76" t="str">
        <x:f>IF('08_Form_Erosion_Cotiere'!$M18="Validé humainement",'08_Form_Erosion_Cotiere'!G18,"")</x:f>
      </x:c>
      <x:c r="H18" s="81" t="str">
        <x:f>IF('08_Form_Erosion_Cotiere'!$M18="Validé humainement",'08_Form_Erosion_Cotiere'!H18,"")</x:f>
      </x:c>
      <x:c r="I18" s="76" t="str">
        <x:f>IF('08_Form_Erosion_Cotiere'!$M18="Validé humainement",'08_Form_Erosion_Cotiere'!I18,"")</x:f>
      </x:c>
      <x:c r="J18" s="76" t="str">
        <x:f>IF('08_Form_Erosion_Cotiere'!$M18="Validé humainement",'08_Form_Erosion_Cotiere'!J18,"")</x:f>
      </x:c>
      <x:c r="K18" s="76" t="str">
        <x:f>IF('08_Form_Erosion_Cotiere'!$M18="Validé humainement",'08_Form_Erosion_Cotiere'!K18,"")</x:f>
      </x:c>
      <x:c r="L18" s="76" t="str">
        <x:f>IF('08_Form_Erosion_Cotiere'!$M18="Validé humainement",'08_Form_Erosion_Cotiere'!L18,"")</x:f>
      </x:c>
      <x:c r="M18" s="76" t="str">
        <x:f>IF('08_Form_Erosion_Cotiere'!$M18="Validé humainement",'08_Form_Erosion_Cotiere'!M18,"")</x:f>
      </x:c>
      <x:c r="N18" s="78" t="str">
        <x:f>IF('08_Form_Erosion_Cotiere'!$M18="Validé humainement",'08_Form_Erosion_Cotiere'!N18,"")</x:f>
      </x:c>
      <x:c r="O18" s="76" t="str">
        <x:f>IF('08_Form_Erosion_Cotiere'!$M18="Validé humainement",'08_Form_Erosion_Cotiere'!O18,"")</x:f>
      </x:c>
      <x:c r="P18" s="76" t="str">
        <x:f>IF('08_Form_Erosion_Cotiere'!$M18="Validé humainement",'08_Form_Erosion_Cotiere'!P18,"")</x:f>
      </x:c>
      <x:c r="Q18" s="76" t="str">
        <x:f>IF('08_Form_Erosion_Cotiere'!$M18="Validé humainement",'08_Form_Erosion_Cotiere'!Q18,"")</x:f>
      </x:c>
    </x:row>
    <x:row r="19">
      <x:c r="A19" s="76" t="str">
        <x:f>IF('08_Form_Erosion_Cotiere'!$M19="Validé humainement",'08_Form_Erosion_Cotiere'!A19,"")</x:f>
      </x:c>
      <x:c r="B19" s="76" t="str">
        <x:f>IF('08_Form_Erosion_Cotiere'!$M19="Validé humainement",'08_Form_Erosion_Cotiere'!B19,"")</x:f>
      </x:c>
      <x:c r="C19" s="76" t="str">
        <x:f>IF('08_Form_Erosion_Cotiere'!$M19="Validé humainement",'08_Form_Erosion_Cotiere'!C19,"")</x:f>
      </x:c>
      <x:c r="D19" s="76" t="str">
        <x:f>IF('08_Form_Erosion_Cotiere'!$M19="Validé humainement",'08_Form_Erosion_Cotiere'!D19,"")</x:f>
      </x:c>
      <x:c r="E19" s="77" t="str">
        <x:f>IF('08_Form_Erosion_Cotiere'!$M19="Validé humainement",'08_Form_Erosion_Cotiere'!E19,"")</x:f>
      </x:c>
      <x:c r="F19" s="76" t="str">
        <x:f>IF('08_Form_Erosion_Cotiere'!$M19="Validé humainement",'08_Form_Erosion_Cotiere'!F19,"")</x:f>
      </x:c>
      <x:c r="G19" s="76" t="str">
        <x:f>IF('08_Form_Erosion_Cotiere'!$M19="Validé humainement",'08_Form_Erosion_Cotiere'!G19,"")</x:f>
      </x:c>
      <x:c r="H19" s="81" t="str">
        <x:f>IF('08_Form_Erosion_Cotiere'!$M19="Validé humainement",'08_Form_Erosion_Cotiere'!H19,"")</x:f>
      </x:c>
      <x:c r="I19" s="76" t="str">
        <x:f>IF('08_Form_Erosion_Cotiere'!$M19="Validé humainement",'08_Form_Erosion_Cotiere'!I19,"")</x:f>
      </x:c>
      <x:c r="J19" s="76" t="str">
        <x:f>IF('08_Form_Erosion_Cotiere'!$M19="Validé humainement",'08_Form_Erosion_Cotiere'!J19,"")</x:f>
      </x:c>
      <x:c r="K19" s="76" t="str">
        <x:f>IF('08_Form_Erosion_Cotiere'!$M19="Validé humainement",'08_Form_Erosion_Cotiere'!K19,"")</x:f>
      </x:c>
      <x:c r="L19" s="76" t="str">
        <x:f>IF('08_Form_Erosion_Cotiere'!$M19="Validé humainement",'08_Form_Erosion_Cotiere'!L19,"")</x:f>
      </x:c>
      <x:c r="M19" s="76" t="str">
        <x:f>IF('08_Form_Erosion_Cotiere'!$M19="Validé humainement",'08_Form_Erosion_Cotiere'!M19,"")</x:f>
      </x:c>
      <x:c r="N19" s="78" t="str">
        <x:f>IF('08_Form_Erosion_Cotiere'!$M19="Validé humainement",'08_Form_Erosion_Cotiere'!N19,"")</x:f>
      </x:c>
      <x:c r="O19" s="76" t="str">
        <x:f>IF('08_Form_Erosion_Cotiere'!$M19="Validé humainement",'08_Form_Erosion_Cotiere'!O19,"")</x:f>
      </x:c>
      <x:c r="P19" s="76" t="str">
        <x:f>IF('08_Form_Erosion_Cotiere'!$M19="Validé humainement",'08_Form_Erosion_Cotiere'!P19,"")</x:f>
      </x:c>
      <x:c r="Q19" s="76" t="str">
        <x:f>IF('08_Form_Erosion_Cotiere'!$M19="Validé humainement",'08_Form_Erosion_Cotiere'!Q19,"")</x:f>
      </x:c>
    </x:row>
    <x:row r="20">
      <x:c r="A20" s="76" t="str">
        <x:f>IF('08_Form_Erosion_Cotiere'!$M20="Validé humainement",'08_Form_Erosion_Cotiere'!A20,"")</x:f>
      </x:c>
      <x:c r="B20" s="76" t="str">
        <x:f>IF('08_Form_Erosion_Cotiere'!$M20="Validé humainement",'08_Form_Erosion_Cotiere'!B20,"")</x:f>
      </x:c>
      <x:c r="C20" s="76" t="str">
        <x:f>IF('08_Form_Erosion_Cotiere'!$M20="Validé humainement",'08_Form_Erosion_Cotiere'!C20,"")</x:f>
      </x:c>
      <x:c r="D20" s="76" t="str">
        <x:f>IF('08_Form_Erosion_Cotiere'!$M20="Validé humainement",'08_Form_Erosion_Cotiere'!D20,"")</x:f>
      </x:c>
      <x:c r="E20" s="77" t="str">
        <x:f>IF('08_Form_Erosion_Cotiere'!$M20="Validé humainement",'08_Form_Erosion_Cotiere'!E20,"")</x:f>
      </x:c>
      <x:c r="F20" s="76" t="str">
        <x:f>IF('08_Form_Erosion_Cotiere'!$M20="Validé humainement",'08_Form_Erosion_Cotiere'!F20,"")</x:f>
      </x:c>
      <x:c r="G20" s="76" t="str">
        <x:f>IF('08_Form_Erosion_Cotiere'!$M20="Validé humainement",'08_Form_Erosion_Cotiere'!G20,"")</x:f>
      </x:c>
      <x:c r="H20" s="81" t="str">
        <x:f>IF('08_Form_Erosion_Cotiere'!$M20="Validé humainement",'08_Form_Erosion_Cotiere'!H20,"")</x:f>
      </x:c>
      <x:c r="I20" s="76" t="str">
        <x:f>IF('08_Form_Erosion_Cotiere'!$M20="Validé humainement",'08_Form_Erosion_Cotiere'!I20,"")</x:f>
      </x:c>
      <x:c r="J20" s="76" t="str">
        <x:f>IF('08_Form_Erosion_Cotiere'!$M20="Validé humainement",'08_Form_Erosion_Cotiere'!J20,"")</x:f>
      </x:c>
      <x:c r="K20" s="76" t="str">
        <x:f>IF('08_Form_Erosion_Cotiere'!$M20="Validé humainement",'08_Form_Erosion_Cotiere'!K20,"")</x:f>
      </x:c>
      <x:c r="L20" s="76" t="str">
        <x:f>IF('08_Form_Erosion_Cotiere'!$M20="Validé humainement",'08_Form_Erosion_Cotiere'!L20,"")</x:f>
      </x:c>
      <x:c r="M20" s="76" t="str">
        <x:f>IF('08_Form_Erosion_Cotiere'!$M20="Validé humainement",'08_Form_Erosion_Cotiere'!M20,"")</x:f>
      </x:c>
      <x:c r="N20" s="78" t="str">
        <x:f>IF('08_Form_Erosion_Cotiere'!$M20="Validé humainement",'08_Form_Erosion_Cotiere'!N20,"")</x:f>
      </x:c>
      <x:c r="O20" s="76" t="str">
        <x:f>IF('08_Form_Erosion_Cotiere'!$M20="Validé humainement",'08_Form_Erosion_Cotiere'!O20,"")</x:f>
      </x:c>
      <x:c r="P20" s="76" t="str">
        <x:f>IF('08_Form_Erosion_Cotiere'!$M20="Validé humainement",'08_Form_Erosion_Cotiere'!P20,"")</x:f>
      </x:c>
      <x:c r="Q20" s="76" t="str">
        <x:f>IF('08_Form_Erosion_Cotiere'!$M20="Validé humainement",'08_Form_Erosion_Cotiere'!Q20,"")</x:f>
      </x:c>
    </x:row>
    <x:row r="21">
      <x:c r="A21" s="76" t="str">
        <x:f>IF('08_Form_Erosion_Cotiere'!$M21="Validé humainement",'08_Form_Erosion_Cotiere'!A21,"")</x:f>
      </x:c>
      <x:c r="B21" s="76" t="str">
        <x:f>IF('08_Form_Erosion_Cotiere'!$M21="Validé humainement",'08_Form_Erosion_Cotiere'!B21,"")</x:f>
      </x:c>
      <x:c r="C21" s="76" t="str">
        <x:f>IF('08_Form_Erosion_Cotiere'!$M21="Validé humainement",'08_Form_Erosion_Cotiere'!C21,"")</x:f>
      </x:c>
      <x:c r="D21" s="76" t="str">
        <x:f>IF('08_Form_Erosion_Cotiere'!$M21="Validé humainement",'08_Form_Erosion_Cotiere'!D21,"")</x:f>
      </x:c>
      <x:c r="E21" s="77" t="str">
        <x:f>IF('08_Form_Erosion_Cotiere'!$M21="Validé humainement",'08_Form_Erosion_Cotiere'!E21,"")</x:f>
      </x:c>
      <x:c r="F21" s="76" t="str">
        <x:f>IF('08_Form_Erosion_Cotiere'!$M21="Validé humainement",'08_Form_Erosion_Cotiere'!F21,"")</x:f>
      </x:c>
      <x:c r="G21" s="76" t="str">
        <x:f>IF('08_Form_Erosion_Cotiere'!$M21="Validé humainement",'08_Form_Erosion_Cotiere'!G21,"")</x:f>
      </x:c>
      <x:c r="H21" s="81" t="str">
        <x:f>IF('08_Form_Erosion_Cotiere'!$M21="Validé humainement",'08_Form_Erosion_Cotiere'!H21,"")</x:f>
      </x:c>
      <x:c r="I21" s="76" t="str">
        <x:f>IF('08_Form_Erosion_Cotiere'!$M21="Validé humainement",'08_Form_Erosion_Cotiere'!I21,"")</x:f>
      </x:c>
      <x:c r="J21" s="76" t="str">
        <x:f>IF('08_Form_Erosion_Cotiere'!$M21="Validé humainement",'08_Form_Erosion_Cotiere'!J21,"")</x:f>
      </x:c>
      <x:c r="K21" s="76" t="str">
        <x:f>IF('08_Form_Erosion_Cotiere'!$M21="Validé humainement",'08_Form_Erosion_Cotiere'!K21,"")</x:f>
      </x:c>
      <x:c r="L21" s="76" t="str">
        <x:f>IF('08_Form_Erosion_Cotiere'!$M21="Validé humainement",'08_Form_Erosion_Cotiere'!L21,"")</x:f>
      </x:c>
      <x:c r="M21" s="76" t="str">
        <x:f>IF('08_Form_Erosion_Cotiere'!$M21="Validé humainement",'08_Form_Erosion_Cotiere'!M21,"")</x:f>
      </x:c>
      <x:c r="N21" s="78" t="str">
        <x:f>IF('08_Form_Erosion_Cotiere'!$M21="Validé humainement",'08_Form_Erosion_Cotiere'!N21,"")</x:f>
      </x:c>
      <x:c r="O21" s="76" t="str">
        <x:f>IF('08_Form_Erosion_Cotiere'!$M21="Validé humainement",'08_Form_Erosion_Cotiere'!O21,"")</x:f>
      </x:c>
      <x:c r="P21" s="76" t="str">
        <x:f>IF('08_Form_Erosion_Cotiere'!$M21="Validé humainement",'08_Form_Erosion_Cotiere'!P21,"")</x:f>
      </x:c>
      <x:c r="Q21" s="76" t="str">
        <x:f>IF('08_Form_Erosion_Cotiere'!$M21="Validé humainement",'08_Form_Erosion_Cotiere'!Q21,"")</x:f>
      </x:c>
    </x:row>
    <x:row r="22">
      <x:c r="A22" s="76" t="str">
        <x:f>IF('08_Form_Erosion_Cotiere'!$M22="Validé humainement",'08_Form_Erosion_Cotiere'!A22,"")</x:f>
      </x:c>
      <x:c r="B22" s="76" t="str">
        <x:f>IF('08_Form_Erosion_Cotiere'!$M22="Validé humainement",'08_Form_Erosion_Cotiere'!B22,"")</x:f>
      </x:c>
      <x:c r="C22" s="76" t="str">
        <x:f>IF('08_Form_Erosion_Cotiere'!$M22="Validé humainement",'08_Form_Erosion_Cotiere'!C22,"")</x:f>
      </x:c>
      <x:c r="D22" s="76" t="str">
        <x:f>IF('08_Form_Erosion_Cotiere'!$M22="Validé humainement",'08_Form_Erosion_Cotiere'!D22,"")</x:f>
      </x:c>
      <x:c r="E22" s="77" t="str">
        <x:f>IF('08_Form_Erosion_Cotiere'!$M22="Validé humainement",'08_Form_Erosion_Cotiere'!E22,"")</x:f>
      </x:c>
      <x:c r="F22" s="76" t="str">
        <x:f>IF('08_Form_Erosion_Cotiere'!$M22="Validé humainement",'08_Form_Erosion_Cotiere'!F22,"")</x:f>
      </x:c>
      <x:c r="G22" s="76" t="str">
        <x:f>IF('08_Form_Erosion_Cotiere'!$M22="Validé humainement",'08_Form_Erosion_Cotiere'!G22,"")</x:f>
      </x:c>
      <x:c r="H22" s="81" t="str">
        <x:f>IF('08_Form_Erosion_Cotiere'!$M22="Validé humainement",'08_Form_Erosion_Cotiere'!H22,"")</x:f>
      </x:c>
      <x:c r="I22" s="76" t="str">
        <x:f>IF('08_Form_Erosion_Cotiere'!$M22="Validé humainement",'08_Form_Erosion_Cotiere'!I22,"")</x:f>
      </x:c>
      <x:c r="J22" s="76" t="str">
        <x:f>IF('08_Form_Erosion_Cotiere'!$M22="Validé humainement",'08_Form_Erosion_Cotiere'!J22,"")</x:f>
      </x:c>
      <x:c r="K22" s="76" t="str">
        <x:f>IF('08_Form_Erosion_Cotiere'!$M22="Validé humainement",'08_Form_Erosion_Cotiere'!K22,"")</x:f>
      </x:c>
      <x:c r="L22" s="76" t="str">
        <x:f>IF('08_Form_Erosion_Cotiere'!$M22="Validé humainement",'08_Form_Erosion_Cotiere'!L22,"")</x:f>
      </x:c>
      <x:c r="M22" s="76" t="str">
        <x:f>IF('08_Form_Erosion_Cotiere'!$M22="Validé humainement",'08_Form_Erosion_Cotiere'!M22,"")</x:f>
      </x:c>
      <x:c r="N22" s="78" t="str">
        <x:f>IF('08_Form_Erosion_Cotiere'!$M22="Validé humainement",'08_Form_Erosion_Cotiere'!N22,"")</x:f>
      </x:c>
      <x:c r="O22" s="76" t="str">
        <x:f>IF('08_Form_Erosion_Cotiere'!$M22="Validé humainement",'08_Form_Erosion_Cotiere'!O22,"")</x:f>
      </x:c>
      <x:c r="P22" s="76" t="str">
        <x:f>IF('08_Form_Erosion_Cotiere'!$M22="Validé humainement",'08_Form_Erosion_Cotiere'!P22,"")</x:f>
      </x:c>
      <x:c r="Q22" s="76" t="str">
        <x:f>IF('08_Form_Erosion_Cotiere'!$M22="Validé humainement",'08_Form_Erosion_Cotiere'!Q22,"")</x:f>
      </x:c>
    </x:row>
    <x:row r="23">
      <x:c r="A23" s="76" t="str">
        <x:f>IF('08_Form_Erosion_Cotiere'!$M23="Validé humainement",'08_Form_Erosion_Cotiere'!A23,"")</x:f>
      </x:c>
      <x:c r="B23" s="76" t="str">
        <x:f>IF('08_Form_Erosion_Cotiere'!$M23="Validé humainement",'08_Form_Erosion_Cotiere'!B23,"")</x:f>
      </x:c>
      <x:c r="C23" s="76" t="str">
        <x:f>IF('08_Form_Erosion_Cotiere'!$M23="Validé humainement",'08_Form_Erosion_Cotiere'!C23,"")</x:f>
      </x:c>
      <x:c r="D23" s="76" t="str">
        <x:f>IF('08_Form_Erosion_Cotiere'!$M23="Validé humainement",'08_Form_Erosion_Cotiere'!D23,"")</x:f>
      </x:c>
      <x:c r="E23" s="77" t="str">
        <x:f>IF('08_Form_Erosion_Cotiere'!$M23="Validé humainement",'08_Form_Erosion_Cotiere'!E23,"")</x:f>
      </x:c>
      <x:c r="F23" s="76" t="str">
        <x:f>IF('08_Form_Erosion_Cotiere'!$M23="Validé humainement",'08_Form_Erosion_Cotiere'!F23,"")</x:f>
      </x:c>
      <x:c r="G23" s="76" t="str">
        <x:f>IF('08_Form_Erosion_Cotiere'!$M23="Validé humainement",'08_Form_Erosion_Cotiere'!G23,"")</x:f>
      </x:c>
      <x:c r="H23" s="81" t="str">
        <x:f>IF('08_Form_Erosion_Cotiere'!$M23="Validé humainement",'08_Form_Erosion_Cotiere'!H23,"")</x:f>
      </x:c>
      <x:c r="I23" s="76" t="str">
        <x:f>IF('08_Form_Erosion_Cotiere'!$M23="Validé humainement",'08_Form_Erosion_Cotiere'!I23,"")</x:f>
      </x:c>
      <x:c r="J23" s="76" t="str">
        <x:f>IF('08_Form_Erosion_Cotiere'!$M23="Validé humainement",'08_Form_Erosion_Cotiere'!J23,"")</x:f>
      </x:c>
      <x:c r="K23" s="76" t="str">
        <x:f>IF('08_Form_Erosion_Cotiere'!$M23="Validé humainement",'08_Form_Erosion_Cotiere'!K23,"")</x:f>
      </x:c>
      <x:c r="L23" s="76" t="str">
        <x:f>IF('08_Form_Erosion_Cotiere'!$M23="Validé humainement",'08_Form_Erosion_Cotiere'!L23,"")</x:f>
      </x:c>
      <x:c r="M23" s="76" t="str">
        <x:f>IF('08_Form_Erosion_Cotiere'!$M23="Validé humainement",'08_Form_Erosion_Cotiere'!M23,"")</x:f>
      </x:c>
      <x:c r="N23" s="78" t="str">
        <x:f>IF('08_Form_Erosion_Cotiere'!$M23="Validé humainement",'08_Form_Erosion_Cotiere'!N23,"")</x:f>
      </x:c>
      <x:c r="O23" s="76" t="str">
        <x:f>IF('08_Form_Erosion_Cotiere'!$M23="Validé humainement",'08_Form_Erosion_Cotiere'!O23,"")</x:f>
      </x:c>
      <x:c r="P23" s="76" t="str">
        <x:f>IF('08_Form_Erosion_Cotiere'!$M23="Validé humainement",'08_Form_Erosion_Cotiere'!P23,"")</x:f>
      </x:c>
      <x:c r="Q23" s="76" t="str">
        <x:f>IF('08_Form_Erosion_Cotiere'!$M23="Validé humainement",'08_Form_Erosion_Cotiere'!Q23,"")</x:f>
      </x:c>
    </x:row>
    <x:row r="24">
      <x:c r="A24" s="76" t="str">
        <x:f>IF('08_Form_Erosion_Cotiere'!$M24="Validé humainement",'08_Form_Erosion_Cotiere'!A24,"")</x:f>
      </x:c>
      <x:c r="B24" s="76" t="str">
        <x:f>IF('08_Form_Erosion_Cotiere'!$M24="Validé humainement",'08_Form_Erosion_Cotiere'!B24,"")</x:f>
      </x:c>
      <x:c r="C24" s="76" t="str">
        <x:f>IF('08_Form_Erosion_Cotiere'!$M24="Validé humainement",'08_Form_Erosion_Cotiere'!C24,"")</x:f>
      </x:c>
      <x:c r="D24" s="76" t="str">
        <x:f>IF('08_Form_Erosion_Cotiere'!$M24="Validé humainement",'08_Form_Erosion_Cotiere'!D24,"")</x:f>
      </x:c>
      <x:c r="E24" s="77" t="str">
        <x:f>IF('08_Form_Erosion_Cotiere'!$M24="Validé humainement",'08_Form_Erosion_Cotiere'!E24,"")</x:f>
      </x:c>
      <x:c r="F24" s="76" t="str">
        <x:f>IF('08_Form_Erosion_Cotiere'!$M24="Validé humainement",'08_Form_Erosion_Cotiere'!F24,"")</x:f>
      </x:c>
      <x:c r="G24" s="76" t="str">
        <x:f>IF('08_Form_Erosion_Cotiere'!$M24="Validé humainement",'08_Form_Erosion_Cotiere'!G24,"")</x:f>
      </x:c>
      <x:c r="H24" s="81" t="str">
        <x:f>IF('08_Form_Erosion_Cotiere'!$M24="Validé humainement",'08_Form_Erosion_Cotiere'!H24,"")</x:f>
      </x:c>
      <x:c r="I24" s="76" t="str">
        <x:f>IF('08_Form_Erosion_Cotiere'!$M24="Validé humainement",'08_Form_Erosion_Cotiere'!I24,"")</x:f>
      </x:c>
      <x:c r="J24" s="76" t="str">
        <x:f>IF('08_Form_Erosion_Cotiere'!$M24="Validé humainement",'08_Form_Erosion_Cotiere'!J24,"")</x:f>
      </x:c>
      <x:c r="K24" s="76" t="str">
        <x:f>IF('08_Form_Erosion_Cotiere'!$M24="Validé humainement",'08_Form_Erosion_Cotiere'!K24,"")</x:f>
      </x:c>
      <x:c r="L24" s="76" t="str">
        <x:f>IF('08_Form_Erosion_Cotiere'!$M24="Validé humainement",'08_Form_Erosion_Cotiere'!L24,"")</x:f>
      </x:c>
      <x:c r="M24" s="76" t="str">
        <x:f>IF('08_Form_Erosion_Cotiere'!$M24="Validé humainement",'08_Form_Erosion_Cotiere'!M24,"")</x:f>
      </x:c>
      <x:c r="N24" s="78" t="str">
        <x:f>IF('08_Form_Erosion_Cotiere'!$M24="Validé humainement",'08_Form_Erosion_Cotiere'!N24,"")</x:f>
      </x:c>
      <x:c r="O24" s="76" t="str">
        <x:f>IF('08_Form_Erosion_Cotiere'!$M24="Validé humainement",'08_Form_Erosion_Cotiere'!O24,"")</x:f>
      </x:c>
      <x:c r="P24" s="76" t="str">
        <x:f>IF('08_Form_Erosion_Cotiere'!$M24="Validé humainement",'08_Form_Erosion_Cotiere'!P24,"")</x:f>
      </x:c>
      <x:c r="Q24" s="76" t="str">
        <x:f>IF('08_Form_Erosion_Cotiere'!$M24="Validé humainement",'08_Form_Erosion_Cotiere'!Q24,"")</x:f>
      </x:c>
    </x:row>
    <x:row r="25">
      <x:c r="A25" s="76" t="str">
        <x:f>IF('08_Form_Erosion_Cotiere'!$M25="Validé humainement",'08_Form_Erosion_Cotiere'!A25,"")</x:f>
      </x:c>
      <x:c r="B25" s="76" t="str">
        <x:f>IF('08_Form_Erosion_Cotiere'!$M25="Validé humainement",'08_Form_Erosion_Cotiere'!B25,"")</x:f>
      </x:c>
      <x:c r="C25" s="76" t="str">
        <x:f>IF('08_Form_Erosion_Cotiere'!$M25="Validé humainement",'08_Form_Erosion_Cotiere'!C25,"")</x:f>
      </x:c>
      <x:c r="D25" s="76" t="str">
        <x:f>IF('08_Form_Erosion_Cotiere'!$M25="Validé humainement",'08_Form_Erosion_Cotiere'!D25,"")</x:f>
      </x:c>
      <x:c r="E25" s="77" t="str">
        <x:f>IF('08_Form_Erosion_Cotiere'!$M25="Validé humainement",'08_Form_Erosion_Cotiere'!E25,"")</x:f>
      </x:c>
      <x:c r="F25" s="76" t="str">
        <x:f>IF('08_Form_Erosion_Cotiere'!$M25="Validé humainement",'08_Form_Erosion_Cotiere'!F25,"")</x:f>
      </x:c>
      <x:c r="G25" s="76" t="str">
        <x:f>IF('08_Form_Erosion_Cotiere'!$M25="Validé humainement",'08_Form_Erosion_Cotiere'!G25,"")</x:f>
      </x:c>
      <x:c r="H25" s="81" t="str">
        <x:f>IF('08_Form_Erosion_Cotiere'!$M25="Validé humainement",'08_Form_Erosion_Cotiere'!H25,"")</x:f>
      </x:c>
      <x:c r="I25" s="76" t="str">
        <x:f>IF('08_Form_Erosion_Cotiere'!$M25="Validé humainement",'08_Form_Erosion_Cotiere'!I25,"")</x:f>
      </x:c>
      <x:c r="J25" s="76" t="str">
        <x:f>IF('08_Form_Erosion_Cotiere'!$M25="Validé humainement",'08_Form_Erosion_Cotiere'!J25,"")</x:f>
      </x:c>
      <x:c r="K25" s="76" t="str">
        <x:f>IF('08_Form_Erosion_Cotiere'!$M25="Validé humainement",'08_Form_Erosion_Cotiere'!K25,"")</x:f>
      </x:c>
      <x:c r="L25" s="76" t="str">
        <x:f>IF('08_Form_Erosion_Cotiere'!$M25="Validé humainement",'08_Form_Erosion_Cotiere'!L25,"")</x:f>
      </x:c>
      <x:c r="M25" s="76" t="str">
        <x:f>IF('08_Form_Erosion_Cotiere'!$M25="Validé humainement",'08_Form_Erosion_Cotiere'!M25,"")</x:f>
      </x:c>
      <x:c r="N25" s="78" t="str">
        <x:f>IF('08_Form_Erosion_Cotiere'!$M25="Validé humainement",'08_Form_Erosion_Cotiere'!N25,"")</x:f>
      </x:c>
      <x:c r="O25" s="76" t="str">
        <x:f>IF('08_Form_Erosion_Cotiere'!$M25="Validé humainement",'08_Form_Erosion_Cotiere'!O25,"")</x:f>
      </x:c>
      <x:c r="P25" s="76" t="str">
        <x:f>IF('08_Form_Erosion_Cotiere'!$M25="Validé humainement",'08_Form_Erosion_Cotiere'!P25,"")</x:f>
      </x:c>
      <x:c r="Q25" s="76" t="str">
        <x:f>IF('08_Form_Erosion_Cotiere'!$M25="Validé humainement",'08_Form_Erosion_Cotiere'!Q25,"")</x:f>
      </x:c>
    </x:row>
    <x:row r="26">
      <x:c r="A26" s="76" t="str">
        <x:f>IF('08_Form_Erosion_Cotiere'!$M26="Validé humainement",'08_Form_Erosion_Cotiere'!A26,"")</x:f>
      </x:c>
      <x:c r="B26" s="76" t="str">
        <x:f>IF('08_Form_Erosion_Cotiere'!$M26="Validé humainement",'08_Form_Erosion_Cotiere'!B26,"")</x:f>
      </x:c>
      <x:c r="C26" s="76" t="str">
        <x:f>IF('08_Form_Erosion_Cotiere'!$M26="Validé humainement",'08_Form_Erosion_Cotiere'!C26,"")</x:f>
      </x:c>
      <x:c r="D26" s="76" t="str">
        <x:f>IF('08_Form_Erosion_Cotiere'!$M26="Validé humainement",'08_Form_Erosion_Cotiere'!D26,"")</x:f>
      </x:c>
      <x:c r="E26" s="77" t="str">
        <x:f>IF('08_Form_Erosion_Cotiere'!$M26="Validé humainement",'08_Form_Erosion_Cotiere'!E26,"")</x:f>
      </x:c>
      <x:c r="F26" s="76" t="str">
        <x:f>IF('08_Form_Erosion_Cotiere'!$M26="Validé humainement",'08_Form_Erosion_Cotiere'!F26,"")</x:f>
      </x:c>
      <x:c r="G26" s="76" t="str">
        <x:f>IF('08_Form_Erosion_Cotiere'!$M26="Validé humainement",'08_Form_Erosion_Cotiere'!G26,"")</x:f>
      </x:c>
      <x:c r="H26" s="81" t="str">
        <x:f>IF('08_Form_Erosion_Cotiere'!$M26="Validé humainement",'08_Form_Erosion_Cotiere'!H26,"")</x:f>
      </x:c>
      <x:c r="I26" s="76" t="str">
        <x:f>IF('08_Form_Erosion_Cotiere'!$M26="Validé humainement",'08_Form_Erosion_Cotiere'!I26,"")</x:f>
      </x:c>
      <x:c r="J26" s="76" t="str">
        <x:f>IF('08_Form_Erosion_Cotiere'!$M26="Validé humainement",'08_Form_Erosion_Cotiere'!J26,"")</x:f>
      </x:c>
      <x:c r="K26" s="76" t="str">
        <x:f>IF('08_Form_Erosion_Cotiere'!$M26="Validé humainement",'08_Form_Erosion_Cotiere'!K26,"")</x:f>
      </x:c>
      <x:c r="L26" s="76" t="str">
        <x:f>IF('08_Form_Erosion_Cotiere'!$M26="Validé humainement",'08_Form_Erosion_Cotiere'!L26,"")</x:f>
      </x:c>
      <x:c r="M26" s="76" t="str">
        <x:f>IF('08_Form_Erosion_Cotiere'!$M26="Validé humainement",'08_Form_Erosion_Cotiere'!M26,"")</x:f>
      </x:c>
      <x:c r="N26" s="78" t="str">
        <x:f>IF('08_Form_Erosion_Cotiere'!$M26="Validé humainement",'08_Form_Erosion_Cotiere'!N26,"")</x:f>
      </x:c>
      <x:c r="O26" s="76" t="str">
        <x:f>IF('08_Form_Erosion_Cotiere'!$M26="Validé humainement",'08_Form_Erosion_Cotiere'!O26,"")</x:f>
      </x:c>
      <x:c r="P26" s="76" t="str">
        <x:f>IF('08_Form_Erosion_Cotiere'!$M26="Validé humainement",'08_Form_Erosion_Cotiere'!P26,"")</x:f>
      </x:c>
      <x:c r="Q26" s="76" t="str">
        <x:f>IF('08_Form_Erosion_Cotiere'!$M26="Validé humainement",'08_Form_Erosion_Cotiere'!Q26,"")</x:f>
      </x:c>
    </x:row>
    <x:row r="27">
      <x:c r="A27" s="76" t="str">
        <x:f>IF('08_Form_Erosion_Cotiere'!$M27="Validé humainement",'08_Form_Erosion_Cotiere'!A27,"")</x:f>
      </x:c>
      <x:c r="B27" s="76" t="str">
        <x:f>IF('08_Form_Erosion_Cotiere'!$M27="Validé humainement",'08_Form_Erosion_Cotiere'!B27,"")</x:f>
      </x:c>
      <x:c r="C27" s="76" t="str">
        <x:f>IF('08_Form_Erosion_Cotiere'!$M27="Validé humainement",'08_Form_Erosion_Cotiere'!C27,"")</x:f>
      </x:c>
      <x:c r="D27" s="76" t="str">
        <x:f>IF('08_Form_Erosion_Cotiere'!$M27="Validé humainement",'08_Form_Erosion_Cotiere'!D27,"")</x:f>
      </x:c>
      <x:c r="E27" s="77" t="str">
        <x:f>IF('08_Form_Erosion_Cotiere'!$M27="Validé humainement",'08_Form_Erosion_Cotiere'!E27,"")</x:f>
      </x:c>
      <x:c r="F27" s="76" t="str">
        <x:f>IF('08_Form_Erosion_Cotiere'!$M27="Validé humainement",'08_Form_Erosion_Cotiere'!F27,"")</x:f>
      </x:c>
      <x:c r="G27" s="76" t="str">
        <x:f>IF('08_Form_Erosion_Cotiere'!$M27="Validé humainement",'08_Form_Erosion_Cotiere'!G27,"")</x:f>
      </x:c>
      <x:c r="H27" s="81" t="str">
        <x:f>IF('08_Form_Erosion_Cotiere'!$M27="Validé humainement",'08_Form_Erosion_Cotiere'!H27,"")</x:f>
      </x:c>
      <x:c r="I27" s="76" t="str">
        <x:f>IF('08_Form_Erosion_Cotiere'!$M27="Validé humainement",'08_Form_Erosion_Cotiere'!I27,"")</x:f>
      </x:c>
      <x:c r="J27" s="76" t="str">
        <x:f>IF('08_Form_Erosion_Cotiere'!$M27="Validé humainement",'08_Form_Erosion_Cotiere'!J27,"")</x:f>
      </x:c>
      <x:c r="K27" s="76" t="str">
        <x:f>IF('08_Form_Erosion_Cotiere'!$M27="Validé humainement",'08_Form_Erosion_Cotiere'!K27,"")</x:f>
      </x:c>
      <x:c r="L27" s="76" t="str">
        <x:f>IF('08_Form_Erosion_Cotiere'!$M27="Validé humainement",'08_Form_Erosion_Cotiere'!L27,"")</x:f>
      </x:c>
      <x:c r="M27" s="76" t="str">
        <x:f>IF('08_Form_Erosion_Cotiere'!$M27="Validé humainement",'08_Form_Erosion_Cotiere'!M27,"")</x:f>
      </x:c>
      <x:c r="N27" s="78" t="str">
        <x:f>IF('08_Form_Erosion_Cotiere'!$M27="Validé humainement",'08_Form_Erosion_Cotiere'!N27,"")</x:f>
      </x:c>
      <x:c r="O27" s="76" t="str">
        <x:f>IF('08_Form_Erosion_Cotiere'!$M27="Validé humainement",'08_Form_Erosion_Cotiere'!O27,"")</x:f>
      </x:c>
      <x:c r="P27" s="76" t="str">
        <x:f>IF('08_Form_Erosion_Cotiere'!$M27="Validé humainement",'08_Form_Erosion_Cotiere'!P27,"")</x:f>
      </x:c>
      <x:c r="Q27" s="76" t="str">
        <x:f>IF('08_Form_Erosion_Cotiere'!$M27="Validé humainement",'08_Form_Erosion_Cotiere'!Q27,"")</x:f>
      </x:c>
    </x:row>
    <x:row r="28">
      <x:c r="A28" s="76" t="str">
        <x:f>IF('08_Form_Erosion_Cotiere'!$M28="Validé humainement",'08_Form_Erosion_Cotiere'!A28,"")</x:f>
      </x:c>
      <x:c r="B28" s="76" t="str">
        <x:f>IF('08_Form_Erosion_Cotiere'!$M28="Validé humainement",'08_Form_Erosion_Cotiere'!B28,"")</x:f>
      </x:c>
      <x:c r="C28" s="76" t="str">
        <x:f>IF('08_Form_Erosion_Cotiere'!$M28="Validé humainement",'08_Form_Erosion_Cotiere'!C28,"")</x:f>
      </x:c>
      <x:c r="D28" s="76" t="str">
        <x:f>IF('08_Form_Erosion_Cotiere'!$M28="Validé humainement",'08_Form_Erosion_Cotiere'!D28,"")</x:f>
      </x:c>
      <x:c r="E28" s="77" t="str">
        <x:f>IF('08_Form_Erosion_Cotiere'!$M28="Validé humainement",'08_Form_Erosion_Cotiere'!E28,"")</x:f>
      </x:c>
      <x:c r="F28" s="76" t="str">
        <x:f>IF('08_Form_Erosion_Cotiere'!$M28="Validé humainement",'08_Form_Erosion_Cotiere'!F28,"")</x:f>
      </x:c>
      <x:c r="G28" s="76" t="str">
        <x:f>IF('08_Form_Erosion_Cotiere'!$M28="Validé humainement",'08_Form_Erosion_Cotiere'!G28,"")</x:f>
      </x:c>
      <x:c r="H28" s="81" t="str">
        <x:f>IF('08_Form_Erosion_Cotiere'!$M28="Validé humainement",'08_Form_Erosion_Cotiere'!H28,"")</x:f>
      </x:c>
      <x:c r="I28" s="76" t="str">
        <x:f>IF('08_Form_Erosion_Cotiere'!$M28="Validé humainement",'08_Form_Erosion_Cotiere'!I28,"")</x:f>
      </x:c>
      <x:c r="J28" s="76" t="str">
        <x:f>IF('08_Form_Erosion_Cotiere'!$M28="Validé humainement",'08_Form_Erosion_Cotiere'!J28,"")</x:f>
      </x:c>
      <x:c r="K28" s="76" t="str">
        <x:f>IF('08_Form_Erosion_Cotiere'!$M28="Validé humainement",'08_Form_Erosion_Cotiere'!K28,"")</x:f>
      </x:c>
      <x:c r="L28" s="76" t="str">
        <x:f>IF('08_Form_Erosion_Cotiere'!$M28="Validé humainement",'08_Form_Erosion_Cotiere'!L28,"")</x:f>
      </x:c>
      <x:c r="M28" s="76" t="str">
        <x:f>IF('08_Form_Erosion_Cotiere'!$M28="Validé humainement",'08_Form_Erosion_Cotiere'!M28,"")</x:f>
      </x:c>
      <x:c r="N28" s="78" t="str">
        <x:f>IF('08_Form_Erosion_Cotiere'!$M28="Validé humainement",'08_Form_Erosion_Cotiere'!N28,"")</x:f>
      </x:c>
      <x:c r="O28" s="76" t="str">
        <x:f>IF('08_Form_Erosion_Cotiere'!$M28="Validé humainement",'08_Form_Erosion_Cotiere'!O28,"")</x:f>
      </x:c>
      <x:c r="P28" s="76" t="str">
        <x:f>IF('08_Form_Erosion_Cotiere'!$M28="Validé humainement",'08_Form_Erosion_Cotiere'!P28,"")</x:f>
      </x:c>
      <x:c r="Q28" s="76" t="str">
        <x:f>IF('08_Form_Erosion_Cotiere'!$M28="Validé humainement",'08_Form_Erosion_Cotiere'!Q28,"")</x:f>
      </x:c>
    </x:row>
    <x:row r="29">
      <x:c r="A29" s="76" t="str">
        <x:f>IF('08_Form_Erosion_Cotiere'!$M29="Validé humainement",'08_Form_Erosion_Cotiere'!A29,"")</x:f>
      </x:c>
      <x:c r="B29" s="76" t="str">
        <x:f>IF('08_Form_Erosion_Cotiere'!$M29="Validé humainement",'08_Form_Erosion_Cotiere'!B29,"")</x:f>
      </x:c>
      <x:c r="C29" s="76" t="str">
        <x:f>IF('08_Form_Erosion_Cotiere'!$M29="Validé humainement",'08_Form_Erosion_Cotiere'!C29,"")</x:f>
      </x:c>
      <x:c r="D29" s="76" t="str">
        <x:f>IF('08_Form_Erosion_Cotiere'!$M29="Validé humainement",'08_Form_Erosion_Cotiere'!D29,"")</x:f>
      </x:c>
      <x:c r="E29" s="77" t="str">
        <x:f>IF('08_Form_Erosion_Cotiere'!$M29="Validé humainement",'08_Form_Erosion_Cotiere'!E29,"")</x:f>
      </x:c>
      <x:c r="F29" s="76" t="str">
        <x:f>IF('08_Form_Erosion_Cotiere'!$M29="Validé humainement",'08_Form_Erosion_Cotiere'!F29,"")</x:f>
      </x:c>
      <x:c r="G29" s="76" t="str">
        <x:f>IF('08_Form_Erosion_Cotiere'!$M29="Validé humainement",'08_Form_Erosion_Cotiere'!G29,"")</x:f>
      </x:c>
      <x:c r="H29" s="81" t="str">
        <x:f>IF('08_Form_Erosion_Cotiere'!$M29="Validé humainement",'08_Form_Erosion_Cotiere'!H29,"")</x:f>
      </x:c>
      <x:c r="I29" s="76" t="str">
        <x:f>IF('08_Form_Erosion_Cotiere'!$M29="Validé humainement",'08_Form_Erosion_Cotiere'!I29,"")</x:f>
      </x:c>
      <x:c r="J29" s="76" t="str">
        <x:f>IF('08_Form_Erosion_Cotiere'!$M29="Validé humainement",'08_Form_Erosion_Cotiere'!J29,"")</x:f>
      </x:c>
      <x:c r="K29" s="76" t="str">
        <x:f>IF('08_Form_Erosion_Cotiere'!$M29="Validé humainement",'08_Form_Erosion_Cotiere'!K29,"")</x:f>
      </x:c>
      <x:c r="L29" s="76" t="str">
        <x:f>IF('08_Form_Erosion_Cotiere'!$M29="Validé humainement",'08_Form_Erosion_Cotiere'!L29,"")</x:f>
      </x:c>
      <x:c r="M29" s="76" t="str">
        <x:f>IF('08_Form_Erosion_Cotiere'!$M29="Validé humainement",'08_Form_Erosion_Cotiere'!M29,"")</x:f>
      </x:c>
      <x:c r="N29" s="78" t="str">
        <x:f>IF('08_Form_Erosion_Cotiere'!$M29="Validé humainement",'08_Form_Erosion_Cotiere'!N29,"")</x:f>
      </x:c>
      <x:c r="O29" s="76" t="str">
        <x:f>IF('08_Form_Erosion_Cotiere'!$M29="Validé humainement",'08_Form_Erosion_Cotiere'!O29,"")</x:f>
      </x:c>
      <x:c r="P29" s="76" t="str">
        <x:f>IF('08_Form_Erosion_Cotiere'!$M29="Validé humainement",'08_Form_Erosion_Cotiere'!P29,"")</x:f>
      </x:c>
      <x:c r="Q29" s="76" t="str">
        <x:f>IF('08_Form_Erosion_Cotiere'!$M29="Validé humainement",'08_Form_Erosion_Cotiere'!Q29,"")</x:f>
      </x:c>
    </x:row>
    <x:row r="30">
      <x:c r="A30" s="76" t="str">
        <x:f>IF('08_Form_Erosion_Cotiere'!$M30="Validé humainement",'08_Form_Erosion_Cotiere'!A30,"")</x:f>
      </x:c>
      <x:c r="B30" s="76" t="str">
        <x:f>IF('08_Form_Erosion_Cotiere'!$M30="Validé humainement",'08_Form_Erosion_Cotiere'!B30,"")</x:f>
      </x:c>
      <x:c r="C30" s="76" t="str">
        <x:f>IF('08_Form_Erosion_Cotiere'!$M30="Validé humainement",'08_Form_Erosion_Cotiere'!C30,"")</x:f>
      </x:c>
      <x:c r="D30" s="76" t="str">
        <x:f>IF('08_Form_Erosion_Cotiere'!$M30="Validé humainement",'08_Form_Erosion_Cotiere'!D30,"")</x:f>
      </x:c>
      <x:c r="E30" s="77" t="str">
        <x:f>IF('08_Form_Erosion_Cotiere'!$M30="Validé humainement",'08_Form_Erosion_Cotiere'!E30,"")</x:f>
      </x:c>
      <x:c r="F30" s="76" t="str">
        <x:f>IF('08_Form_Erosion_Cotiere'!$M30="Validé humainement",'08_Form_Erosion_Cotiere'!F30,"")</x:f>
      </x:c>
      <x:c r="G30" s="76" t="str">
        <x:f>IF('08_Form_Erosion_Cotiere'!$M30="Validé humainement",'08_Form_Erosion_Cotiere'!G30,"")</x:f>
      </x:c>
      <x:c r="H30" s="81" t="str">
        <x:f>IF('08_Form_Erosion_Cotiere'!$M30="Validé humainement",'08_Form_Erosion_Cotiere'!H30,"")</x:f>
      </x:c>
      <x:c r="I30" s="76" t="str">
        <x:f>IF('08_Form_Erosion_Cotiere'!$M30="Validé humainement",'08_Form_Erosion_Cotiere'!I30,"")</x:f>
      </x:c>
      <x:c r="J30" s="76" t="str">
        <x:f>IF('08_Form_Erosion_Cotiere'!$M30="Validé humainement",'08_Form_Erosion_Cotiere'!J30,"")</x:f>
      </x:c>
      <x:c r="K30" s="76" t="str">
        <x:f>IF('08_Form_Erosion_Cotiere'!$M30="Validé humainement",'08_Form_Erosion_Cotiere'!K30,"")</x:f>
      </x:c>
      <x:c r="L30" s="76" t="str">
        <x:f>IF('08_Form_Erosion_Cotiere'!$M30="Validé humainement",'08_Form_Erosion_Cotiere'!L30,"")</x:f>
      </x:c>
      <x:c r="M30" s="76" t="str">
        <x:f>IF('08_Form_Erosion_Cotiere'!$M30="Validé humainement",'08_Form_Erosion_Cotiere'!M30,"")</x:f>
      </x:c>
      <x:c r="N30" s="78" t="str">
        <x:f>IF('08_Form_Erosion_Cotiere'!$M30="Validé humainement",'08_Form_Erosion_Cotiere'!N30,"")</x:f>
      </x:c>
      <x:c r="O30" s="76" t="str">
        <x:f>IF('08_Form_Erosion_Cotiere'!$M30="Validé humainement",'08_Form_Erosion_Cotiere'!O30,"")</x:f>
      </x:c>
      <x:c r="P30" s="76" t="str">
        <x:f>IF('08_Form_Erosion_Cotiere'!$M30="Validé humainement",'08_Form_Erosion_Cotiere'!P30,"")</x:f>
      </x:c>
      <x:c r="Q30" s="76" t="str">
        <x:f>IF('08_Form_Erosion_Cotiere'!$M30="Validé humainement",'08_Form_Erosion_Cotiere'!Q30,"")</x:f>
      </x:c>
    </x:row>
    <x:row r="31">
      <x:c r="A31" s="76" t="str">
        <x:f>IF('08_Form_Erosion_Cotiere'!$M31="Validé humainement",'08_Form_Erosion_Cotiere'!A31,"")</x:f>
      </x:c>
      <x:c r="B31" s="76" t="str">
        <x:f>IF('08_Form_Erosion_Cotiere'!$M31="Validé humainement",'08_Form_Erosion_Cotiere'!B31,"")</x:f>
      </x:c>
      <x:c r="C31" s="76" t="str">
        <x:f>IF('08_Form_Erosion_Cotiere'!$M31="Validé humainement",'08_Form_Erosion_Cotiere'!C31,"")</x:f>
      </x:c>
      <x:c r="D31" s="76" t="str">
        <x:f>IF('08_Form_Erosion_Cotiere'!$M31="Validé humainement",'08_Form_Erosion_Cotiere'!D31,"")</x:f>
      </x:c>
      <x:c r="E31" s="77" t="str">
        <x:f>IF('08_Form_Erosion_Cotiere'!$M31="Validé humainement",'08_Form_Erosion_Cotiere'!E31,"")</x:f>
      </x:c>
      <x:c r="F31" s="76" t="str">
        <x:f>IF('08_Form_Erosion_Cotiere'!$M31="Validé humainement",'08_Form_Erosion_Cotiere'!F31,"")</x:f>
      </x:c>
      <x:c r="G31" s="76" t="str">
        <x:f>IF('08_Form_Erosion_Cotiere'!$M31="Validé humainement",'08_Form_Erosion_Cotiere'!G31,"")</x:f>
      </x:c>
      <x:c r="H31" s="81" t="str">
        <x:f>IF('08_Form_Erosion_Cotiere'!$M31="Validé humainement",'08_Form_Erosion_Cotiere'!H31,"")</x:f>
      </x:c>
      <x:c r="I31" s="76" t="str">
        <x:f>IF('08_Form_Erosion_Cotiere'!$M31="Validé humainement",'08_Form_Erosion_Cotiere'!I31,"")</x:f>
      </x:c>
      <x:c r="J31" s="76" t="str">
        <x:f>IF('08_Form_Erosion_Cotiere'!$M31="Validé humainement",'08_Form_Erosion_Cotiere'!J31,"")</x:f>
      </x:c>
      <x:c r="K31" s="76" t="str">
        <x:f>IF('08_Form_Erosion_Cotiere'!$M31="Validé humainement",'08_Form_Erosion_Cotiere'!K31,"")</x:f>
      </x:c>
      <x:c r="L31" s="76" t="str">
        <x:f>IF('08_Form_Erosion_Cotiere'!$M31="Validé humainement",'08_Form_Erosion_Cotiere'!L31,"")</x:f>
      </x:c>
      <x:c r="M31" s="76" t="str">
        <x:f>IF('08_Form_Erosion_Cotiere'!$M31="Validé humainement",'08_Form_Erosion_Cotiere'!M31,"")</x:f>
      </x:c>
      <x:c r="N31" s="78" t="str">
        <x:f>IF('08_Form_Erosion_Cotiere'!$M31="Validé humainement",'08_Form_Erosion_Cotiere'!N31,"")</x:f>
      </x:c>
      <x:c r="O31" s="76" t="str">
        <x:f>IF('08_Form_Erosion_Cotiere'!$M31="Validé humainement",'08_Form_Erosion_Cotiere'!O31,"")</x:f>
      </x:c>
      <x:c r="P31" s="76" t="str">
        <x:f>IF('08_Form_Erosion_Cotiere'!$M31="Validé humainement",'08_Form_Erosion_Cotiere'!P31,"")</x:f>
      </x:c>
      <x:c r="Q31" s="76" t="str">
        <x:f>IF('08_Form_Erosion_Cotiere'!$M31="Validé humainement",'08_Form_Erosion_Cotiere'!Q31,"")</x:f>
      </x:c>
    </x:row>
    <x:row r="32">
      <x:c r="A32" s="76" t="str">
        <x:f>IF('08_Form_Erosion_Cotiere'!$M32="Validé humainement",'08_Form_Erosion_Cotiere'!A32,"")</x:f>
      </x:c>
      <x:c r="B32" s="76" t="str">
        <x:f>IF('08_Form_Erosion_Cotiere'!$M32="Validé humainement",'08_Form_Erosion_Cotiere'!B32,"")</x:f>
      </x:c>
      <x:c r="C32" s="76" t="str">
        <x:f>IF('08_Form_Erosion_Cotiere'!$M32="Validé humainement",'08_Form_Erosion_Cotiere'!C32,"")</x:f>
      </x:c>
      <x:c r="D32" s="76" t="str">
        <x:f>IF('08_Form_Erosion_Cotiere'!$M32="Validé humainement",'08_Form_Erosion_Cotiere'!D32,"")</x:f>
      </x:c>
      <x:c r="E32" s="77" t="str">
        <x:f>IF('08_Form_Erosion_Cotiere'!$M32="Validé humainement",'08_Form_Erosion_Cotiere'!E32,"")</x:f>
      </x:c>
      <x:c r="F32" s="76" t="str">
        <x:f>IF('08_Form_Erosion_Cotiere'!$M32="Validé humainement",'08_Form_Erosion_Cotiere'!F32,"")</x:f>
      </x:c>
      <x:c r="G32" s="76" t="str">
        <x:f>IF('08_Form_Erosion_Cotiere'!$M32="Validé humainement",'08_Form_Erosion_Cotiere'!G32,"")</x:f>
      </x:c>
      <x:c r="H32" s="81" t="str">
        <x:f>IF('08_Form_Erosion_Cotiere'!$M32="Validé humainement",'08_Form_Erosion_Cotiere'!H32,"")</x:f>
      </x:c>
      <x:c r="I32" s="76" t="str">
        <x:f>IF('08_Form_Erosion_Cotiere'!$M32="Validé humainement",'08_Form_Erosion_Cotiere'!I32,"")</x:f>
      </x:c>
      <x:c r="J32" s="76" t="str">
        <x:f>IF('08_Form_Erosion_Cotiere'!$M32="Validé humainement",'08_Form_Erosion_Cotiere'!J32,"")</x:f>
      </x:c>
      <x:c r="K32" s="76" t="str">
        <x:f>IF('08_Form_Erosion_Cotiere'!$M32="Validé humainement",'08_Form_Erosion_Cotiere'!K32,"")</x:f>
      </x:c>
      <x:c r="L32" s="76" t="str">
        <x:f>IF('08_Form_Erosion_Cotiere'!$M32="Validé humainement",'08_Form_Erosion_Cotiere'!L32,"")</x:f>
      </x:c>
      <x:c r="M32" s="76" t="str">
        <x:f>IF('08_Form_Erosion_Cotiere'!$M32="Validé humainement",'08_Form_Erosion_Cotiere'!M32,"")</x:f>
      </x:c>
      <x:c r="N32" s="78" t="str">
        <x:f>IF('08_Form_Erosion_Cotiere'!$M32="Validé humainement",'08_Form_Erosion_Cotiere'!N32,"")</x:f>
      </x:c>
      <x:c r="O32" s="76" t="str">
        <x:f>IF('08_Form_Erosion_Cotiere'!$M32="Validé humainement",'08_Form_Erosion_Cotiere'!O32,"")</x:f>
      </x:c>
      <x:c r="P32" s="76" t="str">
        <x:f>IF('08_Form_Erosion_Cotiere'!$M32="Validé humainement",'08_Form_Erosion_Cotiere'!P32,"")</x:f>
      </x:c>
      <x:c r="Q32" s="76" t="str">
        <x:f>IF('08_Form_Erosion_Cotiere'!$M32="Validé humainement",'08_Form_Erosion_Cotiere'!Q32,"")</x:f>
      </x:c>
    </x:row>
    <x:row r="33">
      <x:c r="A33" s="76" t="str">
        <x:f>IF('08_Form_Erosion_Cotiere'!$M33="Validé humainement",'08_Form_Erosion_Cotiere'!A33,"")</x:f>
      </x:c>
      <x:c r="B33" s="76" t="str">
        <x:f>IF('08_Form_Erosion_Cotiere'!$M33="Validé humainement",'08_Form_Erosion_Cotiere'!B33,"")</x:f>
      </x:c>
      <x:c r="C33" s="76" t="str">
        <x:f>IF('08_Form_Erosion_Cotiere'!$M33="Validé humainement",'08_Form_Erosion_Cotiere'!C33,"")</x:f>
      </x:c>
      <x:c r="D33" s="76" t="str">
        <x:f>IF('08_Form_Erosion_Cotiere'!$M33="Validé humainement",'08_Form_Erosion_Cotiere'!D33,"")</x:f>
      </x:c>
      <x:c r="E33" s="77" t="str">
        <x:f>IF('08_Form_Erosion_Cotiere'!$M33="Validé humainement",'08_Form_Erosion_Cotiere'!E33,"")</x:f>
      </x:c>
      <x:c r="F33" s="76" t="str">
        <x:f>IF('08_Form_Erosion_Cotiere'!$M33="Validé humainement",'08_Form_Erosion_Cotiere'!F33,"")</x:f>
      </x:c>
      <x:c r="G33" s="76" t="str">
        <x:f>IF('08_Form_Erosion_Cotiere'!$M33="Validé humainement",'08_Form_Erosion_Cotiere'!G33,"")</x:f>
      </x:c>
      <x:c r="H33" s="81" t="str">
        <x:f>IF('08_Form_Erosion_Cotiere'!$M33="Validé humainement",'08_Form_Erosion_Cotiere'!H33,"")</x:f>
      </x:c>
      <x:c r="I33" s="76" t="str">
        <x:f>IF('08_Form_Erosion_Cotiere'!$M33="Validé humainement",'08_Form_Erosion_Cotiere'!I33,"")</x:f>
      </x:c>
      <x:c r="J33" s="76" t="str">
        <x:f>IF('08_Form_Erosion_Cotiere'!$M33="Validé humainement",'08_Form_Erosion_Cotiere'!J33,"")</x:f>
      </x:c>
      <x:c r="K33" s="76" t="str">
        <x:f>IF('08_Form_Erosion_Cotiere'!$M33="Validé humainement",'08_Form_Erosion_Cotiere'!K33,"")</x:f>
      </x:c>
      <x:c r="L33" s="76" t="str">
        <x:f>IF('08_Form_Erosion_Cotiere'!$M33="Validé humainement",'08_Form_Erosion_Cotiere'!L33,"")</x:f>
      </x:c>
      <x:c r="M33" s="76" t="str">
        <x:f>IF('08_Form_Erosion_Cotiere'!$M33="Validé humainement",'08_Form_Erosion_Cotiere'!M33,"")</x:f>
      </x:c>
      <x:c r="N33" s="78" t="str">
        <x:f>IF('08_Form_Erosion_Cotiere'!$M33="Validé humainement",'08_Form_Erosion_Cotiere'!N33,"")</x:f>
      </x:c>
      <x:c r="O33" s="76" t="str">
        <x:f>IF('08_Form_Erosion_Cotiere'!$M33="Validé humainement",'08_Form_Erosion_Cotiere'!O33,"")</x:f>
      </x:c>
      <x:c r="P33" s="76" t="str">
        <x:f>IF('08_Form_Erosion_Cotiere'!$M33="Validé humainement",'08_Form_Erosion_Cotiere'!P33,"")</x:f>
      </x:c>
      <x:c r="Q33" s="76" t="str">
        <x:f>IF('08_Form_Erosion_Cotiere'!$M33="Validé humainement",'08_Form_Erosion_Cotiere'!Q33,"")</x:f>
      </x:c>
    </x:row>
    <x:row r="34">
      <x:c r="A34" s="76" t="str">
        <x:f>IF('08_Form_Erosion_Cotiere'!$M34="Validé humainement",'08_Form_Erosion_Cotiere'!A34,"")</x:f>
      </x:c>
      <x:c r="B34" s="76" t="str">
        <x:f>IF('08_Form_Erosion_Cotiere'!$M34="Validé humainement",'08_Form_Erosion_Cotiere'!B34,"")</x:f>
      </x:c>
      <x:c r="C34" s="76" t="str">
        <x:f>IF('08_Form_Erosion_Cotiere'!$M34="Validé humainement",'08_Form_Erosion_Cotiere'!C34,"")</x:f>
      </x:c>
      <x:c r="D34" s="76" t="str">
        <x:f>IF('08_Form_Erosion_Cotiere'!$M34="Validé humainement",'08_Form_Erosion_Cotiere'!D34,"")</x:f>
      </x:c>
      <x:c r="E34" s="77" t="str">
        <x:f>IF('08_Form_Erosion_Cotiere'!$M34="Validé humainement",'08_Form_Erosion_Cotiere'!E34,"")</x:f>
      </x:c>
      <x:c r="F34" s="76" t="str">
        <x:f>IF('08_Form_Erosion_Cotiere'!$M34="Validé humainement",'08_Form_Erosion_Cotiere'!F34,"")</x:f>
      </x:c>
      <x:c r="G34" s="76" t="str">
        <x:f>IF('08_Form_Erosion_Cotiere'!$M34="Validé humainement",'08_Form_Erosion_Cotiere'!G34,"")</x:f>
      </x:c>
      <x:c r="H34" s="81" t="str">
        <x:f>IF('08_Form_Erosion_Cotiere'!$M34="Validé humainement",'08_Form_Erosion_Cotiere'!H34,"")</x:f>
      </x:c>
      <x:c r="I34" s="76" t="str">
        <x:f>IF('08_Form_Erosion_Cotiere'!$M34="Validé humainement",'08_Form_Erosion_Cotiere'!I34,"")</x:f>
      </x:c>
      <x:c r="J34" s="76" t="str">
        <x:f>IF('08_Form_Erosion_Cotiere'!$M34="Validé humainement",'08_Form_Erosion_Cotiere'!J34,"")</x:f>
      </x:c>
      <x:c r="K34" s="76" t="str">
        <x:f>IF('08_Form_Erosion_Cotiere'!$M34="Validé humainement",'08_Form_Erosion_Cotiere'!K34,"")</x:f>
      </x:c>
      <x:c r="L34" s="76" t="str">
        <x:f>IF('08_Form_Erosion_Cotiere'!$M34="Validé humainement",'08_Form_Erosion_Cotiere'!L34,"")</x:f>
      </x:c>
      <x:c r="M34" s="76" t="str">
        <x:f>IF('08_Form_Erosion_Cotiere'!$M34="Validé humainement",'08_Form_Erosion_Cotiere'!M34,"")</x:f>
      </x:c>
      <x:c r="N34" s="78" t="str">
        <x:f>IF('08_Form_Erosion_Cotiere'!$M34="Validé humainement",'08_Form_Erosion_Cotiere'!N34,"")</x:f>
      </x:c>
      <x:c r="O34" s="76" t="str">
        <x:f>IF('08_Form_Erosion_Cotiere'!$M34="Validé humainement",'08_Form_Erosion_Cotiere'!O34,"")</x:f>
      </x:c>
      <x:c r="P34" s="76" t="str">
        <x:f>IF('08_Form_Erosion_Cotiere'!$M34="Validé humainement",'08_Form_Erosion_Cotiere'!P34,"")</x:f>
      </x:c>
      <x:c r="Q34" s="76" t="str">
        <x:f>IF('08_Form_Erosion_Cotiere'!$M34="Validé humainement",'08_Form_Erosion_Cotiere'!Q34,"")</x:f>
      </x:c>
    </x:row>
    <x:row r="35">
      <x:c r="A35" s="76" t="str">
        <x:f>IF('08_Form_Erosion_Cotiere'!$M35="Validé humainement",'08_Form_Erosion_Cotiere'!A35,"")</x:f>
      </x:c>
      <x:c r="B35" s="76" t="str">
        <x:f>IF('08_Form_Erosion_Cotiere'!$M35="Validé humainement",'08_Form_Erosion_Cotiere'!B35,"")</x:f>
      </x:c>
      <x:c r="C35" s="76" t="str">
        <x:f>IF('08_Form_Erosion_Cotiere'!$M35="Validé humainement",'08_Form_Erosion_Cotiere'!C35,"")</x:f>
      </x:c>
      <x:c r="D35" s="76" t="str">
        <x:f>IF('08_Form_Erosion_Cotiere'!$M35="Validé humainement",'08_Form_Erosion_Cotiere'!D35,"")</x:f>
      </x:c>
      <x:c r="E35" s="77" t="str">
        <x:f>IF('08_Form_Erosion_Cotiere'!$M35="Validé humainement",'08_Form_Erosion_Cotiere'!E35,"")</x:f>
      </x:c>
      <x:c r="F35" s="76" t="str">
        <x:f>IF('08_Form_Erosion_Cotiere'!$M35="Validé humainement",'08_Form_Erosion_Cotiere'!F35,"")</x:f>
      </x:c>
      <x:c r="G35" s="76" t="str">
        <x:f>IF('08_Form_Erosion_Cotiere'!$M35="Validé humainement",'08_Form_Erosion_Cotiere'!G35,"")</x:f>
      </x:c>
      <x:c r="H35" s="81" t="str">
        <x:f>IF('08_Form_Erosion_Cotiere'!$M35="Validé humainement",'08_Form_Erosion_Cotiere'!H35,"")</x:f>
      </x:c>
      <x:c r="I35" s="76" t="str">
        <x:f>IF('08_Form_Erosion_Cotiere'!$M35="Validé humainement",'08_Form_Erosion_Cotiere'!I35,"")</x:f>
      </x:c>
      <x:c r="J35" s="76" t="str">
        <x:f>IF('08_Form_Erosion_Cotiere'!$M35="Validé humainement",'08_Form_Erosion_Cotiere'!J35,"")</x:f>
      </x:c>
      <x:c r="K35" s="76" t="str">
        <x:f>IF('08_Form_Erosion_Cotiere'!$M35="Validé humainement",'08_Form_Erosion_Cotiere'!K35,"")</x:f>
      </x:c>
      <x:c r="L35" s="76" t="str">
        <x:f>IF('08_Form_Erosion_Cotiere'!$M35="Validé humainement",'08_Form_Erosion_Cotiere'!L35,"")</x:f>
      </x:c>
      <x:c r="M35" s="76" t="str">
        <x:f>IF('08_Form_Erosion_Cotiere'!$M35="Validé humainement",'08_Form_Erosion_Cotiere'!M35,"")</x:f>
      </x:c>
      <x:c r="N35" s="78" t="str">
        <x:f>IF('08_Form_Erosion_Cotiere'!$M35="Validé humainement",'08_Form_Erosion_Cotiere'!N35,"")</x:f>
      </x:c>
      <x:c r="O35" s="76" t="str">
        <x:f>IF('08_Form_Erosion_Cotiere'!$M35="Validé humainement",'08_Form_Erosion_Cotiere'!O35,"")</x:f>
      </x:c>
      <x:c r="P35" s="76" t="str">
        <x:f>IF('08_Form_Erosion_Cotiere'!$M35="Validé humainement",'08_Form_Erosion_Cotiere'!P35,"")</x:f>
      </x:c>
      <x:c r="Q35" s="76" t="str">
        <x:f>IF('08_Form_Erosion_Cotiere'!$M35="Validé humainement",'08_Form_Erosion_Cotiere'!Q35,"")</x:f>
      </x:c>
    </x:row>
    <x:row r="36">
      <x:c r="A36" s="76" t="str">
        <x:f>IF('08_Form_Erosion_Cotiere'!$M36="Validé humainement",'08_Form_Erosion_Cotiere'!A36,"")</x:f>
      </x:c>
      <x:c r="B36" s="76" t="str">
        <x:f>IF('08_Form_Erosion_Cotiere'!$M36="Validé humainement",'08_Form_Erosion_Cotiere'!B36,"")</x:f>
      </x:c>
      <x:c r="C36" s="76" t="str">
        <x:f>IF('08_Form_Erosion_Cotiere'!$M36="Validé humainement",'08_Form_Erosion_Cotiere'!C36,"")</x:f>
      </x:c>
      <x:c r="D36" s="76" t="str">
        <x:f>IF('08_Form_Erosion_Cotiere'!$M36="Validé humainement",'08_Form_Erosion_Cotiere'!D36,"")</x:f>
      </x:c>
      <x:c r="E36" s="77" t="str">
        <x:f>IF('08_Form_Erosion_Cotiere'!$M36="Validé humainement",'08_Form_Erosion_Cotiere'!E36,"")</x:f>
      </x:c>
      <x:c r="F36" s="76" t="str">
        <x:f>IF('08_Form_Erosion_Cotiere'!$M36="Validé humainement",'08_Form_Erosion_Cotiere'!F36,"")</x:f>
      </x:c>
      <x:c r="G36" s="76" t="str">
        <x:f>IF('08_Form_Erosion_Cotiere'!$M36="Validé humainement",'08_Form_Erosion_Cotiere'!G36,"")</x:f>
      </x:c>
      <x:c r="H36" s="81" t="str">
        <x:f>IF('08_Form_Erosion_Cotiere'!$M36="Validé humainement",'08_Form_Erosion_Cotiere'!H36,"")</x:f>
      </x:c>
      <x:c r="I36" s="76" t="str">
        <x:f>IF('08_Form_Erosion_Cotiere'!$M36="Validé humainement",'08_Form_Erosion_Cotiere'!I36,"")</x:f>
      </x:c>
      <x:c r="J36" s="76" t="str">
        <x:f>IF('08_Form_Erosion_Cotiere'!$M36="Validé humainement",'08_Form_Erosion_Cotiere'!J36,"")</x:f>
      </x:c>
      <x:c r="K36" s="76" t="str">
        <x:f>IF('08_Form_Erosion_Cotiere'!$M36="Validé humainement",'08_Form_Erosion_Cotiere'!K36,"")</x:f>
      </x:c>
      <x:c r="L36" s="76" t="str">
        <x:f>IF('08_Form_Erosion_Cotiere'!$M36="Validé humainement",'08_Form_Erosion_Cotiere'!L36,"")</x:f>
      </x:c>
      <x:c r="M36" s="76" t="str">
        <x:f>IF('08_Form_Erosion_Cotiere'!$M36="Validé humainement",'08_Form_Erosion_Cotiere'!M36,"")</x:f>
      </x:c>
      <x:c r="N36" s="78" t="str">
        <x:f>IF('08_Form_Erosion_Cotiere'!$M36="Validé humainement",'08_Form_Erosion_Cotiere'!N36,"")</x:f>
      </x:c>
      <x:c r="O36" s="76" t="str">
        <x:f>IF('08_Form_Erosion_Cotiere'!$M36="Validé humainement",'08_Form_Erosion_Cotiere'!O36,"")</x:f>
      </x:c>
      <x:c r="P36" s="76" t="str">
        <x:f>IF('08_Form_Erosion_Cotiere'!$M36="Validé humainement",'08_Form_Erosion_Cotiere'!P36,"")</x:f>
      </x:c>
      <x:c r="Q36" s="76" t="str">
        <x:f>IF('08_Form_Erosion_Cotiere'!$M36="Validé humainement",'08_Form_Erosion_Cotiere'!Q36,"")</x:f>
      </x:c>
    </x:row>
    <x:row r="37">
      <x:c r="A37" s="76" t="str">
        <x:f>IF('08_Form_Erosion_Cotiere'!$M37="Validé humainement",'08_Form_Erosion_Cotiere'!A37,"")</x:f>
      </x:c>
      <x:c r="B37" s="76" t="str">
        <x:f>IF('08_Form_Erosion_Cotiere'!$M37="Validé humainement",'08_Form_Erosion_Cotiere'!B37,"")</x:f>
      </x:c>
      <x:c r="C37" s="76" t="str">
        <x:f>IF('08_Form_Erosion_Cotiere'!$M37="Validé humainement",'08_Form_Erosion_Cotiere'!C37,"")</x:f>
      </x:c>
      <x:c r="D37" s="76" t="str">
        <x:f>IF('08_Form_Erosion_Cotiere'!$M37="Validé humainement",'08_Form_Erosion_Cotiere'!D37,"")</x:f>
      </x:c>
      <x:c r="E37" s="77" t="str">
        <x:f>IF('08_Form_Erosion_Cotiere'!$M37="Validé humainement",'08_Form_Erosion_Cotiere'!E37,"")</x:f>
      </x:c>
      <x:c r="F37" s="76" t="str">
        <x:f>IF('08_Form_Erosion_Cotiere'!$M37="Validé humainement",'08_Form_Erosion_Cotiere'!F37,"")</x:f>
      </x:c>
      <x:c r="G37" s="76" t="str">
        <x:f>IF('08_Form_Erosion_Cotiere'!$M37="Validé humainement",'08_Form_Erosion_Cotiere'!G37,"")</x:f>
      </x:c>
      <x:c r="H37" s="81" t="str">
        <x:f>IF('08_Form_Erosion_Cotiere'!$M37="Validé humainement",'08_Form_Erosion_Cotiere'!H37,"")</x:f>
      </x:c>
      <x:c r="I37" s="76" t="str">
        <x:f>IF('08_Form_Erosion_Cotiere'!$M37="Validé humainement",'08_Form_Erosion_Cotiere'!I37,"")</x:f>
      </x:c>
      <x:c r="J37" s="76" t="str">
        <x:f>IF('08_Form_Erosion_Cotiere'!$M37="Validé humainement",'08_Form_Erosion_Cotiere'!J37,"")</x:f>
      </x:c>
      <x:c r="K37" s="76" t="str">
        <x:f>IF('08_Form_Erosion_Cotiere'!$M37="Validé humainement",'08_Form_Erosion_Cotiere'!K37,"")</x:f>
      </x:c>
      <x:c r="L37" s="76" t="str">
        <x:f>IF('08_Form_Erosion_Cotiere'!$M37="Validé humainement",'08_Form_Erosion_Cotiere'!L37,"")</x:f>
      </x:c>
      <x:c r="M37" s="76" t="str">
        <x:f>IF('08_Form_Erosion_Cotiere'!$M37="Validé humainement",'08_Form_Erosion_Cotiere'!M37,"")</x:f>
      </x:c>
      <x:c r="N37" s="78" t="str">
        <x:f>IF('08_Form_Erosion_Cotiere'!$M37="Validé humainement",'08_Form_Erosion_Cotiere'!N37,"")</x:f>
      </x:c>
      <x:c r="O37" s="76" t="str">
        <x:f>IF('08_Form_Erosion_Cotiere'!$M37="Validé humainement",'08_Form_Erosion_Cotiere'!O37,"")</x:f>
      </x:c>
      <x:c r="P37" s="76" t="str">
        <x:f>IF('08_Form_Erosion_Cotiere'!$M37="Validé humainement",'08_Form_Erosion_Cotiere'!P37,"")</x:f>
      </x:c>
      <x:c r="Q37" s="76" t="str">
        <x:f>IF('08_Form_Erosion_Cotiere'!$M37="Validé humainement",'08_Form_Erosion_Cotiere'!Q37,"")</x:f>
      </x:c>
    </x:row>
    <x:row r="38">
      <x:c r="A38" s="76" t="str">
        <x:f>IF('08_Form_Erosion_Cotiere'!$M38="Validé humainement",'08_Form_Erosion_Cotiere'!A38,"")</x:f>
      </x:c>
      <x:c r="B38" s="76" t="str">
        <x:f>IF('08_Form_Erosion_Cotiere'!$M38="Validé humainement",'08_Form_Erosion_Cotiere'!B38,"")</x:f>
      </x:c>
      <x:c r="C38" s="76" t="str">
        <x:f>IF('08_Form_Erosion_Cotiere'!$M38="Validé humainement",'08_Form_Erosion_Cotiere'!C38,"")</x:f>
      </x:c>
      <x:c r="D38" s="76" t="str">
        <x:f>IF('08_Form_Erosion_Cotiere'!$M38="Validé humainement",'08_Form_Erosion_Cotiere'!D38,"")</x:f>
      </x:c>
      <x:c r="E38" s="77" t="str">
        <x:f>IF('08_Form_Erosion_Cotiere'!$M38="Validé humainement",'08_Form_Erosion_Cotiere'!E38,"")</x:f>
      </x:c>
      <x:c r="F38" s="76" t="str">
        <x:f>IF('08_Form_Erosion_Cotiere'!$M38="Validé humainement",'08_Form_Erosion_Cotiere'!F38,"")</x:f>
      </x:c>
      <x:c r="G38" s="76" t="str">
        <x:f>IF('08_Form_Erosion_Cotiere'!$M38="Validé humainement",'08_Form_Erosion_Cotiere'!G38,"")</x:f>
      </x:c>
      <x:c r="H38" s="81" t="str">
        <x:f>IF('08_Form_Erosion_Cotiere'!$M38="Validé humainement",'08_Form_Erosion_Cotiere'!H38,"")</x:f>
      </x:c>
      <x:c r="I38" s="76" t="str">
        <x:f>IF('08_Form_Erosion_Cotiere'!$M38="Validé humainement",'08_Form_Erosion_Cotiere'!I38,"")</x:f>
      </x:c>
      <x:c r="J38" s="76" t="str">
        <x:f>IF('08_Form_Erosion_Cotiere'!$M38="Validé humainement",'08_Form_Erosion_Cotiere'!J38,"")</x:f>
      </x:c>
      <x:c r="K38" s="76" t="str">
        <x:f>IF('08_Form_Erosion_Cotiere'!$M38="Validé humainement",'08_Form_Erosion_Cotiere'!K38,"")</x:f>
      </x:c>
      <x:c r="L38" s="76" t="str">
        <x:f>IF('08_Form_Erosion_Cotiere'!$M38="Validé humainement",'08_Form_Erosion_Cotiere'!L38,"")</x:f>
      </x:c>
      <x:c r="M38" s="76" t="str">
        <x:f>IF('08_Form_Erosion_Cotiere'!$M38="Validé humainement",'08_Form_Erosion_Cotiere'!M38,"")</x:f>
      </x:c>
      <x:c r="N38" s="78" t="str">
        <x:f>IF('08_Form_Erosion_Cotiere'!$M38="Validé humainement",'08_Form_Erosion_Cotiere'!N38,"")</x:f>
      </x:c>
      <x:c r="O38" s="76" t="str">
        <x:f>IF('08_Form_Erosion_Cotiere'!$M38="Validé humainement",'08_Form_Erosion_Cotiere'!O38,"")</x:f>
      </x:c>
      <x:c r="P38" s="76" t="str">
        <x:f>IF('08_Form_Erosion_Cotiere'!$M38="Validé humainement",'08_Form_Erosion_Cotiere'!P38,"")</x:f>
      </x:c>
      <x:c r="Q38" s="76" t="str">
        <x:f>IF('08_Form_Erosion_Cotiere'!$M38="Validé humainement",'08_Form_Erosion_Cotiere'!Q38,"")</x:f>
      </x:c>
    </x:row>
    <x:row r="39">
      <x:c r="A39" s="76" t="str">
        <x:f>IF('08_Form_Erosion_Cotiere'!$M39="Validé humainement",'08_Form_Erosion_Cotiere'!A39,"")</x:f>
      </x:c>
      <x:c r="B39" s="76" t="str">
        <x:f>IF('08_Form_Erosion_Cotiere'!$M39="Validé humainement",'08_Form_Erosion_Cotiere'!B39,"")</x:f>
      </x:c>
      <x:c r="C39" s="76" t="str">
        <x:f>IF('08_Form_Erosion_Cotiere'!$M39="Validé humainement",'08_Form_Erosion_Cotiere'!C39,"")</x:f>
      </x:c>
      <x:c r="D39" s="76" t="str">
        <x:f>IF('08_Form_Erosion_Cotiere'!$M39="Validé humainement",'08_Form_Erosion_Cotiere'!D39,"")</x:f>
      </x:c>
      <x:c r="E39" s="77" t="str">
        <x:f>IF('08_Form_Erosion_Cotiere'!$M39="Validé humainement",'08_Form_Erosion_Cotiere'!E39,"")</x:f>
      </x:c>
      <x:c r="F39" s="76" t="str">
        <x:f>IF('08_Form_Erosion_Cotiere'!$M39="Validé humainement",'08_Form_Erosion_Cotiere'!F39,"")</x:f>
      </x:c>
      <x:c r="G39" s="76" t="str">
        <x:f>IF('08_Form_Erosion_Cotiere'!$M39="Validé humainement",'08_Form_Erosion_Cotiere'!G39,"")</x:f>
      </x:c>
      <x:c r="H39" s="81" t="str">
        <x:f>IF('08_Form_Erosion_Cotiere'!$M39="Validé humainement",'08_Form_Erosion_Cotiere'!H39,"")</x:f>
      </x:c>
      <x:c r="I39" s="76" t="str">
        <x:f>IF('08_Form_Erosion_Cotiere'!$M39="Validé humainement",'08_Form_Erosion_Cotiere'!I39,"")</x:f>
      </x:c>
      <x:c r="J39" s="76" t="str">
        <x:f>IF('08_Form_Erosion_Cotiere'!$M39="Validé humainement",'08_Form_Erosion_Cotiere'!J39,"")</x:f>
      </x:c>
      <x:c r="K39" s="76" t="str">
        <x:f>IF('08_Form_Erosion_Cotiere'!$M39="Validé humainement",'08_Form_Erosion_Cotiere'!K39,"")</x:f>
      </x:c>
      <x:c r="L39" s="76" t="str">
        <x:f>IF('08_Form_Erosion_Cotiere'!$M39="Validé humainement",'08_Form_Erosion_Cotiere'!L39,"")</x:f>
      </x:c>
      <x:c r="M39" s="76" t="str">
        <x:f>IF('08_Form_Erosion_Cotiere'!$M39="Validé humainement",'08_Form_Erosion_Cotiere'!M39,"")</x:f>
      </x:c>
      <x:c r="N39" s="78" t="str">
        <x:f>IF('08_Form_Erosion_Cotiere'!$M39="Validé humainement",'08_Form_Erosion_Cotiere'!N39,"")</x:f>
      </x:c>
      <x:c r="O39" s="76" t="str">
        <x:f>IF('08_Form_Erosion_Cotiere'!$M39="Validé humainement",'08_Form_Erosion_Cotiere'!O39,"")</x:f>
      </x:c>
      <x:c r="P39" s="76" t="str">
        <x:f>IF('08_Form_Erosion_Cotiere'!$M39="Validé humainement",'08_Form_Erosion_Cotiere'!P39,"")</x:f>
      </x:c>
      <x:c r="Q39" s="76" t="str">
        <x:f>IF('08_Form_Erosion_Cotiere'!$M39="Validé humainement",'08_Form_Erosion_Cotiere'!Q39,"")</x:f>
      </x:c>
    </x:row>
    <x:row r="40">
      <x:c r="A40" s="76" t="str">
        <x:f>IF('08_Form_Erosion_Cotiere'!$M40="Validé humainement",'08_Form_Erosion_Cotiere'!A40,"")</x:f>
      </x:c>
      <x:c r="B40" s="76" t="str">
        <x:f>IF('08_Form_Erosion_Cotiere'!$M40="Validé humainement",'08_Form_Erosion_Cotiere'!B40,"")</x:f>
      </x:c>
      <x:c r="C40" s="76" t="str">
        <x:f>IF('08_Form_Erosion_Cotiere'!$M40="Validé humainement",'08_Form_Erosion_Cotiere'!C40,"")</x:f>
      </x:c>
      <x:c r="D40" s="76" t="str">
        <x:f>IF('08_Form_Erosion_Cotiere'!$M40="Validé humainement",'08_Form_Erosion_Cotiere'!D40,"")</x:f>
      </x:c>
      <x:c r="E40" s="77" t="str">
        <x:f>IF('08_Form_Erosion_Cotiere'!$M40="Validé humainement",'08_Form_Erosion_Cotiere'!E40,"")</x:f>
      </x:c>
      <x:c r="F40" s="76" t="str">
        <x:f>IF('08_Form_Erosion_Cotiere'!$M40="Validé humainement",'08_Form_Erosion_Cotiere'!F40,"")</x:f>
      </x:c>
      <x:c r="G40" s="76" t="str">
        <x:f>IF('08_Form_Erosion_Cotiere'!$M40="Validé humainement",'08_Form_Erosion_Cotiere'!G40,"")</x:f>
      </x:c>
      <x:c r="H40" s="81" t="str">
        <x:f>IF('08_Form_Erosion_Cotiere'!$M40="Validé humainement",'08_Form_Erosion_Cotiere'!H40,"")</x:f>
      </x:c>
      <x:c r="I40" s="76" t="str">
        <x:f>IF('08_Form_Erosion_Cotiere'!$M40="Validé humainement",'08_Form_Erosion_Cotiere'!I40,"")</x:f>
      </x:c>
      <x:c r="J40" s="76" t="str">
        <x:f>IF('08_Form_Erosion_Cotiere'!$M40="Validé humainement",'08_Form_Erosion_Cotiere'!J40,"")</x:f>
      </x:c>
      <x:c r="K40" s="76" t="str">
        <x:f>IF('08_Form_Erosion_Cotiere'!$M40="Validé humainement",'08_Form_Erosion_Cotiere'!K40,"")</x:f>
      </x:c>
      <x:c r="L40" s="76" t="str">
        <x:f>IF('08_Form_Erosion_Cotiere'!$M40="Validé humainement",'08_Form_Erosion_Cotiere'!L40,"")</x:f>
      </x:c>
      <x:c r="M40" s="76" t="str">
        <x:f>IF('08_Form_Erosion_Cotiere'!$M40="Validé humainement",'08_Form_Erosion_Cotiere'!M40,"")</x:f>
      </x:c>
      <x:c r="N40" s="78" t="str">
        <x:f>IF('08_Form_Erosion_Cotiere'!$M40="Validé humainement",'08_Form_Erosion_Cotiere'!N40,"")</x:f>
      </x:c>
      <x:c r="O40" s="76" t="str">
        <x:f>IF('08_Form_Erosion_Cotiere'!$M40="Validé humainement",'08_Form_Erosion_Cotiere'!O40,"")</x:f>
      </x:c>
      <x:c r="P40" s="76" t="str">
        <x:f>IF('08_Form_Erosion_Cotiere'!$M40="Validé humainement",'08_Form_Erosion_Cotiere'!P40,"")</x:f>
      </x:c>
      <x:c r="Q40" s="76" t="str">
        <x:f>IF('08_Form_Erosion_Cotiere'!$M40="Validé humainement",'08_Form_Erosion_Cotiere'!Q40,"")</x:f>
      </x:c>
    </x:row>
    <x:row r="41">
      <x:c r="A41" s="76" t="str">
        <x:f>IF('08_Form_Erosion_Cotiere'!$M41="Validé humainement",'08_Form_Erosion_Cotiere'!A41,"")</x:f>
      </x:c>
      <x:c r="B41" s="76" t="str">
        <x:f>IF('08_Form_Erosion_Cotiere'!$M41="Validé humainement",'08_Form_Erosion_Cotiere'!B41,"")</x:f>
      </x:c>
      <x:c r="C41" s="76" t="str">
        <x:f>IF('08_Form_Erosion_Cotiere'!$M41="Validé humainement",'08_Form_Erosion_Cotiere'!C41,"")</x:f>
      </x:c>
      <x:c r="D41" s="76" t="str">
        <x:f>IF('08_Form_Erosion_Cotiere'!$M41="Validé humainement",'08_Form_Erosion_Cotiere'!D41,"")</x:f>
      </x:c>
      <x:c r="E41" s="77" t="str">
        <x:f>IF('08_Form_Erosion_Cotiere'!$M41="Validé humainement",'08_Form_Erosion_Cotiere'!E41,"")</x:f>
      </x:c>
      <x:c r="F41" s="76" t="str">
        <x:f>IF('08_Form_Erosion_Cotiere'!$M41="Validé humainement",'08_Form_Erosion_Cotiere'!F41,"")</x:f>
      </x:c>
      <x:c r="G41" s="76" t="str">
        <x:f>IF('08_Form_Erosion_Cotiere'!$M41="Validé humainement",'08_Form_Erosion_Cotiere'!G41,"")</x:f>
      </x:c>
      <x:c r="H41" s="81" t="str">
        <x:f>IF('08_Form_Erosion_Cotiere'!$M41="Validé humainement",'08_Form_Erosion_Cotiere'!H41,"")</x:f>
      </x:c>
      <x:c r="I41" s="76" t="str">
        <x:f>IF('08_Form_Erosion_Cotiere'!$M41="Validé humainement",'08_Form_Erosion_Cotiere'!I41,"")</x:f>
      </x:c>
      <x:c r="J41" s="76" t="str">
        <x:f>IF('08_Form_Erosion_Cotiere'!$M41="Validé humainement",'08_Form_Erosion_Cotiere'!J41,"")</x:f>
      </x:c>
      <x:c r="K41" s="76" t="str">
        <x:f>IF('08_Form_Erosion_Cotiere'!$M41="Validé humainement",'08_Form_Erosion_Cotiere'!K41,"")</x:f>
      </x:c>
      <x:c r="L41" s="76" t="str">
        <x:f>IF('08_Form_Erosion_Cotiere'!$M41="Validé humainement",'08_Form_Erosion_Cotiere'!L41,"")</x:f>
      </x:c>
      <x:c r="M41" s="76" t="str">
        <x:f>IF('08_Form_Erosion_Cotiere'!$M41="Validé humainement",'08_Form_Erosion_Cotiere'!M41,"")</x:f>
      </x:c>
      <x:c r="N41" s="78" t="str">
        <x:f>IF('08_Form_Erosion_Cotiere'!$M41="Validé humainement",'08_Form_Erosion_Cotiere'!N41,"")</x:f>
      </x:c>
      <x:c r="O41" s="76" t="str">
        <x:f>IF('08_Form_Erosion_Cotiere'!$M41="Validé humainement",'08_Form_Erosion_Cotiere'!O41,"")</x:f>
      </x:c>
      <x:c r="P41" s="76" t="str">
        <x:f>IF('08_Form_Erosion_Cotiere'!$M41="Validé humainement",'08_Form_Erosion_Cotiere'!P41,"")</x:f>
      </x:c>
      <x:c r="Q41" s="76" t="str">
        <x:f>IF('08_Form_Erosion_Cotiere'!$M41="Validé humainement",'08_Form_Erosion_Cotiere'!Q41,"")</x:f>
      </x:c>
    </x:row>
    <x:row r="42">
      <x:c r="A42" s="76" t="str">
        <x:f>IF('08_Form_Erosion_Cotiere'!$M42="Validé humainement",'08_Form_Erosion_Cotiere'!A42,"")</x:f>
      </x:c>
      <x:c r="B42" s="76" t="str">
        <x:f>IF('08_Form_Erosion_Cotiere'!$M42="Validé humainement",'08_Form_Erosion_Cotiere'!B42,"")</x:f>
      </x:c>
      <x:c r="C42" s="76" t="str">
        <x:f>IF('08_Form_Erosion_Cotiere'!$M42="Validé humainement",'08_Form_Erosion_Cotiere'!C42,"")</x:f>
      </x:c>
      <x:c r="D42" s="76" t="str">
        <x:f>IF('08_Form_Erosion_Cotiere'!$M42="Validé humainement",'08_Form_Erosion_Cotiere'!D42,"")</x:f>
      </x:c>
      <x:c r="E42" s="77" t="str">
        <x:f>IF('08_Form_Erosion_Cotiere'!$M42="Validé humainement",'08_Form_Erosion_Cotiere'!E42,"")</x:f>
      </x:c>
      <x:c r="F42" s="76" t="str">
        <x:f>IF('08_Form_Erosion_Cotiere'!$M42="Validé humainement",'08_Form_Erosion_Cotiere'!F42,"")</x:f>
      </x:c>
      <x:c r="G42" s="76" t="str">
        <x:f>IF('08_Form_Erosion_Cotiere'!$M42="Validé humainement",'08_Form_Erosion_Cotiere'!G42,"")</x:f>
      </x:c>
      <x:c r="H42" s="81" t="str">
        <x:f>IF('08_Form_Erosion_Cotiere'!$M42="Validé humainement",'08_Form_Erosion_Cotiere'!H42,"")</x:f>
      </x:c>
      <x:c r="I42" s="76" t="str">
        <x:f>IF('08_Form_Erosion_Cotiere'!$M42="Validé humainement",'08_Form_Erosion_Cotiere'!I42,"")</x:f>
      </x:c>
      <x:c r="J42" s="76" t="str">
        <x:f>IF('08_Form_Erosion_Cotiere'!$M42="Validé humainement",'08_Form_Erosion_Cotiere'!J42,"")</x:f>
      </x:c>
      <x:c r="K42" s="76" t="str">
        <x:f>IF('08_Form_Erosion_Cotiere'!$M42="Validé humainement",'08_Form_Erosion_Cotiere'!K42,"")</x:f>
      </x:c>
      <x:c r="L42" s="76" t="str">
        <x:f>IF('08_Form_Erosion_Cotiere'!$M42="Validé humainement",'08_Form_Erosion_Cotiere'!L42,"")</x:f>
      </x:c>
      <x:c r="M42" s="76" t="str">
        <x:f>IF('08_Form_Erosion_Cotiere'!$M42="Validé humainement",'08_Form_Erosion_Cotiere'!M42,"")</x:f>
      </x:c>
      <x:c r="N42" s="78" t="str">
        <x:f>IF('08_Form_Erosion_Cotiere'!$M42="Validé humainement",'08_Form_Erosion_Cotiere'!N42,"")</x:f>
      </x:c>
      <x:c r="O42" s="76" t="str">
        <x:f>IF('08_Form_Erosion_Cotiere'!$M42="Validé humainement",'08_Form_Erosion_Cotiere'!O42,"")</x:f>
      </x:c>
      <x:c r="P42" s="76" t="str">
        <x:f>IF('08_Form_Erosion_Cotiere'!$M42="Validé humainement",'08_Form_Erosion_Cotiere'!P42,"")</x:f>
      </x:c>
      <x:c r="Q42" s="76" t="str">
        <x:f>IF('08_Form_Erosion_Cotiere'!$M42="Validé humainement",'08_Form_Erosion_Cotiere'!Q42,"")</x:f>
      </x:c>
    </x:row>
    <x:row r="43">
      <x:c r="A43" s="76" t="str">
        <x:f>IF('08_Form_Erosion_Cotiere'!$M43="Validé humainement",'08_Form_Erosion_Cotiere'!A43,"")</x:f>
      </x:c>
      <x:c r="B43" s="76" t="str">
        <x:f>IF('08_Form_Erosion_Cotiere'!$M43="Validé humainement",'08_Form_Erosion_Cotiere'!B43,"")</x:f>
      </x:c>
      <x:c r="C43" s="76" t="str">
        <x:f>IF('08_Form_Erosion_Cotiere'!$M43="Validé humainement",'08_Form_Erosion_Cotiere'!C43,"")</x:f>
      </x:c>
      <x:c r="D43" s="76" t="str">
        <x:f>IF('08_Form_Erosion_Cotiere'!$M43="Validé humainement",'08_Form_Erosion_Cotiere'!D43,"")</x:f>
      </x:c>
      <x:c r="E43" s="77" t="str">
        <x:f>IF('08_Form_Erosion_Cotiere'!$M43="Validé humainement",'08_Form_Erosion_Cotiere'!E43,"")</x:f>
      </x:c>
      <x:c r="F43" s="76" t="str">
        <x:f>IF('08_Form_Erosion_Cotiere'!$M43="Validé humainement",'08_Form_Erosion_Cotiere'!F43,"")</x:f>
      </x:c>
      <x:c r="G43" s="76" t="str">
        <x:f>IF('08_Form_Erosion_Cotiere'!$M43="Validé humainement",'08_Form_Erosion_Cotiere'!G43,"")</x:f>
      </x:c>
      <x:c r="H43" s="81" t="str">
        <x:f>IF('08_Form_Erosion_Cotiere'!$M43="Validé humainement",'08_Form_Erosion_Cotiere'!H43,"")</x:f>
      </x:c>
      <x:c r="I43" s="76" t="str">
        <x:f>IF('08_Form_Erosion_Cotiere'!$M43="Validé humainement",'08_Form_Erosion_Cotiere'!I43,"")</x:f>
      </x:c>
      <x:c r="J43" s="76" t="str">
        <x:f>IF('08_Form_Erosion_Cotiere'!$M43="Validé humainement",'08_Form_Erosion_Cotiere'!J43,"")</x:f>
      </x:c>
      <x:c r="K43" s="76" t="str">
        <x:f>IF('08_Form_Erosion_Cotiere'!$M43="Validé humainement",'08_Form_Erosion_Cotiere'!K43,"")</x:f>
      </x:c>
      <x:c r="L43" s="76" t="str">
        <x:f>IF('08_Form_Erosion_Cotiere'!$M43="Validé humainement",'08_Form_Erosion_Cotiere'!L43,"")</x:f>
      </x:c>
      <x:c r="M43" s="76" t="str">
        <x:f>IF('08_Form_Erosion_Cotiere'!$M43="Validé humainement",'08_Form_Erosion_Cotiere'!M43,"")</x:f>
      </x:c>
      <x:c r="N43" s="78" t="str">
        <x:f>IF('08_Form_Erosion_Cotiere'!$M43="Validé humainement",'08_Form_Erosion_Cotiere'!N43,"")</x:f>
      </x:c>
      <x:c r="O43" s="76" t="str">
        <x:f>IF('08_Form_Erosion_Cotiere'!$M43="Validé humainement",'08_Form_Erosion_Cotiere'!O43,"")</x:f>
      </x:c>
      <x:c r="P43" s="76" t="str">
        <x:f>IF('08_Form_Erosion_Cotiere'!$M43="Validé humainement",'08_Form_Erosion_Cotiere'!P43,"")</x:f>
      </x:c>
      <x:c r="Q43" s="76" t="str">
        <x:f>IF('08_Form_Erosion_Cotiere'!$M43="Validé humainement",'08_Form_Erosion_Cotiere'!Q43,"")</x:f>
      </x:c>
    </x:row>
    <x:row r="44">
      <x:c r="A44" s="76" t="str">
        <x:f>IF('08_Form_Erosion_Cotiere'!$M44="Validé humainement",'08_Form_Erosion_Cotiere'!A44,"")</x:f>
      </x:c>
      <x:c r="B44" s="76" t="str">
        <x:f>IF('08_Form_Erosion_Cotiere'!$M44="Validé humainement",'08_Form_Erosion_Cotiere'!B44,"")</x:f>
      </x:c>
      <x:c r="C44" s="76" t="str">
        <x:f>IF('08_Form_Erosion_Cotiere'!$M44="Validé humainement",'08_Form_Erosion_Cotiere'!C44,"")</x:f>
      </x:c>
      <x:c r="D44" s="76" t="str">
        <x:f>IF('08_Form_Erosion_Cotiere'!$M44="Validé humainement",'08_Form_Erosion_Cotiere'!D44,"")</x:f>
      </x:c>
      <x:c r="E44" s="77" t="str">
        <x:f>IF('08_Form_Erosion_Cotiere'!$M44="Validé humainement",'08_Form_Erosion_Cotiere'!E44,"")</x:f>
      </x:c>
      <x:c r="F44" s="76" t="str">
        <x:f>IF('08_Form_Erosion_Cotiere'!$M44="Validé humainement",'08_Form_Erosion_Cotiere'!F44,"")</x:f>
      </x:c>
      <x:c r="G44" s="76" t="str">
        <x:f>IF('08_Form_Erosion_Cotiere'!$M44="Validé humainement",'08_Form_Erosion_Cotiere'!G44,"")</x:f>
      </x:c>
      <x:c r="H44" s="81" t="str">
        <x:f>IF('08_Form_Erosion_Cotiere'!$M44="Validé humainement",'08_Form_Erosion_Cotiere'!H44,"")</x:f>
      </x:c>
      <x:c r="I44" s="76" t="str">
        <x:f>IF('08_Form_Erosion_Cotiere'!$M44="Validé humainement",'08_Form_Erosion_Cotiere'!I44,"")</x:f>
      </x:c>
      <x:c r="J44" s="76" t="str">
        <x:f>IF('08_Form_Erosion_Cotiere'!$M44="Validé humainement",'08_Form_Erosion_Cotiere'!J44,"")</x:f>
      </x:c>
      <x:c r="K44" s="76" t="str">
        <x:f>IF('08_Form_Erosion_Cotiere'!$M44="Validé humainement",'08_Form_Erosion_Cotiere'!K44,"")</x:f>
      </x:c>
      <x:c r="L44" s="76" t="str">
        <x:f>IF('08_Form_Erosion_Cotiere'!$M44="Validé humainement",'08_Form_Erosion_Cotiere'!L44,"")</x:f>
      </x:c>
      <x:c r="M44" s="76" t="str">
        <x:f>IF('08_Form_Erosion_Cotiere'!$M44="Validé humainement",'08_Form_Erosion_Cotiere'!M44,"")</x:f>
      </x:c>
      <x:c r="N44" s="78" t="str">
        <x:f>IF('08_Form_Erosion_Cotiere'!$M44="Validé humainement",'08_Form_Erosion_Cotiere'!N44,"")</x:f>
      </x:c>
      <x:c r="O44" s="76" t="str">
        <x:f>IF('08_Form_Erosion_Cotiere'!$M44="Validé humainement",'08_Form_Erosion_Cotiere'!O44,"")</x:f>
      </x:c>
      <x:c r="P44" s="76" t="str">
        <x:f>IF('08_Form_Erosion_Cotiere'!$M44="Validé humainement",'08_Form_Erosion_Cotiere'!P44,"")</x:f>
      </x:c>
      <x:c r="Q44" s="76" t="str">
        <x:f>IF('08_Form_Erosion_Cotiere'!$M44="Validé humainement",'08_Form_Erosion_Cotiere'!Q44,"")</x:f>
      </x:c>
    </x:row>
    <x:row r="45">
      <x:c r="A45" s="76" t="str">
        <x:f>IF('08_Form_Erosion_Cotiere'!$M45="Validé humainement",'08_Form_Erosion_Cotiere'!A45,"")</x:f>
      </x:c>
      <x:c r="B45" s="76" t="str">
        <x:f>IF('08_Form_Erosion_Cotiere'!$M45="Validé humainement",'08_Form_Erosion_Cotiere'!B45,"")</x:f>
      </x:c>
      <x:c r="C45" s="76" t="str">
        <x:f>IF('08_Form_Erosion_Cotiere'!$M45="Validé humainement",'08_Form_Erosion_Cotiere'!C45,"")</x:f>
      </x:c>
      <x:c r="D45" s="76" t="str">
        <x:f>IF('08_Form_Erosion_Cotiere'!$M45="Validé humainement",'08_Form_Erosion_Cotiere'!D45,"")</x:f>
      </x:c>
      <x:c r="E45" s="77" t="str">
        <x:f>IF('08_Form_Erosion_Cotiere'!$M45="Validé humainement",'08_Form_Erosion_Cotiere'!E45,"")</x:f>
      </x:c>
      <x:c r="F45" s="76" t="str">
        <x:f>IF('08_Form_Erosion_Cotiere'!$M45="Validé humainement",'08_Form_Erosion_Cotiere'!F45,"")</x:f>
      </x:c>
      <x:c r="G45" s="76" t="str">
        <x:f>IF('08_Form_Erosion_Cotiere'!$M45="Validé humainement",'08_Form_Erosion_Cotiere'!G45,"")</x:f>
      </x:c>
      <x:c r="H45" s="81" t="str">
        <x:f>IF('08_Form_Erosion_Cotiere'!$M45="Validé humainement",'08_Form_Erosion_Cotiere'!H45,"")</x:f>
      </x:c>
      <x:c r="I45" s="76" t="str">
        <x:f>IF('08_Form_Erosion_Cotiere'!$M45="Validé humainement",'08_Form_Erosion_Cotiere'!I45,"")</x:f>
      </x:c>
      <x:c r="J45" s="76" t="str">
        <x:f>IF('08_Form_Erosion_Cotiere'!$M45="Validé humainement",'08_Form_Erosion_Cotiere'!J45,"")</x:f>
      </x:c>
      <x:c r="K45" s="76" t="str">
        <x:f>IF('08_Form_Erosion_Cotiere'!$M45="Validé humainement",'08_Form_Erosion_Cotiere'!K45,"")</x:f>
      </x:c>
      <x:c r="L45" s="76" t="str">
        <x:f>IF('08_Form_Erosion_Cotiere'!$M45="Validé humainement",'08_Form_Erosion_Cotiere'!L45,"")</x:f>
      </x:c>
      <x:c r="M45" s="76" t="str">
        <x:f>IF('08_Form_Erosion_Cotiere'!$M45="Validé humainement",'08_Form_Erosion_Cotiere'!M45,"")</x:f>
      </x:c>
      <x:c r="N45" s="78" t="str">
        <x:f>IF('08_Form_Erosion_Cotiere'!$M45="Validé humainement",'08_Form_Erosion_Cotiere'!N45,"")</x:f>
      </x:c>
      <x:c r="O45" s="76" t="str">
        <x:f>IF('08_Form_Erosion_Cotiere'!$M45="Validé humainement",'08_Form_Erosion_Cotiere'!O45,"")</x:f>
      </x:c>
      <x:c r="P45" s="76" t="str">
        <x:f>IF('08_Form_Erosion_Cotiere'!$M45="Validé humainement",'08_Form_Erosion_Cotiere'!P45,"")</x:f>
      </x:c>
      <x:c r="Q45" s="76" t="str">
        <x:f>IF('08_Form_Erosion_Cotiere'!$M45="Validé humainement",'08_Form_Erosion_Cotiere'!Q45,"")</x:f>
      </x:c>
    </x:row>
    <x:row r="46">
      <x:c r="A46" s="76" t="str">
        <x:f>IF('08_Form_Erosion_Cotiere'!$M46="Validé humainement",'08_Form_Erosion_Cotiere'!A46,"")</x:f>
      </x:c>
      <x:c r="B46" s="76" t="str">
        <x:f>IF('08_Form_Erosion_Cotiere'!$M46="Validé humainement",'08_Form_Erosion_Cotiere'!B46,"")</x:f>
      </x:c>
      <x:c r="C46" s="76" t="str">
        <x:f>IF('08_Form_Erosion_Cotiere'!$M46="Validé humainement",'08_Form_Erosion_Cotiere'!C46,"")</x:f>
      </x:c>
      <x:c r="D46" s="76" t="str">
        <x:f>IF('08_Form_Erosion_Cotiere'!$M46="Validé humainement",'08_Form_Erosion_Cotiere'!D46,"")</x:f>
      </x:c>
      <x:c r="E46" s="77" t="str">
        <x:f>IF('08_Form_Erosion_Cotiere'!$M46="Validé humainement",'08_Form_Erosion_Cotiere'!E46,"")</x:f>
      </x:c>
      <x:c r="F46" s="76" t="str">
        <x:f>IF('08_Form_Erosion_Cotiere'!$M46="Validé humainement",'08_Form_Erosion_Cotiere'!F46,"")</x:f>
      </x:c>
      <x:c r="G46" s="76" t="str">
        <x:f>IF('08_Form_Erosion_Cotiere'!$M46="Validé humainement",'08_Form_Erosion_Cotiere'!G46,"")</x:f>
      </x:c>
      <x:c r="H46" s="81" t="str">
        <x:f>IF('08_Form_Erosion_Cotiere'!$M46="Validé humainement",'08_Form_Erosion_Cotiere'!H46,"")</x:f>
      </x:c>
      <x:c r="I46" s="76" t="str">
        <x:f>IF('08_Form_Erosion_Cotiere'!$M46="Validé humainement",'08_Form_Erosion_Cotiere'!I46,"")</x:f>
      </x:c>
      <x:c r="J46" s="76" t="str">
        <x:f>IF('08_Form_Erosion_Cotiere'!$M46="Validé humainement",'08_Form_Erosion_Cotiere'!J46,"")</x:f>
      </x:c>
      <x:c r="K46" s="76" t="str">
        <x:f>IF('08_Form_Erosion_Cotiere'!$M46="Validé humainement",'08_Form_Erosion_Cotiere'!K46,"")</x:f>
      </x:c>
      <x:c r="L46" s="76" t="str">
        <x:f>IF('08_Form_Erosion_Cotiere'!$M46="Validé humainement",'08_Form_Erosion_Cotiere'!L46,"")</x:f>
      </x:c>
      <x:c r="M46" s="76" t="str">
        <x:f>IF('08_Form_Erosion_Cotiere'!$M46="Validé humainement",'08_Form_Erosion_Cotiere'!M46,"")</x:f>
      </x:c>
      <x:c r="N46" s="78" t="str">
        <x:f>IF('08_Form_Erosion_Cotiere'!$M46="Validé humainement",'08_Form_Erosion_Cotiere'!N46,"")</x:f>
      </x:c>
      <x:c r="O46" s="76" t="str">
        <x:f>IF('08_Form_Erosion_Cotiere'!$M46="Validé humainement",'08_Form_Erosion_Cotiere'!O46,"")</x:f>
      </x:c>
      <x:c r="P46" s="76" t="str">
        <x:f>IF('08_Form_Erosion_Cotiere'!$M46="Validé humainement",'08_Form_Erosion_Cotiere'!P46,"")</x:f>
      </x:c>
      <x:c r="Q46" s="76" t="str">
        <x:f>IF('08_Form_Erosion_Cotiere'!$M46="Validé humainement",'08_Form_Erosion_Cotiere'!Q46,"")</x:f>
      </x:c>
    </x:row>
    <x:row r="47">
      <x:c r="A47" s="76" t="str">
        <x:f>IF('08_Form_Erosion_Cotiere'!$M47="Validé humainement",'08_Form_Erosion_Cotiere'!A47,"")</x:f>
      </x:c>
      <x:c r="B47" s="76" t="str">
        <x:f>IF('08_Form_Erosion_Cotiere'!$M47="Validé humainement",'08_Form_Erosion_Cotiere'!B47,"")</x:f>
      </x:c>
      <x:c r="C47" s="76" t="str">
        <x:f>IF('08_Form_Erosion_Cotiere'!$M47="Validé humainement",'08_Form_Erosion_Cotiere'!C47,"")</x:f>
      </x:c>
      <x:c r="D47" s="76" t="str">
        <x:f>IF('08_Form_Erosion_Cotiere'!$M47="Validé humainement",'08_Form_Erosion_Cotiere'!D47,"")</x:f>
      </x:c>
      <x:c r="E47" s="77" t="str">
        <x:f>IF('08_Form_Erosion_Cotiere'!$M47="Validé humainement",'08_Form_Erosion_Cotiere'!E47,"")</x:f>
      </x:c>
      <x:c r="F47" s="76" t="str">
        <x:f>IF('08_Form_Erosion_Cotiere'!$M47="Validé humainement",'08_Form_Erosion_Cotiere'!F47,"")</x:f>
      </x:c>
      <x:c r="G47" s="76" t="str">
        <x:f>IF('08_Form_Erosion_Cotiere'!$M47="Validé humainement",'08_Form_Erosion_Cotiere'!G47,"")</x:f>
      </x:c>
      <x:c r="H47" s="81" t="str">
        <x:f>IF('08_Form_Erosion_Cotiere'!$M47="Validé humainement",'08_Form_Erosion_Cotiere'!H47,"")</x:f>
      </x:c>
      <x:c r="I47" s="76" t="str">
        <x:f>IF('08_Form_Erosion_Cotiere'!$M47="Validé humainement",'08_Form_Erosion_Cotiere'!I47,"")</x:f>
      </x:c>
      <x:c r="J47" s="76" t="str">
        <x:f>IF('08_Form_Erosion_Cotiere'!$M47="Validé humainement",'08_Form_Erosion_Cotiere'!J47,"")</x:f>
      </x:c>
      <x:c r="K47" s="76" t="str">
        <x:f>IF('08_Form_Erosion_Cotiere'!$M47="Validé humainement",'08_Form_Erosion_Cotiere'!K47,"")</x:f>
      </x:c>
      <x:c r="L47" s="76" t="str">
        <x:f>IF('08_Form_Erosion_Cotiere'!$M47="Validé humainement",'08_Form_Erosion_Cotiere'!L47,"")</x:f>
      </x:c>
      <x:c r="M47" s="76" t="str">
        <x:f>IF('08_Form_Erosion_Cotiere'!$M47="Validé humainement",'08_Form_Erosion_Cotiere'!M47,"")</x:f>
      </x:c>
      <x:c r="N47" s="78" t="str">
        <x:f>IF('08_Form_Erosion_Cotiere'!$M47="Validé humainement",'08_Form_Erosion_Cotiere'!N47,"")</x:f>
      </x:c>
      <x:c r="O47" s="76" t="str">
        <x:f>IF('08_Form_Erosion_Cotiere'!$M47="Validé humainement",'08_Form_Erosion_Cotiere'!O47,"")</x:f>
      </x:c>
      <x:c r="P47" s="76" t="str">
        <x:f>IF('08_Form_Erosion_Cotiere'!$M47="Validé humainement",'08_Form_Erosion_Cotiere'!P47,"")</x:f>
      </x:c>
      <x:c r="Q47" s="76" t="str">
        <x:f>IF('08_Form_Erosion_Cotiere'!$M47="Validé humainement",'08_Form_Erosion_Cotiere'!Q47,"")</x:f>
      </x:c>
    </x:row>
    <x:row r="48">
      <x:c r="A48" s="76" t="str">
        <x:f>IF('08_Form_Erosion_Cotiere'!$M48="Validé humainement",'08_Form_Erosion_Cotiere'!A48,"")</x:f>
      </x:c>
      <x:c r="B48" s="76" t="str">
        <x:f>IF('08_Form_Erosion_Cotiere'!$M48="Validé humainement",'08_Form_Erosion_Cotiere'!B48,"")</x:f>
      </x:c>
      <x:c r="C48" s="76" t="str">
        <x:f>IF('08_Form_Erosion_Cotiere'!$M48="Validé humainement",'08_Form_Erosion_Cotiere'!C48,"")</x:f>
      </x:c>
      <x:c r="D48" s="76" t="str">
        <x:f>IF('08_Form_Erosion_Cotiere'!$M48="Validé humainement",'08_Form_Erosion_Cotiere'!D48,"")</x:f>
      </x:c>
      <x:c r="E48" s="77" t="str">
        <x:f>IF('08_Form_Erosion_Cotiere'!$M48="Validé humainement",'08_Form_Erosion_Cotiere'!E48,"")</x:f>
      </x:c>
      <x:c r="F48" s="76" t="str">
        <x:f>IF('08_Form_Erosion_Cotiere'!$M48="Validé humainement",'08_Form_Erosion_Cotiere'!F48,"")</x:f>
      </x:c>
      <x:c r="G48" s="76" t="str">
        <x:f>IF('08_Form_Erosion_Cotiere'!$M48="Validé humainement",'08_Form_Erosion_Cotiere'!G48,"")</x:f>
      </x:c>
      <x:c r="H48" s="81" t="str">
        <x:f>IF('08_Form_Erosion_Cotiere'!$M48="Validé humainement",'08_Form_Erosion_Cotiere'!H48,"")</x:f>
      </x:c>
      <x:c r="I48" s="76" t="str">
        <x:f>IF('08_Form_Erosion_Cotiere'!$M48="Validé humainement",'08_Form_Erosion_Cotiere'!I48,"")</x:f>
      </x:c>
      <x:c r="J48" s="76" t="str">
        <x:f>IF('08_Form_Erosion_Cotiere'!$M48="Validé humainement",'08_Form_Erosion_Cotiere'!J48,"")</x:f>
      </x:c>
      <x:c r="K48" s="76" t="str">
        <x:f>IF('08_Form_Erosion_Cotiere'!$M48="Validé humainement",'08_Form_Erosion_Cotiere'!K48,"")</x:f>
      </x:c>
      <x:c r="L48" s="76" t="str">
        <x:f>IF('08_Form_Erosion_Cotiere'!$M48="Validé humainement",'08_Form_Erosion_Cotiere'!L48,"")</x:f>
      </x:c>
      <x:c r="M48" s="76" t="str">
        <x:f>IF('08_Form_Erosion_Cotiere'!$M48="Validé humainement",'08_Form_Erosion_Cotiere'!M48,"")</x:f>
      </x:c>
      <x:c r="N48" s="78" t="str">
        <x:f>IF('08_Form_Erosion_Cotiere'!$M48="Validé humainement",'08_Form_Erosion_Cotiere'!N48,"")</x:f>
      </x:c>
      <x:c r="O48" s="76" t="str">
        <x:f>IF('08_Form_Erosion_Cotiere'!$M48="Validé humainement",'08_Form_Erosion_Cotiere'!O48,"")</x:f>
      </x:c>
      <x:c r="P48" s="76" t="str">
        <x:f>IF('08_Form_Erosion_Cotiere'!$M48="Validé humainement",'08_Form_Erosion_Cotiere'!P48,"")</x:f>
      </x:c>
      <x:c r="Q48" s="76" t="str">
        <x:f>IF('08_Form_Erosion_Cotiere'!$M48="Validé humainement",'08_Form_Erosion_Cotiere'!Q48,"")</x:f>
      </x:c>
    </x:row>
    <x:row r="49">
      <x:c r="A49" s="76" t="str">
        <x:f>IF('08_Form_Erosion_Cotiere'!$M49="Validé humainement",'08_Form_Erosion_Cotiere'!A49,"")</x:f>
      </x:c>
      <x:c r="B49" s="76" t="str">
        <x:f>IF('08_Form_Erosion_Cotiere'!$M49="Validé humainement",'08_Form_Erosion_Cotiere'!B49,"")</x:f>
      </x:c>
      <x:c r="C49" s="76" t="str">
        <x:f>IF('08_Form_Erosion_Cotiere'!$M49="Validé humainement",'08_Form_Erosion_Cotiere'!C49,"")</x:f>
      </x:c>
      <x:c r="D49" s="76" t="str">
        <x:f>IF('08_Form_Erosion_Cotiere'!$M49="Validé humainement",'08_Form_Erosion_Cotiere'!D49,"")</x:f>
      </x:c>
      <x:c r="E49" s="77" t="str">
        <x:f>IF('08_Form_Erosion_Cotiere'!$M49="Validé humainement",'08_Form_Erosion_Cotiere'!E49,"")</x:f>
      </x:c>
      <x:c r="F49" s="76" t="str">
        <x:f>IF('08_Form_Erosion_Cotiere'!$M49="Validé humainement",'08_Form_Erosion_Cotiere'!F49,"")</x:f>
      </x:c>
      <x:c r="G49" s="76" t="str">
        <x:f>IF('08_Form_Erosion_Cotiere'!$M49="Validé humainement",'08_Form_Erosion_Cotiere'!G49,"")</x:f>
      </x:c>
      <x:c r="H49" s="81" t="str">
        <x:f>IF('08_Form_Erosion_Cotiere'!$M49="Validé humainement",'08_Form_Erosion_Cotiere'!H49,"")</x:f>
      </x:c>
      <x:c r="I49" s="76" t="str">
        <x:f>IF('08_Form_Erosion_Cotiere'!$M49="Validé humainement",'08_Form_Erosion_Cotiere'!I49,"")</x:f>
      </x:c>
      <x:c r="J49" s="76" t="str">
        <x:f>IF('08_Form_Erosion_Cotiere'!$M49="Validé humainement",'08_Form_Erosion_Cotiere'!J49,"")</x:f>
      </x:c>
      <x:c r="K49" s="76" t="str">
        <x:f>IF('08_Form_Erosion_Cotiere'!$M49="Validé humainement",'08_Form_Erosion_Cotiere'!K49,"")</x:f>
      </x:c>
      <x:c r="L49" s="76" t="str">
        <x:f>IF('08_Form_Erosion_Cotiere'!$M49="Validé humainement",'08_Form_Erosion_Cotiere'!L49,"")</x:f>
      </x:c>
      <x:c r="M49" s="76" t="str">
        <x:f>IF('08_Form_Erosion_Cotiere'!$M49="Validé humainement",'08_Form_Erosion_Cotiere'!M49,"")</x:f>
      </x:c>
      <x:c r="N49" s="78" t="str">
        <x:f>IF('08_Form_Erosion_Cotiere'!$M49="Validé humainement",'08_Form_Erosion_Cotiere'!N49,"")</x:f>
      </x:c>
      <x:c r="O49" s="76" t="str">
        <x:f>IF('08_Form_Erosion_Cotiere'!$M49="Validé humainement",'08_Form_Erosion_Cotiere'!O49,"")</x:f>
      </x:c>
      <x:c r="P49" s="76" t="str">
        <x:f>IF('08_Form_Erosion_Cotiere'!$M49="Validé humainement",'08_Form_Erosion_Cotiere'!P49,"")</x:f>
      </x:c>
      <x:c r="Q49" s="76" t="str">
        <x:f>IF('08_Form_Erosion_Cotiere'!$M49="Validé humainement",'08_Form_Erosion_Cotiere'!Q49,"")</x:f>
      </x:c>
    </x:row>
    <x:row r="50">
      <x:c r="A50" s="76" t="str">
        <x:f>IF('08_Form_Erosion_Cotiere'!$M50="Validé humainement",'08_Form_Erosion_Cotiere'!A50,"")</x:f>
      </x:c>
      <x:c r="B50" s="76" t="str">
        <x:f>IF('08_Form_Erosion_Cotiere'!$M50="Validé humainement",'08_Form_Erosion_Cotiere'!B50,"")</x:f>
      </x:c>
      <x:c r="C50" s="76" t="str">
        <x:f>IF('08_Form_Erosion_Cotiere'!$M50="Validé humainement",'08_Form_Erosion_Cotiere'!C50,"")</x:f>
      </x:c>
      <x:c r="D50" s="76" t="str">
        <x:f>IF('08_Form_Erosion_Cotiere'!$M50="Validé humainement",'08_Form_Erosion_Cotiere'!D50,"")</x:f>
      </x:c>
      <x:c r="E50" s="77" t="str">
        <x:f>IF('08_Form_Erosion_Cotiere'!$M50="Validé humainement",'08_Form_Erosion_Cotiere'!E50,"")</x:f>
      </x:c>
      <x:c r="F50" s="76" t="str">
        <x:f>IF('08_Form_Erosion_Cotiere'!$M50="Validé humainement",'08_Form_Erosion_Cotiere'!F50,"")</x:f>
      </x:c>
      <x:c r="G50" s="76" t="str">
        <x:f>IF('08_Form_Erosion_Cotiere'!$M50="Validé humainement",'08_Form_Erosion_Cotiere'!G50,"")</x:f>
      </x:c>
      <x:c r="H50" s="81" t="str">
        <x:f>IF('08_Form_Erosion_Cotiere'!$M50="Validé humainement",'08_Form_Erosion_Cotiere'!H50,"")</x:f>
      </x:c>
      <x:c r="I50" s="76" t="str">
        <x:f>IF('08_Form_Erosion_Cotiere'!$M50="Validé humainement",'08_Form_Erosion_Cotiere'!I50,"")</x:f>
      </x:c>
      <x:c r="J50" s="76" t="str">
        <x:f>IF('08_Form_Erosion_Cotiere'!$M50="Validé humainement",'08_Form_Erosion_Cotiere'!J50,"")</x:f>
      </x:c>
      <x:c r="K50" s="76" t="str">
        <x:f>IF('08_Form_Erosion_Cotiere'!$M50="Validé humainement",'08_Form_Erosion_Cotiere'!K50,"")</x:f>
      </x:c>
      <x:c r="L50" s="76" t="str">
        <x:f>IF('08_Form_Erosion_Cotiere'!$M50="Validé humainement",'08_Form_Erosion_Cotiere'!L50,"")</x:f>
      </x:c>
      <x:c r="M50" s="76" t="str">
        <x:f>IF('08_Form_Erosion_Cotiere'!$M50="Validé humainement",'08_Form_Erosion_Cotiere'!M50,"")</x:f>
      </x:c>
      <x:c r="N50" s="78" t="str">
        <x:f>IF('08_Form_Erosion_Cotiere'!$M50="Validé humainement",'08_Form_Erosion_Cotiere'!N50,"")</x:f>
      </x:c>
      <x:c r="O50" s="76" t="str">
        <x:f>IF('08_Form_Erosion_Cotiere'!$M50="Validé humainement",'08_Form_Erosion_Cotiere'!O50,"")</x:f>
      </x:c>
      <x:c r="P50" s="76" t="str">
        <x:f>IF('08_Form_Erosion_Cotiere'!$M50="Validé humainement",'08_Form_Erosion_Cotiere'!P50,"")</x:f>
      </x:c>
      <x:c r="Q50" s="76" t="str">
        <x:f>IF('08_Form_Erosion_Cotiere'!$M50="Validé humainement",'08_Form_Erosion_Cotiere'!Q50,"")</x:f>
      </x:c>
    </x:row>
    <x:row r="51">
      <x:c r="A51" s="76" t="str">
        <x:f>IF('08_Form_Erosion_Cotiere'!$M51="Validé humainement",'08_Form_Erosion_Cotiere'!A51,"")</x:f>
      </x:c>
      <x:c r="B51" s="76" t="str">
        <x:f>IF('08_Form_Erosion_Cotiere'!$M51="Validé humainement",'08_Form_Erosion_Cotiere'!B51,"")</x:f>
      </x:c>
      <x:c r="C51" s="76" t="str">
        <x:f>IF('08_Form_Erosion_Cotiere'!$M51="Validé humainement",'08_Form_Erosion_Cotiere'!C51,"")</x:f>
      </x:c>
      <x:c r="D51" s="76" t="str">
        <x:f>IF('08_Form_Erosion_Cotiere'!$M51="Validé humainement",'08_Form_Erosion_Cotiere'!D51,"")</x:f>
      </x:c>
      <x:c r="E51" s="77" t="str">
        <x:f>IF('08_Form_Erosion_Cotiere'!$M51="Validé humainement",'08_Form_Erosion_Cotiere'!E51,"")</x:f>
      </x:c>
      <x:c r="F51" s="76" t="str">
        <x:f>IF('08_Form_Erosion_Cotiere'!$M51="Validé humainement",'08_Form_Erosion_Cotiere'!F51,"")</x:f>
      </x:c>
      <x:c r="G51" s="76" t="str">
        <x:f>IF('08_Form_Erosion_Cotiere'!$M51="Validé humainement",'08_Form_Erosion_Cotiere'!G51,"")</x:f>
      </x:c>
      <x:c r="H51" s="81" t="str">
        <x:f>IF('08_Form_Erosion_Cotiere'!$M51="Validé humainement",'08_Form_Erosion_Cotiere'!H51,"")</x:f>
      </x:c>
      <x:c r="I51" s="76" t="str">
        <x:f>IF('08_Form_Erosion_Cotiere'!$M51="Validé humainement",'08_Form_Erosion_Cotiere'!I51,"")</x:f>
      </x:c>
      <x:c r="J51" s="76" t="str">
        <x:f>IF('08_Form_Erosion_Cotiere'!$M51="Validé humainement",'08_Form_Erosion_Cotiere'!J51,"")</x:f>
      </x:c>
      <x:c r="K51" s="76" t="str">
        <x:f>IF('08_Form_Erosion_Cotiere'!$M51="Validé humainement",'08_Form_Erosion_Cotiere'!K51,"")</x:f>
      </x:c>
      <x:c r="L51" s="76" t="str">
        <x:f>IF('08_Form_Erosion_Cotiere'!$M51="Validé humainement",'08_Form_Erosion_Cotiere'!L51,"")</x:f>
      </x:c>
      <x:c r="M51" s="76" t="str">
        <x:f>IF('08_Form_Erosion_Cotiere'!$M51="Validé humainement",'08_Form_Erosion_Cotiere'!M51,"")</x:f>
      </x:c>
      <x:c r="N51" s="78" t="str">
        <x:f>IF('08_Form_Erosion_Cotiere'!$M51="Validé humainement",'08_Form_Erosion_Cotiere'!N51,"")</x:f>
      </x:c>
      <x:c r="O51" s="76" t="str">
        <x:f>IF('08_Form_Erosion_Cotiere'!$M51="Validé humainement",'08_Form_Erosion_Cotiere'!O51,"")</x:f>
      </x:c>
      <x:c r="P51" s="76" t="str">
        <x:f>IF('08_Form_Erosion_Cotiere'!$M51="Validé humainement",'08_Form_Erosion_Cotiere'!P51,"")</x:f>
      </x:c>
      <x:c r="Q51" s="76" t="str">
        <x:f>IF('08_Form_Erosion_Cotiere'!$M51="Validé humainement",'08_Form_Erosion_Cotiere'!Q51,"")</x:f>
      </x:c>
    </x:row>
    <x:row r="52">
      <x:c r="A52" s="76" t="str">
        <x:f>IF('08_Form_Erosion_Cotiere'!$M52="Validé humainement",'08_Form_Erosion_Cotiere'!A52,"")</x:f>
      </x:c>
      <x:c r="B52" s="76" t="str">
        <x:f>IF('08_Form_Erosion_Cotiere'!$M52="Validé humainement",'08_Form_Erosion_Cotiere'!B52,"")</x:f>
      </x:c>
      <x:c r="C52" s="76" t="str">
        <x:f>IF('08_Form_Erosion_Cotiere'!$M52="Validé humainement",'08_Form_Erosion_Cotiere'!C52,"")</x:f>
      </x:c>
      <x:c r="D52" s="76" t="str">
        <x:f>IF('08_Form_Erosion_Cotiere'!$M52="Validé humainement",'08_Form_Erosion_Cotiere'!D52,"")</x:f>
      </x:c>
      <x:c r="E52" s="77" t="str">
        <x:f>IF('08_Form_Erosion_Cotiere'!$M52="Validé humainement",'08_Form_Erosion_Cotiere'!E52,"")</x:f>
      </x:c>
      <x:c r="F52" s="76" t="str">
        <x:f>IF('08_Form_Erosion_Cotiere'!$M52="Validé humainement",'08_Form_Erosion_Cotiere'!F52,"")</x:f>
      </x:c>
      <x:c r="G52" s="76" t="str">
        <x:f>IF('08_Form_Erosion_Cotiere'!$M52="Validé humainement",'08_Form_Erosion_Cotiere'!G52,"")</x:f>
      </x:c>
      <x:c r="H52" s="81" t="str">
        <x:f>IF('08_Form_Erosion_Cotiere'!$M52="Validé humainement",'08_Form_Erosion_Cotiere'!H52,"")</x:f>
      </x:c>
      <x:c r="I52" s="76" t="str">
        <x:f>IF('08_Form_Erosion_Cotiere'!$M52="Validé humainement",'08_Form_Erosion_Cotiere'!I52,"")</x:f>
      </x:c>
      <x:c r="J52" s="76" t="str">
        <x:f>IF('08_Form_Erosion_Cotiere'!$M52="Validé humainement",'08_Form_Erosion_Cotiere'!J52,"")</x:f>
      </x:c>
      <x:c r="K52" s="76" t="str">
        <x:f>IF('08_Form_Erosion_Cotiere'!$M52="Validé humainement",'08_Form_Erosion_Cotiere'!K52,"")</x:f>
      </x:c>
      <x:c r="L52" s="76" t="str">
        <x:f>IF('08_Form_Erosion_Cotiere'!$M52="Validé humainement",'08_Form_Erosion_Cotiere'!L52,"")</x:f>
      </x:c>
      <x:c r="M52" s="76" t="str">
        <x:f>IF('08_Form_Erosion_Cotiere'!$M52="Validé humainement",'08_Form_Erosion_Cotiere'!M52,"")</x:f>
      </x:c>
      <x:c r="N52" s="78" t="str">
        <x:f>IF('08_Form_Erosion_Cotiere'!$M52="Validé humainement",'08_Form_Erosion_Cotiere'!N52,"")</x:f>
      </x:c>
      <x:c r="O52" s="76" t="str">
        <x:f>IF('08_Form_Erosion_Cotiere'!$M52="Validé humainement",'08_Form_Erosion_Cotiere'!O52,"")</x:f>
      </x:c>
      <x:c r="P52" s="76" t="str">
        <x:f>IF('08_Form_Erosion_Cotiere'!$M52="Validé humainement",'08_Form_Erosion_Cotiere'!P52,"")</x:f>
      </x:c>
      <x:c r="Q52" s="76" t="str">
        <x:f>IF('08_Form_Erosion_Cotiere'!$M52="Validé humainement",'08_Form_Erosion_Cotiere'!Q52,"")</x:f>
      </x:c>
    </x:row>
    <x:row r="53">
      <x:c r="A53" s="76" t="str">
        <x:f>IF('08_Form_Erosion_Cotiere'!$M53="Validé humainement",'08_Form_Erosion_Cotiere'!A53,"")</x:f>
      </x:c>
      <x:c r="B53" s="76" t="str">
        <x:f>IF('08_Form_Erosion_Cotiere'!$M53="Validé humainement",'08_Form_Erosion_Cotiere'!B53,"")</x:f>
      </x:c>
      <x:c r="C53" s="76" t="str">
        <x:f>IF('08_Form_Erosion_Cotiere'!$M53="Validé humainement",'08_Form_Erosion_Cotiere'!C53,"")</x:f>
      </x:c>
      <x:c r="D53" s="76" t="str">
        <x:f>IF('08_Form_Erosion_Cotiere'!$M53="Validé humainement",'08_Form_Erosion_Cotiere'!D53,"")</x:f>
      </x:c>
      <x:c r="E53" s="77" t="str">
        <x:f>IF('08_Form_Erosion_Cotiere'!$M53="Validé humainement",'08_Form_Erosion_Cotiere'!E53,"")</x:f>
      </x:c>
      <x:c r="F53" s="76" t="str">
        <x:f>IF('08_Form_Erosion_Cotiere'!$M53="Validé humainement",'08_Form_Erosion_Cotiere'!F53,"")</x:f>
      </x:c>
      <x:c r="G53" s="76" t="str">
        <x:f>IF('08_Form_Erosion_Cotiere'!$M53="Validé humainement",'08_Form_Erosion_Cotiere'!G53,"")</x:f>
      </x:c>
      <x:c r="H53" s="81" t="str">
        <x:f>IF('08_Form_Erosion_Cotiere'!$M53="Validé humainement",'08_Form_Erosion_Cotiere'!H53,"")</x:f>
      </x:c>
      <x:c r="I53" s="76" t="str">
        <x:f>IF('08_Form_Erosion_Cotiere'!$M53="Validé humainement",'08_Form_Erosion_Cotiere'!I53,"")</x:f>
      </x:c>
      <x:c r="J53" s="76" t="str">
        <x:f>IF('08_Form_Erosion_Cotiere'!$M53="Validé humainement",'08_Form_Erosion_Cotiere'!J53,"")</x:f>
      </x:c>
      <x:c r="K53" s="76" t="str">
        <x:f>IF('08_Form_Erosion_Cotiere'!$M53="Validé humainement",'08_Form_Erosion_Cotiere'!K53,"")</x:f>
      </x:c>
      <x:c r="L53" s="76" t="str">
        <x:f>IF('08_Form_Erosion_Cotiere'!$M53="Validé humainement",'08_Form_Erosion_Cotiere'!L53,"")</x:f>
      </x:c>
      <x:c r="M53" s="76" t="str">
        <x:f>IF('08_Form_Erosion_Cotiere'!$M53="Validé humainement",'08_Form_Erosion_Cotiere'!M53,"")</x:f>
      </x:c>
      <x:c r="N53" s="78" t="str">
        <x:f>IF('08_Form_Erosion_Cotiere'!$M53="Validé humainement",'08_Form_Erosion_Cotiere'!N53,"")</x:f>
      </x:c>
      <x:c r="O53" s="76" t="str">
        <x:f>IF('08_Form_Erosion_Cotiere'!$M53="Validé humainement",'08_Form_Erosion_Cotiere'!O53,"")</x:f>
      </x:c>
      <x:c r="P53" s="76" t="str">
        <x:f>IF('08_Form_Erosion_Cotiere'!$M53="Validé humainement",'08_Form_Erosion_Cotiere'!P53,"")</x:f>
      </x:c>
      <x:c r="Q53" s="76" t="str">
        <x:f>IF('08_Form_Erosion_Cotiere'!$M53="Validé humainement",'08_Form_Erosion_Cotiere'!Q53,"")</x:f>
      </x:c>
    </x:row>
    <x:row r="54">
      <x:c r="A54" s="76" t="str">
        <x:f>IF('08_Form_Erosion_Cotiere'!$M54="Validé humainement",'08_Form_Erosion_Cotiere'!A54,"")</x:f>
      </x:c>
      <x:c r="B54" s="76" t="str">
        <x:f>IF('08_Form_Erosion_Cotiere'!$M54="Validé humainement",'08_Form_Erosion_Cotiere'!B54,"")</x:f>
      </x:c>
      <x:c r="C54" s="76" t="str">
        <x:f>IF('08_Form_Erosion_Cotiere'!$M54="Validé humainement",'08_Form_Erosion_Cotiere'!C54,"")</x:f>
      </x:c>
      <x:c r="D54" s="76" t="str">
        <x:f>IF('08_Form_Erosion_Cotiere'!$M54="Validé humainement",'08_Form_Erosion_Cotiere'!D54,"")</x:f>
      </x:c>
      <x:c r="E54" s="77" t="str">
        <x:f>IF('08_Form_Erosion_Cotiere'!$M54="Validé humainement",'08_Form_Erosion_Cotiere'!E54,"")</x:f>
      </x:c>
      <x:c r="F54" s="76" t="str">
        <x:f>IF('08_Form_Erosion_Cotiere'!$M54="Validé humainement",'08_Form_Erosion_Cotiere'!F54,"")</x:f>
      </x:c>
      <x:c r="G54" s="76" t="str">
        <x:f>IF('08_Form_Erosion_Cotiere'!$M54="Validé humainement",'08_Form_Erosion_Cotiere'!G54,"")</x:f>
      </x:c>
      <x:c r="H54" s="81" t="str">
        <x:f>IF('08_Form_Erosion_Cotiere'!$M54="Validé humainement",'08_Form_Erosion_Cotiere'!H54,"")</x:f>
      </x:c>
      <x:c r="I54" s="76" t="str">
        <x:f>IF('08_Form_Erosion_Cotiere'!$M54="Validé humainement",'08_Form_Erosion_Cotiere'!I54,"")</x:f>
      </x:c>
      <x:c r="J54" s="76" t="str">
        <x:f>IF('08_Form_Erosion_Cotiere'!$M54="Validé humainement",'08_Form_Erosion_Cotiere'!J54,"")</x:f>
      </x:c>
      <x:c r="K54" s="76" t="str">
        <x:f>IF('08_Form_Erosion_Cotiere'!$M54="Validé humainement",'08_Form_Erosion_Cotiere'!K54,"")</x:f>
      </x:c>
      <x:c r="L54" s="76" t="str">
        <x:f>IF('08_Form_Erosion_Cotiere'!$M54="Validé humainement",'08_Form_Erosion_Cotiere'!L54,"")</x:f>
      </x:c>
      <x:c r="M54" s="76" t="str">
        <x:f>IF('08_Form_Erosion_Cotiere'!$M54="Validé humainement",'08_Form_Erosion_Cotiere'!M54,"")</x:f>
      </x:c>
      <x:c r="N54" s="78" t="str">
        <x:f>IF('08_Form_Erosion_Cotiere'!$M54="Validé humainement",'08_Form_Erosion_Cotiere'!N54,"")</x:f>
      </x:c>
      <x:c r="O54" s="76" t="str">
        <x:f>IF('08_Form_Erosion_Cotiere'!$M54="Validé humainement",'08_Form_Erosion_Cotiere'!O54,"")</x:f>
      </x:c>
      <x:c r="P54" s="76" t="str">
        <x:f>IF('08_Form_Erosion_Cotiere'!$M54="Validé humainement",'08_Form_Erosion_Cotiere'!P54,"")</x:f>
      </x:c>
      <x:c r="Q54" s="76" t="str">
        <x:f>IF('08_Form_Erosion_Cotiere'!$M54="Validé humainement",'08_Form_Erosion_Cotiere'!Q54,"")</x:f>
      </x:c>
    </x:row>
    <x:row r="55">
      <x:c r="A55" s="76" t="str">
        <x:f>IF('08_Form_Erosion_Cotiere'!$M55="Validé humainement",'08_Form_Erosion_Cotiere'!A55,"")</x:f>
      </x:c>
      <x:c r="B55" s="76" t="str">
        <x:f>IF('08_Form_Erosion_Cotiere'!$M55="Validé humainement",'08_Form_Erosion_Cotiere'!B55,"")</x:f>
      </x:c>
      <x:c r="C55" s="76" t="str">
        <x:f>IF('08_Form_Erosion_Cotiere'!$M55="Validé humainement",'08_Form_Erosion_Cotiere'!C55,"")</x:f>
      </x:c>
      <x:c r="D55" s="76" t="str">
        <x:f>IF('08_Form_Erosion_Cotiere'!$M55="Validé humainement",'08_Form_Erosion_Cotiere'!D55,"")</x:f>
      </x:c>
      <x:c r="E55" s="77" t="str">
        <x:f>IF('08_Form_Erosion_Cotiere'!$M55="Validé humainement",'08_Form_Erosion_Cotiere'!E55,"")</x:f>
      </x:c>
      <x:c r="F55" s="76" t="str">
        <x:f>IF('08_Form_Erosion_Cotiere'!$M55="Validé humainement",'08_Form_Erosion_Cotiere'!F55,"")</x:f>
      </x:c>
      <x:c r="G55" s="76" t="str">
        <x:f>IF('08_Form_Erosion_Cotiere'!$M55="Validé humainement",'08_Form_Erosion_Cotiere'!G55,"")</x:f>
      </x:c>
      <x:c r="H55" s="81" t="str">
        <x:f>IF('08_Form_Erosion_Cotiere'!$M55="Validé humainement",'08_Form_Erosion_Cotiere'!H55,"")</x:f>
      </x:c>
      <x:c r="I55" s="76" t="str">
        <x:f>IF('08_Form_Erosion_Cotiere'!$M55="Validé humainement",'08_Form_Erosion_Cotiere'!I55,"")</x:f>
      </x:c>
      <x:c r="J55" s="76" t="str">
        <x:f>IF('08_Form_Erosion_Cotiere'!$M55="Validé humainement",'08_Form_Erosion_Cotiere'!J55,"")</x:f>
      </x:c>
      <x:c r="K55" s="76" t="str">
        <x:f>IF('08_Form_Erosion_Cotiere'!$M55="Validé humainement",'08_Form_Erosion_Cotiere'!K55,"")</x:f>
      </x:c>
      <x:c r="L55" s="76" t="str">
        <x:f>IF('08_Form_Erosion_Cotiere'!$M55="Validé humainement",'08_Form_Erosion_Cotiere'!L55,"")</x:f>
      </x:c>
      <x:c r="M55" s="76" t="str">
        <x:f>IF('08_Form_Erosion_Cotiere'!$M55="Validé humainement",'08_Form_Erosion_Cotiere'!M55,"")</x:f>
      </x:c>
      <x:c r="N55" s="78" t="str">
        <x:f>IF('08_Form_Erosion_Cotiere'!$M55="Validé humainement",'08_Form_Erosion_Cotiere'!N55,"")</x:f>
      </x:c>
      <x:c r="O55" s="76" t="str">
        <x:f>IF('08_Form_Erosion_Cotiere'!$M55="Validé humainement",'08_Form_Erosion_Cotiere'!O55,"")</x:f>
      </x:c>
      <x:c r="P55" s="76" t="str">
        <x:f>IF('08_Form_Erosion_Cotiere'!$M55="Validé humainement",'08_Form_Erosion_Cotiere'!P55,"")</x:f>
      </x:c>
      <x:c r="Q55" s="76" t="str">
        <x:f>IF('08_Form_Erosion_Cotiere'!$M55="Validé humainement",'08_Form_Erosion_Cotiere'!Q55,"")</x:f>
      </x:c>
    </x:row>
    <x:row r="56">
      <x:c r="A56" s="76" t="str">
        <x:f>IF('08_Form_Erosion_Cotiere'!$M56="Validé humainement",'08_Form_Erosion_Cotiere'!A56,"")</x:f>
      </x:c>
      <x:c r="B56" s="76" t="str">
        <x:f>IF('08_Form_Erosion_Cotiere'!$M56="Validé humainement",'08_Form_Erosion_Cotiere'!B56,"")</x:f>
      </x:c>
      <x:c r="C56" s="76" t="str">
        <x:f>IF('08_Form_Erosion_Cotiere'!$M56="Validé humainement",'08_Form_Erosion_Cotiere'!C56,"")</x:f>
      </x:c>
      <x:c r="D56" s="76" t="str">
        <x:f>IF('08_Form_Erosion_Cotiere'!$M56="Validé humainement",'08_Form_Erosion_Cotiere'!D56,"")</x:f>
      </x:c>
      <x:c r="E56" s="77" t="str">
        <x:f>IF('08_Form_Erosion_Cotiere'!$M56="Validé humainement",'08_Form_Erosion_Cotiere'!E56,"")</x:f>
      </x:c>
      <x:c r="F56" s="76" t="str">
        <x:f>IF('08_Form_Erosion_Cotiere'!$M56="Validé humainement",'08_Form_Erosion_Cotiere'!F56,"")</x:f>
      </x:c>
      <x:c r="G56" s="76" t="str">
        <x:f>IF('08_Form_Erosion_Cotiere'!$M56="Validé humainement",'08_Form_Erosion_Cotiere'!G56,"")</x:f>
      </x:c>
      <x:c r="H56" s="81" t="str">
        <x:f>IF('08_Form_Erosion_Cotiere'!$M56="Validé humainement",'08_Form_Erosion_Cotiere'!H56,"")</x:f>
      </x:c>
      <x:c r="I56" s="76" t="str">
        <x:f>IF('08_Form_Erosion_Cotiere'!$M56="Validé humainement",'08_Form_Erosion_Cotiere'!I56,"")</x:f>
      </x:c>
      <x:c r="J56" s="76" t="str">
        <x:f>IF('08_Form_Erosion_Cotiere'!$M56="Validé humainement",'08_Form_Erosion_Cotiere'!J56,"")</x:f>
      </x:c>
      <x:c r="K56" s="76" t="str">
        <x:f>IF('08_Form_Erosion_Cotiere'!$M56="Validé humainement",'08_Form_Erosion_Cotiere'!K56,"")</x:f>
      </x:c>
      <x:c r="L56" s="76" t="str">
        <x:f>IF('08_Form_Erosion_Cotiere'!$M56="Validé humainement",'08_Form_Erosion_Cotiere'!L56,"")</x:f>
      </x:c>
      <x:c r="M56" s="76" t="str">
        <x:f>IF('08_Form_Erosion_Cotiere'!$M56="Validé humainement",'08_Form_Erosion_Cotiere'!M56,"")</x:f>
      </x:c>
      <x:c r="N56" s="78" t="str">
        <x:f>IF('08_Form_Erosion_Cotiere'!$M56="Validé humainement",'08_Form_Erosion_Cotiere'!N56,"")</x:f>
      </x:c>
      <x:c r="O56" s="76" t="str">
        <x:f>IF('08_Form_Erosion_Cotiere'!$M56="Validé humainement",'08_Form_Erosion_Cotiere'!O56,"")</x:f>
      </x:c>
      <x:c r="P56" s="76" t="str">
        <x:f>IF('08_Form_Erosion_Cotiere'!$M56="Validé humainement",'08_Form_Erosion_Cotiere'!P56,"")</x:f>
      </x:c>
      <x:c r="Q56" s="76" t="str">
        <x:f>IF('08_Form_Erosion_Cotiere'!$M56="Validé humainement",'08_Form_Erosion_Cotiere'!Q56,"")</x:f>
      </x:c>
    </x:row>
    <x:row r="57">
      <x:c r="A57" s="76" t="str">
        <x:f>IF('08_Form_Erosion_Cotiere'!$M57="Validé humainement",'08_Form_Erosion_Cotiere'!A57,"")</x:f>
      </x:c>
      <x:c r="B57" s="76" t="str">
        <x:f>IF('08_Form_Erosion_Cotiere'!$M57="Validé humainement",'08_Form_Erosion_Cotiere'!B57,"")</x:f>
      </x:c>
      <x:c r="C57" s="76" t="str">
        <x:f>IF('08_Form_Erosion_Cotiere'!$M57="Validé humainement",'08_Form_Erosion_Cotiere'!C57,"")</x:f>
      </x:c>
      <x:c r="D57" s="76" t="str">
        <x:f>IF('08_Form_Erosion_Cotiere'!$M57="Validé humainement",'08_Form_Erosion_Cotiere'!D57,"")</x:f>
      </x:c>
      <x:c r="E57" s="77" t="str">
        <x:f>IF('08_Form_Erosion_Cotiere'!$M57="Validé humainement",'08_Form_Erosion_Cotiere'!E57,"")</x:f>
      </x:c>
      <x:c r="F57" s="76" t="str">
        <x:f>IF('08_Form_Erosion_Cotiere'!$M57="Validé humainement",'08_Form_Erosion_Cotiere'!F57,"")</x:f>
      </x:c>
      <x:c r="G57" s="76" t="str">
        <x:f>IF('08_Form_Erosion_Cotiere'!$M57="Validé humainement",'08_Form_Erosion_Cotiere'!G57,"")</x:f>
      </x:c>
      <x:c r="H57" s="81" t="str">
        <x:f>IF('08_Form_Erosion_Cotiere'!$M57="Validé humainement",'08_Form_Erosion_Cotiere'!H57,"")</x:f>
      </x:c>
      <x:c r="I57" s="76" t="str">
        <x:f>IF('08_Form_Erosion_Cotiere'!$M57="Validé humainement",'08_Form_Erosion_Cotiere'!I57,"")</x:f>
      </x:c>
      <x:c r="J57" s="76" t="str">
        <x:f>IF('08_Form_Erosion_Cotiere'!$M57="Validé humainement",'08_Form_Erosion_Cotiere'!J57,"")</x:f>
      </x:c>
      <x:c r="K57" s="76" t="str">
        <x:f>IF('08_Form_Erosion_Cotiere'!$M57="Validé humainement",'08_Form_Erosion_Cotiere'!K57,"")</x:f>
      </x:c>
      <x:c r="L57" s="76" t="str">
        <x:f>IF('08_Form_Erosion_Cotiere'!$M57="Validé humainement",'08_Form_Erosion_Cotiere'!L57,"")</x:f>
      </x:c>
      <x:c r="M57" s="76" t="str">
        <x:f>IF('08_Form_Erosion_Cotiere'!$M57="Validé humainement",'08_Form_Erosion_Cotiere'!M57,"")</x:f>
      </x:c>
      <x:c r="N57" s="78" t="str">
        <x:f>IF('08_Form_Erosion_Cotiere'!$M57="Validé humainement",'08_Form_Erosion_Cotiere'!N57,"")</x:f>
      </x:c>
      <x:c r="O57" s="76" t="str">
        <x:f>IF('08_Form_Erosion_Cotiere'!$M57="Validé humainement",'08_Form_Erosion_Cotiere'!O57,"")</x:f>
      </x:c>
      <x:c r="P57" s="76" t="str">
        <x:f>IF('08_Form_Erosion_Cotiere'!$M57="Validé humainement",'08_Form_Erosion_Cotiere'!P57,"")</x:f>
      </x:c>
      <x:c r="Q57" s="76" t="str">
        <x:f>IF('08_Form_Erosion_Cotiere'!$M57="Validé humainement",'08_Form_Erosion_Cotiere'!Q57,"")</x:f>
      </x:c>
    </x:row>
    <x:row r="58">
      <x:c r="A58" s="76" t="str">
        <x:f>IF('08_Form_Erosion_Cotiere'!$M58="Validé humainement",'08_Form_Erosion_Cotiere'!A58,"")</x:f>
      </x:c>
      <x:c r="B58" s="76" t="str">
        <x:f>IF('08_Form_Erosion_Cotiere'!$M58="Validé humainement",'08_Form_Erosion_Cotiere'!B58,"")</x:f>
      </x:c>
      <x:c r="C58" s="76" t="str">
        <x:f>IF('08_Form_Erosion_Cotiere'!$M58="Validé humainement",'08_Form_Erosion_Cotiere'!C58,"")</x:f>
      </x:c>
      <x:c r="D58" s="76" t="str">
        <x:f>IF('08_Form_Erosion_Cotiere'!$M58="Validé humainement",'08_Form_Erosion_Cotiere'!D58,"")</x:f>
      </x:c>
      <x:c r="E58" s="77" t="str">
        <x:f>IF('08_Form_Erosion_Cotiere'!$M58="Validé humainement",'08_Form_Erosion_Cotiere'!E58,"")</x:f>
      </x:c>
      <x:c r="F58" s="76" t="str">
        <x:f>IF('08_Form_Erosion_Cotiere'!$M58="Validé humainement",'08_Form_Erosion_Cotiere'!F58,"")</x:f>
      </x:c>
      <x:c r="G58" s="76" t="str">
        <x:f>IF('08_Form_Erosion_Cotiere'!$M58="Validé humainement",'08_Form_Erosion_Cotiere'!G58,"")</x:f>
      </x:c>
      <x:c r="H58" s="81" t="str">
        <x:f>IF('08_Form_Erosion_Cotiere'!$M58="Validé humainement",'08_Form_Erosion_Cotiere'!H58,"")</x:f>
      </x:c>
      <x:c r="I58" s="76" t="str">
        <x:f>IF('08_Form_Erosion_Cotiere'!$M58="Validé humainement",'08_Form_Erosion_Cotiere'!I58,"")</x:f>
      </x:c>
      <x:c r="J58" s="76" t="str">
        <x:f>IF('08_Form_Erosion_Cotiere'!$M58="Validé humainement",'08_Form_Erosion_Cotiere'!J58,"")</x:f>
      </x:c>
      <x:c r="K58" s="76" t="str">
        <x:f>IF('08_Form_Erosion_Cotiere'!$M58="Validé humainement",'08_Form_Erosion_Cotiere'!K58,"")</x:f>
      </x:c>
      <x:c r="L58" s="76" t="str">
        <x:f>IF('08_Form_Erosion_Cotiere'!$M58="Validé humainement",'08_Form_Erosion_Cotiere'!L58,"")</x:f>
      </x:c>
      <x:c r="M58" s="76" t="str">
        <x:f>IF('08_Form_Erosion_Cotiere'!$M58="Validé humainement",'08_Form_Erosion_Cotiere'!M58,"")</x:f>
      </x:c>
      <x:c r="N58" s="78" t="str">
        <x:f>IF('08_Form_Erosion_Cotiere'!$M58="Validé humainement",'08_Form_Erosion_Cotiere'!N58,"")</x:f>
      </x:c>
      <x:c r="O58" s="76" t="str">
        <x:f>IF('08_Form_Erosion_Cotiere'!$M58="Validé humainement",'08_Form_Erosion_Cotiere'!O58,"")</x:f>
      </x:c>
      <x:c r="P58" s="76" t="str">
        <x:f>IF('08_Form_Erosion_Cotiere'!$M58="Validé humainement",'08_Form_Erosion_Cotiere'!P58,"")</x:f>
      </x:c>
      <x:c r="Q58" s="76" t="str">
        <x:f>IF('08_Form_Erosion_Cotiere'!$M58="Validé humainement",'08_Form_Erosion_Cotiere'!Q58,"")</x:f>
      </x:c>
    </x:row>
    <x:row r="59">
      <x:c r="A59" s="76" t="str">
        <x:f>IF('08_Form_Erosion_Cotiere'!$M59="Validé humainement",'08_Form_Erosion_Cotiere'!A59,"")</x:f>
      </x:c>
      <x:c r="B59" s="76" t="str">
        <x:f>IF('08_Form_Erosion_Cotiere'!$M59="Validé humainement",'08_Form_Erosion_Cotiere'!B59,"")</x:f>
      </x:c>
      <x:c r="C59" s="76" t="str">
        <x:f>IF('08_Form_Erosion_Cotiere'!$M59="Validé humainement",'08_Form_Erosion_Cotiere'!C59,"")</x:f>
      </x:c>
      <x:c r="D59" s="76" t="str">
        <x:f>IF('08_Form_Erosion_Cotiere'!$M59="Validé humainement",'08_Form_Erosion_Cotiere'!D59,"")</x:f>
      </x:c>
      <x:c r="E59" s="77" t="str">
        <x:f>IF('08_Form_Erosion_Cotiere'!$M59="Validé humainement",'08_Form_Erosion_Cotiere'!E59,"")</x:f>
      </x:c>
      <x:c r="F59" s="76" t="str">
        <x:f>IF('08_Form_Erosion_Cotiere'!$M59="Validé humainement",'08_Form_Erosion_Cotiere'!F59,"")</x:f>
      </x:c>
      <x:c r="G59" s="76" t="str">
        <x:f>IF('08_Form_Erosion_Cotiere'!$M59="Validé humainement",'08_Form_Erosion_Cotiere'!G59,"")</x:f>
      </x:c>
      <x:c r="H59" s="81" t="str">
        <x:f>IF('08_Form_Erosion_Cotiere'!$M59="Validé humainement",'08_Form_Erosion_Cotiere'!H59,"")</x:f>
      </x:c>
      <x:c r="I59" s="76" t="str">
        <x:f>IF('08_Form_Erosion_Cotiere'!$M59="Validé humainement",'08_Form_Erosion_Cotiere'!I59,"")</x:f>
      </x:c>
      <x:c r="J59" s="76" t="str">
        <x:f>IF('08_Form_Erosion_Cotiere'!$M59="Validé humainement",'08_Form_Erosion_Cotiere'!J59,"")</x:f>
      </x:c>
      <x:c r="K59" s="76" t="str">
        <x:f>IF('08_Form_Erosion_Cotiere'!$M59="Validé humainement",'08_Form_Erosion_Cotiere'!K59,"")</x:f>
      </x:c>
      <x:c r="L59" s="76" t="str">
        <x:f>IF('08_Form_Erosion_Cotiere'!$M59="Validé humainement",'08_Form_Erosion_Cotiere'!L59,"")</x:f>
      </x:c>
      <x:c r="M59" s="76" t="str">
        <x:f>IF('08_Form_Erosion_Cotiere'!$M59="Validé humainement",'08_Form_Erosion_Cotiere'!M59,"")</x:f>
      </x:c>
      <x:c r="N59" s="78" t="str">
        <x:f>IF('08_Form_Erosion_Cotiere'!$M59="Validé humainement",'08_Form_Erosion_Cotiere'!N59,"")</x:f>
      </x:c>
      <x:c r="O59" s="76" t="str">
        <x:f>IF('08_Form_Erosion_Cotiere'!$M59="Validé humainement",'08_Form_Erosion_Cotiere'!O59,"")</x:f>
      </x:c>
      <x:c r="P59" s="76" t="str">
        <x:f>IF('08_Form_Erosion_Cotiere'!$M59="Validé humainement",'08_Form_Erosion_Cotiere'!P59,"")</x:f>
      </x:c>
      <x:c r="Q59" s="76" t="str">
        <x:f>IF('08_Form_Erosion_Cotiere'!$M59="Validé humainement",'08_Form_Erosion_Cotiere'!Q59,"")</x:f>
      </x:c>
    </x:row>
    <x:row r="60">
      <x:c r="A60" s="76" t="str">
        <x:f>IF('08_Form_Erosion_Cotiere'!$M60="Validé humainement",'08_Form_Erosion_Cotiere'!A60,"")</x:f>
      </x:c>
      <x:c r="B60" s="76" t="str">
        <x:f>IF('08_Form_Erosion_Cotiere'!$M60="Validé humainement",'08_Form_Erosion_Cotiere'!B60,"")</x:f>
      </x:c>
      <x:c r="C60" s="76" t="str">
        <x:f>IF('08_Form_Erosion_Cotiere'!$M60="Validé humainement",'08_Form_Erosion_Cotiere'!C60,"")</x:f>
      </x:c>
      <x:c r="D60" s="76" t="str">
        <x:f>IF('08_Form_Erosion_Cotiere'!$M60="Validé humainement",'08_Form_Erosion_Cotiere'!D60,"")</x:f>
      </x:c>
      <x:c r="E60" s="77" t="str">
        <x:f>IF('08_Form_Erosion_Cotiere'!$M60="Validé humainement",'08_Form_Erosion_Cotiere'!E60,"")</x:f>
      </x:c>
      <x:c r="F60" s="76" t="str">
        <x:f>IF('08_Form_Erosion_Cotiere'!$M60="Validé humainement",'08_Form_Erosion_Cotiere'!F60,"")</x:f>
      </x:c>
      <x:c r="G60" s="76" t="str">
        <x:f>IF('08_Form_Erosion_Cotiere'!$M60="Validé humainement",'08_Form_Erosion_Cotiere'!G60,"")</x:f>
      </x:c>
      <x:c r="H60" s="81" t="str">
        <x:f>IF('08_Form_Erosion_Cotiere'!$M60="Validé humainement",'08_Form_Erosion_Cotiere'!H60,"")</x:f>
      </x:c>
      <x:c r="I60" s="76" t="str">
        <x:f>IF('08_Form_Erosion_Cotiere'!$M60="Validé humainement",'08_Form_Erosion_Cotiere'!I60,"")</x:f>
      </x:c>
      <x:c r="J60" s="76" t="str">
        <x:f>IF('08_Form_Erosion_Cotiere'!$M60="Validé humainement",'08_Form_Erosion_Cotiere'!J60,"")</x:f>
      </x:c>
      <x:c r="K60" s="76" t="str">
        <x:f>IF('08_Form_Erosion_Cotiere'!$M60="Validé humainement",'08_Form_Erosion_Cotiere'!K60,"")</x:f>
      </x:c>
      <x:c r="L60" s="76" t="str">
        <x:f>IF('08_Form_Erosion_Cotiere'!$M60="Validé humainement",'08_Form_Erosion_Cotiere'!L60,"")</x:f>
      </x:c>
      <x:c r="M60" s="76" t="str">
        <x:f>IF('08_Form_Erosion_Cotiere'!$M60="Validé humainement",'08_Form_Erosion_Cotiere'!M60,"")</x:f>
      </x:c>
      <x:c r="N60" s="78" t="str">
        <x:f>IF('08_Form_Erosion_Cotiere'!$M60="Validé humainement",'08_Form_Erosion_Cotiere'!N60,"")</x:f>
      </x:c>
      <x:c r="O60" s="76" t="str">
        <x:f>IF('08_Form_Erosion_Cotiere'!$M60="Validé humainement",'08_Form_Erosion_Cotiere'!O60,"")</x:f>
      </x:c>
      <x:c r="P60" s="76" t="str">
        <x:f>IF('08_Form_Erosion_Cotiere'!$M60="Validé humainement",'08_Form_Erosion_Cotiere'!P60,"")</x:f>
      </x:c>
      <x:c r="Q60" s="76" t="str">
        <x:f>IF('08_Form_Erosion_Cotiere'!$M60="Validé humainement",'08_Form_Erosion_Cotiere'!Q60,"")</x:f>
      </x:c>
    </x:row>
    <x:row r="61">
      <x:c r="A61" s="76" t="str">
        <x:f>IF('08_Form_Erosion_Cotiere'!$M61="Validé humainement",'08_Form_Erosion_Cotiere'!A61,"")</x:f>
      </x:c>
      <x:c r="B61" s="76" t="str">
        <x:f>IF('08_Form_Erosion_Cotiere'!$M61="Validé humainement",'08_Form_Erosion_Cotiere'!B61,"")</x:f>
      </x:c>
      <x:c r="C61" s="76" t="str">
        <x:f>IF('08_Form_Erosion_Cotiere'!$M61="Validé humainement",'08_Form_Erosion_Cotiere'!C61,"")</x:f>
      </x:c>
      <x:c r="D61" s="76" t="str">
        <x:f>IF('08_Form_Erosion_Cotiere'!$M61="Validé humainement",'08_Form_Erosion_Cotiere'!D61,"")</x:f>
      </x:c>
      <x:c r="E61" s="77" t="str">
        <x:f>IF('08_Form_Erosion_Cotiere'!$M61="Validé humainement",'08_Form_Erosion_Cotiere'!E61,"")</x:f>
      </x:c>
      <x:c r="F61" s="76" t="str">
        <x:f>IF('08_Form_Erosion_Cotiere'!$M61="Validé humainement",'08_Form_Erosion_Cotiere'!F61,"")</x:f>
      </x:c>
      <x:c r="G61" s="76" t="str">
        <x:f>IF('08_Form_Erosion_Cotiere'!$M61="Validé humainement",'08_Form_Erosion_Cotiere'!G61,"")</x:f>
      </x:c>
      <x:c r="H61" s="81" t="str">
        <x:f>IF('08_Form_Erosion_Cotiere'!$M61="Validé humainement",'08_Form_Erosion_Cotiere'!H61,"")</x:f>
      </x:c>
      <x:c r="I61" s="76" t="str">
        <x:f>IF('08_Form_Erosion_Cotiere'!$M61="Validé humainement",'08_Form_Erosion_Cotiere'!I61,"")</x:f>
      </x:c>
      <x:c r="J61" s="76" t="str">
        <x:f>IF('08_Form_Erosion_Cotiere'!$M61="Validé humainement",'08_Form_Erosion_Cotiere'!J61,"")</x:f>
      </x:c>
      <x:c r="K61" s="76" t="str">
        <x:f>IF('08_Form_Erosion_Cotiere'!$M61="Validé humainement",'08_Form_Erosion_Cotiere'!K61,"")</x:f>
      </x:c>
      <x:c r="L61" s="76" t="str">
        <x:f>IF('08_Form_Erosion_Cotiere'!$M61="Validé humainement",'08_Form_Erosion_Cotiere'!L61,"")</x:f>
      </x:c>
      <x:c r="M61" s="76" t="str">
        <x:f>IF('08_Form_Erosion_Cotiere'!$M61="Validé humainement",'08_Form_Erosion_Cotiere'!M61,"")</x:f>
      </x:c>
      <x:c r="N61" s="78" t="str">
        <x:f>IF('08_Form_Erosion_Cotiere'!$M61="Validé humainement",'08_Form_Erosion_Cotiere'!N61,"")</x:f>
      </x:c>
      <x:c r="O61" s="76" t="str">
        <x:f>IF('08_Form_Erosion_Cotiere'!$M61="Validé humainement",'08_Form_Erosion_Cotiere'!O61,"")</x:f>
      </x:c>
      <x:c r="P61" s="76" t="str">
        <x:f>IF('08_Form_Erosion_Cotiere'!$M61="Validé humainement",'08_Form_Erosion_Cotiere'!P61,"")</x:f>
      </x:c>
      <x:c r="Q61" s="76" t="str">
        <x:f>IF('08_Form_Erosion_Cotiere'!$M61="Validé humainement",'08_Form_Erosion_Cotiere'!Q61,"")</x:f>
      </x:c>
    </x:row>
    <x:row r="62">
      <x:c r="A62" s="76" t="str">
        <x:f>IF('08_Form_Erosion_Cotiere'!$M62="Validé humainement",'08_Form_Erosion_Cotiere'!A62,"")</x:f>
      </x:c>
      <x:c r="B62" s="76" t="str">
        <x:f>IF('08_Form_Erosion_Cotiere'!$M62="Validé humainement",'08_Form_Erosion_Cotiere'!B62,"")</x:f>
      </x:c>
      <x:c r="C62" s="76" t="str">
        <x:f>IF('08_Form_Erosion_Cotiere'!$M62="Validé humainement",'08_Form_Erosion_Cotiere'!C62,"")</x:f>
      </x:c>
      <x:c r="D62" s="76" t="str">
        <x:f>IF('08_Form_Erosion_Cotiere'!$M62="Validé humainement",'08_Form_Erosion_Cotiere'!D62,"")</x:f>
      </x:c>
      <x:c r="E62" s="77" t="str">
        <x:f>IF('08_Form_Erosion_Cotiere'!$M62="Validé humainement",'08_Form_Erosion_Cotiere'!E62,"")</x:f>
      </x:c>
      <x:c r="F62" s="76" t="str">
        <x:f>IF('08_Form_Erosion_Cotiere'!$M62="Validé humainement",'08_Form_Erosion_Cotiere'!F62,"")</x:f>
      </x:c>
      <x:c r="G62" s="76" t="str">
        <x:f>IF('08_Form_Erosion_Cotiere'!$M62="Validé humainement",'08_Form_Erosion_Cotiere'!G62,"")</x:f>
      </x:c>
      <x:c r="H62" s="81" t="str">
        <x:f>IF('08_Form_Erosion_Cotiere'!$M62="Validé humainement",'08_Form_Erosion_Cotiere'!H62,"")</x:f>
      </x:c>
      <x:c r="I62" s="76" t="str">
        <x:f>IF('08_Form_Erosion_Cotiere'!$M62="Validé humainement",'08_Form_Erosion_Cotiere'!I62,"")</x:f>
      </x:c>
      <x:c r="J62" s="76" t="str">
        <x:f>IF('08_Form_Erosion_Cotiere'!$M62="Validé humainement",'08_Form_Erosion_Cotiere'!J62,"")</x:f>
      </x:c>
      <x:c r="K62" s="76" t="str">
        <x:f>IF('08_Form_Erosion_Cotiere'!$M62="Validé humainement",'08_Form_Erosion_Cotiere'!K62,"")</x:f>
      </x:c>
      <x:c r="L62" s="76" t="str">
        <x:f>IF('08_Form_Erosion_Cotiere'!$M62="Validé humainement",'08_Form_Erosion_Cotiere'!L62,"")</x:f>
      </x:c>
      <x:c r="M62" s="76" t="str">
        <x:f>IF('08_Form_Erosion_Cotiere'!$M62="Validé humainement",'08_Form_Erosion_Cotiere'!M62,"")</x:f>
      </x:c>
      <x:c r="N62" s="78" t="str">
        <x:f>IF('08_Form_Erosion_Cotiere'!$M62="Validé humainement",'08_Form_Erosion_Cotiere'!N62,"")</x:f>
      </x:c>
      <x:c r="O62" s="76" t="str">
        <x:f>IF('08_Form_Erosion_Cotiere'!$M62="Validé humainement",'08_Form_Erosion_Cotiere'!O62,"")</x:f>
      </x:c>
      <x:c r="P62" s="76" t="str">
        <x:f>IF('08_Form_Erosion_Cotiere'!$M62="Validé humainement",'08_Form_Erosion_Cotiere'!P62,"")</x:f>
      </x:c>
      <x:c r="Q62" s="76" t="str">
        <x:f>IF('08_Form_Erosion_Cotiere'!$M62="Validé humainement",'08_Form_Erosion_Cotiere'!Q62,"")</x:f>
      </x:c>
    </x:row>
    <x:row r="63">
      <x:c r="A63" s="76" t="str">
        <x:f>IF('08_Form_Erosion_Cotiere'!$M63="Validé humainement",'08_Form_Erosion_Cotiere'!A63,"")</x:f>
      </x:c>
      <x:c r="B63" s="76" t="str">
        <x:f>IF('08_Form_Erosion_Cotiere'!$M63="Validé humainement",'08_Form_Erosion_Cotiere'!B63,"")</x:f>
      </x:c>
      <x:c r="C63" s="76" t="str">
        <x:f>IF('08_Form_Erosion_Cotiere'!$M63="Validé humainement",'08_Form_Erosion_Cotiere'!C63,"")</x:f>
      </x:c>
      <x:c r="D63" s="76" t="str">
        <x:f>IF('08_Form_Erosion_Cotiere'!$M63="Validé humainement",'08_Form_Erosion_Cotiere'!D63,"")</x:f>
      </x:c>
      <x:c r="E63" s="77" t="str">
        <x:f>IF('08_Form_Erosion_Cotiere'!$M63="Validé humainement",'08_Form_Erosion_Cotiere'!E63,"")</x:f>
      </x:c>
      <x:c r="F63" s="76" t="str">
        <x:f>IF('08_Form_Erosion_Cotiere'!$M63="Validé humainement",'08_Form_Erosion_Cotiere'!F63,"")</x:f>
      </x:c>
      <x:c r="G63" s="76" t="str">
        <x:f>IF('08_Form_Erosion_Cotiere'!$M63="Validé humainement",'08_Form_Erosion_Cotiere'!G63,"")</x:f>
      </x:c>
      <x:c r="H63" s="81" t="str">
        <x:f>IF('08_Form_Erosion_Cotiere'!$M63="Validé humainement",'08_Form_Erosion_Cotiere'!H63,"")</x:f>
      </x:c>
      <x:c r="I63" s="76" t="str">
        <x:f>IF('08_Form_Erosion_Cotiere'!$M63="Validé humainement",'08_Form_Erosion_Cotiere'!I63,"")</x:f>
      </x:c>
      <x:c r="J63" s="76" t="str">
        <x:f>IF('08_Form_Erosion_Cotiere'!$M63="Validé humainement",'08_Form_Erosion_Cotiere'!J63,"")</x:f>
      </x:c>
      <x:c r="K63" s="76" t="str">
        <x:f>IF('08_Form_Erosion_Cotiere'!$M63="Validé humainement",'08_Form_Erosion_Cotiere'!K63,"")</x:f>
      </x:c>
      <x:c r="L63" s="76" t="str">
        <x:f>IF('08_Form_Erosion_Cotiere'!$M63="Validé humainement",'08_Form_Erosion_Cotiere'!L63,"")</x:f>
      </x:c>
      <x:c r="M63" s="76" t="str">
        <x:f>IF('08_Form_Erosion_Cotiere'!$M63="Validé humainement",'08_Form_Erosion_Cotiere'!M63,"")</x:f>
      </x:c>
      <x:c r="N63" s="78" t="str">
        <x:f>IF('08_Form_Erosion_Cotiere'!$M63="Validé humainement",'08_Form_Erosion_Cotiere'!N63,"")</x:f>
      </x:c>
      <x:c r="O63" s="76" t="str">
        <x:f>IF('08_Form_Erosion_Cotiere'!$M63="Validé humainement",'08_Form_Erosion_Cotiere'!O63,"")</x:f>
      </x:c>
      <x:c r="P63" s="76" t="str">
        <x:f>IF('08_Form_Erosion_Cotiere'!$M63="Validé humainement",'08_Form_Erosion_Cotiere'!P63,"")</x:f>
      </x:c>
      <x:c r="Q63" s="76" t="str">
        <x:f>IF('08_Form_Erosion_Cotiere'!$M63="Validé humainement",'08_Form_Erosion_Cotiere'!Q63,"")</x:f>
      </x:c>
    </x:row>
    <x:row r="64">
      <x:c r="A64" s="76" t="str">
        <x:f>IF('08_Form_Erosion_Cotiere'!$M64="Validé humainement",'08_Form_Erosion_Cotiere'!A64,"")</x:f>
      </x:c>
      <x:c r="B64" s="76" t="str">
        <x:f>IF('08_Form_Erosion_Cotiere'!$M64="Validé humainement",'08_Form_Erosion_Cotiere'!B64,"")</x:f>
      </x:c>
      <x:c r="C64" s="76" t="str">
        <x:f>IF('08_Form_Erosion_Cotiere'!$M64="Validé humainement",'08_Form_Erosion_Cotiere'!C64,"")</x:f>
      </x:c>
      <x:c r="D64" s="76" t="str">
        <x:f>IF('08_Form_Erosion_Cotiere'!$M64="Validé humainement",'08_Form_Erosion_Cotiere'!D64,"")</x:f>
      </x:c>
      <x:c r="E64" s="77" t="str">
        <x:f>IF('08_Form_Erosion_Cotiere'!$M64="Validé humainement",'08_Form_Erosion_Cotiere'!E64,"")</x:f>
      </x:c>
      <x:c r="F64" s="76" t="str">
        <x:f>IF('08_Form_Erosion_Cotiere'!$M64="Validé humainement",'08_Form_Erosion_Cotiere'!F64,"")</x:f>
      </x:c>
      <x:c r="G64" s="76" t="str">
        <x:f>IF('08_Form_Erosion_Cotiere'!$M64="Validé humainement",'08_Form_Erosion_Cotiere'!G64,"")</x:f>
      </x:c>
      <x:c r="H64" s="81" t="str">
        <x:f>IF('08_Form_Erosion_Cotiere'!$M64="Validé humainement",'08_Form_Erosion_Cotiere'!H64,"")</x:f>
      </x:c>
      <x:c r="I64" s="76" t="str">
        <x:f>IF('08_Form_Erosion_Cotiere'!$M64="Validé humainement",'08_Form_Erosion_Cotiere'!I64,"")</x:f>
      </x:c>
      <x:c r="J64" s="76" t="str">
        <x:f>IF('08_Form_Erosion_Cotiere'!$M64="Validé humainement",'08_Form_Erosion_Cotiere'!J64,"")</x:f>
      </x:c>
      <x:c r="K64" s="76" t="str">
        <x:f>IF('08_Form_Erosion_Cotiere'!$M64="Validé humainement",'08_Form_Erosion_Cotiere'!K64,"")</x:f>
      </x:c>
      <x:c r="L64" s="76" t="str">
        <x:f>IF('08_Form_Erosion_Cotiere'!$M64="Validé humainement",'08_Form_Erosion_Cotiere'!L64,"")</x:f>
      </x:c>
      <x:c r="M64" s="76" t="str">
        <x:f>IF('08_Form_Erosion_Cotiere'!$M64="Validé humainement",'08_Form_Erosion_Cotiere'!M64,"")</x:f>
      </x:c>
      <x:c r="N64" s="78" t="str">
        <x:f>IF('08_Form_Erosion_Cotiere'!$M64="Validé humainement",'08_Form_Erosion_Cotiere'!N64,"")</x:f>
      </x:c>
      <x:c r="O64" s="76" t="str">
        <x:f>IF('08_Form_Erosion_Cotiere'!$M64="Validé humainement",'08_Form_Erosion_Cotiere'!O64,"")</x:f>
      </x:c>
      <x:c r="P64" s="76" t="str">
        <x:f>IF('08_Form_Erosion_Cotiere'!$M64="Validé humainement",'08_Form_Erosion_Cotiere'!P64,"")</x:f>
      </x:c>
      <x:c r="Q64" s="76" t="str">
        <x:f>IF('08_Form_Erosion_Cotiere'!$M64="Validé humainement",'08_Form_Erosion_Cotiere'!Q64,"")</x:f>
      </x:c>
    </x:row>
    <x:row r="65">
      <x:c r="A65" s="76" t="str">
        <x:f>IF('08_Form_Erosion_Cotiere'!$M65="Validé humainement",'08_Form_Erosion_Cotiere'!A65,"")</x:f>
      </x:c>
      <x:c r="B65" s="76" t="str">
        <x:f>IF('08_Form_Erosion_Cotiere'!$M65="Validé humainement",'08_Form_Erosion_Cotiere'!B65,"")</x:f>
      </x:c>
      <x:c r="C65" s="76" t="str">
        <x:f>IF('08_Form_Erosion_Cotiere'!$M65="Validé humainement",'08_Form_Erosion_Cotiere'!C65,"")</x:f>
      </x:c>
      <x:c r="D65" s="76" t="str">
        <x:f>IF('08_Form_Erosion_Cotiere'!$M65="Validé humainement",'08_Form_Erosion_Cotiere'!D65,"")</x:f>
      </x:c>
      <x:c r="E65" s="77" t="str">
        <x:f>IF('08_Form_Erosion_Cotiere'!$M65="Validé humainement",'08_Form_Erosion_Cotiere'!E65,"")</x:f>
      </x:c>
      <x:c r="F65" s="76" t="str">
        <x:f>IF('08_Form_Erosion_Cotiere'!$M65="Validé humainement",'08_Form_Erosion_Cotiere'!F65,"")</x:f>
      </x:c>
      <x:c r="G65" s="76" t="str">
        <x:f>IF('08_Form_Erosion_Cotiere'!$M65="Validé humainement",'08_Form_Erosion_Cotiere'!G65,"")</x:f>
      </x:c>
      <x:c r="H65" s="81" t="str">
        <x:f>IF('08_Form_Erosion_Cotiere'!$M65="Validé humainement",'08_Form_Erosion_Cotiere'!H65,"")</x:f>
      </x:c>
      <x:c r="I65" s="76" t="str">
        <x:f>IF('08_Form_Erosion_Cotiere'!$M65="Validé humainement",'08_Form_Erosion_Cotiere'!I65,"")</x:f>
      </x:c>
      <x:c r="J65" s="76" t="str">
        <x:f>IF('08_Form_Erosion_Cotiere'!$M65="Validé humainement",'08_Form_Erosion_Cotiere'!J65,"")</x:f>
      </x:c>
      <x:c r="K65" s="76" t="str">
        <x:f>IF('08_Form_Erosion_Cotiere'!$M65="Validé humainement",'08_Form_Erosion_Cotiere'!K65,"")</x:f>
      </x:c>
      <x:c r="L65" s="76" t="str">
        <x:f>IF('08_Form_Erosion_Cotiere'!$M65="Validé humainement",'08_Form_Erosion_Cotiere'!L65,"")</x:f>
      </x:c>
      <x:c r="M65" s="76" t="str">
        <x:f>IF('08_Form_Erosion_Cotiere'!$M65="Validé humainement",'08_Form_Erosion_Cotiere'!M65,"")</x:f>
      </x:c>
      <x:c r="N65" s="78" t="str">
        <x:f>IF('08_Form_Erosion_Cotiere'!$M65="Validé humainement",'08_Form_Erosion_Cotiere'!N65,"")</x:f>
      </x:c>
      <x:c r="O65" s="76" t="str">
        <x:f>IF('08_Form_Erosion_Cotiere'!$M65="Validé humainement",'08_Form_Erosion_Cotiere'!O65,"")</x:f>
      </x:c>
      <x:c r="P65" s="76" t="str">
        <x:f>IF('08_Form_Erosion_Cotiere'!$M65="Validé humainement",'08_Form_Erosion_Cotiere'!P65,"")</x:f>
      </x:c>
      <x:c r="Q65" s="76" t="str">
        <x:f>IF('08_Form_Erosion_Cotiere'!$M65="Validé humainement",'08_Form_Erosion_Cotiere'!Q65,"")</x:f>
      </x:c>
    </x:row>
    <x:row r="66">
      <x:c r="A66" s="76" t="str">
        <x:f>IF('08_Form_Erosion_Cotiere'!$M66="Validé humainement",'08_Form_Erosion_Cotiere'!A66,"")</x:f>
      </x:c>
      <x:c r="B66" s="76" t="str">
        <x:f>IF('08_Form_Erosion_Cotiere'!$M66="Validé humainement",'08_Form_Erosion_Cotiere'!B66,"")</x:f>
      </x:c>
      <x:c r="C66" s="76" t="str">
        <x:f>IF('08_Form_Erosion_Cotiere'!$M66="Validé humainement",'08_Form_Erosion_Cotiere'!C66,"")</x:f>
      </x:c>
      <x:c r="D66" s="76" t="str">
        <x:f>IF('08_Form_Erosion_Cotiere'!$M66="Validé humainement",'08_Form_Erosion_Cotiere'!D66,"")</x:f>
      </x:c>
      <x:c r="E66" s="77" t="str">
        <x:f>IF('08_Form_Erosion_Cotiere'!$M66="Validé humainement",'08_Form_Erosion_Cotiere'!E66,"")</x:f>
      </x:c>
      <x:c r="F66" s="76" t="str">
        <x:f>IF('08_Form_Erosion_Cotiere'!$M66="Validé humainement",'08_Form_Erosion_Cotiere'!F66,"")</x:f>
      </x:c>
      <x:c r="G66" s="76" t="str">
        <x:f>IF('08_Form_Erosion_Cotiere'!$M66="Validé humainement",'08_Form_Erosion_Cotiere'!G66,"")</x:f>
      </x:c>
      <x:c r="H66" s="81" t="str">
        <x:f>IF('08_Form_Erosion_Cotiere'!$M66="Validé humainement",'08_Form_Erosion_Cotiere'!H66,"")</x:f>
      </x:c>
      <x:c r="I66" s="76" t="str">
        <x:f>IF('08_Form_Erosion_Cotiere'!$M66="Validé humainement",'08_Form_Erosion_Cotiere'!I66,"")</x:f>
      </x:c>
      <x:c r="J66" s="76" t="str">
        <x:f>IF('08_Form_Erosion_Cotiere'!$M66="Validé humainement",'08_Form_Erosion_Cotiere'!J66,"")</x:f>
      </x:c>
      <x:c r="K66" s="76" t="str">
        <x:f>IF('08_Form_Erosion_Cotiere'!$M66="Validé humainement",'08_Form_Erosion_Cotiere'!K66,"")</x:f>
      </x:c>
      <x:c r="L66" s="76" t="str">
        <x:f>IF('08_Form_Erosion_Cotiere'!$M66="Validé humainement",'08_Form_Erosion_Cotiere'!L66,"")</x:f>
      </x:c>
      <x:c r="M66" s="76" t="str">
        <x:f>IF('08_Form_Erosion_Cotiere'!$M66="Validé humainement",'08_Form_Erosion_Cotiere'!M66,"")</x:f>
      </x:c>
      <x:c r="N66" s="78" t="str">
        <x:f>IF('08_Form_Erosion_Cotiere'!$M66="Validé humainement",'08_Form_Erosion_Cotiere'!N66,"")</x:f>
      </x:c>
      <x:c r="O66" s="76" t="str">
        <x:f>IF('08_Form_Erosion_Cotiere'!$M66="Validé humainement",'08_Form_Erosion_Cotiere'!O66,"")</x:f>
      </x:c>
      <x:c r="P66" s="76" t="str">
        <x:f>IF('08_Form_Erosion_Cotiere'!$M66="Validé humainement",'08_Form_Erosion_Cotiere'!P66,"")</x:f>
      </x:c>
      <x:c r="Q66" s="76" t="str">
        <x:f>IF('08_Form_Erosion_Cotiere'!$M66="Validé humainement",'08_Form_Erosion_Cotiere'!Q66,"")</x:f>
      </x:c>
    </x:row>
    <x:row r="67">
      <x:c r="A67" s="76" t="str">
        <x:f>IF('08_Form_Erosion_Cotiere'!$M67="Validé humainement",'08_Form_Erosion_Cotiere'!A67,"")</x:f>
      </x:c>
      <x:c r="B67" s="76" t="str">
        <x:f>IF('08_Form_Erosion_Cotiere'!$M67="Validé humainement",'08_Form_Erosion_Cotiere'!B67,"")</x:f>
      </x:c>
      <x:c r="C67" s="76" t="str">
        <x:f>IF('08_Form_Erosion_Cotiere'!$M67="Validé humainement",'08_Form_Erosion_Cotiere'!C67,"")</x:f>
      </x:c>
      <x:c r="D67" s="76" t="str">
        <x:f>IF('08_Form_Erosion_Cotiere'!$M67="Validé humainement",'08_Form_Erosion_Cotiere'!D67,"")</x:f>
      </x:c>
      <x:c r="E67" s="77" t="str">
        <x:f>IF('08_Form_Erosion_Cotiere'!$M67="Validé humainement",'08_Form_Erosion_Cotiere'!E67,"")</x:f>
      </x:c>
      <x:c r="F67" s="76" t="str">
        <x:f>IF('08_Form_Erosion_Cotiere'!$M67="Validé humainement",'08_Form_Erosion_Cotiere'!F67,"")</x:f>
      </x:c>
      <x:c r="G67" s="76" t="str">
        <x:f>IF('08_Form_Erosion_Cotiere'!$M67="Validé humainement",'08_Form_Erosion_Cotiere'!G67,"")</x:f>
      </x:c>
      <x:c r="H67" s="81" t="str">
        <x:f>IF('08_Form_Erosion_Cotiere'!$M67="Validé humainement",'08_Form_Erosion_Cotiere'!H67,"")</x:f>
      </x:c>
      <x:c r="I67" s="76" t="str">
        <x:f>IF('08_Form_Erosion_Cotiere'!$M67="Validé humainement",'08_Form_Erosion_Cotiere'!I67,"")</x:f>
      </x:c>
      <x:c r="J67" s="76" t="str">
        <x:f>IF('08_Form_Erosion_Cotiere'!$M67="Validé humainement",'08_Form_Erosion_Cotiere'!J67,"")</x:f>
      </x:c>
      <x:c r="K67" s="76" t="str">
        <x:f>IF('08_Form_Erosion_Cotiere'!$M67="Validé humainement",'08_Form_Erosion_Cotiere'!K67,"")</x:f>
      </x:c>
      <x:c r="L67" s="76" t="str">
        <x:f>IF('08_Form_Erosion_Cotiere'!$M67="Validé humainement",'08_Form_Erosion_Cotiere'!L67,"")</x:f>
      </x:c>
      <x:c r="M67" s="76" t="str">
        <x:f>IF('08_Form_Erosion_Cotiere'!$M67="Validé humainement",'08_Form_Erosion_Cotiere'!M67,"")</x:f>
      </x:c>
      <x:c r="N67" s="78" t="str">
        <x:f>IF('08_Form_Erosion_Cotiere'!$M67="Validé humainement",'08_Form_Erosion_Cotiere'!N67,"")</x:f>
      </x:c>
      <x:c r="O67" s="76" t="str">
        <x:f>IF('08_Form_Erosion_Cotiere'!$M67="Validé humainement",'08_Form_Erosion_Cotiere'!O67,"")</x:f>
      </x:c>
      <x:c r="P67" s="76" t="str">
        <x:f>IF('08_Form_Erosion_Cotiere'!$M67="Validé humainement",'08_Form_Erosion_Cotiere'!P67,"")</x:f>
      </x:c>
      <x:c r="Q67" s="76" t="str">
        <x:f>IF('08_Form_Erosion_Cotiere'!$M67="Validé humainement",'08_Form_Erosion_Cotiere'!Q67,"")</x:f>
      </x:c>
    </x:row>
    <x:row r="68">
      <x:c r="A68" s="76" t="str">
        <x:f>IF('08_Form_Erosion_Cotiere'!$M68="Validé humainement",'08_Form_Erosion_Cotiere'!A68,"")</x:f>
      </x:c>
      <x:c r="B68" s="76" t="str">
        <x:f>IF('08_Form_Erosion_Cotiere'!$M68="Validé humainement",'08_Form_Erosion_Cotiere'!B68,"")</x:f>
      </x:c>
      <x:c r="C68" s="76" t="str">
        <x:f>IF('08_Form_Erosion_Cotiere'!$M68="Validé humainement",'08_Form_Erosion_Cotiere'!C68,"")</x:f>
      </x:c>
      <x:c r="D68" s="76" t="str">
        <x:f>IF('08_Form_Erosion_Cotiere'!$M68="Validé humainement",'08_Form_Erosion_Cotiere'!D68,"")</x:f>
      </x:c>
      <x:c r="E68" s="77" t="str">
        <x:f>IF('08_Form_Erosion_Cotiere'!$M68="Validé humainement",'08_Form_Erosion_Cotiere'!E68,"")</x:f>
      </x:c>
      <x:c r="F68" s="76" t="str">
        <x:f>IF('08_Form_Erosion_Cotiere'!$M68="Validé humainement",'08_Form_Erosion_Cotiere'!F68,"")</x:f>
      </x:c>
      <x:c r="G68" s="76" t="str">
        <x:f>IF('08_Form_Erosion_Cotiere'!$M68="Validé humainement",'08_Form_Erosion_Cotiere'!G68,"")</x:f>
      </x:c>
      <x:c r="H68" s="81" t="str">
        <x:f>IF('08_Form_Erosion_Cotiere'!$M68="Validé humainement",'08_Form_Erosion_Cotiere'!H68,"")</x:f>
      </x:c>
      <x:c r="I68" s="76" t="str">
        <x:f>IF('08_Form_Erosion_Cotiere'!$M68="Validé humainement",'08_Form_Erosion_Cotiere'!I68,"")</x:f>
      </x:c>
      <x:c r="J68" s="76" t="str">
        <x:f>IF('08_Form_Erosion_Cotiere'!$M68="Validé humainement",'08_Form_Erosion_Cotiere'!J68,"")</x:f>
      </x:c>
      <x:c r="K68" s="76" t="str">
        <x:f>IF('08_Form_Erosion_Cotiere'!$M68="Validé humainement",'08_Form_Erosion_Cotiere'!K68,"")</x:f>
      </x:c>
      <x:c r="L68" s="76" t="str">
        <x:f>IF('08_Form_Erosion_Cotiere'!$M68="Validé humainement",'08_Form_Erosion_Cotiere'!L68,"")</x:f>
      </x:c>
      <x:c r="M68" s="76" t="str">
        <x:f>IF('08_Form_Erosion_Cotiere'!$M68="Validé humainement",'08_Form_Erosion_Cotiere'!M68,"")</x:f>
      </x:c>
      <x:c r="N68" s="78" t="str">
        <x:f>IF('08_Form_Erosion_Cotiere'!$M68="Validé humainement",'08_Form_Erosion_Cotiere'!N68,"")</x:f>
      </x:c>
      <x:c r="O68" s="76" t="str">
        <x:f>IF('08_Form_Erosion_Cotiere'!$M68="Validé humainement",'08_Form_Erosion_Cotiere'!O68,"")</x:f>
      </x:c>
      <x:c r="P68" s="76" t="str">
        <x:f>IF('08_Form_Erosion_Cotiere'!$M68="Validé humainement",'08_Form_Erosion_Cotiere'!P68,"")</x:f>
      </x:c>
      <x:c r="Q68" s="76" t="str">
        <x:f>IF('08_Form_Erosion_Cotiere'!$M68="Validé humainement",'08_Form_Erosion_Cotiere'!Q68,"")</x:f>
      </x:c>
    </x:row>
    <x:row r="69">
      <x:c r="A69" s="76" t="str">
        <x:f>IF('08_Form_Erosion_Cotiere'!$M69="Validé humainement",'08_Form_Erosion_Cotiere'!A69,"")</x:f>
      </x:c>
      <x:c r="B69" s="76" t="str">
        <x:f>IF('08_Form_Erosion_Cotiere'!$M69="Validé humainement",'08_Form_Erosion_Cotiere'!B69,"")</x:f>
      </x:c>
      <x:c r="C69" s="76" t="str">
        <x:f>IF('08_Form_Erosion_Cotiere'!$M69="Validé humainement",'08_Form_Erosion_Cotiere'!C69,"")</x:f>
      </x:c>
      <x:c r="D69" s="76" t="str">
        <x:f>IF('08_Form_Erosion_Cotiere'!$M69="Validé humainement",'08_Form_Erosion_Cotiere'!D69,"")</x:f>
      </x:c>
      <x:c r="E69" s="77" t="str">
        <x:f>IF('08_Form_Erosion_Cotiere'!$M69="Validé humainement",'08_Form_Erosion_Cotiere'!E69,"")</x:f>
      </x:c>
      <x:c r="F69" s="76" t="str">
        <x:f>IF('08_Form_Erosion_Cotiere'!$M69="Validé humainement",'08_Form_Erosion_Cotiere'!F69,"")</x:f>
      </x:c>
      <x:c r="G69" s="76" t="str">
        <x:f>IF('08_Form_Erosion_Cotiere'!$M69="Validé humainement",'08_Form_Erosion_Cotiere'!G69,"")</x:f>
      </x:c>
      <x:c r="H69" s="81" t="str">
        <x:f>IF('08_Form_Erosion_Cotiere'!$M69="Validé humainement",'08_Form_Erosion_Cotiere'!H69,"")</x:f>
      </x:c>
      <x:c r="I69" s="76" t="str">
        <x:f>IF('08_Form_Erosion_Cotiere'!$M69="Validé humainement",'08_Form_Erosion_Cotiere'!I69,"")</x:f>
      </x:c>
      <x:c r="J69" s="76" t="str">
        <x:f>IF('08_Form_Erosion_Cotiere'!$M69="Validé humainement",'08_Form_Erosion_Cotiere'!J69,"")</x:f>
      </x:c>
      <x:c r="K69" s="76" t="str">
        <x:f>IF('08_Form_Erosion_Cotiere'!$M69="Validé humainement",'08_Form_Erosion_Cotiere'!K69,"")</x:f>
      </x:c>
      <x:c r="L69" s="76" t="str">
        <x:f>IF('08_Form_Erosion_Cotiere'!$M69="Validé humainement",'08_Form_Erosion_Cotiere'!L69,"")</x:f>
      </x:c>
      <x:c r="M69" s="76" t="str">
        <x:f>IF('08_Form_Erosion_Cotiere'!$M69="Validé humainement",'08_Form_Erosion_Cotiere'!M69,"")</x:f>
      </x:c>
      <x:c r="N69" s="78" t="str">
        <x:f>IF('08_Form_Erosion_Cotiere'!$M69="Validé humainement",'08_Form_Erosion_Cotiere'!N69,"")</x:f>
      </x:c>
      <x:c r="O69" s="76" t="str">
        <x:f>IF('08_Form_Erosion_Cotiere'!$M69="Validé humainement",'08_Form_Erosion_Cotiere'!O69,"")</x:f>
      </x:c>
      <x:c r="P69" s="76" t="str">
        <x:f>IF('08_Form_Erosion_Cotiere'!$M69="Validé humainement",'08_Form_Erosion_Cotiere'!P69,"")</x:f>
      </x:c>
      <x:c r="Q69" s="76" t="str">
        <x:f>IF('08_Form_Erosion_Cotiere'!$M69="Validé humainement",'08_Form_Erosion_Cotiere'!Q69,"")</x:f>
      </x:c>
    </x:row>
    <x:row r="70">
      <x:c r="A70" s="76" t="str">
        <x:f>IF('08_Form_Erosion_Cotiere'!$M70="Validé humainement",'08_Form_Erosion_Cotiere'!A70,"")</x:f>
      </x:c>
      <x:c r="B70" s="76" t="str">
        <x:f>IF('08_Form_Erosion_Cotiere'!$M70="Validé humainement",'08_Form_Erosion_Cotiere'!B70,"")</x:f>
      </x:c>
      <x:c r="C70" s="76" t="str">
        <x:f>IF('08_Form_Erosion_Cotiere'!$M70="Validé humainement",'08_Form_Erosion_Cotiere'!C70,"")</x:f>
      </x:c>
      <x:c r="D70" s="76" t="str">
        <x:f>IF('08_Form_Erosion_Cotiere'!$M70="Validé humainement",'08_Form_Erosion_Cotiere'!D70,"")</x:f>
      </x:c>
      <x:c r="E70" s="77" t="str">
        <x:f>IF('08_Form_Erosion_Cotiere'!$M70="Validé humainement",'08_Form_Erosion_Cotiere'!E70,"")</x:f>
      </x:c>
      <x:c r="F70" s="76" t="str">
        <x:f>IF('08_Form_Erosion_Cotiere'!$M70="Validé humainement",'08_Form_Erosion_Cotiere'!F70,"")</x:f>
      </x:c>
      <x:c r="G70" s="76" t="str">
        <x:f>IF('08_Form_Erosion_Cotiere'!$M70="Validé humainement",'08_Form_Erosion_Cotiere'!G70,"")</x:f>
      </x:c>
      <x:c r="H70" s="81" t="str">
        <x:f>IF('08_Form_Erosion_Cotiere'!$M70="Validé humainement",'08_Form_Erosion_Cotiere'!H70,"")</x:f>
      </x:c>
      <x:c r="I70" s="76" t="str">
        <x:f>IF('08_Form_Erosion_Cotiere'!$M70="Validé humainement",'08_Form_Erosion_Cotiere'!I70,"")</x:f>
      </x:c>
      <x:c r="J70" s="76" t="str">
        <x:f>IF('08_Form_Erosion_Cotiere'!$M70="Validé humainement",'08_Form_Erosion_Cotiere'!J70,"")</x:f>
      </x:c>
      <x:c r="K70" s="76" t="str">
        <x:f>IF('08_Form_Erosion_Cotiere'!$M70="Validé humainement",'08_Form_Erosion_Cotiere'!K70,"")</x:f>
      </x:c>
      <x:c r="L70" s="76" t="str">
        <x:f>IF('08_Form_Erosion_Cotiere'!$M70="Validé humainement",'08_Form_Erosion_Cotiere'!L70,"")</x:f>
      </x:c>
      <x:c r="M70" s="76" t="str">
        <x:f>IF('08_Form_Erosion_Cotiere'!$M70="Validé humainement",'08_Form_Erosion_Cotiere'!M70,"")</x:f>
      </x:c>
      <x:c r="N70" s="78" t="str">
        <x:f>IF('08_Form_Erosion_Cotiere'!$M70="Validé humainement",'08_Form_Erosion_Cotiere'!N70,"")</x:f>
      </x:c>
      <x:c r="O70" s="76" t="str">
        <x:f>IF('08_Form_Erosion_Cotiere'!$M70="Validé humainement",'08_Form_Erosion_Cotiere'!O70,"")</x:f>
      </x:c>
      <x:c r="P70" s="76" t="str">
        <x:f>IF('08_Form_Erosion_Cotiere'!$M70="Validé humainement",'08_Form_Erosion_Cotiere'!P70,"")</x:f>
      </x:c>
      <x:c r="Q70" s="76" t="str">
        <x:f>IF('08_Form_Erosion_Cotiere'!$M70="Validé humainement",'08_Form_Erosion_Cotiere'!Q70,"")</x:f>
      </x:c>
    </x:row>
    <x:row r="71">
      <x:c r="A71" s="76" t="str">
        <x:f>IF('08_Form_Erosion_Cotiere'!$M71="Validé humainement",'08_Form_Erosion_Cotiere'!A71,"")</x:f>
      </x:c>
      <x:c r="B71" s="76" t="str">
        <x:f>IF('08_Form_Erosion_Cotiere'!$M71="Validé humainement",'08_Form_Erosion_Cotiere'!B71,"")</x:f>
      </x:c>
      <x:c r="C71" s="76" t="str">
        <x:f>IF('08_Form_Erosion_Cotiere'!$M71="Validé humainement",'08_Form_Erosion_Cotiere'!C71,"")</x:f>
      </x:c>
      <x:c r="D71" s="76" t="str">
        <x:f>IF('08_Form_Erosion_Cotiere'!$M71="Validé humainement",'08_Form_Erosion_Cotiere'!D71,"")</x:f>
      </x:c>
      <x:c r="E71" s="77" t="str">
        <x:f>IF('08_Form_Erosion_Cotiere'!$M71="Validé humainement",'08_Form_Erosion_Cotiere'!E71,"")</x:f>
      </x:c>
      <x:c r="F71" s="76" t="str">
        <x:f>IF('08_Form_Erosion_Cotiere'!$M71="Validé humainement",'08_Form_Erosion_Cotiere'!F71,"")</x:f>
      </x:c>
      <x:c r="G71" s="76" t="str">
        <x:f>IF('08_Form_Erosion_Cotiere'!$M71="Validé humainement",'08_Form_Erosion_Cotiere'!G71,"")</x:f>
      </x:c>
      <x:c r="H71" s="81" t="str">
        <x:f>IF('08_Form_Erosion_Cotiere'!$M71="Validé humainement",'08_Form_Erosion_Cotiere'!H71,"")</x:f>
      </x:c>
      <x:c r="I71" s="76" t="str">
        <x:f>IF('08_Form_Erosion_Cotiere'!$M71="Validé humainement",'08_Form_Erosion_Cotiere'!I71,"")</x:f>
      </x:c>
      <x:c r="J71" s="76" t="str">
        <x:f>IF('08_Form_Erosion_Cotiere'!$M71="Validé humainement",'08_Form_Erosion_Cotiere'!J71,"")</x:f>
      </x:c>
      <x:c r="K71" s="76" t="str">
        <x:f>IF('08_Form_Erosion_Cotiere'!$M71="Validé humainement",'08_Form_Erosion_Cotiere'!K71,"")</x:f>
      </x:c>
      <x:c r="L71" s="76" t="str">
        <x:f>IF('08_Form_Erosion_Cotiere'!$M71="Validé humainement",'08_Form_Erosion_Cotiere'!L71,"")</x:f>
      </x:c>
      <x:c r="M71" s="76" t="str">
        <x:f>IF('08_Form_Erosion_Cotiere'!$M71="Validé humainement",'08_Form_Erosion_Cotiere'!M71,"")</x:f>
      </x:c>
      <x:c r="N71" s="78" t="str">
        <x:f>IF('08_Form_Erosion_Cotiere'!$M71="Validé humainement",'08_Form_Erosion_Cotiere'!N71,"")</x:f>
      </x:c>
      <x:c r="O71" s="76" t="str">
        <x:f>IF('08_Form_Erosion_Cotiere'!$M71="Validé humainement",'08_Form_Erosion_Cotiere'!O71,"")</x:f>
      </x:c>
      <x:c r="P71" s="76" t="str">
        <x:f>IF('08_Form_Erosion_Cotiere'!$M71="Validé humainement",'08_Form_Erosion_Cotiere'!P71,"")</x:f>
      </x:c>
      <x:c r="Q71" s="76" t="str">
        <x:f>IF('08_Form_Erosion_Cotiere'!$M71="Validé humainement",'08_Form_Erosion_Cotiere'!Q71,"")</x:f>
      </x:c>
    </x:row>
    <x:row r="72">
      <x:c r="A72" s="76" t="str">
        <x:f>IF('08_Form_Erosion_Cotiere'!$M72="Validé humainement",'08_Form_Erosion_Cotiere'!A72,"")</x:f>
      </x:c>
      <x:c r="B72" s="76" t="str">
        <x:f>IF('08_Form_Erosion_Cotiere'!$M72="Validé humainement",'08_Form_Erosion_Cotiere'!B72,"")</x:f>
      </x:c>
      <x:c r="C72" s="76" t="str">
        <x:f>IF('08_Form_Erosion_Cotiere'!$M72="Validé humainement",'08_Form_Erosion_Cotiere'!C72,"")</x:f>
      </x:c>
      <x:c r="D72" s="76" t="str">
        <x:f>IF('08_Form_Erosion_Cotiere'!$M72="Validé humainement",'08_Form_Erosion_Cotiere'!D72,"")</x:f>
      </x:c>
      <x:c r="E72" s="77" t="str">
        <x:f>IF('08_Form_Erosion_Cotiere'!$M72="Validé humainement",'08_Form_Erosion_Cotiere'!E72,"")</x:f>
      </x:c>
      <x:c r="F72" s="76" t="str">
        <x:f>IF('08_Form_Erosion_Cotiere'!$M72="Validé humainement",'08_Form_Erosion_Cotiere'!F72,"")</x:f>
      </x:c>
      <x:c r="G72" s="76" t="str">
        <x:f>IF('08_Form_Erosion_Cotiere'!$M72="Validé humainement",'08_Form_Erosion_Cotiere'!G72,"")</x:f>
      </x:c>
      <x:c r="H72" s="81" t="str">
        <x:f>IF('08_Form_Erosion_Cotiere'!$M72="Validé humainement",'08_Form_Erosion_Cotiere'!H72,"")</x:f>
      </x:c>
      <x:c r="I72" s="76" t="str">
        <x:f>IF('08_Form_Erosion_Cotiere'!$M72="Validé humainement",'08_Form_Erosion_Cotiere'!I72,"")</x:f>
      </x:c>
      <x:c r="J72" s="76" t="str">
        <x:f>IF('08_Form_Erosion_Cotiere'!$M72="Validé humainement",'08_Form_Erosion_Cotiere'!J72,"")</x:f>
      </x:c>
      <x:c r="K72" s="76" t="str">
        <x:f>IF('08_Form_Erosion_Cotiere'!$M72="Validé humainement",'08_Form_Erosion_Cotiere'!K72,"")</x:f>
      </x:c>
      <x:c r="L72" s="76" t="str">
        <x:f>IF('08_Form_Erosion_Cotiere'!$M72="Validé humainement",'08_Form_Erosion_Cotiere'!L72,"")</x:f>
      </x:c>
      <x:c r="M72" s="76" t="str">
        <x:f>IF('08_Form_Erosion_Cotiere'!$M72="Validé humainement",'08_Form_Erosion_Cotiere'!M72,"")</x:f>
      </x:c>
      <x:c r="N72" s="78" t="str">
        <x:f>IF('08_Form_Erosion_Cotiere'!$M72="Validé humainement",'08_Form_Erosion_Cotiere'!N72,"")</x:f>
      </x:c>
      <x:c r="O72" s="76" t="str">
        <x:f>IF('08_Form_Erosion_Cotiere'!$M72="Validé humainement",'08_Form_Erosion_Cotiere'!O72,"")</x:f>
      </x:c>
      <x:c r="P72" s="76" t="str">
        <x:f>IF('08_Form_Erosion_Cotiere'!$M72="Validé humainement",'08_Form_Erosion_Cotiere'!P72,"")</x:f>
      </x:c>
      <x:c r="Q72" s="76" t="str">
        <x:f>IF('08_Form_Erosion_Cotiere'!$M72="Validé humainement",'08_Form_Erosion_Cotiere'!Q72,"")</x:f>
      </x:c>
    </x:row>
    <x:row r="73">
      <x:c r="A73" s="76" t="str">
        <x:f>IF('08_Form_Erosion_Cotiere'!$M73="Validé humainement",'08_Form_Erosion_Cotiere'!A73,"")</x:f>
      </x:c>
      <x:c r="B73" s="76" t="str">
        <x:f>IF('08_Form_Erosion_Cotiere'!$M73="Validé humainement",'08_Form_Erosion_Cotiere'!B73,"")</x:f>
      </x:c>
      <x:c r="C73" s="76" t="str">
        <x:f>IF('08_Form_Erosion_Cotiere'!$M73="Validé humainement",'08_Form_Erosion_Cotiere'!C73,"")</x:f>
      </x:c>
      <x:c r="D73" s="76" t="str">
        <x:f>IF('08_Form_Erosion_Cotiere'!$M73="Validé humainement",'08_Form_Erosion_Cotiere'!D73,"")</x:f>
      </x:c>
      <x:c r="E73" s="77" t="str">
        <x:f>IF('08_Form_Erosion_Cotiere'!$M73="Validé humainement",'08_Form_Erosion_Cotiere'!E73,"")</x:f>
      </x:c>
      <x:c r="F73" s="76" t="str">
        <x:f>IF('08_Form_Erosion_Cotiere'!$M73="Validé humainement",'08_Form_Erosion_Cotiere'!F73,"")</x:f>
      </x:c>
      <x:c r="G73" s="76" t="str">
        <x:f>IF('08_Form_Erosion_Cotiere'!$M73="Validé humainement",'08_Form_Erosion_Cotiere'!G73,"")</x:f>
      </x:c>
      <x:c r="H73" s="81" t="str">
        <x:f>IF('08_Form_Erosion_Cotiere'!$M73="Validé humainement",'08_Form_Erosion_Cotiere'!H73,"")</x:f>
      </x:c>
      <x:c r="I73" s="76" t="str">
        <x:f>IF('08_Form_Erosion_Cotiere'!$M73="Validé humainement",'08_Form_Erosion_Cotiere'!I73,"")</x:f>
      </x:c>
      <x:c r="J73" s="76" t="str">
        <x:f>IF('08_Form_Erosion_Cotiere'!$M73="Validé humainement",'08_Form_Erosion_Cotiere'!J73,"")</x:f>
      </x:c>
      <x:c r="K73" s="76" t="str">
        <x:f>IF('08_Form_Erosion_Cotiere'!$M73="Validé humainement",'08_Form_Erosion_Cotiere'!K73,"")</x:f>
      </x:c>
      <x:c r="L73" s="76" t="str">
        <x:f>IF('08_Form_Erosion_Cotiere'!$M73="Validé humainement",'08_Form_Erosion_Cotiere'!L73,"")</x:f>
      </x:c>
      <x:c r="M73" s="76" t="str">
        <x:f>IF('08_Form_Erosion_Cotiere'!$M73="Validé humainement",'08_Form_Erosion_Cotiere'!M73,"")</x:f>
      </x:c>
      <x:c r="N73" s="78" t="str">
        <x:f>IF('08_Form_Erosion_Cotiere'!$M73="Validé humainement",'08_Form_Erosion_Cotiere'!N73,"")</x:f>
      </x:c>
      <x:c r="O73" s="76" t="str">
        <x:f>IF('08_Form_Erosion_Cotiere'!$M73="Validé humainement",'08_Form_Erosion_Cotiere'!O73,"")</x:f>
      </x:c>
      <x:c r="P73" s="76" t="str">
        <x:f>IF('08_Form_Erosion_Cotiere'!$M73="Validé humainement",'08_Form_Erosion_Cotiere'!P73,"")</x:f>
      </x:c>
      <x:c r="Q73" s="76" t="str">
        <x:f>IF('08_Form_Erosion_Cotiere'!$M73="Validé humainement",'08_Form_Erosion_Cotiere'!Q73,"")</x:f>
      </x:c>
    </x:row>
    <x:row r="74">
      <x:c r="A74" s="76" t="str">
        <x:f>IF('08_Form_Erosion_Cotiere'!$M74="Validé humainement",'08_Form_Erosion_Cotiere'!A74,"")</x:f>
      </x:c>
      <x:c r="B74" s="76" t="str">
        <x:f>IF('08_Form_Erosion_Cotiere'!$M74="Validé humainement",'08_Form_Erosion_Cotiere'!B74,"")</x:f>
      </x:c>
      <x:c r="C74" s="76" t="str">
        <x:f>IF('08_Form_Erosion_Cotiere'!$M74="Validé humainement",'08_Form_Erosion_Cotiere'!C74,"")</x:f>
      </x:c>
      <x:c r="D74" s="76" t="str">
        <x:f>IF('08_Form_Erosion_Cotiere'!$M74="Validé humainement",'08_Form_Erosion_Cotiere'!D74,"")</x:f>
      </x:c>
      <x:c r="E74" s="77" t="str">
        <x:f>IF('08_Form_Erosion_Cotiere'!$M74="Validé humainement",'08_Form_Erosion_Cotiere'!E74,"")</x:f>
      </x:c>
      <x:c r="F74" s="76" t="str">
        <x:f>IF('08_Form_Erosion_Cotiere'!$M74="Validé humainement",'08_Form_Erosion_Cotiere'!F74,"")</x:f>
      </x:c>
      <x:c r="G74" s="76" t="str">
        <x:f>IF('08_Form_Erosion_Cotiere'!$M74="Validé humainement",'08_Form_Erosion_Cotiere'!G74,"")</x:f>
      </x:c>
      <x:c r="H74" s="81" t="str">
        <x:f>IF('08_Form_Erosion_Cotiere'!$M74="Validé humainement",'08_Form_Erosion_Cotiere'!H74,"")</x:f>
      </x:c>
      <x:c r="I74" s="76" t="str">
        <x:f>IF('08_Form_Erosion_Cotiere'!$M74="Validé humainement",'08_Form_Erosion_Cotiere'!I74,"")</x:f>
      </x:c>
      <x:c r="J74" s="76" t="str">
        <x:f>IF('08_Form_Erosion_Cotiere'!$M74="Validé humainement",'08_Form_Erosion_Cotiere'!J74,"")</x:f>
      </x:c>
      <x:c r="K74" s="76" t="str">
        <x:f>IF('08_Form_Erosion_Cotiere'!$M74="Validé humainement",'08_Form_Erosion_Cotiere'!K74,"")</x:f>
      </x:c>
      <x:c r="L74" s="76" t="str">
        <x:f>IF('08_Form_Erosion_Cotiere'!$M74="Validé humainement",'08_Form_Erosion_Cotiere'!L74,"")</x:f>
      </x:c>
      <x:c r="M74" s="76" t="str">
        <x:f>IF('08_Form_Erosion_Cotiere'!$M74="Validé humainement",'08_Form_Erosion_Cotiere'!M74,"")</x:f>
      </x:c>
      <x:c r="N74" s="78" t="str">
        <x:f>IF('08_Form_Erosion_Cotiere'!$M74="Validé humainement",'08_Form_Erosion_Cotiere'!N74,"")</x:f>
      </x:c>
      <x:c r="O74" s="76" t="str">
        <x:f>IF('08_Form_Erosion_Cotiere'!$M74="Validé humainement",'08_Form_Erosion_Cotiere'!O74,"")</x:f>
      </x:c>
      <x:c r="P74" s="76" t="str">
        <x:f>IF('08_Form_Erosion_Cotiere'!$M74="Validé humainement",'08_Form_Erosion_Cotiere'!P74,"")</x:f>
      </x:c>
      <x:c r="Q74" s="76" t="str">
        <x:f>IF('08_Form_Erosion_Cotiere'!$M74="Validé humainement",'08_Form_Erosion_Cotiere'!Q74,"")</x:f>
      </x:c>
    </x:row>
    <x:row r="75">
      <x:c r="A75" s="76" t="str">
        <x:f>IF('08_Form_Erosion_Cotiere'!$M75="Validé humainement",'08_Form_Erosion_Cotiere'!A75,"")</x:f>
      </x:c>
      <x:c r="B75" s="76" t="str">
        <x:f>IF('08_Form_Erosion_Cotiere'!$M75="Validé humainement",'08_Form_Erosion_Cotiere'!B75,"")</x:f>
      </x:c>
      <x:c r="C75" s="76" t="str">
        <x:f>IF('08_Form_Erosion_Cotiere'!$M75="Validé humainement",'08_Form_Erosion_Cotiere'!C75,"")</x:f>
      </x:c>
      <x:c r="D75" s="76" t="str">
        <x:f>IF('08_Form_Erosion_Cotiere'!$M75="Validé humainement",'08_Form_Erosion_Cotiere'!D75,"")</x:f>
      </x:c>
      <x:c r="E75" s="77" t="str">
        <x:f>IF('08_Form_Erosion_Cotiere'!$M75="Validé humainement",'08_Form_Erosion_Cotiere'!E75,"")</x:f>
      </x:c>
      <x:c r="F75" s="76" t="str">
        <x:f>IF('08_Form_Erosion_Cotiere'!$M75="Validé humainement",'08_Form_Erosion_Cotiere'!F75,"")</x:f>
      </x:c>
      <x:c r="G75" s="76" t="str">
        <x:f>IF('08_Form_Erosion_Cotiere'!$M75="Validé humainement",'08_Form_Erosion_Cotiere'!G75,"")</x:f>
      </x:c>
      <x:c r="H75" s="81" t="str">
        <x:f>IF('08_Form_Erosion_Cotiere'!$M75="Validé humainement",'08_Form_Erosion_Cotiere'!H75,"")</x:f>
      </x:c>
      <x:c r="I75" s="76" t="str">
        <x:f>IF('08_Form_Erosion_Cotiere'!$M75="Validé humainement",'08_Form_Erosion_Cotiere'!I75,"")</x:f>
      </x:c>
      <x:c r="J75" s="76" t="str">
        <x:f>IF('08_Form_Erosion_Cotiere'!$M75="Validé humainement",'08_Form_Erosion_Cotiere'!J75,"")</x:f>
      </x:c>
      <x:c r="K75" s="76" t="str">
        <x:f>IF('08_Form_Erosion_Cotiere'!$M75="Validé humainement",'08_Form_Erosion_Cotiere'!K75,"")</x:f>
      </x:c>
      <x:c r="L75" s="76" t="str">
        <x:f>IF('08_Form_Erosion_Cotiere'!$M75="Validé humainement",'08_Form_Erosion_Cotiere'!L75,"")</x:f>
      </x:c>
      <x:c r="M75" s="76" t="str">
        <x:f>IF('08_Form_Erosion_Cotiere'!$M75="Validé humainement",'08_Form_Erosion_Cotiere'!M75,"")</x:f>
      </x:c>
      <x:c r="N75" s="78" t="str">
        <x:f>IF('08_Form_Erosion_Cotiere'!$M75="Validé humainement",'08_Form_Erosion_Cotiere'!N75,"")</x:f>
      </x:c>
      <x:c r="O75" s="76" t="str">
        <x:f>IF('08_Form_Erosion_Cotiere'!$M75="Validé humainement",'08_Form_Erosion_Cotiere'!O75,"")</x:f>
      </x:c>
      <x:c r="P75" s="76" t="str">
        <x:f>IF('08_Form_Erosion_Cotiere'!$M75="Validé humainement",'08_Form_Erosion_Cotiere'!P75,"")</x:f>
      </x:c>
      <x:c r="Q75" s="76" t="str">
        <x:f>IF('08_Form_Erosion_Cotiere'!$M75="Validé humainement",'08_Form_Erosion_Cotiere'!Q75,"")</x:f>
      </x:c>
    </x:row>
    <x:row r="76">
      <x:c r="A76" s="76" t="str">
        <x:f>IF('08_Form_Erosion_Cotiere'!$M76="Validé humainement",'08_Form_Erosion_Cotiere'!A76,"")</x:f>
      </x:c>
      <x:c r="B76" s="76" t="str">
        <x:f>IF('08_Form_Erosion_Cotiere'!$M76="Validé humainement",'08_Form_Erosion_Cotiere'!B76,"")</x:f>
      </x:c>
      <x:c r="C76" s="76" t="str">
        <x:f>IF('08_Form_Erosion_Cotiere'!$M76="Validé humainement",'08_Form_Erosion_Cotiere'!C76,"")</x:f>
      </x:c>
      <x:c r="D76" s="76" t="str">
        <x:f>IF('08_Form_Erosion_Cotiere'!$M76="Validé humainement",'08_Form_Erosion_Cotiere'!D76,"")</x:f>
      </x:c>
      <x:c r="E76" s="77" t="str">
        <x:f>IF('08_Form_Erosion_Cotiere'!$M76="Validé humainement",'08_Form_Erosion_Cotiere'!E76,"")</x:f>
      </x:c>
      <x:c r="F76" s="76" t="str">
        <x:f>IF('08_Form_Erosion_Cotiere'!$M76="Validé humainement",'08_Form_Erosion_Cotiere'!F76,"")</x:f>
      </x:c>
      <x:c r="G76" s="76" t="str">
        <x:f>IF('08_Form_Erosion_Cotiere'!$M76="Validé humainement",'08_Form_Erosion_Cotiere'!G76,"")</x:f>
      </x:c>
      <x:c r="H76" s="81" t="str">
        <x:f>IF('08_Form_Erosion_Cotiere'!$M76="Validé humainement",'08_Form_Erosion_Cotiere'!H76,"")</x:f>
      </x:c>
      <x:c r="I76" s="76" t="str">
        <x:f>IF('08_Form_Erosion_Cotiere'!$M76="Validé humainement",'08_Form_Erosion_Cotiere'!I76,"")</x:f>
      </x:c>
      <x:c r="J76" s="76" t="str">
        <x:f>IF('08_Form_Erosion_Cotiere'!$M76="Validé humainement",'08_Form_Erosion_Cotiere'!J76,"")</x:f>
      </x:c>
      <x:c r="K76" s="76" t="str">
        <x:f>IF('08_Form_Erosion_Cotiere'!$M76="Validé humainement",'08_Form_Erosion_Cotiere'!K76,"")</x:f>
      </x:c>
      <x:c r="L76" s="76" t="str">
        <x:f>IF('08_Form_Erosion_Cotiere'!$M76="Validé humainement",'08_Form_Erosion_Cotiere'!L76,"")</x:f>
      </x:c>
      <x:c r="M76" s="76" t="str">
        <x:f>IF('08_Form_Erosion_Cotiere'!$M76="Validé humainement",'08_Form_Erosion_Cotiere'!M76,"")</x:f>
      </x:c>
      <x:c r="N76" s="78" t="str">
        <x:f>IF('08_Form_Erosion_Cotiere'!$M76="Validé humainement",'08_Form_Erosion_Cotiere'!N76,"")</x:f>
      </x:c>
      <x:c r="O76" s="76" t="str">
        <x:f>IF('08_Form_Erosion_Cotiere'!$M76="Validé humainement",'08_Form_Erosion_Cotiere'!O76,"")</x:f>
      </x:c>
      <x:c r="P76" s="76" t="str">
        <x:f>IF('08_Form_Erosion_Cotiere'!$M76="Validé humainement",'08_Form_Erosion_Cotiere'!P76,"")</x:f>
      </x:c>
      <x:c r="Q76" s="76" t="str">
        <x:f>IF('08_Form_Erosion_Cotiere'!$M76="Validé humainement",'08_Form_Erosion_Cotiere'!Q76,"")</x:f>
      </x:c>
    </x:row>
    <x:row r="77">
      <x:c r="A77" s="76" t="str">
        <x:f>IF('08_Form_Erosion_Cotiere'!$M77="Validé humainement",'08_Form_Erosion_Cotiere'!A77,"")</x:f>
      </x:c>
      <x:c r="B77" s="76" t="str">
        <x:f>IF('08_Form_Erosion_Cotiere'!$M77="Validé humainement",'08_Form_Erosion_Cotiere'!B77,"")</x:f>
      </x:c>
      <x:c r="C77" s="76" t="str">
        <x:f>IF('08_Form_Erosion_Cotiere'!$M77="Validé humainement",'08_Form_Erosion_Cotiere'!C77,"")</x:f>
      </x:c>
      <x:c r="D77" s="76" t="str">
        <x:f>IF('08_Form_Erosion_Cotiere'!$M77="Validé humainement",'08_Form_Erosion_Cotiere'!D77,"")</x:f>
      </x:c>
      <x:c r="E77" s="77" t="str">
        <x:f>IF('08_Form_Erosion_Cotiere'!$M77="Validé humainement",'08_Form_Erosion_Cotiere'!E77,"")</x:f>
      </x:c>
      <x:c r="F77" s="76" t="str">
        <x:f>IF('08_Form_Erosion_Cotiere'!$M77="Validé humainement",'08_Form_Erosion_Cotiere'!F77,"")</x:f>
      </x:c>
      <x:c r="G77" s="76" t="str">
        <x:f>IF('08_Form_Erosion_Cotiere'!$M77="Validé humainement",'08_Form_Erosion_Cotiere'!G77,"")</x:f>
      </x:c>
      <x:c r="H77" s="81" t="str">
        <x:f>IF('08_Form_Erosion_Cotiere'!$M77="Validé humainement",'08_Form_Erosion_Cotiere'!H77,"")</x:f>
      </x:c>
      <x:c r="I77" s="76" t="str">
        <x:f>IF('08_Form_Erosion_Cotiere'!$M77="Validé humainement",'08_Form_Erosion_Cotiere'!I77,"")</x:f>
      </x:c>
      <x:c r="J77" s="76" t="str">
        <x:f>IF('08_Form_Erosion_Cotiere'!$M77="Validé humainement",'08_Form_Erosion_Cotiere'!J77,"")</x:f>
      </x:c>
      <x:c r="K77" s="76" t="str">
        <x:f>IF('08_Form_Erosion_Cotiere'!$M77="Validé humainement",'08_Form_Erosion_Cotiere'!K77,"")</x:f>
      </x:c>
      <x:c r="L77" s="76" t="str">
        <x:f>IF('08_Form_Erosion_Cotiere'!$M77="Validé humainement",'08_Form_Erosion_Cotiere'!L77,"")</x:f>
      </x:c>
      <x:c r="M77" s="76" t="str">
        <x:f>IF('08_Form_Erosion_Cotiere'!$M77="Validé humainement",'08_Form_Erosion_Cotiere'!M77,"")</x:f>
      </x:c>
      <x:c r="N77" s="78" t="str">
        <x:f>IF('08_Form_Erosion_Cotiere'!$M77="Validé humainement",'08_Form_Erosion_Cotiere'!N77,"")</x:f>
      </x:c>
      <x:c r="O77" s="76" t="str">
        <x:f>IF('08_Form_Erosion_Cotiere'!$M77="Validé humainement",'08_Form_Erosion_Cotiere'!O77,"")</x:f>
      </x:c>
      <x:c r="P77" s="76" t="str">
        <x:f>IF('08_Form_Erosion_Cotiere'!$M77="Validé humainement",'08_Form_Erosion_Cotiere'!P77,"")</x:f>
      </x:c>
      <x:c r="Q77" s="76" t="str">
        <x:f>IF('08_Form_Erosion_Cotiere'!$M77="Validé humainement",'08_Form_Erosion_Cotiere'!Q77,"")</x:f>
      </x:c>
    </x:row>
    <x:row r="78">
      <x:c r="A78" s="76" t="str">
        <x:f>IF('08_Form_Erosion_Cotiere'!$M78="Validé humainement",'08_Form_Erosion_Cotiere'!A78,"")</x:f>
      </x:c>
      <x:c r="B78" s="76" t="str">
        <x:f>IF('08_Form_Erosion_Cotiere'!$M78="Validé humainement",'08_Form_Erosion_Cotiere'!B78,"")</x:f>
      </x:c>
      <x:c r="C78" s="76" t="str">
        <x:f>IF('08_Form_Erosion_Cotiere'!$M78="Validé humainement",'08_Form_Erosion_Cotiere'!C78,"")</x:f>
      </x:c>
      <x:c r="D78" s="76" t="str">
        <x:f>IF('08_Form_Erosion_Cotiere'!$M78="Validé humainement",'08_Form_Erosion_Cotiere'!D78,"")</x:f>
      </x:c>
      <x:c r="E78" s="77" t="str">
        <x:f>IF('08_Form_Erosion_Cotiere'!$M78="Validé humainement",'08_Form_Erosion_Cotiere'!E78,"")</x:f>
      </x:c>
      <x:c r="F78" s="76" t="str">
        <x:f>IF('08_Form_Erosion_Cotiere'!$M78="Validé humainement",'08_Form_Erosion_Cotiere'!F78,"")</x:f>
      </x:c>
      <x:c r="G78" s="76" t="str">
        <x:f>IF('08_Form_Erosion_Cotiere'!$M78="Validé humainement",'08_Form_Erosion_Cotiere'!G78,"")</x:f>
      </x:c>
      <x:c r="H78" s="81" t="str">
        <x:f>IF('08_Form_Erosion_Cotiere'!$M78="Validé humainement",'08_Form_Erosion_Cotiere'!H78,"")</x:f>
      </x:c>
      <x:c r="I78" s="76" t="str">
        <x:f>IF('08_Form_Erosion_Cotiere'!$M78="Validé humainement",'08_Form_Erosion_Cotiere'!I78,"")</x:f>
      </x:c>
      <x:c r="J78" s="76" t="str">
        <x:f>IF('08_Form_Erosion_Cotiere'!$M78="Validé humainement",'08_Form_Erosion_Cotiere'!J78,"")</x:f>
      </x:c>
      <x:c r="K78" s="76" t="str">
        <x:f>IF('08_Form_Erosion_Cotiere'!$M78="Validé humainement",'08_Form_Erosion_Cotiere'!K78,"")</x:f>
      </x:c>
      <x:c r="L78" s="76" t="str">
        <x:f>IF('08_Form_Erosion_Cotiere'!$M78="Validé humainement",'08_Form_Erosion_Cotiere'!L78,"")</x:f>
      </x:c>
      <x:c r="M78" s="76" t="str">
        <x:f>IF('08_Form_Erosion_Cotiere'!$M78="Validé humainement",'08_Form_Erosion_Cotiere'!M78,"")</x:f>
      </x:c>
      <x:c r="N78" s="78" t="str">
        <x:f>IF('08_Form_Erosion_Cotiere'!$M78="Validé humainement",'08_Form_Erosion_Cotiere'!N78,"")</x:f>
      </x:c>
      <x:c r="O78" s="76" t="str">
        <x:f>IF('08_Form_Erosion_Cotiere'!$M78="Validé humainement",'08_Form_Erosion_Cotiere'!O78,"")</x:f>
      </x:c>
      <x:c r="P78" s="76" t="str">
        <x:f>IF('08_Form_Erosion_Cotiere'!$M78="Validé humainement",'08_Form_Erosion_Cotiere'!P78,"")</x:f>
      </x:c>
      <x:c r="Q78" s="76" t="str">
        <x:f>IF('08_Form_Erosion_Cotiere'!$M78="Validé humainement",'08_Form_Erosion_Cotiere'!Q78,"")</x:f>
      </x:c>
    </x:row>
    <x:row r="79">
      <x:c r="A79" s="76" t="str">
        <x:f>IF('08_Form_Erosion_Cotiere'!$M79="Validé humainement",'08_Form_Erosion_Cotiere'!A79,"")</x:f>
      </x:c>
      <x:c r="B79" s="76" t="str">
        <x:f>IF('08_Form_Erosion_Cotiere'!$M79="Validé humainement",'08_Form_Erosion_Cotiere'!B79,"")</x:f>
      </x:c>
      <x:c r="C79" s="76" t="str">
        <x:f>IF('08_Form_Erosion_Cotiere'!$M79="Validé humainement",'08_Form_Erosion_Cotiere'!C79,"")</x:f>
      </x:c>
      <x:c r="D79" s="76" t="str">
        <x:f>IF('08_Form_Erosion_Cotiere'!$M79="Validé humainement",'08_Form_Erosion_Cotiere'!D79,"")</x:f>
      </x:c>
      <x:c r="E79" s="77" t="str">
        <x:f>IF('08_Form_Erosion_Cotiere'!$M79="Validé humainement",'08_Form_Erosion_Cotiere'!E79,"")</x:f>
      </x:c>
      <x:c r="F79" s="76" t="str">
        <x:f>IF('08_Form_Erosion_Cotiere'!$M79="Validé humainement",'08_Form_Erosion_Cotiere'!F79,"")</x:f>
      </x:c>
      <x:c r="G79" s="76" t="str">
        <x:f>IF('08_Form_Erosion_Cotiere'!$M79="Validé humainement",'08_Form_Erosion_Cotiere'!G79,"")</x:f>
      </x:c>
      <x:c r="H79" s="81" t="str">
        <x:f>IF('08_Form_Erosion_Cotiere'!$M79="Validé humainement",'08_Form_Erosion_Cotiere'!H79,"")</x:f>
      </x:c>
      <x:c r="I79" s="76" t="str">
        <x:f>IF('08_Form_Erosion_Cotiere'!$M79="Validé humainement",'08_Form_Erosion_Cotiere'!I79,"")</x:f>
      </x:c>
      <x:c r="J79" s="76" t="str">
        <x:f>IF('08_Form_Erosion_Cotiere'!$M79="Validé humainement",'08_Form_Erosion_Cotiere'!J79,"")</x:f>
      </x:c>
      <x:c r="K79" s="76" t="str">
        <x:f>IF('08_Form_Erosion_Cotiere'!$M79="Validé humainement",'08_Form_Erosion_Cotiere'!K79,"")</x:f>
      </x:c>
      <x:c r="L79" s="76" t="str">
        <x:f>IF('08_Form_Erosion_Cotiere'!$M79="Validé humainement",'08_Form_Erosion_Cotiere'!L79,"")</x:f>
      </x:c>
      <x:c r="M79" s="76" t="str">
        <x:f>IF('08_Form_Erosion_Cotiere'!$M79="Validé humainement",'08_Form_Erosion_Cotiere'!M79,"")</x:f>
      </x:c>
      <x:c r="N79" s="78" t="str">
        <x:f>IF('08_Form_Erosion_Cotiere'!$M79="Validé humainement",'08_Form_Erosion_Cotiere'!N79,"")</x:f>
      </x:c>
      <x:c r="O79" s="76" t="str">
        <x:f>IF('08_Form_Erosion_Cotiere'!$M79="Validé humainement",'08_Form_Erosion_Cotiere'!O79,"")</x:f>
      </x:c>
      <x:c r="P79" s="76" t="str">
        <x:f>IF('08_Form_Erosion_Cotiere'!$M79="Validé humainement",'08_Form_Erosion_Cotiere'!P79,"")</x:f>
      </x:c>
      <x:c r="Q79" s="76" t="str">
        <x:f>IF('08_Form_Erosion_Cotiere'!$M79="Validé humainement",'08_Form_Erosion_Cotiere'!Q79,"")</x:f>
      </x:c>
    </x:row>
    <x:row r="80">
      <x:c r="A80" s="76" t="str">
        <x:f>IF('08_Form_Erosion_Cotiere'!$M80="Validé humainement",'08_Form_Erosion_Cotiere'!A80,"")</x:f>
      </x:c>
      <x:c r="B80" s="76" t="str">
        <x:f>IF('08_Form_Erosion_Cotiere'!$M80="Validé humainement",'08_Form_Erosion_Cotiere'!B80,"")</x:f>
      </x:c>
      <x:c r="C80" s="76" t="str">
        <x:f>IF('08_Form_Erosion_Cotiere'!$M80="Validé humainement",'08_Form_Erosion_Cotiere'!C80,"")</x:f>
      </x:c>
      <x:c r="D80" s="76" t="str">
        <x:f>IF('08_Form_Erosion_Cotiere'!$M80="Validé humainement",'08_Form_Erosion_Cotiere'!D80,"")</x:f>
      </x:c>
      <x:c r="E80" s="77" t="str">
        <x:f>IF('08_Form_Erosion_Cotiere'!$M80="Validé humainement",'08_Form_Erosion_Cotiere'!E80,"")</x:f>
      </x:c>
      <x:c r="F80" s="76" t="str">
        <x:f>IF('08_Form_Erosion_Cotiere'!$M80="Validé humainement",'08_Form_Erosion_Cotiere'!F80,"")</x:f>
      </x:c>
      <x:c r="G80" s="76" t="str">
        <x:f>IF('08_Form_Erosion_Cotiere'!$M80="Validé humainement",'08_Form_Erosion_Cotiere'!G80,"")</x:f>
      </x:c>
      <x:c r="H80" s="81" t="str">
        <x:f>IF('08_Form_Erosion_Cotiere'!$M80="Validé humainement",'08_Form_Erosion_Cotiere'!H80,"")</x:f>
      </x:c>
      <x:c r="I80" s="76" t="str">
        <x:f>IF('08_Form_Erosion_Cotiere'!$M80="Validé humainement",'08_Form_Erosion_Cotiere'!I80,"")</x:f>
      </x:c>
      <x:c r="J80" s="76" t="str">
        <x:f>IF('08_Form_Erosion_Cotiere'!$M80="Validé humainement",'08_Form_Erosion_Cotiere'!J80,"")</x:f>
      </x:c>
      <x:c r="K80" s="76" t="str">
        <x:f>IF('08_Form_Erosion_Cotiere'!$M80="Validé humainement",'08_Form_Erosion_Cotiere'!K80,"")</x:f>
      </x:c>
      <x:c r="L80" s="76" t="str">
        <x:f>IF('08_Form_Erosion_Cotiere'!$M80="Validé humainement",'08_Form_Erosion_Cotiere'!L80,"")</x:f>
      </x:c>
      <x:c r="M80" s="76" t="str">
        <x:f>IF('08_Form_Erosion_Cotiere'!$M80="Validé humainement",'08_Form_Erosion_Cotiere'!M80,"")</x:f>
      </x:c>
      <x:c r="N80" s="78" t="str">
        <x:f>IF('08_Form_Erosion_Cotiere'!$M80="Validé humainement",'08_Form_Erosion_Cotiere'!N80,"")</x:f>
      </x:c>
      <x:c r="O80" s="76" t="str">
        <x:f>IF('08_Form_Erosion_Cotiere'!$M80="Validé humainement",'08_Form_Erosion_Cotiere'!O80,"")</x:f>
      </x:c>
      <x:c r="P80" s="76" t="str">
        <x:f>IF('08_Form_Erosion_Cotiere'!$M80="Validé humainement",'08_Form_Erosion_Cotiere'!P80,"")</x:f>
      </x:c>
      <x:c r="Q80" s="76" t="str">
        <x:f>IF('08_Form_Erosion_Cotiere'!$M80="Validé humainement",'08_Form_Erosion_Cotiere'!Q80,"")</x:f>
      </x:c>
    </x:row>
    <x:row r="81">
      <x:c r="A81" s="76" t="str">
        <x:f>IF('08_Form_Erosion_Cotiere'!$M81="Validé humainement",'08_Form_Erosion_Cotiere'!A81,"")</x:f>
      </x:c>
      <x:c r="B81" s="76" t="str">
        <x:f>IF('08_Form_Erosion_Cotiere'!$M81="Validé humainement",'08_Form_Erosion_Cotiere'!B81,"")</x:f>
      </x:c>
      <x:c r="C81" s="76" t="str">
        <x:f>IF('08_Form_Erosion_Cotiere'!$M81="Validé humainement",'08_Form_Erosion_Cotiere'!C81,"")</x:f>
      </x:c>
      <x:c r="D81" s="76" t="str">
        <x:f>IF('08_Form_Erosion_Cotiere'!$M81="Validé humainement",'08_Form_Erosion_Cotiere'!D81,"")</x:f>
      </x:c>
      <x:c r="E81" s="77" t="str">
        <x:f>IF('08_Form_Erosion_Cotiere'!$M81="Validé humainement",'08_Form_Erosion_Cotiere'!E81,"")</x:f>
      </x:c>
      <x:c r="F81" s="76" t="str">
        <x:f>IF('08_Form_Erosion_Cotiere'!$M81="Validé humainement",'08_Form_Erosion_Cotiere'!F81,"")</x:f>
      </x:c>
      <x:c r="G81" s="76" t="str">
        <x:f>IF('08_Form_Erosion_Cotiere'!$M81="Validé humainement",'08_Form_Erosion_Cotiere'!G81,"")</x:f>
      </x:c>
      <x:c r="H81" s="81" t="str">
        <x:f>IF('08_Form_Erosion_Cotiere'!$M81="Validé humainement",'08_Form_Erosion_Cotiere'!H81,"")</x:f>
      </x:c>
      <x:c r="I81" s="76" t="str">
        <x:f>IF('08_Form_Erosion_Cotiere'!$M81="Validé humainement",'08_Form_Erosion_Cotiere'!I81,"")</x:f>
      </x:c>
      <x:c r="J81" s="76" t="str">
        <x:f>IF('08_Form_Erosion_Cotiere'!$M81="Validé humainement",'08_Form_Erosion_Cotiere'!J81,"")</x:f>
      </x:c>
      <x:c r="K81" s="76" t="str">
        <x:f>IF('08_Form_Erosion_Cotiere'!$M81="Validé humainement",'08_Form_Erosion_Cotiere'!K81,"")</x:f>
      </x:c>
      <x:c r="L81" s="76" t="str">
        <x:f>IF('08_Form_Erosion_Cotiere'!$M81="Validé humainement",'08_Form_Erosion_Cotiere'!L81,"")</x:f>
      </x:c>
      <x:c r="M81" s="76" t="str">
        <x:f>IF('08_Form_Erosion_Cotiere'!$M81="Validé humainement",'08_Form_Erosion_Cotiere'!M81,"")</x:f>
      </x:c>
      <x:c r="N81" s="78" t="str">
        <x:f>IF('08_Form_Erosion_Cotiere'!$M81="Validé humainement",'08_Form_Erosion_Cotiere'!N81,"")</x:f>
      </x:c>
      <x:c r="O81" s="76" t="str">
        <x:f>IF('08_Form_Erosion_Cotiere'!$M81="Validé humainement",'08_Form_Erosion_Cotiere'!O81,"")</x:f>
      </x:c>
      <x:c r="P81" s="76" t="str">
        <x:f>IF('08_Form_Erosion_Cotiere'!$M81="Validé humainement",'08_Form_Erosion_Cotiere'!P81,"")</x:f>
      </x:c>
      <x:c r="Q81" s="76" t="str">
        <x:f>IF('08_Form_Erosion_Cotiere'!$M81="Validé humainement",'08_Form_Erosion_Cotiere'!Q81,"")</x:f>
      </x:c>
    </x:row>
    <x:row r="82">
      <x:c r="A82" s="76" t="str">
        <x:f>IF('08_Form_Erosion_Cotiere'!$M82="Validé humainement",'08_Form_Erosion_Cotiere'!A82,"")</x:f>
      </x:c>
      <x:c r="B82" s="76" t="str">
        <x:f>IF('08_Form_Erosion_Cotiere'!$M82="Validé humainement",'08_Form_Erosion_Cotiere'!B82,"")</x:f>
      </x:c>
      <x:c r="C82" s="76" t="str">
        <x:f>IF('08_Form_Erosion_Cotiere'!$M82="Validé humainement",'08_Form_Erosion_Cotiere'!C82,"")</x:f>
      </x:c>
      <x:c r="D82" s="76" t="str">
        <x:f>IF('08_Form_Erosion_Cotiere'!$M82="Validé humainement",'08_Form_Erosion_Cotiere'!D82,"")</x:f>
      </x:c>
      <x:c r="E82" s="77" t="str">
        <x:f>IF('08_Form_Erosion_Cotiere'!$M82="Validé humainement",'08_Form_Erosion_Cotiere'!E82,"")</x:f>
      </x:c>
      <x:c r="F82" s="76" t="str">
        <x:f>IF('08_Form_Erosion_Cotiere'!$M82="Validé humainement",'08_Form_Erosion_Cotiere'!F82,"")</x:f>
      </x:c>
      <x:c r="G82" s="76" t="str">
        <x:f>IF('08_Form_Erosion_Cotiere'!$M82="Validé humainement",'08_Form_Erosion_Cotiere'!G82,"")</x:f>
      </x:c>
      <x:c r="H82" s="81" t="str">
        <x:f>IF('08_Form_Erosion_Cotiere'!$M82="Validé humainement",'08_Form_Erosion_Cotiere'!H82,"")</x:f>
      </x:c>
      <x:c r="I82" s="76" t="str">
        <x:f>IF('08_Form_Erosion_Cotiere'!$M82="Validé humainement",'08_Form_Erosion_Cotiere'!I82,"")</x:f>
      </x:c>
      <x:c r="J82" s="76" t="str">
        <x:f>IF('08_Form_Erosion_Cotiere'!$M82="Validé humainement",'08_Form_Erosion_Cotiere'!J82,"")</x:f>
      </x:c>
      <x:c r="K82" s="76" t="str">
        <x:f>IF('08_Form_Erosion_Cotiere'!$M82="Validé humainement",'08_Form_Erosion_Cotiere'!K82,"")</x:f>
      </x:c>
      <x:c r="L82" s="76" t="str">
        <x:f>IF('08_Form_Erosion_Cotiere'!$M82="Validé humainement",'08_Form_Erosion_Cotiere'!L82,"")</x:f>
      </x:c>
      <x:c r="M82" s="76" t="str">
        <x:f>IF('08_Form_Erosion_Cotiere'!$M82="Validé humainement",'08_Form_Erosion_Cotiere'!M82,"")</x:f>
      </x:c>
      <x:c r="N82" s="78" t="str">
        <x:f>IF('08_Form_Erosion_Cotiere'!$M82="Validé humainement",'08_Form_Erosion_Cotiere'!N82,"")</x:f>
      </x:c>
      <x:c r="O82" s="76" t="str">
        <x:f>IF('08_Form_Erosion_Cotiere'!$M82="Validé humainement",'08_Form_Erosion_Cotiere'!O82,"")</x:f>
      </x:c>
      <x:c r="P82" s="76" t="str">
        <x:f>IF('08_Form_Erosion_Cotiere'!$M82="Validé humainement",'08_Form_Erosion_Cotiere'!P82,"")</x:f>
      </x:c>
      <x:c r="Q82" s="76" t="str">
        <x:f>IF('08_Form_Erosion_Cotiere'!$M82="Validé humainement",'08_Form_Erosion_Cotiere'!Q82,"")</x:f>
      </x:c>
    </x:row>
    <x:row r="83">
      <x:c r="A83" s="76" t="str">
        <x:f>IF('08_Form_Erosion_Cotiere'!$M83="Validé humainement",'08_Form_Erosion_Cotiere'!A83,"")</x:f>
      </x:c>
      <x:c r="B83" s="76" t="str">
        <x:f>IF('08_Form_Erosion_Cotiere'!$M83="Validé humainement",'08_Form_Erosion_Cotiere'!B83,"")</x:f>
      </x:c>
      <x:c r="C83" s="76" t="str">
        <x:f>IF('08_Form_Erosion_Cotiere'!$M83="Validé humainement",'08_Form_Erosion_Cotiere'!C83,"")</x:f>
      </x:c>
      <x:c r="D83" s="76" t="str">
        <x:f>IF('08_Form_Erosion_Cotiere'!$M83="Validé humainement",'08_Form_Erosion_Cotiere'!D83,"")</x:f>
      </x:c>
      <x:c r="E83" s="77" t="str">
        <x:f>IF('08_Form_Erosion_Cotiere'!$M83="Validé humainement",'08_Form_Erosion_Cotiere'!E83,"")</x:f>
      </x:c>
      <x:c r="F83" s="76" t="str">
        <x:f>IF('08_Form_Erosion_Cotiere'!$M83="Validé humainement",'08_Form_Erosion_Cotiere'!F83,"")</x:f>
      </x:c>
      <x:c r="G83" s="76" t="str">
        <x:f>IF('08_Form_Erosion_Cotiere'!$M83="Validé humainement",'08_Form_Erosion_Cotiere'!G83,"")</x:f>
      </x:c>
      <x:c r="H83" s="81" t="str">
        <x:f>IF('08_Form_Erosion_Cotiere'!$M83="Validé humainement",'08_Form_Erosion_Cotiere'!H83,"")</x:f>
      </x:c>
      <x:c r="I83" s="76" t="str">
        <x:f>IF('08_Form_Erosion_Cotiere'!$M83="Validé humainement",'08_Form_Erosion_Cotiere'!I83,"")</x:f>
      </x:c>
      <x:c r="J83" s="76" t="str">
        <x:f>IF('08_Form_Erosion_Cotiere'!$M83="Validé humainement",'08_Form_Erosion_Cotiere'!J83,"")</x:f>
      </x:c>
      <x:c r="K83" s="76" t="str">
        <x:f>IF('08_Form_Erosion_Cotiere'!$M83="Validé humainement",'08_Form_Erosion_Cotiere'!K83,"")</x:f>
      </x:c>
      <x:c r="L83" s="76" t="str">
        <x:f>IF('08_Form_Erosion_Cotiere'!$M83="Validé humainement",'08_Form_Erosion_Cotiere'!L83,"")</x:f>
      </x:c>
      <x:c r="M83" s="76" t="str">
        <x:f>IF('08_Form_Erosion_Cotiere'!$M83="Validé humainement",'08_Form_Erosion_Cotiere'!M83,"")</x:f>
      </x:c>
      <x:c r="N83" s="78" t="str">
        <x:f>IF('08_Form_Erosion_Cotiere'!$M83="Validé humainement",'08_Form_Erosion_Cotiere'!N83,"")</x:f>
      </x:c>
      <x:c r="O83" s="76" t="str">
        <x:f>IF('08_Form_Erosion_Cotiere'!$M83="Validé humainement",'08_Form_Erosion_Cotiere'!O83,"")</x:f>
      </x:c>
      <x:c r="P83" s="76" t="str">
        <x:f>IF('08_Form_Erosion_Cotiere'!$M83="Validé humainement",'08_Form_Erosion_Cotiere'!P83,"")</x:f>
      </x:c>
      <x:c r="Q83" s="76" t="str">
        <x:f>IF('08_Form_Erosion_Cotiere'!$M83="Validé humainement",'08_Form_Erosion_Cotiere'!Q83,"")</x:f>
      </x:c>
    </x:row>
    <x:row r="84">
      <x:c r="A84" s="76" t="str">
        <x:f>IF('08_Form_Erosion_Cotiere'!$M84="Validé humainement",'08_Form_Erosion_Cotiere'!A84,"")</x:f>
      </x:c>
      <x:c r="B84" s="76" t="str">
        <x:f>IF('08_Form_Erosion_Cotiere'!$M84="Validé humainement",'08_Form_Erosion_Cotiere'!B84,"")</x:f>
      </x:c>
      <x:c r="C84" s="76" t="str">
        <x:f>IF('08_Form_Erosion_Cotiere'!$M84="Validé humainement",'08_Form_Erosion_Cotiere'!C84,"")</x:f>
      </x:c>
      <x:c r="D84" s="76" t="str">
        <x:f>IF('08_Form_Erosion_Cotiere'!$M84="Validé humainement",'08_Form_Erosion_Cotiere'!D84,"")</x:f>
      </x:c>
      <x:c r="E84" s="77" t="str">
        <x:f>IF('08_Form_Erosion_Cotiere'!$M84="Validé humainement",'08_Form_Erosion_Cotiere'!E84,"")</x:f>
      </x:c>
      <x:c r="F84" s="76" t="str">
        <x:f>IF('08_Form_Erosion_Cotiere'!$M84="Validé humainement",'08_Form_Erosion_Cotiere'!F84,"")</x:f>
      </x:c>
      <x:c r="G84" s="76" t="str">
        <x:f>IF('08_Form_Erosion_Cotiere'!$M84="Validé humainement",'08_Form_Erosion_Cotiere'!G84,"")</x:f>
      </x:c>
      <x:c r="H84" s="81" t="str">
        <x:f>IF('08_Form_Erosion_Cotiere'!$M84="Validé humainement",'08_Form_Erosion_Cotiere'!H84,"")</x:f>
      </x:c>
      <x:c r="I84" s="76" t="str">
        <x:f>IF('08_Form_Erosion_Cotiere'!$M84="Validé humainement",'08_Form_Erosion_Cotiere'!I84,"")</x:f>
      </x:c>
      <x:c r="J84" s="76" t="str">
        <x:f>IF('08_Form_Erosion_Cotiere'!$M84="Validé humainement",'08_Form_Erosion_Cotiere'!J84,"")</x:f>
      </x:c>
      <x:c r="K84" s="76" t="str">
        <x:f>IF('08_Form_Erosion_Cotiere'!$M84="Validé humainement",'08_Form_Erosion_Cotiere'!K84,"")</x:f>
      </x:c>
      <x:c r="L84" s="76" t="str">
        <x:f>IF('08_Form_Erosion_Cotiere'!$M84="Validé humainement",'08_Form_Erosion_Cotiere'!L84,"")</x:f>
      </x:c>
      <x:c r="M84" s="76" t="str">
        <x:f>IF('08_Form_Erosion_Cotiere'!$M84="Validé humainement",'08_Form_Erosion_Cotiere'!M84,"")</x:f>
      </x:c>
      <x:c r="N84" s="78" t="str">
        <x:f>IF('08_Form_Erosion_Cotiere'!$M84="Validé humainement",'08_Form_Erosion_Cotiere'!N84,"")</x:f>
      </x:c>
      <x:c r="O84" s="76" t="str">
        <x:f>IF('08_Form_Erosion_Cotiere'!$M84="Validé humainement",'08_Form_Erosion_Cotiere'!O84,"")</x:f>
      </x:c>
      <x:c r="P84" s="76" t="str">
        <x:f>IF('08_Form_Erosion_Cotiere'!$M84="Validé humainement",'08_Form_Erosion_Cotiere'!P84,"")</x:f>
      </x:c>
      <x:c r="Q84" s="76" t="str">
        <x:f>IF('08_Form_Erosion_Cotiere'!$M84="Validé humainement",'08_Form_Erosion_Cotiere'!Q84,"")</x:f>
      </x:c>
    </x:row>
    <x:row r="85">
      <x:c r="A85" s="76" t="str">
        <x:f>IF('08_Form_Erosion_Cotiere'!$M85="Validé humainement",'08_Form_Erosion_Cotiere'!A85,"")</x:f>
      </x:c>
      <x:c r="B85" s="76" t="str">
        <x:f>IF('08_Form_Erosion_Cotiere'!$M85="Validé humainement",'08_Form_Erosion_Cotiere'!B85,"")</x:f>
      </x:c>
      <x:c r="C85" s="76" t="str">
        <x:f>IF('08_Form_Erosion_Cotiere'!$M85="Validé humainement",'08_Form_Erosion_Cotiere'!C85,"")</x:f>
      </x:c>
      <x:c r="D85" s="76" t="str">
        <x:f>IF('08_Form_Erosion_Cotiere'!$M85="Validé humainement",'08_Form_Erosion_Cotiere'!D85,"")</x:f>
      </x:c>
      <x:c r="E85" s="77" t="str">
        <x:f>IF('08_Form_Erosion_Cotiere'!$M85="Validé humainement",'08_Form_Erosion_Cotiere'!E85,"")</x:f>
      </x:c>
      <x:c r="F85" s="76" t="str">
        <x:f>IF('08_Form_Erosion_Cotiere'!$M85="Validé humainement",'08_Form_Erosion_Cotiere'!F85,"")</x:f>
      </x:c>
      <x:c r="G85" s="76" t="str">
        <x:f>IF('08_Form_Erosion_Cotiere'!$M85="Validé humainement",'08_Form_Erosion_Cotiere'!G85,"")</x:f>
      </x:c>
      <x:c r="H85" s="81" t="str">
        <x:f>IF('08_Form_Erosion_Cotiere'!$M85="Validé humainement",'08_Form_Erosion_Cotiere'!H85,"")</x:f>
      </x:c>
      <x:c r="I85" s="76" t="str">
        <x:f>IF('08_Form_Erosion_Cotiere'!$M85="Validé humainement",'08_Form_Erosion_Cotiere'!I85,"")</x:f>
      </x:c>
      <x:c r="J85" s="76" t="str">
        <x:f>IF('08_Form_Erosion_Cotiere'!$M85="Validé humainement",'08_Form_Erosion_Cotiere'!J85,"")</x:f>
      </x:c>
      <x:c r="K85" s="76" t="str">
        <x:f>IF('08_Form_Erosion_Cotiere'!$M85="Validé humainement",'08_Form_Erosion_Cotiere'!K85,"")</x:f>
      </x:c>
      <x:c r="L85" s="76" t="str">
        <x:f>IF('08_Form_Erosion_Cotiere'!$M85="Validé humainement",'08_Form_Erosion_Cotiere'!L85,"")</x:f>
      </x:c>
      <x:c r="M85" s="76" t="str">
        <x:f>IF('08_Form_Erosion_Cotiere'!$M85="Validé humainement",'08_Form_Erosion_Cotiere'!M85,"")</x:f>
      </x:c>
      <x:c r="N85" s="78" t="str">
        <x:f>IF('08_Form_Erosion_Cotiere'!$M85="Validé humainement",'08_Form_Erosion_Cotiere'!N85,"")</x:f>
      </x:c>
      <x:c r="O85" s="76" t="str">
        <x:f>IF('08_Form_Erosion_Cotiere'!$M85="Validé humainement",'08_Form_Erosion_Cotiere'!O85,"")</x:f>
      </x:c>
      <x:c r="P85" s="76" t="str">
        <x:f>IF('08_Form_Erosion_Cotiere'!$M85="Validé humainement",'08_Form_Erosion_Cotiere'!P85,"")</x:f>
      </x:c>
      <x:c r="Q85" s="76" t="str">
        <x:f>IF('08_Form_Erosion_Cotiere'!$M85="Validé humainement",'08_Form_Erosion_Cotiere'!Q85,"")</x:f>
      </x:c>
    </x:row>
    <x:row r="86">
      <x:c r="A86" s="76" t="str">
        <x:f>IF('08_Form_Erosion_Cotiere'!$M86="Validé humainement",'08_Form_Erosion_Cotiere'!A86,"")</x:f>
      </x:c>
      <x:c r="B86" s="76" t="str">
        <x:f>IF('08_Form_Erosion_Cotiere'!$M86="Validé humainement",'08_Form_Erosion_Cotiere'!B86,"")</x:f>
      </x:c>
      <x:c r="C86" s="76" t="str">
        <x:f>IF('08_Form_Erosion_Cotiere'!$M86="Validé humainement",'08_Form_Erosion_Cotiere'!C86,"")</x:f>
      </x:c>
      <x:c r="D86" s="76" t="str">
        <x:f>IF('08_Form_Erosion_Cotiere'!$M86="Validé humainement",'08_Form_Erosion_Cotiere'!D86,"")</x:f>
      </x:c>
      <x:c r="E86" s="77" t="str">
        <x:f>IF('08_Form_Erosion_Cotiere'!$M86="Validé humainement",'08_Form_Erosion_Cotiere'!E86,"")</x:f>
      </x:c>
      <x:c r="F86" s="76" t="str">
        <x:f>IF('08_Form_Erosion_Cotiere'!$M86="Validé humainement",'08_Form_Erosion_Cotiere'!F86,"")</x:f>
      </x:c>
      <x:c r="G86" s="76" t="str">
        <x:f>IF('08_Form_Erosion_Cotiere'!$M86="Validé humainement",'08_Form_Erosion_Cotiere'!G86,"")</x:f>
      </x:c>
      <x:c r="H86" s="81" t="str">
        <x:f>IF('08_Form_Erosion_Cotiere'!$M86="Validé humainement",'08_Form_Erosion_Cotiere'!H86,"")</x:f>
      </x:c>
      <x:c r="I86" s="76" t="str">
        <x:f>IF('08_Form_Erosion_Cotiere'!$M86="Validé humainement",'08_Form_Erosion_Cotiere'!I86,"")</x:f>
      </x:c>
      <x:c r="J86" s="76" t="str">
        <x:f>IF('08_Form_Erosion_Cotiere'!$M86="Validé humainement",'08_Form_Erosion_Cotiere'!J86,"")</x:f>
      </x:c>
      <x:c r="K86" s="76" t="str">
        <x:f>IF('08_Form_Erosion_Cotiere'!$M86="Validé humainement",'08_Form_Erosion_Cotiere'!K86,"")</x:f>
      </x:c>
      <x:c r="L86" s="76" t="str">
        <x:f>IF('08_Form_Erosion_Cotiere'!$M86="Validé humainement",'08_Form_Erosion_Cotiere'!L86,"")</x:f>
      </x:c>
      <x:c r="M86" s="76" t="str">
        <x:f>IF('08_Form_Erosion_Cotiere'!$M86="Validé humainement",'08_Form_Erosion_Cotiere'!M86,"")</x:f>
      </x:c>
      <x:c r="N86" s="78" t="str">
        <x:f>IF('08_Form_Erosion_Cotiere'!$M86="Validé humainement",'08_Form_Erosion_Cotiere'!N86,"")</x:f>
      </x:c>
      <x:c r="O86" s="76" t="str">
        <x:f>IF('08_Form_Erosion_Cotiere'!$M86="Validé humainement",'08_Form_Erosion_Cotiere'!O86,"")</x:f>
      </x:c>
      <x:c r="P86" s="76" t="str">
        <x:f>IF('08_Form_Erosion_Cotiere'!$M86="Validé humainement",'08_Form_Erosion_Cotiere'!P86,"")</x:f>
      </x:c>
      <x:c r="Q86" s="76" t="str">
        <x:f>IF('08_Form_Erosion_Cotiere'!$M86="Validé humainement",'08_Form_Erosion_Cotiere'!Q86,"")</x:f>
      </x:c>
    </x:row>
    <x:row r="87">
      <x:c r="A87" s="76" t="str">
        <x:f>IF('08_Form_Erosion_Cotiere'!$M87="Validé humainement",'08_Form_Erosion_Cotiere'!A87,"")</x:f>
      </x:c>
      <x:c r="B87" s="76" t="str">
        <x:f>IF('08_Form_Erosion_Cotiere'!$M87="Validé humainement",'08_Form_Erosion_Cotiere'!B87,"")</x:f>
      </x:c>
      <x:c r="C87" s="76" t="str">
        <x:f>IF('08_Form_Erosion_Cotiere'!$M87="Validé humainement",'08_Form_Erosion_Cotiere'!C87,"")</x:f>
      </x:c>
      <x:c r="D87" s="76" t="str">
        <x:f>IF('08_Form_Erosion_Cotiere'!$M87="Validé humainement",'08_Form_Erosion_Cotiere'!D87,"")</x:f>
      </x:c>
      <x:c r="E87" s="77" t="str">
        <x:f>IF('08_Form_Erosion_Cotiere'!$M87="Validé humainement",'08_Form_Erosion_Cotiere'!E87,"")</x:f>
      </x:c>
      <x:c r="F87" s="76" t="str">
        <x:f>IF('08_Form_Erosion_Cotiere'!$M87="Validé humainement",'08_Form_Erosion_Cotiere'!F87,"")</x:f>
      </x:c>
      <x:c r="G87" s="76" t="str">
        <x:f>IF('08_Form_Erosion_Cotiere'!$M87="Validé humainement",'08_Form_Erosion_Cotiere'!G87,"")</x:f>
      </x:c>
      <x:c r="H87" s="81" t="str">
        <x:f>IF('08_Form_Erosion_Cotiere'!$M87="Validé humainement",'08_Form_Erosion_Cotiere'!H87,"")</x:f>
      </x:c>
      <x:c r="I87" s="76" t="str">
        <x:f>IF('08_Form_Erosion_Cotiere'!$M87="Validé humainement",'08_Form_Erosion_Cotiere'!I87,"")</x:f>
      </x:c>
      <x:c r="J87" s="76" t="str">
        <x:f>IF('08_Form_Erosion_Cotiere'!$M87="Validé humainement",'08_Form_Erosion_Cotiere'!J87,"")</x:f>
      </x:c>
      <x:c r="K87" s="76" t="str">
        <x:f>IF('08_Form_Erosion_Cotiere'!$M87="Validé humainement",'08_Form_Erosion_Cotiere'!K87,"")</x:f>
      </x:c>
      <x:c r="L87" s="76" t="str">
        <x:f>IF('08_Form_Erosion_Cotiere'!$M87="Validé humainement",'08_Form_Erosion_Cotiere'!L87,"")</x:f>
      </x:c>
      <x:c r="M87" s="76" t="str">
        <x:f>IF('08_Form_Erosion_Cotiere'!$M87="Validé humainement",'08_Form_Erosion_Cotiere'!M87,"")</x:f>
      </x:c>
      <x:c r="N87" s="78" t="str">
        <x:f>IF('08_Form_Erosion_Cotiere'!$M87="Validé humainement",'08_Form_Erosion_Cotiere'!N87,"")</x:f>
      </x:c>
      <x:c r="O87" s="76" t="str">
        <x:f>IF('08_Form_Erosion_Cotiere'!$M87="Validé humainement",'08_Form_Erosion_Cotiere'!O87,"")</x:f>
      </x:c>
      <x:c r="P87" s="76" t="str">
        <x:f>IF('08_Form_Erosion_Cotiere'!$M87="Validé humainement",'08_Form_Erosion_Cotiere'!P87,"")</x:f>
      </x:c>
      <x:c r="Q87" s="76" t="str">
        <x:f>IF('08_Form_Erosion_Cotiere'!$M87="Validé humainement",'08_Form_Erosion_Cotiere'!Q87,"")</x:f>
      </x:c>
    </x:row>
    <x:row r="88">
      <x:c r="A88" s="76" t="str">
        <x:f>IF('08_Form_Erosion_Cotiere'!$M88="Validé humainement",'08_Form_Erosion_Cotiere'!A88,"")</x:f>
      </x:c>
      <x:c r="B88" s="76" t="str">
        <x:f>IF('08_Form_Erosion_Cotiere'!$M88="Validé humainement",'08_Form_Erosion_Cotiere'!B88,"")</x:f>
      </x:c>
      <x:c r="C88" s="76" t="str">
        <x:f>IF('08_Form_Erosion_Cotiere'!$M88="Validé humainement",'08_Form_Erosion_Cotiere'!C88,"")</x:f>
      </x:c>
      <x:c r="D88" s="76" t="str">
        <x:f>IF('08_Form_Erosion_Cotiere'!$M88="Validé humainement",'08_Form_Erosion_Cotiere'!D88,"")</x:f>
      </x:c>
      <x:c r="E88" s="77" t="str">
        <x:f>IF('08_Form_Erosion_Cotiere'!$M88="Validé humainement",'08_Form_Erosion_Cotiere'!E88,"")</x:f>
      </x:c>
      <x:c r="F88" s="76" t="str">
        <x:f>IF('08_Form_Erosion_Cotiere'!$M88="Validé humainement",'08_Form_Erosion_Cotiere'!F88,"")</x:f>
      </x:c>
      <x:c r="G88" s="76" t="str">
        <x:f>IF('08_Form_Erosion_Cotiere'!$M88="Validé humainement",'08_Form_Erosion_Cotiere'!G88,"")</x:f>
      </x:c>
      <x:c r="H88" s="81" t="str">
        <x:f>IF('08_Form_Erosion_Cotiere'!$M88="Validé humainement",'08_Form_Erosion_Cotiere'!H88,"")</x:f>
      </x:c>
      <x:c r="I88" s="76" t="str">
        <x:f>IF('08_Form_Erosion_Cotiere'!$M88="Validé humainement",'08_Form_Erosion_Cotiere'!I88,"")</x:f>
      </x:c>
      <x:c r="J88" s="76" t="str">
        <x:f>IF('08_Form_Erosion_Cotiere'!$M88="Validé humainement",'08_Form_Erosion_Cotiere'!J88,"")</x:f>
      </x:c>
      <x:c r="K88" s="76" t="str">
        <x:f>IF('08_Form_Erosion_Cotiere'!$M88="Validé humainement",'08_Form_Erosion_Cotiere'!K88,"")</x:f>
      </x:c>
      <x:c r="L88" s="76" t="str">
        <x:f>IF('08_Form_Erosion_Cotiere'!$M88="Validé humainement",'08_Form_Erosion_Cotiere'!L88,"")</x:f>
      </x:c>
      <x:c r="M88" s="76" t="str">
        <x:f>IF('08_Form_Erosion_Cotiere'!$M88="Validé humainement",'08_Form_Erosion_Cotiere'!M88,"")</x:f>
      </x:c>
      <x:c r="N88" s="78" t="str">
        <x:f>IF('08_Form_Erosion_Cotiere'!$M88="Validé humainement",'08_Form_Erosion_Cotiere'!N88,"")</x:f>
      </x:c>
      <x:c r="O88" s="76" t="str">
        <x:f>IF('08_Form_Erosion_Cotiere'!$M88="Validé humainement",'08_Form_Erosion_Cotiere'!O88,"")</x:f>
      </x:c>
      <x:c r="P88" s="76" t="str">
        <x:f>IF('08_Form_Erosion_Cotiere'!$M88="Validé humainement",'08_Form_Erosion_Cotiere'!P88,"")</x:f>
      </x:c>
      <x:c r="Q88" s="76" t="str">
        <x:f>IF('08_Form_Erosion_Cotiere'!$M88="Validé humainement",'08_Form_Erosion_Cotiere'!Q88,"")</x:f>
      </x:c>
    </x:row>
    <x:row r="89">
      <x:c r="A89" s="76" t="str">
        <x:f>IF('08_Form_Erosion_Cotiere'!$M89="Validé humainement",'08_Form_Erosion_Cotiere'!A89,"")</x:f>
      </x:c>
      <x:c r="B89" s="76" t="str">
        <x:f>IF('08_Form_Erosion_Cotiere'!$M89="Validé humainement",'08_Form_Erosion_Cotiere'!B89,"")</x:f>
      </x:c>
      <x:c r="C89" s="76" t="str">
        <x:f>IF('08_Form_Erosion_Cotiere'!$M89="Validé humainement",'08_Form_Erosion_Cotiere'!C89,"")</x:f>
      </x:c>
      <x:c r="D89" s="76" t="str">
        <x:f>IF('08_Form_Erosion_Cotiere'!$M89="Validé humainement",'08_Form_Erosion_Cotiere'!D89,"")</x:f>
      </x:c>
      <x:c r="E89" s="77" t="str">
        <x:f>IF('08_Form_Erosion_Cotiere'!$M89="Validé humainement",'08_Form_Erosion_Cotiere'!E89,"")</x:f>
      </x:c>
      <x:c r="F89" s="76" t="str">
        <x:f>IF('08_Form_Erosion_Cotiere'!$M89="Validé humainement",'08_Form_Erosion_Cotiere'!F89,"")</x:f>
      </x:c>
      <x:c r="G89" s="76" t="str">
        <x:f>IF('08_Form_Erosion_Cotiere'!$M89="Validé humainement",'08_Form_Erosion_Cotiere'!G89,"")</x:f>
      </x:c>
      <x:c r="H89" s="81" t="str">
        <x:f>IF('08_Form_Erosion_Cotiere'!$M89="Validé humainement",'08_Form_Erosion_Cotiere'!H89,"")</x:f>
      </x:c>
      <x:c r="I89" s="76" t="str">
        <x:f>IF('08_Form_Erosion_Cotiere'!$M89="Validé humainement",'08_Form_Erosion_Cotiere'!I89,"")</x:f>
      </x:c>
      <x:c r="J89" s="76" t="str">
        <x:f>IF('08_Form_Erosion_Cotiere'!$M89="Validé humainement",'08_Form_Erosion_Cotiere'!J89,"")</x:f>
      </x:c>
      <x:c r="K89" s="76" t="str">
        <x:f>IF('08_Form_Erosion_Cotiere'!$M89="Validé humainement",'08_Form_Erosion_Cotiere'!K89,"")</x:f>
      </x:c>
      <x:c r="L89" s="76" t="str">
        <x:f>IF('08_Form_Erosion_Cotiere'!$M89="Validé humainement",'08_Form_Erosion_Cotiere'!L89,"")</x:f>
      </x:c>
      <x:c r="M89" s="76" t="str">
        <x:f>IF('08_Form_Erosion_Cotiere'!$M89="Validé humainement",'08_Form_Erosion_Cotiere'!M89,"")</x:f>
      </x:c>
      <x:c r="N89" s="78" t="str">
        <x:f>IF('08_Form_Erosion_Cotiere'!$M89="Validé humainement",'08_Form_Erosion_Cotiere'!N89,"")</x:f>
      </x:c>
      <x:c r="O89" s="76" t="str">
        <x:f>IF('08_Form_Erosion_Cotiere'!$M89="Validé humainement",'08_Form_Erosion_Cotiere'!O89,"")</x:f>
      </x:c>
      <x:c r="P89" s="76" t="str">
        <x:f>IF('08_Form_Erosion_Cotiere'!$M89="Validé humainement",'08_Form_Erosion_Cotiere'!P89,"")</x:f>
      </x:c>
      <x:c r="Q89" s="76" t="str">
        <x:f>IF('08_Form_Erosion_Cotiere'!$M89="Validé humainement",'08_Form_Erosion_Cotiere'!Q89,"")</x:f>
      </x:c>
    </x:row>
    <x:row r="90">
      <x:c r="A90" s="76" t="str">
        <x:f>IF('08_Form_Erosion_Cotiere'!$M90="Validé humainement",'08_Form_Erosion_Cotiere'!A90,"")</x:f>
      </x:c>
      <x:c r="B90" s="76" t="str">
        <x:f>IF('08_Form_Erosion_Cotiere'!$M90="Validé humainement",'08_Form_Erosion_Cotiere'!B90,"")</x:f>
      </x:c>
      <x:c r="C90" s="76" t="str">
        <x:f>IF('08_Form_Erosion_Cotiere'!$M90="Validé humainement",'08_Form_Erosion_Cotiere'!C90,"")</x:f>
      </x:c>
      <x:c r="D90" s="76" t="str">
        <x:f>IF('08_Form_Erosion_Cotiere'!$M90="Validé humainement",'08_Form_Erosion_Cotiere'!D90,"")</x:f>
      </x:c>
      <x:c r="E90" s="77" t="str">
        <x:f>IF('08_Form_Erosion_Cotiere'!$M90="Validé humainement",'08_Form_Erosion_Cotiere'!E90,"")</x:f>
      </x:c>
      <x:c r="F90" s="76" t="str">
        <x:f>IF('08_Form_Erosion_Cotiere'!$M90="Validé humainement",'08_Form_Erosion_Cotiere'!F90,"")</x:f>
      </x:c>
      <x:c r="G90" s="76" t="str">
        <x:f>IF('08_Form_Erosion_Cotiere'!$M90="Validé humainement",'08_Form_Erosion_Cotiere'!G90,"")</x:f>
      </x:c>
      <x:c r="H90" s="81" t="str">
        <x:f>IF('08_Form_Erosion_Cotiere'!$M90="Validé humainement",'08_Form_Erosion_Cotiere'!H90,"")</x:f>
      </x:c>
      <x:c r="I90" s="76" t="str">
        <x:f>IF('08_Form_Erosion_Cotiere'!$M90="Validé humainement",'08_Form_Erosion_Cotiere'!I90,"")</x:f>
      </x:c>
      <x:c r="J90" s="76" t="str">
        <x:f>IF('08_Form_Erosion_Cotiere'!$M90="Validé humainement",'08_Form_Erosion_Cotiere'!J90,"")</x:f>
      </x:c>
      <x:c r="K90" s="76" t="str">
        <x:f>IF('08_Form_Erosion_Cotiere'!$M90="Validé humainement",'08_Form_Erosion_Cotiere'!K90,"")</x:f>
      </x:c>
      <x:c r="L90" s="76" t="str">
        <x:f>IF('08_Form_Erosion_Cotiere'!$M90="Validé humainement",'08_Form_Erosion_Cotiere'!L90,"")</x:f>
      </x:c>
      <x:c r="M90" s="76" t="str">
        <x:f>IF('08_Form_Erosion_Cotiere'!$M90="Validé humainement",'08_Form_Erosion_Cotiere'!M90,"")</x:f>
      </x:c>
      <x:c r="N90" s="78" t="str">
        <x:f>IF('08_Form_Erosion_Cotiere'!$M90="Validé humainement",'08_Form_Erosion_Cotiere'!N90,"")</x:f>
      </x:c>
      <x:c r="O90" s="76" t="str">
        <x:f>IF('08_Form_Erosion_Cotiere'!$M90="Validé humainement",'08_Form_Erosion_Cotiere'!O90,"")</x:f>
      </x:c>
      <x:c r="P90" s="76" t="str">
        <x:f>IF('08_Form_Erosion_Cotiere'!$M90="Validé humainement",'08_Form_Erosion_Cotiere'!P90,"")</x:f>
      </x:c>
      <x:c r="Q90" s="76" t="str">
        <x:f>IF('08_Form_Erosion_Cotiere'!$M90="Validé humainement",'08_Form_Erosion_Cotiere'!Q90,"")</x:f>
      </x:c>
    </x:row>
    <x:row r="91">
      <x:c r="A91" s="76" t="str">
        <x:f>IF('08_Form_Erosion_Cotiere'!$M91="Validé humainement",'08_Form_Erosion_Cotiere'!A91,"")</x:f>
      </x:c>
      <x:c r="B91" s="76" t="str">
        <x:f>IF('08_Form_Erosion_Cotiere'!$M91="Validé humainement",'08_Form_Erosion_Cotiere'!B91,"")</x:f>
      </x:c>
      <x:c r="C91" s="76" t="str">
        <x:f>IF('08_Form_Erosion_Cotiere'!$M91="Validé humainement",'08_Form_Erosion_Cotiere'!C91,"")</x:f>
      </x:c>
      <x:c r="D91" s="76" t="str">
        <x:f>IF('08_Form_Erosion_Cotiere'!$M91="Validé humainement",'08_Form_Erosion_Cotiere'!D91,"")</x:f>
      </x:c>
      <x:c r="E91" s="77" t="str">
        <x:f>IF('08_Form_Erosion_Cotiere'!$M91="Validé humainement",'08_Form_Erosion_Cotiere'!E91,"")</x:f>
      </x:c>
      <x:c r="F91" s="76" t="str">
        <x:f>IF('08_Form_Erosion_Cotiere'!$M91="Validé humainement",'08_Form_Erosion_Cotiere'!F91,"")</x:f>
      </x:c>
      <x:c r="G91" s="76" t="str">
        <x:f>IF('08_Form_Erosion_Cotiere'!$M91="Validé humainement",'08_Form_Erosion_Cotiere'!G91,"")</x:f>
      </x:c>
      <x:c r="H91" s="81" t="str">
        <x:f>IF('08_Form_Erosion_Cotiere'!$M91="Validé humainement",'08_Form_Erosion_Cotiere'!H91,"")</x:f>
      </x:c>
      <x:c r="I91" s="76" t="str">
        <x:f>IF('08_Form_Erosion_Cotiere'!$M91="Validé humainement",'08_Form_Erosion_Cotiere'!I91,"")</x:f>
      </x:c>
      <x:c r="J91" s="76" t="str">
        <x:f>IF('08_Form_Erosion_Cotiere'!$M91="Validé humainement",'08_Form_Erosion_Cotiere'!J91,"")</x:f>
      </x:c>
      <x:c r="K91" s="76" t="str">
        <x:f>IF('08_Form_Erosion_Cotiere'!$M91="Validé humainement",'08_Form_Erosion_Cotiere'!K91,"")</x:f>
      </x:c>
      <x:c r="L91" s="76" t="str">
        <x:f>IF('08_Form_Erosion_Cotiere'!$M91="Validé humainement",'08_Form_Erosion_Cotiere'!L91,"")</x:f>
      </x:c>
      <x:c r="M91" s="76" t="str">
        <x:f>IF('08_Form_Erosion_Cotiere'!$M91="Validé humainement",'08_Form_Erosion_Cotiere'!M91,"")</x:f>
      </x:c>
      <x:c r="N91" s="78" t="str">
        <x:f>IF('08_Form_Erosion_Cotiere'!$M91="Validé humainement",'08_Form_Erosion_Cotiere'!N91,"")</x:f>
      </x:c>
      <x:c r="O91" s="76" t="str">
        <x:f>IF('08_Form_Erosion_Cotiere'!$M91="Validé humainement",'08_Form_Erosion_Cotiere'!O91,"")</x:f>
      </x:c>
      <x:c r="P91" s="76" t="str">
        <x:f>IF('08_Form_Erosion_Cotiere'!$M91="Validé humainement",'08_Form_Erosion_Cotiere'!P91,"")</x:f>
      </x:c>
      <x:c r="Q91" s="76" t="str">
        <x:f>IF('08_Form_Erosion_Cotiere'!$M91="Validé humainement",'08_Form_Erosion_Cotiere'!Q91,"")</x:f>
      </x:c>
    </x:row>
    <x:row r="92">
      <x:c r="A92" s="76" t="str">
        <x:f>IF('08_Form_Erosion_Cotiere'!$M92="Validé humainement",'08_Form_Erosion_Cotiere'!A92,"")</x:f>
      </x:c>
      <x:c r="B92" s="76" t="str">
        <x:f>IF('08_Form_Erosion_Cotiere'!$M92="Validé humainement",'08_Form_Erosion_Cotiere'!B92,"")</x:f>
      </x:c>
      <x:c r="C92" s="76" t="str">
        <x:f>IF('08_Form_Erosion_Cotiere'!$M92="Validé humainement",'08_Form_Erosion_Cotiere'!C92,"")</x:f>
      </x:c>
      <x:c r="D92" s="76" t="str">
        <x:f>IF('08_Form_Erosion_Cotiere'!$M92="Validé humainement",'08_Form_Erosion_Cotiere'!D92,"")</x:f>
      </x:c>
      <x:c r="E92" s="77" t="str">
        <x:f>IF('08_Form_Erosion_Cotiere'!$M92="Validé humainement",'08_Form_Erosion_Cotiere'!E92,"")</x:f>
      </x:c>
      <x:c r="F92" s="76" t="str">
        <x:f>IF('08_Form_Erosion_Cotiere'!$M92="Validé humainement",'08_Form_Erosion_Cotiere'!F92,"")</x:f>
      </x:c>
      <x:c r="G92" s="76" t="str">
        <x:f>IF('08_Form_Erosion_Cotiere'!$M92="Validé humainement",'08_Form_Erosion_Cotiere'!G92,"")</x:f>
      </x:c>
      <x:c r="H92" s="81" t="str">
        <x:f>IF('08_Form_Erosion_Cotiere'!$M92="Validé humainement",'08_Form_Erosion_Cotiere'!H92,"")</x:f>
      </x:c>
      <x:c r="I92" s="76" t="str">
        <x:f>IF('08_Form_Erosion_Cotiere'!$M92="Validé humainement",'08_Form_Erosion_Cotiere'!I92,"")</x:f>
      </x:c>
      <x:c r="J92" s="76" t="str">
        <x:f>IF('08_Form_Erosion_Cotiere'!$M92="Validé humainement",'08_Form_Erosion_Cotiere'!J92,"")</x:f>
      </x:c>
      <x:c r="K92" s="76" t="str">
        <x:f>IF('08_Form_Erosion_Cotiere'!$M92="Validé humainement",'08_Form_Erosion_Cotiere'!K92,"")</x:f>
      </x:c>
      <x:c r="L92" s="76" t="str">
        <x:f>IF('08_Form_Erosion_Cotiere'!$M92="Validé humainement",'08_Form_Erosion_Cotiere'!L92,"")</x:f>
      </x:c>
      <x:c r="M92" s="76" t="str">
        <x:f>IF('08_Form_Erosion_Cotiere'!$M92="Validé humainement",'08_Form_Erosion_Cotiere'!M92,"")</x:f>
      </x:c>
      <x:c r="N92" s="78" t="str">
        <x:f>IF('08_Form_Erosion_Cotiere'!$M92="Validé humainement",'08_Form_Erosion_Cotiere'!N92,"")</x:f>
      </x:c>
      <x:c r="O92" s="76" t="str">
        <x:f>IF('08_Form_Erosion_Cotiere'!$M92="Validé humainement",'08_Form_Erosion_Cotiere'!O92,"")</x:f>
      </x:c>
      <x:c r="P92" s="76" t="str">
        <x:f>IF('08_Form_Erosion_Cotiere'!$M92="Validé humainement",'08_Form_Erosion_Cotiere'!P92,"")</x:f>
      </x:c>
      <x:c r="Q92" s="76" t="str">
        <x:f>IF('08_Form_Erosion_Cotiere'!$M92="Validé humainement",'08_Form_Erosion_Cotiere'!Q92,"")</x:f>
      </x:c>
    </x:row>
    <x:row r="93">
      <x:c r="A93" s="76" t="str">
        <x:f>IF('08_Form_Erosion_Cotiere'!$M93="Validé humainement",'08_Form_Erosion_Cotiere'!A93,"")</x:f>
      </x:c>
      <x:c r="B93" s="76" t="str">
        <x:f>IF('08_Form_Erosion_Cotiere'!$M93="Validé humainement",'08_Form_Erosion_Cotiere'!B93,"")</x:f>
      </x:c>
      <x:c r="C93" s="76" t="str">
        <x:f>IF('08_Form_Erosion_Cotiere'!$M93="Validé humainement",'08_Form_Erosion_Cotiere'!C93,"")</x:f>
      </x:c>
      <x:c r="D93" s="76" t="str">
        <x:f>IF('08_Form_Erosion_Cotiere'!$M93="Validé humainement",'08_Form_Erosion_Cotiere'!D93,"")</x:f>
      </x:c>
      <x:c r="E93" s="77" t="str">
        <x:f>IF('08_Form_Erosion_Cotiere'!$M93="Validé humainement",'08_Form_Erosion_Cotiere'!E93,"")</x:f>
      </x:c>
      <x:c r="F93" s="76" t="str">
        <x:f>IF('08_Form_Erosion_Cotiere'!$M93="Validé humainement",'08_Form_Erosion_Cotiere'!F93,"")</x:f>
      </x:c>
      <x:c r="G93" s="76" t="str">
        <x:f>IF('08_Form_Erosion_Cotiere'!$M93="Validé humainement",'08_Form_Erosion_Cotiere'!G93,"")</x:f>
      </x:c>
      <x:c r="H93" s="81" t="str">
        <x:f>IF('08_Form_Erosion_Cotiere'!$M93="Validé humainement",'08_Form_Erosion_Cotiere'!H93,"")</x:f>
      </x:c>
      <x:c r="I93" s="76" t="str">
        <x:f>IF('08_Form_Erosion_Cotiere'!$M93="Validé humainement",'08_Form_Erosion_Cotiere'!I93,"")</x:f>
      </x:c>
      <x:c r="J93" s="76" t="str">
        <x:f>IF('08_Form_Erosion_Cotiere'!$M93="Validé humainement",'08_Form_Erosion_Cotiere'!J93,"")</x:f>
      </x:c>
      <x:c r="K93" s="76" t="str">
        <x:f>IF('08_Form_Erosion_Cotiere'!$M93="Validé humainement",'08_Form_Erosion_Cotiere'!K93,"")</x:f>
      </x:c>
      <x:c r="L93" s="76" t="str">
        <x:f>IF('08_Form_Erosion_Cotiere'!$M93="Validé humainement",'08_Form_Erosion_Cotiere'!L93,"")</x:f>
      </x:c>
      <x:c r="M93" s="76" t="str">
        <x:f>IF('08_Form_Erosion_Cotiere'!$M93="Validé humainement",'08_Form_Erosion_Cotiere'!M93,"")</x:f>
      </x:c>
      <x:c r="N93" s="78" t="str">
        <x:f>IF('08_Form_Erosion_Cotiere'!$M93="Validé humainement",'08_Form_Erosion_Cotiere'!N93,"")</x:f>
      </x:c>
      <x:c r="O93" s="76" t="str">
        <x:f>IF('08_Form_Erosion_Cotiere'!$M93="Validé humainement",'08_Form_Erosion_Cotiere'!O93,"")</x:f>
      </x:c>
      <x:c r="P93" s="76" t="str">
        <x:f>IF('08_Form_Erosion_Cotiere'!$M93="Validé humainement",'08_Form_Erosion_Cotiere'!P93,"")</x:f>
      </x:c>
      <x:c r="Q93" s="76" t="str">
        <x:f>IF('08_Form_Erosion_Cotiere'!$M93="Validé humainement",'08_Form_Erosion_Cotiere'!Q93,"")</x:f>
      </x:c>
    </x:row>
    <x:row r="94">
      <x:c r="A94" s="76" t="str">
        <x:f>IF('08_Form_Erosion_Cotiere'!$M94="Validé humainement",'08_Form_Erosion_Cotiere'!A94,"")</x:f>
      </x:c>
      <x:c r="B94" s="76" t="str">
        <x:f>IF('08_Form_Erosion_Cotiere'!$M94="Validé humainement",'08_Form_Erosion_Cotiere'!B94,"")</x:f>
      </x:c>
      <x:c r="C94" s="76" t="str">
        <x:f>IF('08_Form_Erosion_Cotiere'!$M94="Validé humainement",'08_Form_Erosion_Cotiere'!C94,"")</x:f>
      </x:c>
      <x:c r="D94" s="76" t="str">
        <x:f>IF('08_Form_Erosion_Cotiere'!$M94="Validé humainement",'08_Form_Erosion_Cotiere'!D94,"")</x:f>
      </x:c>
      <x:c r="E94" s="77" t="str">
        <x:f>IF('08_Form_Erosion_Cotiere'!$M94="Validé humainement",'08_Form_Erosion_Cotiere'!E94,"")</x:f>
      </x:c>
      <x:c r="F94" s="76" t="str">
        <x:f>IF('08_Form_Erosion_Cotiere'!$M94="Validé humainement",'08_Form_Erosion_Cotiere'!F94,"")</x:f>
      </x:c>
      <x:c r="G94" s="76" t="str">
        <x:f>IF('08_Form_Erosion_Cotiere'!$M94="Validé humainement",'08_Form_Erosion_Cotiere'!G94,"")</x:f>
      </x:c>
      <x:c r="H94" s="81" t="str">
        <x:f>IF('08_Form_Erosion_Cotiere'!$M94="Validé humainement",'08_Form_Erosion_Cotiere'!H94,"")</x:f>
      </x:c>
      <x:c r="I94" s="76" t="str">
        <x:f>IF('08_Form_Erosion_Cotiere'!$M94="Validé humainement",'08_Form_Erosion_Cotiere'!I94,"")</x:f>
      </x:c>
      <x:c r="J94" s="76" t="str">
        <x:f>IF('08_Form_Erosion_Cotiere'!$M94="Validé humainement",'08_Form_Erosion_Cotiere'!J94,"")</x:f>
      </x:c>
      <x:c r="K94" s="76" t="str">
        <x:f>IF('08_Form_Erosion_Cotiere'!$M94="Validé humainement",'08_Form_Erosion_Cotiere'!K94,"")</x:f>
      </x:c>
      <x:c r="L94" s="76" t="str">
        <x:f>IF('08_Form_Erosion_Cotiere'!$M94="Validé humainement",'08_Form_Erosion_Cotiere'!L94,"")</x:f>
      </x:c>
      <x:c r="M94" s="76" t="str">
        <x:f>IF('08_Form_Erosion_Cotiere'!$M94="Validé humainement",'08_Form_Erosion_Cotiere'!M94,"")</x:f>
      </x:c>
      <x:c r="N94" s="78" t="str">
        <x:f>IF('08_Form_Erosion_Cotiere'!$M94="Validé humainement",'08_Form_Erosion_Cotiere'!N94,"")</x:f>
      </x:c>
      <x:c r="O94" s="76" t="str">
        <x:f>IF('08_Form_Erosion_Cotiere'!$M94="Validé humainement",'08_Form_Erosion_Cotiere'!O94,"")</x:f>
      </x:c>
      <x:c r="P94" s="76" t="str">
        <x:f>IF('08_Form_Erosion_Cotiere'!$M94="Validé humainement",'08_Form_Erosion_Cotiere'!P94,"")</x:f>
      </x:c>
      <x:c r="Q94" s="76" t="str">
        <x:f>IF('08_Form_Erosion_Cotiere'!$M94="Validé humainement",'08_Form_Erosion_Cotiere'!Q94,"")</x:f>
      </x:c>
    </x:row>
    <x:row r="95">
      <x:c r="A95" s="76" t="str">
        <x:f>IF('08_Form_Erosion_Cotiere'!$M95="Validé humainement",'08_Form_Erosion_Cotiere'!A95,"")</x:f>
      </x:c>
      <x:c r="B95" s="76" t="str">
        <x:f>IF('08_Form_Erosion_Cotiere'!$M95="Validé humainement",'08_Form_Erosion_Cotiere'!B95,"")</x:f>
      </x:c>
      <x:c r="C95" s="76" t="str">
        <x:f>IF('08_Form_Erosion_Cotiere'!$M95="Validé humainement",'08_Form_Erosion_Cotiere'!C95,"")</x:f>
      </x:c>
      <x:c r="D95" s="76" t="str">
        <x:f>IF('08_Form_Erosion_Cotiere'!$M95="Validé humainement",'08_Form_Erosion_Cotiere'!D95,"")</x:f>
      </x:c>
      <x:c r="E95" s="77" t="str">
        <x:f>IF('08_Form_Erosion_Cotiere'!$M95="Validé humainement",'08_Form_Erosion_Cotiere'!E95,"")</x:f>
      </x:c>
      <x:c r="F95" s="76" t="str">
        <x:f>IF('08_Form_Erosion_Cotiere'!$M95="Validé humainement",'08_Form_Erosion_Cotiere'!F95,"")</x:f>
      </x:c>
      <x:c r="G95" s="76" t="str">
        <x:f>IF('08_Form_Erosion_Cotiere'!$M95="Validé humainement",'08_Form_Erosion_Cotiere'!G95,"")</x:f>
      </x:c>
      <x:c r="H95" s="81" t="str">
        <x:f>IF('08_Form_Erosion_Cotiere'!$M95="Validé humainement",'08_Form_Erosion_Cotiere'!H95,"")</x:f>
      </x:c>
      <x:c r="I95" s="76" t="str">
        <x:f>IF('08_Form_Erosion_Cotiere'!$M95="Validé humainement",'08_Form_Erosion_Cotiere'!I95,"")</x:f>
      </x:c>
      <x:c r="J95" s="76" t="str">
        <x:f>IF('08_Form_Erosion_Cotiere'!$M95="Validé humainement",'08_Form_Erosion_Cotiere'!J95,"")</x:f>
      </x:c>
      <x:c r="K95" s="76" t="str">
        <x:f>IF('08_Form_Erosion_Cotiere'!$M95="Validé humainement",'08_Form_Erosion_Cotiere'!K95,"")</x:f>
      </x:c>
      <x:c r="L95" s="76" t="str">
        <x:f>IF('08_Form_Erosion_Cotiere'!$M95="Validé humainement",'08_Form_Erosion_Cotiere'!L95,"")</x:f>
      </x:c>
      <x:c r="M95" s="76" t="str">
        <x:f>IF('08_Form_Erosion_Cotiere'!$M95="Validé humainement",'08_Form_Erosion_Cotiere'!M95,"")</x:f>
      </x:c>
      <x:c r="N95" s="78" t="str">
        <x:f>IF('08_Form_Erosion_Cotiere'!$M95="Validé humainement",'08_Form_Erosion_Cotiere'!N95,"")</x:f>
      </x:c>
      <x:c r="O95" s="76" t="str">
        <x:f>IF('08_Form_Erosion_Cotiere'!$M95="Validé humainement",'08_Form_Erosion_Cotiere'!O95,"")</x:f>
      </x:c>
      <x:c r="P95" s="76" t="str">
        <x:f>IF('08_Form_Erosion_Cotiere'!$M95="Validé humainement",'08_Form_Erosion_Cotiere'!P95,"")</x:f>
      </x:c>
      <x:c r="Q95" s="76" t="str">
        <x:f>IF('08_Form_Erosion_Cotiere'!$M95="Validé humainement",'08_Form_Erosion_Cotiere'!Q95,"")</x:f>
      </x:c>
    </x:row>
    <x:row r="96">
      <x:c r="A96" s="76" t="str">
        <x:f>IF('08_Form_Erosion_Cotiere'!$M96="Validé humainement",'08_Form_Erosion_Cotiere'!A96,"")</x:f>
      </x:c>
      <x:c r="B96" s="76" t="str">
        <x:f>IF('08_Form_Erosion_Cotiere'!$M96="Validé humainement",'08_Form_Erosion_Cotiere'!B96,"")</x:f>
      </x:c>
      <x:c r="C96" s="76" t="str">
        <x:f>IF('08_Form_Erosion_Cotiere'!$M96="Validé humainement",'08_Form_Erosion_Cotiere'!C96,"")</x:f>
      </x:c>
      <x:c r="D96" s="76" t="str">
        <x:f>IF('08_Form_Erosion_Cotiere'!$M96="Validé humainement",'08_Form_Erosion_Cotiere'!D96,"")</x:f>
      </x:c>
      <x:c r="E96" s="77" t="str">
        <x:f>IF('08_Form_Erosion_Cotiere'!$M96="Validé humainement",'08_Form_Erosion_Cotiere'!E96,"")</x:f>
      </x:c>
      <x:c r="F96" s="76" t="str">
        <x:f>IF('08_Form_Erosion_Cotiere'!$M96="Validé humainement",'08_Form_Erosion_Cotiere'!F96,"")</x:f>
      </x:c>
      <x:c r="G96" s="76" t="str">
        <x:f>IF('08_Form_Erosion_Cotiere'!$M96="Validé humainement",'08_Form_Erosion_Cotiere'!G96,"")</x:f>
      </x:c>
      <x:c r="H96" s="81" t="str">
        <x:f>IF('08_Form_Erosion_Cotiere'!$M96="Validé humainement",'08_Form_Erosion_Cotiere'!H96,"")</x:f>
      </x:c>
      <x:c r="I96" s="76" t="str">
        <x:f>IF('08_Form_Erosion_Cotiere'!$M96="Validé humainement",'08_Form_Erosion_Cotiere'!I96,"")</x:f>
      </x:c>
      <x:c r="J96" s="76" t="str">
        <x:f>IF('08_Form_Erosion_Cotiere'!$M96="Validé humainement",'08_Form_Erosion_Cotiere'!J96,"")</x:f>
      </x:c>
      <x:c r="K96" s="76" t="str">
        <x:f>IF('08_Form_Erosion_Cotiere'!$M96="Validé humainement",'08_Form_Erosion_Cotiere'!K96,"")</x:f>
      </x:c>
      <x:c r="L96" s="76" t="str">
        <x:f>IF('08_Form_Erosion_Cotiere'!$M96="Validé humainement",'08_Form_Erosion_Cotiere'!L96,"")</x:f>
      </x:c>
      <x:c r="M96" s="76" t="str">
        <x:f>IF('08_Form_Erosion_Cotiere'!$M96="Validé humainement",'08_Form_Erosion_Cotiere'!M96,"")</x:f>
      </x:c>
      <x:c r="N96" s="78" t="str">
        <x:f>IF('08_Form_Erosion_Cotiere'!$M96="Validé humainement",'08_Form_Erosion_Cotiere'!N96,"")</x:f>
      </x:c>
      <x:c r="O96" s="76" t="str">
        <x:f>IF('08_Form_Erosion_Cotiere'!$M96="Validé humainement",'08_Form_Erosion_Cotiere'!O96,"")</x:f>
      </x:c>
      <x:c r="P96" s="76" t="str">
        <x:f>IF('08_Form_Erosion_Cotiere'!$M96="Validé humainement",'08_Form_Erosion_Cotiere'!P96,"")</x:f>
      </x:c>
      <x:c r="Q96" s="76" t="str">
        <x:f>IF('08_Form_Erosion_Cotiere'!$M96="Validé humainement",'08_Form_Erosion_Cotiere'!Q96,"")</x:f>
      </x:c>
    </x:row>
    <x:row r="97">
      <x:c r="A97" s="76" t="str">
        <x:f>IF('08_Form_Erosion_Cotiere'!$M97="Validé humainement",'08_Form_Erosion_Cotiere'!A97,"")</x:f>
      </x:c>
      <x:c r="B97" s="76" t="str">
        <x:f>IF('08_Form_Erosion_Cotiere'!$M97="Validé humainement",'08_Form_Erosion_Cotiere'!B97,"")</x:f>
      </x:c>
      <x:c r="C97" s="76" t="str">
        <x:f>IF('08_Form_Erosion_Cotiere'!$M97="Validé humainement",'08_Form_Erosion_Cotiere'!C97,"")</x:f>
      </x:c>
      <x:c r="D97" s="76" t="str">
        <x:f>IF('08_Form_Erosion_Cotiere'!$M97="Validé humainement",'08_Form_Erosion_Cotiere'!D97,"")</x:f>
      </x:c>
      <x:c r="E97" s="77" t="str">
        <x:f>IF('08_Form_Erosion_Cotiere'!$M97="Validé humainement",'08_Form_Erosion_Cotiere'!E97,"")</x:f>
      </x:c>
      <x:c r="F97" s="76" t="str">
        <x:f>IF('08_Form_Erosion_Cotiere'!$M97="Validé humainement",'08_Form_Erosion_Cotiere'!F97,"")</x:f>
      </x:c>
      <x:c r="G97" s="76" t="str">
        <x:f>IF('08_Form_Erosion_Cotiere'!$M97="Validé humainement",'08_Form_Erosion_Cotiere'!G97,"")</x:f>
      </x:c>
      <x:c r="H97" s="81" t="str">
        <x:f>IF('08_Form_Erosion_Cotiere'!$M97="Validé humainement",'08_Form_Erosion_Cotiere'!H97,"")</x:f>
      </x:c>
      <x:c r="I97" s="76" t="str">
        <x:f>IF('08_Form_Erosion_Cotiere'!$M97="Validé humainement",'08_Form_Erosion_Cotiere'!I97,"")</x:f>
      </x:c>
      <x:c r="J97" s="76" t="str">
        <x:f>IF('08_Form_Erosion_Cotiere'!$M97="Validé humainement",'08_Form_Erosion_Cotiere'!J97,"")</x:f>
      </x:c>
      <x:c r="K97" s="76" t="str">
        <x:f>IF('08_Form_Erosion_Cotiere'!$M97="Validé humainement",'08_Form_Erosion_Cotiere'!K97,"")</x:f>
      </x:c>
      <x:c r="L97" s="76" t="str">
        <x:f>IF('08_Form_Erosion_Cotiere'!$M97="Validé humainement",'08_Form_Erosion_Cotiere'!L97,"")</x:f>
      </x:c>
      <x:c r="M97" s="76" t="str">
        <x:f>IF('08_Form_Erosion_Cotiere'!$M97="Validé humainement",'08_Form_Erosion_Cotiere'!M97,"")</x:f>
      </x:c>
      <x:c r="N97" s="78" t="str">
        <x:f>IF('08_Form_Erosion_Cotiere'!$M97="Validé humainement",'08_Form_Erosion_Cotiere'!N97,"")</x:f>
      </x:c>
      <x:c r="O97" s="76" t="str">
        <x:f>IF('08_Form_Erosion_Cotiere'!$M97="Validé humainement",'08_Form_Erosion_Cotiere'!O97,"")</x:f>
      </x:c>
      <x:c r="P97" s="76" t="str">
        <x:f>IF('08_Form_Erosion_Cotiere'!$M97="Validé humainement",'08_Form_Erosion_Cotiere'!P97,"")</x:f>
      </x:c>
      <x:c r="Q97" s="76" t="str">
        <x:f>IF('08_Form_Erosion_Cotiere'!$M97="Validé humainement",'08_Form_Erosion_Cotiere'!Q97,"")</x:f>
      </x:c>
    </x:row>
    <x:row r="98">
      <x:c r="A98" s="76" t="str">
        <x:f>IF('08_Form_Erosion_Cotiere'!$M98="Validé humainement",'08_Form_Erosion_Cotiere'!A98,"")</x:f>
      </x:c>
      <x:c r="B98" s="76" t="str">
        <x:f>IF('08_Form_Erosion_Cotiere'!$M98="Validé humainement",'08_Form_Erosion_Cotiere'!B98,"")</x:f>
      </x:c>
      <x:c r="C98" s="76" t="str">
        <x:f>IF('08_Form_Erosion_Cotiere'!$M98="Validé humainement",'08_Form_Erosion_Cotiere'!C98,"")</x:f>
      </x:c>
      <x:c r="D98" s="76" t="str">
        <x:f>IF('08_Form_Erosion_Cotiere'!$M98="Validé humainement",'08_Form_Erosion_Cotiere'!D98,"")</x:f>
      </x:c>
      <x:c r="E98" s="77" t="str">
        <x:f>IF('08_Form_Erosion_Cotiere'!$M98="Validé humainement",'08_Form_Erosion_Cotiere'!E98,"")</x:f>
      </x:c>
      <x:c r="F98" s="76" t="str">
        <x:f>IF('08_Form_Erosion_Cotiere'!$M98="Validé humainement",'08_Form_Erosion_Cotiere'!F98,"")</x:f>
      </x:c>
      <x:c r="G98" s="76" t="str">
        <x:f>IF('08_Form_Erosion_Cotiere'!$M98="Validé humainement",'08_Form_Erosion_Cotiere'!G98,"")</x:f>
      </x:c>
      <x:c r="H98" s="81" t="str">
        <x:f>IF('08_Form_Erosion_Cotiere'!$M98="Validé humainement",'08_Form_Erosion_Cotiere'!H98,"")</x:f>
      </x:c>
      <x:c r="I98" s="76" t="str">
        <x:f>IF('08_Form_Erosion_Cotiere'!$M98="Validé humainement",'08_Form_Erosion_Cotiere'!I98,"")</x:f>
      </x:c>
      <x:c r="J98" s="76" t="str">
        <x:f>IF('08_Form_Erosion_Cotiere'!$M98="Validé humainement",'08_Form_Erosion_Cotiere'!J98,"")</x:f>
      </x:c>
      <x:c r="K98" s="76" t="str">
        <x:f>IF('08_Form_Erosion_Cotiere'!$M98="Validé humainement",'08_Form_Erosion_Cotiere'!K98,"")</x:f>
      </x:c>
      <x:c r="L98" s="76" t="str">
        <x:f>IF('08_Form_Erosion_Cotiere'!$M98="Validé humainement",'08_Form_Erosion_Cotiere'!L98,"")</x:f>
      </x:c>
      <x:c r="M98" s="76" t="str">
        <x:f>IF('08_Form_Erosion_Cotiere'!$M98="Validé humainement",'08_Form_Erosion_Cotiere'!M98,"")</x:f>
      </x:c>
      <x:c r="N98" s="78" t="str">
        <x:f>IF('08_Form_Erosion_Cotiere'!$M98="Validé humainement",'08_Form_Erosion_Cotiere'!N98,"")</x:f>
      </x:c>
      <x:c r="O98" s="76" t="str">
        <x:f>IF('08_Form_Erosion_Cotiere'!$M98="Validé humainement",'08_Form_Erosion_Cotiere'!O98,"")</x:f>
      </x:c>
      <x:c r="P98" s="76" t="str">
        <x:f>IF('08_Form_Erosion_Cotiere'!$M98="Validé humainement",'08_Form_Erosion_Cotiere'!P98,"")</x:f>
      </x:c>
      <x:c r="Q98" s="76" t="str">
        <x:f>IF('08_Form_Erosion_Cotiere'!$M98="Validé humainement",'08_Form_Erosion_Cotiere'!Q98,"")</x:f>
      </x:c>
    </x:row>
    <x:row r="99">
      <x:c r="A99" s="76" t="str">
        <x:f>IF('08_Form_Erosion_Cotiere'!$M99="Validé humainement",'08_Form_Erosion_Cotiere'!A99,"")</x:f>
      </x:c>
      <x:c r="B99" s="76" t="str">
        <x:f>IF('08_Form_Erosion_Cotiere'!$M99="Validé humainement",'08_Form_Erosion_Cotiere'!B99,"")</x:f>
      </x:c>
      <x:c r="C99" s="76" t="str">
        <x:f>IF('08_Form_Erosion_Cotiere'!$M99="Validé humainement",'08_Form_Erosion_Cotiere'!C99,"")</x:f>
      </x:c>
      <x:c r="D99" s="76" t="str">
        <x:f>IF('08_Form_Erosion_Cotiere'!$M99="Validé humainement",'08_Form_Erosion_Cotiere'!D99,"")</x:f>
      </x:c>
      <x:c r="E99" s="77" t="str">
        <x:f>IF('08_Form_Erosion_Cotiere'!$M99="Validé humainement",'08_Form_Erosion_Cotiere'!E99,"")</x:f>
      </x:c>
      <x:c r="F99" s="76" t="str">
        <x:f>IF('08_Form_Erosion_Cotiere'!$M99="Validé humainement",'08_Form_Erosion_Cotiere'!F99,"")</x:f>
      </x:c>
      <x:c r="G99" s="76" t="str">
        <x:f>IF('08_Form_Erosion_Cotiere'!$M99="Validé humainement",'08_Form_Erosion_Cotiere'!G99,"")</x:f>
      </x:c>
      <x:c r="H99" s="81" t="str">
        <x:f>IF('08_Form_Erosion_Cotiere'!$M99="Validé humainement",'08_Form_Erosion_Cotiere'!H99,"")</x:f>
      </x:c>
      <x:c r="I99" s="76" t="str">
        <x:f>IF('08_Form_Erosion_Cotiere'!$M99="Validé humainement",'08_Form_Erosion_Cotiere'!I99,"")</x:f>
      </x:c>
      <x:c r="J99" s="76" t="str">
        <x:f>IF('08_Form_Erosion_Cotiere'!$M99="Validé humainement",'08_Form_Erosion_Cotiere'!J99,"")</x:f>
      </x:c>
      <x:c r="K99" s="76" t="str">
        <x:f>IF('08_Form_Erosion_Cotiere'!$M99="Validé humainement",'08_Form_Erosion_Cotiere'!K99,"")</x:f>
      </x:c>
      <x:c r="L99" s="76" t="str">
        <x:f>IF('08_Form_Erosion_Cotiere'!$M99="Validé humainement",'08_Form_Erosion_Cotiere'!L99,"")</x:f>
      </x:c>
      <x:c r="M99" s="76" t="str">
        <x:f>IF('08_Form_Erosion_Cotiere'!$M99="Validé humainement",'08_Form_Erosion_Cotiere'!M99,"")</x:f>
      </x:c>
      <x:c r="N99" s="78" t="str">
        <x:f>IF('08_Form_Erosion_Cotiere'!$M99="Validé humainement",'08_Form_Erosion_Cotiere'!N99,"")</x:f>
      </x:c>
      <x:c r="O99" s="76" t="str">
        <x:f>IF('08_Form_Erosion_Cotiere'!$M99="Validé humainement",'08_Form_Erosion_Cotiere'!O99,"")</x:f>
      </x:c>
      <x:c r="P99" s="76" t="str">
        <x:f>IF('08_Form_Erosion_Cotiere'!$M99="Validé humainement",'08_Form_Erosion_Cotiere'!P99,"")</x:f>
      </x:c>
      <x:c r="Q99" s="76" t="str">
        <x:f>IF('08_Form_Erosion_Cotiere'!$M99="Validé humainement",'08_Form_Erosion_Cotiere'!Q99,"")</x:f>
      </x:c>
    </x:row>
    <x:row r="100">
      <x:c r="A100" s="76" t="str">
        <x:f>IF('08_Form_Erosion_Cotiere'!$M100="Validé humainement",'08_Form_Erosion_Cotiere'!A100,"")</x:f>
      </x:c>
      <x:c r="B100" s="76" t="str">
        <x:f>IF('08_Form_Erosion_Cotiere'!$M100="Validé humainement",'08_Form_Erosion_Cotiere'!B100,"")</x:f>
      </x:c>
      <x:c r="C100" s="76" t="str">
        <x:f>IF('08_Form_Erosion_Cotiere'!$M100="Validé humainement",'08_Form_Erosion_Cotiere'!C100,"")</x:f>
      </x:c>
      <x:c r="D100" s="76" t="str">
        <x:f>IF('08_Form_Erosion_Cotiere'!$M100="Validé humainement",'08_Form_Erosion_Cotiere'!D100,"")</x:f>
      </x:c>
      <x:c r="E100" s="77" t="str">
        <x:f>IF('08_Form_Erosion_Cotiere'!$M100="Validé humainement",'08_Form_Erosion_Cotiere'!E100,"")</x:f>
      </x:c>
      <x:c r="F100" s="76" t="str">
        <x:f>IF('08_Form_Erosion_Cotiere'!$M100="Validé humainement",'08_Form_Erosion_Cotiere'!F100,"")</x:f>
      </x:c>
      <x:c r="G100" s="76" t="str">
        <x:f>IF('08_Form_Erosion_Cotiere'!$M100="Validé humainement",'08_Form_Erosion_Cotiere'!G100,"")</x:f>
      </x:c>
      <x:c r="H100" s="81" t="str">
        <x:f>IF('08_Form_Erosion_Cotiere'!$M100="Validé humainement",'08_Form_Erosion_Cotiere'!H100,"")</x:f>
      </x:c>
      <x:c r="I100" s="76" t="str">
        <x:f>IF('08_Form_Erosion_Cotiere'!$M100="Validé humainement",'08_Form_Erosion_Cotiere'!I100,"")</x:f>
      </x:c>
      <x:c r="J100" s="76" t="str">
        <x:f>IF('08_Form_Erosion_Cotiere'!$M100="Validé humainement",'08_Form_Erosion_Cotiere'!J100,"")</x:f>
      </x:c>
      <x:c r="K100" s="76" t="str">
        <x:f>IF('08_Form_Erosion_Cotiere'!$M100="Validé humainement",'08_Form_Erosion_Cotiere'!K100,"")</x:f>
      </x:c>
      <x:c r="L100" s="76" t="str">
        <x:f>IF('08_Form_Erosion_Cotiere'!$M100="Validé humainement",'08_Form_Erosion_Cotiere'!L100,"")</x:f>
      </x:c>
      <x:c r="M100" s="76" t="str">
        <x:f>IF('08_Form_Erosion_Cotiere'!$M100="Validé humainement",'08_Form_Erosion_Cotiere'!M100,"")</x:f>
      </x:c>
      <x:c r="N100" s="78" t="str">
        <x:f>IF('08_Form_Erosion_Cotiere'!$M100="Validé humainement",'08_Form_Erosion_Cotiere'!N100,"")</x:f>
      </x:c>
      <x:c r="O100" s="76" t="str">
        <x:f>IF('08_Form_Erosion_Cotiere'!$M100="Validé humainement",'08_Form_Erosion_Cotiere'!O100,"")</x:f>
      </x:c>
      <x:c r="P100" s="76" t="str">
        <x:f>IF('08_Form_Erosion_Cotiere'!$M100="Validé humainement",'08_Form_Erosion_Cotiere'!P100,"")</x:f>
      </x:c>
      <x:c r="Q100" s="76" t="str">
        <x:f>IF('08_Form_Erosion_Cotiere'!$M100="Validé humainement",'08_Form_Erosion_Cotiere'!Q100,"")</x:f>
      </x:c>
    </x:row>
    <x:row r="101">
      <x:c r="A101" s="76" t="str">
        <x:f>IF('08_Form_Erosion_Cotiere'!$M101="Validé humainement",'08_Form_Erosion_Cotiere'!A101,"")</x:f>
      </x:c>
      <x:c r="B101" s="76" t="str">
        <x:f>IF('08_Form_Erosion_Cotiere'!$M101="Validé humainement",'08_Form_Erosion_Cotiere'!B101,"")</x:f>
      </x:c>
      <x:c r="C101" s="76" t="str">
        <x:f>IF('08_Form_Erosion_Cotiere'!$M101="Validé humainement",'08_Form_Erosion_Cotiere'!C101,"")</x:f>
      </x:c>
      <x:c r="D101" s="76" t="str">
        <x:f>IF('08_Form_Erosion_Cotiere'!$M101="Validé humainement",'08_Form_Erosion_Cotiere'!D101,"")</x:f>
      </x:c>
      <x:c r="E101" s="77" t="str">
        <x:f>IF('08_Form_Erosion_Cotiere'!$M101="Validé humainement",'08_Form_Erosion_Cotiere'!E101,"")</x:f>
      </x:c>
      <x:c r="F101" s="76" t="str">
        <x:f>IF('08_Form_Erosion_Cotiere'!$M101="Validé humainement",'08_Form_Erosion_Cotiere'!F101,"")</x:f>
      </x:c>
      <x:c r="G101" s="76" t="str">
        <x:f>IF('08_Form_Erosion_Cotiere'!$M101="Validé humainement",'08_Form_Erosion_Cotiere'!G101,"")</x:f>
      </x:c>
      <x:c r="H101" s="81" t="str">
        <x:f>IF('08_Form_Erosion_Cotiere'!$M101="Validé humainement",'08_Form_Erosion_Cotiere'!H101,"")</x:f>
      </x:c>
      <x:c r="I101" s="76" t="str">
        <x:f>IF('08_Form_Erosion_Cotiere'!$M101="Validé humainement",'08_Form_Erosion_Cotiere'!I101,"")</x:f>
      </x:c>
      <x:c r="J101" s="76" t="str">
        <x:f>IF('08_Form_Erosion_Cotiere'!$M101="Validé humainement",'08_Form_Erosion_Cotiere'!J101,"")</x:f>
      </x:c>
      <x:c r="K101" s="76" t="str">
        <x:f>IF('08_Form_Erosion_Cotiere'!$M101="Validé humainement",'08_Form_Erosion_Cotiere'!K101,"")</x:f>
      </x:c>
      <x:c r="L101" s="76" t="str">
        <x:f>IF('08_Form_Erosion_Cotiere'!$M101="Validé humainement",'08_Form_Erosion_Cotiere'!L101,"")</x:f>
      </x:c>
      <x:c r="M101" s="76" t="str">
        <x:f>IF('08_Form_Erosion_Cotiere'!$M101="Validé humainement",'08_Form_Erosion_Cotiere'!M101,"")</x:f>
      </x:c>
      <x:c r="N101" s="78" t="str">
        <x:f>IF('08_Form_Erosion_Cotiere'!$M101="Validé humainement",'08_Form_Erosion_Cotiere'!N101,"")</x:f>
      </x:c>
      <x:c r="O101" s="76" t="str">
        <x:f>IF('08_Form_Erosion_Cotiere'!$M101="Validé humainement",'08_Form_Erosion_Cotiere'!O101,"")</x:f>
      </x:c>
      <x:c r="P101" s="76" t="str">
        <x:f>IF('08_Form_Erosion_Cotiere'!$M101="Validé humainement",'08_Form_Erosion_Cotiere'!P101,"")</x:f>
      </x:c>
      <x:c r="Q101" s="76" t="str">
        <x:f>IF('08_Form_Erosion_Cotiere'!$M101="Validé humainement",'08_Form_Erosion_Cotiere'!Q101,"")</x:f>
      </x:c>
    </x:row>
    <x:row r="102">
      <x:c r="A102" s="76" t="str">
        <x:f>IF('08_Form_Erosion_Cotiere'!$M102="Validé humainement",'08_Form_Erosion_Cotiere'!A102,"")</x:f>
      </x:c>
      <x:c r="B102" s="76" t="str">
        <x:f>IF('08_Form_Erosion_Cotiere'!$M102="Validé humainement",'08_Form_Erosion_Cotiere'!B102,"")</x:f>
      </x:c>
      <x:c r="C102" s="76" t="str">
        <x:f>IF('08_Form_Erosion_Cotiere'!$M102="Validé humainement",'08_Form_Erosion_Cotiere'!C102,"")</x:f>
      </x:c>
      <x:c r="D102" s="76" t="str">
        <x:f>IF('08_Form_Erosion_Cotiere'!$M102="Validé humainement",'08_Form_Erosion_Cotiere'!D102,"")</x:f>
      </x:c>
      <x:c r="E102" s="77" t="str">
        <x:f>IF('08_Form_Erosion_Cotiere'!$M102="Validé humainement",'08_Form_Erosion_Cotiere'!E102,"")</x:f>
      </x:c>
      <x:c r="F102" s="76" t="str">
        <x:f>IF('08_Form_Erosion_Cotiere'!$M102="Validé humainement",'08_Form_Erosion_Cotiere'!F102,"")</x:f>
      </x:c>
      <x:c r="G102" s="76" t="str">
        <x:f>IF('08_Form_Erosion_Cotiere'!$M102="Validé humainement",'08_Form_Erosion_Cotiere'!G102,"")</x:f>
      </x:c>
      <x:c r="H102" s="81" t="str">
        <x:f>IF('08_Form_Erosion_Cotiere'!$M102="Validé humainement",'08_Form_Erosion_Cotiere'!H102,"")</x:f>
      </x:c>
      <x:c r="I102" s="76" t="str">
        <x:f>IF('08_Form_Erosion_Cotiere'!$M102="Validé humainement",'08_Form_Erosion_Cotiere'!I102,"")</x:f>
      </x:c>
      <x:c r="J102" s="76" t="str">
        <x:f>IF('08_Form_Erosion_Cotiere'!$M102="Validé humainement",'08_Form_Erosion_Cotiere'!J102,"")</x:f>
      </x:c>
      <x:c r="K102" s="76" t="str">
        <x:f>IF('08_Form_Erosion_Cotiere'!$M102="Validé humainement",'08_Form_Erosion_Cotiere'!K102,"")</x:f>
      </x:c>
      <x:c r="L102" s="76" t="str">
        <x:f>IF('08_Form_Erosion_Cotiere'!$M102="Validé humainement",'08_Form_Erosion_Cotiere'!L102,"")</x:f>
      </x:c>
      <x:c r="M102" s="76" t="str">
        <x:f>IF('08_Form_Erosion_Cotiere'!$M102="Validé humainement",'08_Form_Erosion_Cotiere'!M102,"")</x:f>
      </x:c>
      <x:c r="N102" s="78" t="str">
        <x:f>IF('08_Form_Erosion_Cotiere'!$M102="Validé humainement",'08_Form_Erosion_Cotiere'!N102,"")</x:f>
      </x:c>
      <x:c r="O102" s="76" t="str">
        <x:f>IF('08_Form_Erosion_Cotiere'!$M102="Validé humainement",'08_Form_Erosion_Cotiere'!O102,"")</x:f>
      </x:c>
      <x:c r="P102" s="76" t="str">
        <x:f>IF('08_Form_Erosion_Cotiere'!$M102="Validé humainement",'08_Form_Erosion_Cotiere'!P102,"")</x:f>
      </x:c>
      <x:c r="Q102" s="76" t="str">
        <x:f>IF('08_Form_Erosion_Cotiere'!$M102="Validé humainement",'08_Form_Erosion_Cotiere'!Q102,"")</x:f>
      </x:c>
    </x:row>
    <x:row r="103">
      <x:c r="A103" s="76" t="str">
        <x:f>IF('08_Form_Erosion_Cotiere'!$M103="Validé humainement",'08_Form_Erosion_Cotiere'!A103,"")</x:f>
      </x:c>
      <x:c r="B103" s="76" t="str">
        <x:f>IF('08_Form_Erosion_Cotiere'!$M103="Validé humainement",'08_Form_Erosion_Cotiere'!B103,"")</x:f>
      </x:c>
      <x:c r="C103" s="76" t="str">
        <x:f>IF('08_Form_Erosion_Cotiere'!$M103="Validé humainement",'08_Form_Erosion_Cotiere'!C103,"")</x:f>
      </x:c>
      <x:c r="D103" s="76" t="str">
        <x:f>IF('08_Form_Erosion_Cotiere'!$M103="Validé humainement",'08_Form_Erosion_Cotiere'!D103,"")</x:f>
      </x:c>
      <x:c r="E103" s="77" t="str">
        <x:f>IF('08_Form_Erosion_Cotiere'!$M103="Validé humainement",'08_Form_Erosion_Cotiere'!E103,"")</x:f>
      </x:c>
      <x:c r="F103" s="76" t="str">
        <x:f>IF('08_Form_Erosion_Cotiere'!$M103="Validé humainement",'08_Form_Erosion_Cotiere'!F103,"")</x:f>
      </x:c>
      <x:c r="G103" s="76" t="str">
        <x:f>IF('08_Form_Erosion_Cotiere'!$M103="Validé humainement",'08_Form_Erosion_Cotiere'!G103,"")</x:f>
      </x:c>
      <x:c r="H103" s="81" t="str">
        <x:f>IF('08_Form_Erosion_Cotiere'!$M103="Validé humainement",'08_Form_Erosion_Cotiere'!H103,"")</x:f>
      </x:c>
      <x:c r="I103" s="76" t="str">
        <x:f>IF('08_Form_Erosion_Cotiere'!$M103="Validé humainement",'08_Form_Erosion_Cotiere'!I103,"")</x:f>
      </x:c>
      <x:c r="J103" s="76" t="str">
        <x:f>IF('08_Form_Erosion_Cotiere'!$M103="Validé humainement",'08_Form_Erosion_Cotiere'!J103,"")</x:f>
      </x:c>
      <x:c r="K103" s="76" t="str">
        <x:f>IF('08_Form_Erosion_Cotiere'!$M103="Validé humainement",'08_Form_Erosion_Cotiere'!K103,"")</x:f>
      </x:c>
      <x:c r="L103" s="76" t="str">
        <x:f>IF('08_Form_Erosion_Cotiere'!$M103="Validé humainement",'08_Form_Erosion_Cotiere'!L103,"")</x:f>
      </x:c>
      <x:c r="M103" s="76" t="str">
        <x:f>IF('08_Form_Erosion_Cotiere'!$M103="Validé humainement",'08_Form_Erosion_Cotiere'!M103,"")</x:f>
      </x:c>
      <x:c r="N103" s="78" t="str">
        <x:f>IF('08_Form_Erosion_Cotiere'!$M103="Validé humainement",'08_Form_Erosion_Cotiere'!N103,"")</x:f>
      </x:c>
      <x:c r="O103" s="76" t="str">
        <x:f>IF('08_Form_Erosion_Cotiere'!$M103="Validé humainement",'08_Form_Erosion_Cotiere'!O103,"")</x:f>
      </x:c>
      <x:c r="P103" s="76" t="str">
        <x:f>IF('08_Form_Erosion_Cotiere'!$M103="Validé humainement",'08_Form_Erosion_Cotiere'!P103,"")</x:f>
      </x:c>
      <x:c r="Q103" s="76" t="str">
        <x:f>IF('08_Form_Erosion_Cotiere'!$M103="Validé humainement",'08_Form_Erosion_Cotiere'!Q103,"")</x:f>
      </x:c>
    </x:row>
    <x:row r="104">
      <x:c r="A104" s="76" t="str">
        <x:f>IF('08_Form_Erosion_Cotiere'!$M104="Validé humainement",'08_Form_Erosion_Cotiere'!A104,"")</x:f>
      </x:c>
      <x:c r="B104" s="76" t="str">
        <x:f>IF('08_Form_Erosion_Cotiere'!$M104="Validé humainement",'08_Form_Erosion_Cotiere'!B104,"")</x:f>
      </x:c>
      <x:c r="C104" s="76" t="str">
        <x:f>IF('08_Form_Erosion_Cotiere'!$M104="Validé humainement",'08_Form_Erosion_Cotiere'!C104,"")</x:f>
      </x:c>
      <x:c r="D104" s="76" t="str">
        <x:f>IF('08_Form_Erosion_Cotiere'!$M104="Validé humainement",'08_Form_Erosion_Cotiere'!D104,"")</x:f>
      </x:c>
      <x:c r="E104" s="77" t="str">
        <x:f>IF('08_Form_Erosion_Cotiere'!$M104="Validé humainement",'08_Form_Erosion_Cotiere'!E104,"")</x:f>
      </x:c>
      <x:c r="F104" s="76" t="str">
        <x:f>IF('08_Form_Erosion_Cotiere'!$M104="Validé humainement",'08_Form_Erosion_Cotiere'!F104,"")</x:f>
      </x:c>
      <x:c r="G104" s="76" t="str">
        <x:f>IF('08_Form_Erosion_Cotiere'!$M104="Validé humainement",'08_Form_Erosion_Cotiere'!G104,"")</x:f>
      </x:c>
      <x:c r="H104" s="81" t="str">
        <x:f>IF('08_Form_Erosion_Cotiere'!$M104="Validé humainement",'08_Form_Erosion_Cotiere'!H104,"")</x:f>
      </x:c>
      <x:c r="I104" s="76" t="str">
        <x:f>IF('08_Form_Erosion_Cotiere'!$M104="Validé humainement",'08_Form_Erosion_Cotiere'!I104,"")</x:f>
      </x:c>
      <x:c r="J104" s="76" t="str">
        <x:f>IF('08_Form_Erosion_Cotiere'!$M104="Validé humainement",'08_Form_Erosion_Cotiere'!J104,"")</x:f>
      </x:c>
      <x:c r="K104" s="76" t="str">
        <x:f>IF('08_Form_Erosion_Cotiere'!$M104="Validé humainement",'08_Form_Erosion_Cotiere'!K104,"")</x:f>
      </x:c>
      <x:c r="L104" s="76" t="str">
        <x:f>IF('08_Form_Erosion_Cotiere'!$M104="Validé humainement",'08_Form_Erosion_Cotiere'!L104,"")</x:f>
      </x:c>
      <x:c r="M104" s="76" t="str">
        <x:f>IF('08_Form_Erosion_Cotiere'!$M104="Validé humainement",'08_Form_Erosion_Cotiere'!M104,"")</x:f>
      </x:c>
      <x:c r="N104" s="78" t="str">
        <x:f>IF('08_Form_Erosion_Cotiere'!$M104="Validé humainement",'08_Form_Erosion_Cotiere'!N104,"")</x:f>
      </x:c>
      <x:c r="O104" s="76" t="str">
        <x:f>IF('08_Form_Erosion_Cotiere'!$M104="Validé humainement",'08_Form_Erosion_Cotiere'!O104,"")</x:f>
      </x:c>
      <x:c r="P104" s="76" t="str">
        <x:f>IF('08_Form_Erosion_Cotiere'!$M104="Validé humainement",'08_Form_Erosion_Cotiere'!P104,"")</x:f>
      </x:c>
      <x:c r="Q104" s="76" t="str">
        <x:f>IF('08_Form_Erosion_Cotiere'!$M104="Validé humainement",'08_Form_Erosion_Cotiere'!Q104,"")</x:f>
      </x:c>
    </x:row>
  </x:sheetData>
  <x:mergeCells>
    <x:mergeCell ref="A1:Q1"/>
    <x:mergeCell ref="A2:Q2"/>
  </x:mergeCells>
  <x:pageMargins left="0.7" right="0.7" top="0.75" bottom="0.75" header="0.3" footer="0.3"/>
  <x:tableParts count="1">
    <x:tablePart xmlns:r="http://schemas.openxmlformats.org/officeDocument/2006/relationships" r:id="R470598822d0d4f67"/>
  </x:tableParts>
</x:worksheet>
</file>

<file path=xl/worksheets/sheet62.xml><?xml version="1.0" encoding="utf-8"?>
<x:worksheet xmlns:x="http://schemas.openxmlformats.org/spreadsheetml/2006/main">
  <x:sheetViews>
    <x:sheetView showGridLines="0" workbookViewId="0"/>
  </x:sheetViews>
  <x:sheetFormatPr defaultRowHeight="15"/>
  <x:cols>
    <x:col min="1" max="1" width="13.75" hidden="0" customWidth="1"/>
    <x:col min="2" max="2" width="26.25" hidden="0" customWidth="1"/>
    <x:col min="3" max="3" width="18.75" hidden="0" customWidth="1"/>
    <x:col min="4" max="4" width="20" hidden="0" customWidth="1"/>
    <x:col min="5" max="5" width="16.8799991607666" hidden="0" customWidth="1"/>
    <x:col min="6" max="6" width="21.25" hidden="0" customWidth="1"/>
    <x:col min="7" max="7" width="13.75" hidden="0" customWidth="1"/>
    <x:col min="8" max="8" width="13.75" hidden="0" customWidth="1"/>
    <x:col min="9" max="9" width="18.75" hidden="0" customWidth="1"/>
    <x:col min="10" max="10" width="20.6299991607666" hidden="0" customWidth="1"/>
    <x:col min="11" max="11" width="20" hidden="0" customWidth="1"/>
    <x:col min="12" max="12" width="14.380000114440918" hidden="0" customWidth="1"/>
    <x:col min="13" max="13" width="20" hidden="0" customWidth="1"/>
    <x:col min="14" max="14" width="26.25" hidden="0" customWidth="1"/>
    <x:col min="15" max="15" width="26.25" hidden="0" customWidth="1"/>
    <x:col min="16" max="16" width="20" hidden="0" customWidth="1"/>
    <x:col min="17" max="17" width="31.25" hidden="0" customWidth="1"/>
    <x:col min="18" max="18" width="15" hidden="0" customWidth="1"/>
    <x:col min="19" max="19" width="19.3799991607666" hidden="0" customWidth="1"/>
    <x:col min="20" max="20" width="23.75" hidden="0" customWidth="1"/>
    <x:col min="21" max="21" width="15" hidden="0" customWidth="1"/>
  </x:cols>
  <x:sheetData>
    <x:row r="1" ht="25.5" customHeight="1">
      <x:c r="A1" s="68" t="str">
        <x:v>Base validée - projets climat</x:v>
      </x:c>
      <x:c r="B1" s="68"/>
      <x:c r="C1" s="68"/>
      <x:c r="D1" s="68"/>
      <x:c r="E1" s="68"/>
      <x:c r="F1" s="68"/>
      <x:c r="G1" s="68"/>
      <x:c r="H1" s="68"/>
      <x:c r="I1" s="68"/>
      <x:c r="J1" s="68"/>
      <x:c r="K1" s="68"/>
      <x:c r="L1" s="68"/>
      <x:c r="M1" s="68"/>
      <x:c r="N1" s="68"/>
      <x:c r="O1" s="68"/>
      <x:c r="P1" s="68"/>
      <x:c r="Q1" s="68"/>
      <x:c r="R1" s="68"/>
      <x:c r="S1" s="68"/>
      <x:c r="T1" s="68"/>
      <x:c r="U1" s="68"/>
    </x:row>
    <x:row r="2" ht="33" customHeight="1">
      <x:c r="A2" s="71" t="str">
        <x:v>Cette base est alimentée automatiquement depuis 09_Form_Projets_Climat.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c r="U2" s="71"/>
    </x:row>
    <x:row r="4">
      <x:c r="A4" s="87" t="str">
        <x:v>Projet_ID</x:v>
      </x:c>
      <x:c r="B4" s="87" t="str">
        <x:v>Nom projet</x:v>
      </x:c>
      <x:c r="C4" s="87" t="str">
        <x:v>Domaine</x:v>
      </x:c>
      <x:c r="D4" s="87" t="str">
        <x:v>Type action</x:v>
      </x:c>
      <x:c r="E4" s="87" t="str">
        <x:v>Statut projet</x:v>
      </x:c>
      <x:c r="F4" s="87" t="str">
        <x:v>Niveau de maturité</x:v>
      </x:c>
      <x:c r="G4" s="87" t="str">
        <x:v>Date début</x:v>
      </x:c>
      <x:c r="H4" s="87" t="str">
        <x:v>Date fin</x:v>
      </x:c>
      <x:c r="I4" s="87" t="str">
        <x:v>Budget total FCFA</x:v>
      </x:c>
      <x:c r="J4" s="87" t="str">
        <x:v>Financement acquis FCFA</x:v>
      </x:c>
      <x:c r="K4" s="87" t="str">
        <x:v>Gap financement FCFA</x:v>
      </x:c>
      <x:c r="L4" s="87" t="str">
        <x:v>Avancement %</x:v>
      </x:c>
      <x:c r="M4" s="87" t="str">
        <x:v>Responsable projet</x:v>
      </x:c>
      <x:c r="N4" s="87" t="str">
        <x:v>Partenaires</x:v>
      </x:c>
      <x:c r="O4" s="87" t="str">
        <x:v>Document source</x:v>
      </x:c>
      <x:c r="P4" s="87" t="str">
        <x:v>Statut validation</x:v>
      </x:c>
      <x:c r="Q4" s="87" t="str">
        <x:v>Observations</x:v>
      </x:c>
      <x:c r="R4" s="87" t="str">
        <x:v>Date de saisie</x:v>
      </x:c>
      <x:c r="S4" s="87" t="str">
        <x:v>Responsable saisie</x:v>
      </x:c>
      <x:c r="T4" s="87" t="str">
        <x:v>Alerte_QC</x:v>
      </x:c>
      <x:c r="U4" s="87" t="str">
        <x:v>Alimente_Rapports</x:v>
      </x:c>
    </x:row>
    <x:row r="5">
      <x:c r="A5" s="76" t="str">
        <x:f>IF('09_Form_Projets_Climat'!$P5="Validé humainement",'09_Form_Projets_Climat'!A5,"")</x:f>
      </x:c>
      <x:c r="B5" s="76" t="str">
        <x:f>IF('09_Form_Projets_Climat'!$P5="Validé humainement",'09_Form_Projets_Climat'!B5,"")</x:f>
      </x:c>
      <x:c r="C5" s="76" t="str">
        <x:f>IF('09_Form_Projets_Climat'!$P5="Validé humainement",'09_Form_Projets_Climat'!C5,"")</x:f>
      </x:c>
      <x:c r="D5" s="76" t="str">
        <x:f>IF('09_Form_Projets_Climat'!$P5="Validé humainement",'09_Form_Projets_Climat'!D5,"")</x:f>
      </x:c>
      <x:c r="E5" s="76" t="str">
        <x:f>IF('09_Form_Projets_Climat'!$P5="Validé humainement",'09_Form_Projets_Climat'!E5,"")</x:f>
      </x:c>
      <x:c r="F5" s="76" t="str">
        <x:f>IF('09_Form_Projets_Climat'!$P5="Validé humainement",'09_Form_Projets_Climat'!F5,"")</x:f>
      </x:c>
      <x:c r="G5" s="78" t="str">
        <x:f>IF('09_Form_Projets_Climat'!$P5="Validé humainement",'09_Form_Projets_Climat'!G5,"")</x:f>
      </x:c>
      <x:c r="H5" s="78" t="str">
        <x:f>IF('09_Form_Projets_Climat'!$P5="Validé humainement",'09_Form_Projets_Climat'!H5,"")</x:f>
      </x:c>
      <x:c r="I5" s="81" t="str">
        <x:f>IF('09_Form_Projets_Climat'!$P5="Validé humainement",'09_Form_Projets_Climat'!I5,"")</x:f>
      </x:c>
      <x:c r="J5" s="81" t="str">
        <x:f>IF('09_Form_Projets_Climat'!$P5="Validé humainement",'09_Form_Projets_Climat'!J5,"")</x:f>
      </x:c>
      <x:c r="K5" s="81" t="str">
        <x:f>IF('09_Form_Projets_Climat'!$P5="Validé humainement",'09_Form_Projets_Climat'!K5,"")</x:f>
      </x:c>
      <x:c r="L5" s="84" t="str">
        <x:f>IF('09_Form_Projets_Climat'!$P5="Validé humainement",'09_Form_Projets_Climat'!L5,"")</x:f>
      </x:c>
      <x:c r="M5" s="76" t="str">
        <x:f>IF('09_Form_Projets_Climat'!$P5="Validé humainement",'09_Form_Projets_Climat'!M5,"")</x:f>
      </x:c>
      <x:c r="N5" s="76" t="str">
        <x:f>IF('09_Form_Projets_Climat'!$P5="Validé humainement",'09_Form_Projets_Climat'!N5,"")</x:f>
      </x:c>
      <x:c r="O5" s="76" t="str">
        <x:f>IF('09_Form_Projets_Climat'!$P5="Validé humainement",'09_Form_Projets_Climat'!O5,"")</x:f>
      </x:c>
      <x:c r="P5" s="76" t="str">
        <x:f>IF('09_Form_Projets_Climat'!$P5="Validé humainement",'09_Form_Projets_Climat'!P5,"")</x:f>
      </x:c>
      <x:c r="Q5" s="76" t="str">
        <x:f>IF('09_Form_Projets_Climat'!$P5="Validé humainement",'09_Form_Projets_Climat'!Q5,"")</x:f>
      </x:c>
      <x:c r="R5" s="78" t="str">
        <x:f>IF('09_Form_Projets_Climat'!$P5="Validé humainement",'09_Form_Projets_Climat'!R5,"")</x:f>
      </x:c>
      <x:c r="S5" s="76" t="str">
        <x:f>IF('09_Form_Projets_Climat'!$P5="Validé humainement",'09_Form_Projets_Climat'!S5,"")</x:f>
      </x:c>
      <x:c r="T5" s="76" t="str">
        <x:f>IF('09_Form_Projets_Climat'!$P5="Validé humainement",'09_Form_Projets_Climat'!T5,"")</x:f>
      </x:c>
      <x:c r="U5" s="76" t="str">
        <x:f>IF('09_Form_Projets_Climat'!$P5="Validé humainement",'09_Form_Projets_Climat'!U5,"")</x:f>
      </x:c>
    </x:row>
    <x:row r="6">
      <x:c r="A6" s="76" t="str">
        <x:f>IF('09_Form_Projets_Climat'!$P6="Validé humainement",'09_Form_Projets_Climat'!A6,"")</x:f>
      </x:c>
      <x:c r="B6" s="76" t="str">
        <x:f>IF('09_Form_Projets_Climat'!$P6="Validé humainement",'09_Form_Projets_Climat'!B6,"")</x:f>
      </x:c>
      <x:c r="C6" s="76" t="str">
        <x:f>IF('09_Form_Projets_Climat'!$P6="Validé humainement",'09_Form_Projets_Climat'!C6,"")</x:f>
      </x:c>
      <x:c r="D6" s="76" t="str">
        <x:f>IF('09_Form_Projets_Climat'!$P6="Validé humainement",'09_Form_Projets_Climat'!D6,"")</x:f>
      </x:c>
      <x:c r="E6" s="76" t="str">
        <x:f>IF('09_Form_Projets_Climat'!$P6="Validé humainement",'09_Form_Projets_Climat'!E6,"")</x:f>
      </x:c>
      <x:c r="F6" s="76" t="str">
        <x:f>IF('09_Form_Projets_Climat'!$P6="Validé humainement",'09_Form_Projets_Climat'!F6,"")</x:f>
      </x:c>
      <x:c r="G6" s="78" t="str">
        <x:f>IF('09_Form_Projets_Climat'!$P6="Validé humainement",'09_Form_Projets_Climat'!G6,"")</x:f>
      </x:c>
      <x:c r="H6" s="78" t="str">
        <x:f>IF('09_Form_Projets_Climat'!$P6="Validé humainement",'09_Form_Projets_Climat'!H6,"")</x:f>
      </x:c>
      <x:c r="I6" s="81" t="str">
        <x:f>IF('09_Form_Projets_Climat'!$P6="Validé humainement",'09_Form_Projets_Climat'!I6,"")</x:f>
      </x:c>
      <x:c r="J6" s="81" t="str">
        <x:f>IF('09_Form_Projets_Climat'!$P6="Validé humainement",'09_Form_Projets_Climat'!J6,"")</x:f>
      </x:c>
      <x:c r="K6" s="81" t="str">
        <x:f>IF('09_Form_Projets_Climat'!$P6="Validé humainement",'09_Form_Projets_Climat'!K6,"")</x:f>
      </x:c>
      <x:c r="L6" s="84" t="str">
        <x:f>IF('09_Form_Projets_Climat'!$P6="Validé humainement",'09_Form_Projets_Climat'!L6,"")</x:f>
      </x:c>
      <x:c r="M6" s="76" t="str">
        <x:f>IF('09_Form_Projets_Climat'!$P6="Validé humainement",'09_Form_Projets_Climat'!M6,"")</x:f>
      </x:c>
      <x:c r="N6" s="76" t="str">
        <x:f>IF('09_Form_Projets_Climat'!$P6="Validé humainement",'09_Form_Projets_Climat'!N6,"")</x:f>
      </x:c>
      <x:c r="O6" s="76" t="str">
        <x:f>IF('09_Form_Projets_Climat'!$P6="Validé humainement",'09_Form_Projets_Climat'!O6,"")</x:f>
      </x:c>
      <x:c r="P6" s="76" t="str">
        <x:f>IF('09_Form_Projets_Climat'!$P6="Validé humainement",'09_Form_Projets_Climat'!P6,"")</x:f>
      </x:c>
      <x:c r="Q6" s="76" t="str">
        <x:f>IF('09_Form_Projets_Climat'!$P6="Validé humainement",'09_Form_Projets_Climat'!Q6,"")</x:f>
      </x:c>
      <x:c r="R6" s="78" t="str">
        <x:f>IF('09_Form_Projets_Climat'!$P6="Validé humainement",'09_Form_Projets_Climat'!R6,"")</x:f>
      </x:c>
      <x:c r="S6" s="76" t="str">
        <x:f>IF('09_Form_Projets_Climat'!$P6="Validé humainement",'09_Form_Projets_Climat'!S6,"")</x:f>
      </x:c>
      <x:c r="T6" s="76" t="str">
        <x:f>IF('09_Form_Projets_Climat'!$P6="Validé humainement",'09_Form_Projets_Climat'!T6,"")</x:f>
      </x:c>
      <x:c r="U6" s="76" t="str">
        <x:f>IF('09_Form_Projets_Climat'!$P6="Validé humainement",'09_Form_Projets_Climat'!U6,"")</x:f>
      </x:c>
    </x:row>
    <x:row r="7">
      <x:c r="A7" s="76" t="str">
        <x:f>IF('09_Form_Projets_Climat'!$P7="Validé humainement",'09_Form_Projets_Climat'!A7,"")</x:f>
      </x:c>
      <x:c r="B7" s="76" t="str">
        <x:f>IF('09_Form_Projets_Climat'!$P7="Validé humainement",'09_Form_Projets_Climat'!B7,"")</x:f>
      </x:c>
      <x:c r="C7" s="76" t="str">
        <x:f>IF('09_Form_Projets_Climat'!$P7="Validé humainement",'09_Form_Projets_Climat'!C7,"")</x:f>
      </x:c>
      <x:c r="D7" s="76" t="str">
        <x:f>IF('09_Form_Projets_Climat'!$P7="Validé humainement",'09_Form_Projets_Climat'!D7,"")</x:f>
      </x:c>
      <x:c r="E7" s="76" t="str">
        <x:f>IF('09_Form_Projets_Climat'!$P7="Validé humainement",'09_Form_Projets_Climat'!E7,"")</x:f>
      </x:c>
      <x:c r="F7" s="76" t="str">
        <x:f>IF('09_Form_Projets_Climat'!$P7="Validé humainement",'09_Form_Projets_Climat'!F7,"")</x:f>
      </x:c>
      <x:c r="G7" s="78" t="str">
        <x:f>IF('09_Form_Projets_Climat'!$P7="Validé humainement",'09_Form_Projets_Climat'!G7,"")</x:f>
      </x:c>
      <x:c r="H7" s="78" t="str">
        <x:f>IF('09_Form_Projets_Climat'!$P7="Validé humainement",'09_Form_Projets_Climat'!H7,"")</x:f>
      </x:c>
      <x:c r="I7" s="81" t="str">
        <x:f>IF('09_Form_Projets_Climat'!$P7="Validé humainement",'09_Form_Projets_Climat'!I7,"")</x:f>
      </x:c>
      <x:c r="J7" s="81" t="str">
        <x:f>IF('09_Form_Projets_Climat'!$P7="Validé humainement",'09_Form_Projets_Climat'!J7,"")</x:f>
      </x:c>
      <x:c r="K7" s="81" t="str">
        <x:f>IF('09_Form_Projets_Climat'!$P7="Validé humainement",'09_Form_Projets_Climat'!K7,"")</x:f>
      </x:c>
      <x:c r="L7" s="84" t="str">
        <x:f>IF('09_Form_Projets_Climat'!$P7="Validé humainement",'09_Form_Projets_Climat'!L7,"")</x:f>
      </x:c>
      <x:c r="M7" s="76" t="str">
        <x:f>IF('09_Form_Projets_Climat'!$P7="Validé humainement",'09_Form_Projets_Climat'!M7,"")</x:f>
      </x:c>
      <x:c r="N7" s="76" t="str">
        <x:f>IF('09_Form_Projets_Climat'!$P7="Validé humainement",'09_Form_Projets_Climat'!N7,"")</x:f>
      </x:c>
      <x:c r="O7" s="76" t="str">
        <x:f>IF('09_Form_Projets_Climat'!$P7="Validé humainement",'09_Form_Projets_Climat'!O7,"")</x:f>
      </x:c>
      <x:c r="P7" s="76" t="str">
        <x:f>IF('09_Form_Projets_Climat'!$P7="Validé humainement",'09_Form_Projets_Climat'!P7,"")</x:f>
      </x:c>
      <x:c r="Q7" s="76" t="str">
        <x:f>IF('09_Form_Projets_Climat'!$P7="Validé humainement",'09_Form_Projets_Climat'!Q7,"")</x:f>
      </x:c>
      <x:c r="R7" s="78" t="str">
        <x:f>IF('09_Form_Projets_Climat'!$P7="Validé humainement",'09_Form_Projets_Climat'!R7,"")</x:f>
      </x:c>
      <x:c r="S7" s="76" t="str">
        <x:f>IF('09_Form_Projets_Climat'!$P7="Validé humainement",'09_Form_Projets_Climat'!S7,"")</x:f>
      </x:c>
      <x:c r="T7" s="76" t="str">
        <x:f>IF('09_Form_Projets_Climat'!$P7="Validé humainement",'09_Form_Projets_Climat'!T7,"")</x:f>
      </x:c>
      <x:c r="U7" s="76" t="str">
        <x:f>IF('09_Form_Projets_Climat'!$P7="Validé humainement",'09_Form_Projets_Climat'!U7,"")</x:f>
      </x:c>
    </x:row>
    <x:row r="8">
      <x:c r="A8" s="76" t="str">
        <x:f>IF('09_Form_Projets_Climat'!$P8="Validé humainement",'09_Form_Projets_Climat'!A8,"")</x:f>
      </x:c>
      <x:c r="B8" s="76" t="str">
        <x:f>IF('09_Form_Projets_Climat'!$P8="Validé humainement",'09_Form_Projets_Climat'!B8,"")</x:f>
      </x:c>
      <x:c r="C8" s="76" t="str">
        <x:f>IF('09_Form_Projets_Climat'!$P8="Validé humainement",'09_Form_Projets_Climat'!C8,"")</x:f>
      </x:c>
      <x:c r="D8" s="76" t="str">
        <x:f>IF('09_Form_Projets_Climat'!$P8="Validé humainement",'09_Form_Projets_Climat'!D8,"")</x:f>
      </x:c>
      <x:c r="E8" s="76" t="str">
        <x:f>IF('09_Form_Projets_Climat'!$P8="Validé humainement",'09_Form_Projets_Climat'!E8,"")</x:f>
      </x:c>
      <x:c r="F8" s="76" t="str">
        <x:f>IF('09_Form_Projets_Climat'!$P8="Validé humainement",'09_Form_Projets_Climat'!F8,"")</x:f>
      </x:c>
      <x:c r="G8" s="78" t="str">
        <x:f>IF('09_Form_Projets_Climat'!$P8="Validé humainement",'09_Form_Projets_Climat'!G8,"")</x:f>
      </x:c>
      <x:c r="H8" s="78" t="str">
        <x:f>IF('09_Form_Projets_Climat'!$P8="Validé humainement",'09_Form_Projets_Climat'!H8,"")</x:f>
      </x:c>
      <x:c r="I8" s="81" t="str">
        <x:f>IF('09_Form_Projets_Climat'!$P8="Validé humainement",'09_Form_Projets_Climat'!I8,"")</x:f>
      </x:c>
      <x:c r="J8" s="81" t="str">
        <x:f>IF('09_Form_Projets_Climat'!$P8="Validé humainement",'09_Form_Projets_Climat'!J8,"")</x:f>
      </x:c>
      <x:c r="K8" s="81" t="str">
        <x:f>IF('09_Form_Projets_Climat'!$P8="Validé humainement",'09_Form_Projets_Climat'!K8,"")</x:f>
      </x:c>
      <x:c r="L8" s="84" t="str">
        <x:f>IF('09_Form_Projets_Climat'!$P8="Validé humainement",'09_Form_Projets_Climat'!L8,"")</x:f>
      </x:c>
      <x:c r="M8" s="76" t="str">
        <x:f>IF('09_Form_Projets_Climat'!$P8="Validé humainement",'09_Form_Projets_Climat'!M8,"")</x:f>
      </x:c>
      <x:c r="N8" s="76" t="str">
        <x:f>IF('09_Form_Projets_Climat'!$P8="Validé humainement",'09_Form_Projets_Climat'!N8,"")</x:f>
      </x:c>
      <x:c r="O8" s="76" t="str">
        <x:f>IF('09_Form_Projets_Climat'!$P8="Validé humainement",'09_Form_Projets_Climat'!O8,"")</x:f>
      </x:c>
      <x:c r="P8" s="76" t="str">
        <x:f>IF('09_Form_Projets_Climat'!$P8="Validé humainement",'09_Form_Projets_Climat'!P8,"")</x:f>
      </x:c>
      <x:c r="Q8" s="76" t="str">
        <x:f>IF('09_Form_Projets_Climat'!$P8="Validé humainement",'09_Form_Projets_Climat'!Q8,"")</x:f>
      </x:c>
      <x:c r="R8" s="78" t="str">
        <x:f>IF('09_Form_Projets_Climat'!$P8="Validé humainement",'09_Form_Projets_Climat'!R8,"")</x:f>
      </x:c>
      <x:c r="S8" s="76" t="str">
        <x:f>IF('09_Form_Projets_Climat'!$P8="Validé humainement",'09_Form_Projets_Climat'!S8,"")</x:f>
      </x:c>
      <x:c r="T8" s="76" t="str">
        <x:f>IF('09_Form_Projets_Climat'!$P8="Validé humainement",'09_Form_Projets_Climat'!T8,"")</x:f>
      </x:c>
      <x:c r="U8" s="76" t="str">
        <x:f>IF('09_Form_Projets_Climat'!$P8="Validé humainement",'09_Form_Projets_Climat'!U8,"")</x:f>
      </x:c>
    </x:row>
    <x:row r="9">
      <x:c r="A9" s="76" t="str">
        <x:f>IF('09_Form_Projets_Climat'!$P9="Validé humainement",'09_Form_Projets_Climat'!A9,"")</x:f>
      </x:c>
      <x:c r="B9" s="76" t="str">
        <x:f>IF('09_Form_Projets_Climat'!$P9="Validé humainement",'09_Form_Projets_Climat'!B9,"")</x:f>
      </x:c>
      <x:c r="C9" s="76" t="str">
        <x:f>IF('09_Form_Projets_Climat'!$P9="Validé humainement",'09_Form_Projets_Climat'!C9,"")</x:f>
      </x:c>
      <x:c r="D9" s="76" t="str">
        <x:f>IF('09_Form_Projets_Climat'!$P9="Validé humainement",'09_Form_Projets_Climat'!D9,"")</x:f>
      </x:c>
      <x:c r="E9" s="76" t="str">
        <x:f>IF('09_Form_Projets_Climat'!$P9="Validé humainement",'09_Form_Projets_Climat'!E9,"")</x:f>
      </x:c>
      <x:c r="F9" s="76" t="str">
        <x:f>IF('09_Form_Projets_Climat'!$P9="Validé humainement",'09_Form_Projets_Climat'!F9,"")</x:f>
      </x:c>
      <x:c r="G9" s="78" t="str">
        <x:f>IF('09_Form_Projets_Climat'!$P9="Validé humainement",'09_Form_Projets_Climat'!G9,"")</x:f>
      </x:c>
      <x:c r="H9" s="78" t="str">
        <x:f>IF('09_Form_Projets_Climat'!$P9="Validé humainement",'09_Form_Projets_Climat'!H9,"")</x:f>
      </x:c>
      <x:c r="I9" s="81" t="str">
        <x:f>IF('09_Form_Projets_Climat'!$P9="Validé humainement",'09_Form_Projets_Climat'!I9,"")</x:f>
      </x:c>
      <x:c r="J9" s="81" t="str">
        <x:f>IF('09_Form_Projets_Climat'!$P9="Validé humainement",'09_Form_Projets_Climat'!J9,"")</x:f>
      </x:c>
      <x:c r="K9" s="81" t="str">
        <x:f>IF('09_Form_Projets_Climat'!$P9="Validé humainement",'09_Form_Projets_Climat'!K9,"")</x:f>
      </x:c>
      <x:c r="L9" s="84" t="str">
        <x:f>IF('09_Form_Projets_Climat'!$P9="Validé humainement",'09_Form_Projets_Climat'!L9,"")</x:f>
      </x:c>
      <x:c r="M9" s="76" t="str">
        <x:f>IF('09_Form_Projets_Climat'!$P9="Validé humainement",'09_Form_Projets_Climat'!M9,"")</x:f>
      </x:c>
      <x:c r="N9" s="76" t="str">
        <x:f>IF('09_Form_Projets_Climat'!$P9="Validé humainement",'09_Form_Projets_Climat'!N9,"")</x:f>
      </x:c>
      <x:c r="O9" s="76" t="str">
        <x:f>IF('09_Form_Projets_Climat'!$P9="Validé humainement",'09_Form_Projets_Climat'!O9,"")</x:f>
      </x:c>
      <x:c r="P9" s="76" t="str">
        <x:f>IF('09_Form_Projets_Climat'!$P9="Validé humainement",'09_Form_Projets_Climat'!P9,"")</x:f>
      </x:c>
      <x:c r="Q9" s="76" t="str">
        <x:f>IF('09_Form_Projets_Climat'!$P9="Validé humainement",'09_Form_Projets_Climat'!Q9,"")</x:f>
      </x:c>
      <x:c r="R9" s="78" t="str">
        <x:f>IF('09_Form_Projets_Climat'!$P9="Validé humainement",'09_Form_Projets_Climat'!R9,"")</x:f>
      </x:c>
      <x:c r="S9" s="76" t="str">
        <x:f>IF('09_Form_Projets_Climat'!$P9="Validé humainement",'09_Form_Projets_Climat'!S9,"")</x:f>
      </x:c>
      <x:c r="T9" s="76" t="str">
        <x:f>IF('09_Form_Projets_Climat'!$P9="Validé humainement",'09_Form_Projets_Climat'!T9,"")</x:f>
      </x:c>
      <x:c r="U9" s="76" t="str">
        <x:f>IF('09_Form_Projets_Climat'!$P9="Validé humainement",'09_Form_Projets_Climat'!U9,"")</x:f>
      </x:c>
    </x:row>
    <x:row r="10">
      <x:c r="A10" s="76" t="str">
        <x:f>IF('09_Form_Projets_Climat'!$P10="Validé humainement",'09_Form_Projets_Climat'!A10,"")</x:f>
      </x:c>
      <x:c r="B10" s="76" t="str">
        <x:f>IF('09_Form_Projets_Climat'!$P10="Validé humainement",'09_Form_Projets_Climat'!B10,"")</x:f>
      </x:c>
      <x:c r="C10" s="76" t="str">
        <x:f>IF('09_Form_Projets_Climat'!$P10="Validé humainement",'09_Form_Projets_Climat'!C10,"")</x:f>
      </x:c>
      <x:c r="D10" s="76" t="str">
        <x:f>IF('09_Form_Projets_Climat'!$P10="Validé humainement",'09_Form_Projets_Climat'!D10,"")</x:f>
      </x:c>
      <x:c r="E10" s="76" t="str">
        <x:f>IF('09_Form_Projets_Climat'!$P10="Validé humainement",'09_Form_Projets_Climat'!E10,"")</x:f>
      </x:c>
      <x:c r="F10" s="76" t="str">
        <x:f>IF('09_Form_Projets_Climat'!$P10="Validé humainement",'09_Form_Projets_Climat'!F10,"")</x:f>
      </x:c>
      <x:c r="G10" s="78" t="str">
        <x:f>IF('09_Form_Projets_Climat'!$P10="Validé humainement",'09_Form_Projets_Climat'!G10,"")</x:f>
      </x:c>
      <x:c r="H10" s="78" t="str">
        <x:f>IF('09_Form_Projets_Climat'!$P10="Validé humainement",'09_Form_Projets_Climat'!H10,"")</x:f>
      </x:c>
      <x:c r="I10" s="81" t="str">
        <x:f>IF('09_Form_Projets_Climat'!$P10="Validé humainement",'09_Form_Projets_Climat'!I10,"")</x:f>
      </x:c>
      <x:c r="J10" s="81" t="str">
        <x:f>IF('09_Form_Projets_Climat'!$P10="Validé humainement",'09_Form_Projets_Climat'!J10,"")</x:f>
      </x:c>
      <x:c r="K10" s="81" t="str">
        <x:f>IF('09_Form_Projets_Climat'!$P10="Validé humainement",'09_Form_Projets_Climat'!K10,"")</x:f>
      </x:c>
      <x:c r="L10" s="84" t="str">
        <x:f>IF('09_Form_Projets_Climat'!$P10="Validé humainement",'09_Form_Projets_Climat'!L10,"")</x:f>
      </x:c>
      <x:c r="M10" s="76" t="str">
        <x:f>IF('09_Form_Projets_Climat'!$P10="Validé humainement",'09_Form_Projets_Climat'!M10,"")</x:f>
      </x:c>
      <x:c r="N10" s="76" t="str">
        <x:f>IF('09_Form_Projets_Climat'!$P10="Validé humainement",'09_Form_Projets_Climat'!N10,"")</x:f>
      </x:c>
      <x:c r="O10" s="76" t="str">
        <x:f>IF('09_Form_Projets_Climat'!$P10="Validé humainement",'09_Form_Projets_Climat'!O10,"")</x:f>
      </x:c>
      <x:c r="P10" s="76" t="str">
        <x:f>IF('09_Form_Projets_Climat'!$P10="Validé humainement",'09_Form_Projets_Climat'!P10,"")</x:f>
      </x:c>
      <x:c r="Q10" s="76" t="str">
        <x:f>IF('09_Form_Projets_Climat'!$P10="Validé humainement",'09_Form_Projets_Climat'!Q10,"")</x:f>
      </x:c>
      <x:c r="R10" s="78" t="str">
        <x:f>IF('09_Form_Projets_Climat'!$P10="Validé humainement",'09_Form_Projets_Climat'!R10,"")</x:f>
      </x:c>
      <x:c r="S10" s="76" t="str">
        <x:f>IF('09_Form_Projets_Climat'!$P10="Validé humainement",'09_Form_Projets_Climat'!S10,"")</x:f>
      </x:c>
      <x:c r="T10" s="76" t="str">
        <x:f>IF('09_Form_Projets_Climat'!$P10="Validé humainement",'09_Form_Projets_Climat'!T10,"")</x:f>
      </x:c>
      <x:c r="U10" s="76" t="str">
        <x:f>IF('09_Form_Projets_Climat'!$P10="Validé humainement",'09_Form_Projets_Climat'!U10,"")</x:f>
      </x:c>
    </x:row>
    <x:row r="11">
      <x:c r="A11" s="76" t="str">
        <x:f>IF('09_Form_Projets_Climat'!$P11="Validé humainement",'09_Form_Projets_Climat'!A11,"")</x:f>
      </x:c>
      <x:c r="B11" s="76" t="str">
        <x:f>IF('09_Form_Projets_Climat'!$P11="Validé humainement",'09_Form_Projets_Climat'!B11,"")</x:f>
      </x:c>
      <x:c r="C11" s="76" t="str">
        <x:f>IF('09_Form_Projets_Climat'!$P11="Validé humainement",'09_Form_Projets_Climat'!C11,"")</x:f>
      </x:c>
      <x:c r="D11" s="76" t="str">
        <x:f>IF('09_Form_Projets_Climat'!$P11="Validé humainement",'09_Form_Projets_Climat'!D11,"")</x:f>
      </x:c>
      <x:c r="E11" s="76" t="str">
        <x:f>IF('09_Form_Projets_Climat'!$P11="Validé humainement",'09_Form_Projets_Climat'!E11,"")</x:f>
      </x:c>
      <x:c r="F11" s="76" t="str">
        <x:f>IF('09_Form_Projets_Climat'!$P11="Validé humainement",'09_Form_Projets_Climat'!F11,"")</x:f>
      </x:c>
      <x:c r="G11" s="78" t="str">
        <x:f>IF('09_Form_Projets_Climat'!$P11="Validé humainement",'09_Form_Projets_Climat'!G11,"")</x:f>
      </x:c>
      <x:c r="H11" s="78" t="str">
        <x:f>IF('09_Form_Projets_Climat'!$P11="Validé humainement",'09_Form_Projets_Climat'!H11,"")</x:f>
      </x:c>
      <x:c r="I11" s="81" t="str">
        <x:f>IF('09_Form_Projets_Climat'!$P11="Validé humainement",'09_Form_Projets_Climat'!I11,"")</x:f>
      </x:c>
      <x:c r="J11" s="81" t="str">
        <x:f>IF('09_Form_Projets_Climat'!$P11="Validé humainement",'09_Form_Projets_Climat'!J11,"")</x:f>
      </x:c>
      <x:c r="K11" s="81" t="str">
        <x:f>IF('09_Form_Projets_Climat'!$P11="Validé humainement",'09_Form_Projets_Climat'!K11,"")</x:f>
      </x:c>
      <x:c r="L11" s="84" t="str">
        <x:f>IF('09_Form_Projets_Climat'!$P11="Validé humainement",'09_Form_Projets_Climat'!L11,"")</x:f>
      </x:c>
      <x:c r="M11" s="76" t="str">
        <x:f>IF('09_Form_Projets_Climat'!$P11="Validé humainement",'09_Form_Projets_Climat'!M11,"")</x:f>
      </x:c>
      <x:c r="N11" s="76" t="str">
        <x:f>IF('09_Form_Projets_Climat'!$P11="Validé humainement",'09_Form_Projets_Climat'!N11,"")</x:f>
      </x:c>
      <x:c r="O11" s="76" t="str">
        <x:f>IF('09_Form_Projets_Climat'!$P11="Validé humainement",'09_Form_Projets_Climat'!O11,"")</x:f>
      </x:c>
      <x:c r="P11" s="76" t="str">
        <x:f>IF('09_Form_Projets_Climat'!$P11="Validé humainement",'09_Form_Projets_Climat'!P11,"")</x:f>
      </x:c>
      <x:c r="Q11" s="76" t="str">
        <x:f>IF('09_Form_Projets_Climat'!$P11="Validé humainement",'09_Form_Projets_Climat'!Q11,"")</x:f>
      </x:c>
      <x:c r="R11" s="78" t="str">
        <x:f>IF('09_Form_Projets_Climat'!$P11="Validé humainement",'09_Form_Projets_Climat'!R11,"")</x:f>
      </x:c>
      <x:c r="S11" s="76" t="str">
        <x:f>IF('09_Form_Projets_Climat'!$P11="Validé humainement",'09_Form_Projets_Climat'!S11,"")</x:f>
      </x:c>
      <x:c r="T11" s="76" t="str">
        <x:f>IF('09_Form_Projets_Climat'!$P11="Validé humainement",'09_Form_Projets_Climat'!T11,"")</x:f>
      </x:c>
      <x:c r="U11" s="76" t="str">
        <x:f>IF('09_Form_Projets_Climat'!$P11="Validé humainement",'09_Form_Projets_Climat'!U11,"")</x:f>
      </x:c>
    </x:row>
    <x:row r="12">
      <x:c r="A12" s="76" t="str">
        <x:f>IF('09_Form_Projets_Climat'!$P12="Validé humainement",'09_Form_Projets_Climat'!A12,"")</x:f>
      </x:c>
      <x:c r="B12" s="76" t="str">
        <x:f>IF('09_Form_Projets_Climat'!$P12="Validé humainement",'09_Form_Projets_Climat'!B12,"")</x:f>
      </x:c>
      <x:c r="C12" s="76" t="str">
        <x:f>IF('09_Form_Projets_Climat'!$P12="Validé humainement",'09_Form_Projets_Climat'!C12,"")</x:f>
      </x:c>
      <x:c r="D12" s="76" t="str">
        <x:f>IF('09_Form_Projets_Climat'!$P12="Validé humainement",'09_Form_Projets_Climat'!D12,"")</x:f>
      </x:c>
      <x:c r="E12" s="76" t="str">
        <x:f>IF('09_Form_Projets_Climat'!$P12="Validé humainement",'09_Form_Projets_Climat'!E12,"")</x:f>
      </x:c>
      <x:c r="F12" s="76" t="str">
        <x:f>IF('09_Form_Projets_Climat'!$P12="Validé humainement",'09_Form_Projets_Climat'!F12,"")</x:f>
      </x:c>
      <x:c r="G12" s="78" t="str">
        <x:f>IF('09_Form_Projets_Climat'!$P12="Validé humainement",'09_Form_Projets_Climat'!G12,"")</x:f>
      </x:c>
      <x:c r="H12" s="78" t="str">
        <x:f>IF('09_Form_Projets_Climat'!$P12="Validé humainement",'09_Form_Projets_Climat'!H12,"")</x:f>
      </x:c>
      <x:c r="I12" s="81" t="str">
        <x:f>IF('09_Form_Projets_Climat'!$P12="Validé humainement",'09_Form_Projets_Climat'!I12,"")</x:f>
      </x:c>
      <x:c r="J12" s="81" t="str">
        <x:f>IF('09_Form_Projets_Climat'!$P12="Validé humainement",'09_Form_Projets_Climat'!J12,"")</x:f>
      </x:c>
      <x:c r="K12" s="81" t="str">
        <x:f>IF('09_Form_Projets_Climat'!$P12="Validé humainement",'09_Form_Projets_Climat'!K12,"")</x:f>
      </x:c>
      <x:c r="L12" s="84" t="str">
        <x:f>IF('09_Form_Projets_Climat'!$P12="Validé humainement",'09_Form_Projets_Climat'!L12,"")</x:f>
      </x:c>
      <x:c r="M12" s="76" t="str">
        <x:f>IF('09_Form_Projets_Climat'!$P12="Validé humainement",'09_Form_Projets_Climat'!M12,"")</x:f>
      </x:c>
      <x:c r="N12" s="76" t="str">
        <x:f>IF('09_Form_Projets_Climat'!$P12="Validé humainement",'09_Form_Projets_Climat'!N12,"")</x:f>
      </x:c>
      <x:c r="O12" s="76" t="str">
        <x:f>IF('09_Form_Projets_Climat'!$P12="Validé humainement",'09_Form_Projets_Climat'!O12,"")</x:f>
      </x:c>
      <x:c r="P12" s="76" t="str">
        <x:f>IF('09_Form_Projets_Climat'!$P12="Validé humainement",'09_Form_Projets_Climat'!P12,"")</x:f>
      </x:c>
      <x:c r="Q12" s="76" t="str">
        <x:f>IF('09_Form_Projets_Climat'!$P12="Validé humainement",'09_Form_Projets_Climat'!Q12,"")</x:f>
      </x:c>
      <x:c r="R12" s="78" t="str">
        <x:f>IF('09_Form_Projets_Climat'!$P12="Validé humainement",'09_Form_Projets_Climat'!R12,"")</x:f>
      </x:c>
      <x:c r="S12" s="76" t="str">
        <x:f>IF('09_Form_Projets_Climat'!$P12="Validé humainement",'09_Form_Projets_Climat'!S12,"")</x:f>
      </x:c>
      <x:c r="T12" s="76" t="str">
        <x:f>IF('09_Form_Projets_Climat'!$P12="Validé humainement",'09_Form_Projets_Climat'!T12,"")</x:f>
      </x:c>
      <x:c r="U12" s="76" t="str">
        <x:f>IF('09_Form_Projets_Climat'!$P12="Validé humainement",'09_Form_Projets_Climat'!U12,"")</x:f>
      </x:c>
    </x:row>
    <x:row r="13">
      <x:c r="A13" s="76" t="str">
        <x:f>IF('09_Form_Projets_Climat'!$P13="Validé humainement",'09_Form_Projets_Climat'!A13,"")</x:f>
      </x:c>
      <x:c r="B13" s="76" t="str">
        <x:f>IF('09_Form_Projets_Climat'!$P13="Validé humainement",'09_Form_Projets_Climat'!B13,"")</x:f>
      </x:c>
      <x:c r="C13" s="76" t="str">
        <x:f>IF('09_Form_Projets_Climat'!$P13="Validé humainement",'09_Form_Projets_Climat'!C13,"")</x:f>
      </x:c>
      <x:c r="D13" s="76" t="str">
        <x:f>IF('09_Form_Projets_Climat'!$P13="Validé humainement",'09_Form_Projets_Climat'!D13,"")</x:f>
      </x:c>
      <x:c r="E13" s="76" t="str">
        <x:f>IF('09_Form_Projets_Climat'!$P13="Validé humainement",'09_Form_Projets_Climat'!E13,"")</x:f>
      </x:c>
      <x:c r="F13" s="76" t="str">
        <x:f>IF('09_Form_Projets_Climat'!$P13="Validé humainement",'09_Form_Projets_Climat'!F13,"")</x:f>
      </x:c>
      <x:c r="G13" s="78" t="str">
        <x:f>IF('09_Form_Projets_Climat'!$P13="Validé humainement",'09_Form_Projets_Climat'!G13,"")</x:f>
      </x:c>
      <x:c r="H13" s="78" t="str">
        <x:f>IF('09_Form_Projets_Climat'!$P13="Validé humainement",'09_Form_Projets_Climat'!H13,"")</x:f>
      </x:c>
      <x:c r="I13" s="81" t="str">
        <x:f>IF('09_Form_Projets_Climat'!$P13="Validé humainement",'09_Form_Projets_Climat'!I13,"")</x:f>
      </x:c>
      <x:c r="J13" s="81" t="str">
        <x:f>IF('09_Form_Projets_Climat'!$P13="Validé humainement",'09_Form_Projets_Climat'!J13,"")</x:f>
      </x:c>
      <x:c r="K13" s="81" t="str">
        <x:f>IF('09_Form_Projets_Climat'!$P13="Validé humainement",'09_Form_Projets_Climat'!K13,"")</x:f>
      </x:c>
      <x:c r="L13" s="84" t="str">
        <x:f>IF('09_Form_Projets_Climat'!$P13="Validé humainement",'09_Form_Projets_Climat'!L13,"")</x:f>
      </x:c>
      <x:c r="M13" s="76" t="str">
        <x:f>IF('09_Form_Projets_Climat'!$P13="Validé humainement",'09_Form_Projets_Climat'!M13,"")</x:f>
      </x:c>
      <x:c r="N13" s="76" t="str">
        <x:f>IF('09_Form_Projets_Climat'!$P13="Validé humainement",'09_Form_Projets_Climat'!N13,"")</x:f>
      </x:c>
      <x:c r="O13" s="76" t="str">
        <x:f>IF('09_Form_Projets_Climat'!$P13="Validé humainement",'09_Form_Projets_Climat'!O13,"")</x:f>
      </x:c>
      <x:c r="P13" s="76" t="str">
        <x:f>IF('09_Form_Projets_Climat'!$P13="Validé humainement",'09_Form_Projets_Climat'!P13,"")</x:f>
      </x:c>
      <x:c r="Q13" s="76" t="str">
        <x:f>IF('09_Form_Projets_Climat'!$P13="Validé humainement",'09_Form_Projets_Climat'!Q13,"")</x:f>
      </x:c>
      <x:c r="R13" s="78" t="str">
        <x:f>IF('09_Form_Projets_Climat'!$P13="Validé humainement",'09_Form_Projets_Climat'!R13,"")</x:f>
      </x:c>
      <x:c r="S13" s="76" t="str">
        <x:f>IF('09_Form_Projets_Climat'!$P13="Validé humainement",'09_Form_Projets_Climat'!S13,"")</x:f>
      </x:c>
      <x:c r="T13" s="76" t="str">
        <x:f>IF('09_Form_Projets_Climat'!$P13="Validé humainement",'09_Form_Projets_Climat'!T13,"")</x:f>
      </x:c>
      <x:c r="U13" s="76" t="str">
        <x:f>IF('09_Form_Projets_Climat'!$P13="Validé humainement",'09_Form_Projets_Climat'!U13,"")</x:f>
      </x:c>
    </x:row>
    <x:row r="14">
      <x:c r="A14" s="76" t="str">
        <x:f>IF('09_Form_Projets_Climat'!$P14="Validé humainement",'09_Form_Projets_Climat'!A14,"")</x:f>
      </x:c>
      <x:c r="B14" s="76" t="str">
        <x:f>IF('09_Form_Projets_Climat'!$P14="Validé humainement",'09_Form_Projets_Climat'!B14,"")</x:f>
      </x:c>
      <x:c r="C14" s="76" t="str">
        <x:f>IF('09_Form_Projets_Climat'!$P14="Validé humainement",'09_Form_Projets_Climat'!C14,"")</x:f>
      </x:c>
      <x:c r="D14" s="76" t="str">
        <x:f>IF('09_Form_Projets_Climat'!$P14="Validé humainement",'09_Form_Projets_Climat'!D14,"")</x:f>
      </x:c>
      <x:c r="E14" s="76" t="str">
        <x:f>IF('09_Form_Projets_Climat'!$P14="Validé humainement",'09_Form_Projets_Climat'!E14,"")</x:f>
      </x:c>
      <x:c r="F14" s="76" t="str">
        <x:f>IF('09_Form_Projets_Climat'!$P14="Validé humainement",'09_Form_Projets_Climat'!F14,"")</x:f>
      </x:c>
      <x:c r="G14" s="78" t="str">
        <x:f>IF('09_Form_Projets_Climat'!$P14="Validé humainement",'09_Form_Projets_Climat'!G14,"")</x:f>
      </x:c>
      <x:c r="H14" s="78" t="str">
        <x:f>IF('09_Form_Projets_Climat'!$P14="Validé humainement",'09_Form_Projets_Climat'!H14,"")</x:f>
      </x:c>
      <x:c r="I14" s="81" t="str">
        <x:f>IF('09_Form_Projets_Climat'!$P14="Validé humainement",'09_Form_Projets_Climat'!I14,"")</x:f>
      </x:c>
      <x:c r="J14" s="81" t="str">
        <x:f>IF('09_Form_Projets_Climat'!$P14="Validé humainement",'09_Form_Projets_Climat'!J14,"")</x:f>
      </x:c>
      <x:c r="K14" s="81" t="str">
        <x:f>IF('09_Form_Projets_Climat'!$P14="Validé humainement",'09_Form_Projets_Climat'!K14,"")</x:f>
      </x:c>
      <x:c r="L14" s="84" t="str">
        <x:f>IF('09_Form_Projets_Climat'!$P14="Validé humainement",'09_Form_Projets_Climat'!L14,"")</x:f>
      </x:c>
      <x:c r="M14" s="76" t="str">
        <x:f>IF('09_Form_Projets_Climat'!$P14="Validé humainement",'09_Form_Projets_Climat'!M14,"")</x:f>
      </x:c>
      <x:c r="N14" s="76" t="str">
        <x:f>IF('09_Form_Projets_Climat'!$P14="Validé humainement",'09_Form_Projets_Climat'!N14,"")</x:f>
      </x:c>
      <x:c r="O14" s="76" t="str">
        <x:f>IF('09_Form_Projets_Climat'!$P14="Validé humainement",'09_Form_Projets_Climat'!O14,"")</x:f>
      </x:c>
      <x:c r="P14" s="76" t="str">
        <x:f>IF('09_Form_Projets_Climat'!$P14="Validé humainement",'09_Form_Projets_Climat'!P14,"")</x:f>
      </x:c>
      <x:c r="Q14" s="76" t="str">
        <x:f>IF('09_Form_Projets_Climat'!$P14="Validé humainement",'09_Form_Projets_Climat'!Q14,"")</x:f>
      </x:c>
      <x:c r="R14" s="78" t="str">
        <x:f>IF('09_Form_Projets_Climat'!$P14="Validé humainement",'09_Form_Projets_Climat'!R14,"")</x:f>
      </x:c>
      <x:c r="S14" s="76" t="str">
        <x:f>IF('09_Form_Projets_Climat'!$P14="Validé humainement",'09_Form_Projets_Climat'!S14,"")</x:f>
      </x:c>
      <x:c r="T14" s="76" t="str">
        <x:f>IF('09_Form_Projets_Climat'!$P14="Validé humainement",'09_Form_Projets_Climat'!T14,"")</x:f>
      </x:c>
      <x:c r="U14" s="76" t="str">
        <x:f>IF('09_Form_Projets_Climat'!$P14="Validé humainement",'09_Form_Projets_Climat'!U14,"")</x:f>
      </x:c>
    </x:row>
    <x:row r="15">
      <x:c r="A15" s="76" t="str">
        <x:f>IF('09_Form_Projets_Climat'!$P15="Validé humainement",'09_Form_Projets_Climat'!A15,"")</x:f>
      </x:c>
      <x:c r="B15" s="76" t="str">
        <x:f>IF('09_Form_Projets_Climat'!$P15="Validé humainement",'09_Form_Projets_Climat'!B15,"")</x:f>
      </x:c>
      <x:c r="C15" s="76" t="str">
        <x:f>IF('09_Form_Projets_Climat'!$P15="Validé humainement",'09_Form_Projets_Climat'!C15,"")</x:f>
      </x:c>
      <x:c r="D15" s="76" t="str">
        <x:f>IF('09_Form_Projets_Climat'!$P15="Validé humainement",'09_Form_Projets_Climat'!D15,"")</x:f>
      </x:c>
      <x:c r="E15" s="76" t="str">
        <x:f>IF('09_Form_Projets_Climat'!$P15="Validé humainement",'09_Form_Projets_Climat'!E15,"")</x:f>
      </x:c>
      <x:c r="F15" s="76" t="str">
        <x:f>IF('09_Form_Projets_Climat'!$P15="Validé humainement",'09_Form_Projets_Climat'!F15,"")</x:f>
      </x:c>
      <x:c r="G15" s="78" t="str">
        <x:f>IF('09_Form_Projets_Climat'!$P15="Validé humainement",'09_Form_Projets_Climat'!G15,"")</x:f>
      </x:c>
      <x:c r="H15" s="78" t="str">
        <x:f>IF('09_Form_Projets_Climat'!$P15="Validé humainement",'09_Form_Projets_Climat'!H15,"")</x:f>
      </x:c>
      <x:c r="I15" s="81" t="str">
        <x:f>IF('09_Form_Projets_Climat'!$P15="Validé humainement",'09_Form_Projets_Climat'!I15,"")</x:f>
      </x:c>
      <x:c r="J15" s="81" t="str">
        <x:f>IF('09_Form_Projets_Climat'!$P15="Validé humainement",'09_Form_Projets_Climat'!J15,"")</x:f>
      </x:c>
      <x:c r="K15" s="81" t="str">
        <x:f>IF('09_Form_Projets_Climat'!$P15="Validé humainement",'09_Form_Projets_Climat'!K15,"")</x:f>
      </x:c>
      <x:c r="L15" s="84" t="str">
        <x:f>IF('09_Form_Projets_Climat'!$P15="Validé humainement",'09_Form_Projets_Climat'!L15,"")</x:f>
      </x:c>
      <x:c r="M15" s="76" t="str">
        <x:f>IF('09_Form_Projets_Climat'!$P15="Validé humainement",'09_Form_Projets_Climat'!M15,"")</x:f>
      </x:c>
      <x:c r="N15" s="76" t="str">
        <x:f>IF('09_Form_Projets_Climat'!$P15="Validé humainement",'09_Form_Projets_Climat'!N15,"")</x:f>
      </x:c>
      <x:c r="O15" s="76" t="str">
        <x:f>IF('09_Form_Projets_Climat'!$P15="Validé humainement",'09_Form_Projets_Climat'!O15,"")</x:f>
      </x:c>
      <x:c r="P15" s="76" t="str">
        <x:f>IF('09_Form_Projets_Climat'!$P15="Validé humainement",'09_Form_Projets_Climat'!P15,"")</x:f>
      </x:c>
      <x:c r="Q15" s="76" t="str">
        <x:f>IF('09_Form_Projets_Climat'!$P15="Validé humainement",'09_Form_Projets_Climat'!Q15,"")</x:f>
      </x:c>
      <x:c r="R15" s="78" t="str">
        <x:f>IF('09_Form_Projets_Climat'!$P15="Validé humainement",'09_Form_Projets_Climat'!R15,"")</x:f>
      </x:c>
      <x:c r="S15" s="76" t="str">
        <x:f>IF('09_Form_Projets_Climat'!$P15="Validé humainement",'09_Form_Projets_Climat'!S15,"")</x:f>
      </x:c>
      <x:c r="T15" s="76" t="str">
        <x:f>IF('09_Form_Projets_Climat'!$P15="Validé humainement",'09_Form_Projets_Climat'!T15,"")</x:f>
      </x:c>
      <x:c r="U15" s="76" t="str">
        <x:f>IF('09_Form_Projets_Climat'!$P15="Validé humainement",'09_Form_Projets_Climat'!U15,"")</x:f>
      </x:c>
    </x:row>
    <x:row r="16">
      <x:c r="A16" s="76" t="str">
        <x:f>IF('09_Form_Projets_Climat'!$P16="Validé humainement",'09_Form_Projets_Climat'!A16,"")</x:f>
      </x:c>
      <x:c r="B16" s="76" t="str">
        <x:f>IF('09_Form_Projets_Climat'!$P16="Validé humainement",'09_Form_Projets_Climat'!B16,"")</x:f>
      </x:c>
      <x:c r="C16" s="76" t="str">
        <x:f>IF('09_Form_Projets_Climat'!$P16="Validé humainement",'09_Form_Projets_Climat'!C16,"")</x:f>
      </x:c>
      <x:c r="D16" s="76" t="str">
        <x:f>IF('09_Form_Projets_Climat'!$P16="Validé humainement",'09_Form_Projets_Climat'!D16,"")</x:f>
      </x:c>
      <x:c r="E16" s="76" t="str">
        <x:f>IF('09_Form_Projets_Climat'!$P16="Validé humainement",'09_Form_Projets_Climat'!E16,"")</x:f>
      </x:c>
      <x:c r="F16" s="76" t="str">
        <x:f>IF('09_Form_Projets_Climat'!$P16="Validé humainement",'09_Form_Projets_Climat'!F16,"")</x:f>
      </x:c>
      <x:c r="G16" s="78" t="str">
        <x:f>IF('09_Form_Projets_Climat'!$P16="Validé humainement",'09_Form_Projets_Climat'!G16,"")</x:f>
      </x:c>
      <x:c r="H16" s="78" t="str">
        <x:f>IF('09_Form_Projets_Climat'!$P16="Validé humainement",'09_Form_Projets_Climat'!H16,"")</x:f>
      </x:c>
      <x:c r="I16" s="81" t="str">
        <x:f>IF('09_Form_Projets_Climat'!$P16="Validé humainement",'09_Form_Projets_Climat'!I16,"")</x:f>
      </x:c>
      <x:c r="J16" s="81" t="str">
        <x:f>IF('09_Form_Projets_Climat'!$P16="Validé humainement",'09_Form_Projets_Climat'!J16,"")</x:f>
      </x:c>
      <x:c r="K16" s="81" t="str">
        <x:f>IF('09_Form_Projets_Climat'!$P16="Validé humainement",'09_Form_Projets_Climat'!K16,"")</x:f>
      </x:c>
      <x:c r="L16" s="84" t="str">
        <x:f>IF('09_Form_Projets_Climat'!$P16="Validé humainement",'09_Form_Projets_Climat'!L16,"")</x:f>
      </x:c>
      <x:c r="M16" s="76" t="str">
        <x:f>IF('09_Form_Projets_Climat'!$P16="Validé humainement",'09_Form_Projets_Climat'!M16,"")</x:f>
      </x:c>
      <x:c r="N16" s="76" t="str">
        <x:f>IF('09_Form_Projets_Climat'!$P16="Validé humainement",'09_Form_Projets_Climat'!N16,"")</x:f>
      </x:c>
      <x:c r="O16" s="76" t="str">
        <x:f>IF('09_Form_Projets_Climat'!$P16="Validé humainement",'09_Form_Projets_Climat'!O16,"")</x:f>
      </x:c>
      <x:c r="P16" s="76" t="str">
        <x:f>IF('09_Form_Projets_Climat'!$P16="Validé humainement",'09_Form_Projets_Climat'!P16,"")</x:f>
      </x:c>
      <x:c r="Q16" s="76" t="str">
        <x:f>IF('09_Form_Projets_Climat'!$P16="Validé humainement",'09_Form_Projets_Climat'!Q16,"")</x:f>
      </x:c>
      <x:c r="R16" s="78" t="str">
        <x:f>IF('09_Form_Projets_Climat'!$P16="Validé humainement",'09_Form_Projets_Climat'!R16,"")</x:f>
      </x:c>
      <x:c r="S16" s="76" t="str">
        <x:f>IF('09_Form_Projets_Climat'!$P16="Validé humainement",'09_Form_Projets_Climat'!S16,"")</x:f>
      </x:c>
      <x:c r="T16" s="76" t="str">
        <x:f>IF('09_Form_Projets_Climat'!$P16="Validé humainement",'09_Form_Projets_Climat'!T16,"")</x:f>
      </x:c>
      <x:c r="U16" s="76" t="str">
        <x:f>IF('09_Form_Projets_Climat'!$P16="Validé humainement",'09_Form_Projets_Climat'!U16,"")</x:f>
      </x:c>
    </x:row>
    <x:row r="17">
      <x:c r="A17" s="76" t="str">
        <x:f>IF('09_Form_Projets_Climat'!$P17="Validé humainement",'09_Form_Projets_Climat'!A17,"")</x:f>
      </x:c>
      <x:c r="B17" s="76" t="str">
        <x:f>IF('09_Form_Projets_Climat'!$P17="Validé humainement",'09_Form_Projets_Climat'!B17,"")</x:f>
      </x:c>
      <x:c r="C17" s="76" t="str">
        <x:f>IF('09_Form_Projets_Climat'!$P17="Validé humainement",'09_Form_Projets_Climat'!C17,"")</x:f>
      </x:c>
      <x:c r="D17" s="76" t="str">
        <x:f>IF('09_Form_Projets_Climat'!$P17="Validé humainement",'09_Form_Projets_Climat'!D17,"")</x:f>
      </x:c>
      <x:c r="E17" s="76" t="str">
        <x:f>IF('09_Form_Projets_Climat'!$P17="Validé humainement",'09_Form_Projets_Climat'!E17,"")</x:f>
      </x:c>
      <x:c r="F17" s="76" t="str">
        <x:f>IF('09_Form_Projets_Climat'!$P17="Validé humainement",'09_Form_Projets_Climat'!F17,"")</x:f>
      </x:c>
      <x:c r="G17" s="78" t="str">
        <x:f>IF('09_Form_Projets_Climat'!$P17="Validé humainement",'09_Form_Projets_Climat'!G17,"")</x:f>
      </x:c>
      <x:c r="H17" s="78" t="str">
        <x:f>IF('09_Form_Projets_Climat'!$P17="Validé humainement",'09_Form_Projets_Climat'!H17,"")</x:f>
      </x:c>
      <x:c r="I17" s="81" t="str">
        <x:f>IF('09_Form_Projets_Climat'!$P17="Validé humainement",'09_Form_Projets_Climat'!I17,"")</x:f>
      </x:c>
      <x:c r="J17" s="81" t="str">
        <x:f>IF('09_Form_Projets_Climat'!$P17="Validé humainement",'09_Form_Projets_Climat'!J17,"")</x:f>
      </x:c>
      <x:c r="K17" s="81" t="str">
        <x:f>IF('09_Form_Projets_Climat'!$P17="Validé humainement",'09_Form_Projets_Climat'!K17,"")</x:f>
      </x:c>
      <x:c r="L17" s="84" t="str">
        <x:f>IF('09_Form_Projets_Climat'!$P17="Validé humainement",'09_Form_Projets_Climat'!L17,"")</x:f>
      </x:c>
      <x:c r="M17" s="76" t="str">
        <x:f>IF('09_Form_Projets_Climat'!$P17="Validé humainement",'09_Form_Projets_Climat'!M17,"")</x:f>
      </x:c>
      <x:c r="N17" s="76" t="str">
        <x:f>IF('09_Form_Projets_Climat'!$P17="Validé humainement",'09_Form_Projets_Climat'!N17,"")</x:f>
      </x:c>
      <x:c r="O17" s="76" t="str">
        <x:f>IF('09_Form_Projets_Climat'!$P17="Validé humainement",'09_Form_Projets_Climat'!O17,"")</x:f>
      </x:c>
      <x:c r="P17" s="76" t="str">
        <x:f>IF('09_Form_Projets_Climat'!$P17="Validé humainement",'09_Form_Projets_Climat'!P17,"")</x:f>
      </x:c>
      <x:c r="Q17" s="76" t="str">
        <x:f>IF('09_Form_Projets_Climat'!$P17="Validé humainement",'09_Form_Projets_Climat'!Q17,"")</x:f>
      </x:c>
      <x:c r="R17" s="78" t="str">
        <x:f>IF('09_Form_Projets_Climat'!$P17="Validé humainement",'09_Form_Projets_Climat'!R17,"")</x:f>
      </x:c>
      <x:c r="S17" s="76" t="str">
        <x:f>IF('09_Form_Projets_Climat'!$P17="Validé humainement",'09_Form_Projets_Climat'!S17,"")</x:f>
      </x:c>
      <x:c r="T17" s="76" t="str">
        <x:f>IF('09_Form_Projets_Climat'!$P17="Validé humainement",'09_Form_Projets_Climat'!T17,"")</x:f>
      </x:c>
      <x:c r="U17" s="76" t="str">
        <x:f>IF('09_Form_Projets_Climat'!$P17="Validé humainement",'09_Form_Projets_Climat'!U17,"")</x:f>
      </x:c>
    </x:row>
    <x:row r="18">
      <x:c r="A18" s="76" t="str">
        <x:f>IF('09_Form_Projets_Climat'!$P18="Validé humainement",'09_Form_Projets_Climat'!A18,"")</x:f>
      </x:c>
      <x:c r="B18" s="76" t="str">
        <x:f>IF('09_Form_Projets_Climat'!$P18="Validé humainement",'09_Form_Projets_Climat'!B18,"")</x:f>
      </x:c>
      <x:c r="C18" s="76" t="str">
        <x:f>IF('09_Form_Projets_Climat'!$P18="Validé humainement",'09_Form_Projets_Climat'!C18,"")</x:f>
      </x:c>
      <x:c r="D18" s="76" t="str">
        <x:f>IF('09_Form_Projets_Climat'!$P18="Validé humainement",'09_Form_Projets_Climat'!D18,"")</x:f>
      </x:c>
      <x:c r="E18" s="76" t="str">
        <x:f>IF('09_Form_Projets_Climat'!$P18="Validé humainement",'09_Form_Projets_Climat'!E18,"")</x:f>
      </x:c>
      <x:c r="F18" s="76" t="str">
        <x:f>IF('09_Form_Projets_Climat'!$P18="Validé humainement",'09_Form_Projets_Climat'!F18,"")</x:f>
      </x:c>
      <x:c r="G18" s="78" t="str">
        <x:f>IF('09_Form_Projets_Climat'!$P18="Validé humainement",'09_Form_Projets_Climat'!G18,"")</x:f>
      </x:c>
      <x:c r="H18" s="78" t="str">
        <x:f>IF('09_Form_Projets_Climat'!$P18="Validé humainement",'09_Form_Projets_Climat'!H18,"")</x:f>
      </x:c>
      <x:c r="I18" s="81" t="str">
        <x:f>IF('09_Form_Projets_Climat'!$P18="Validé humainement",'09_Form_Projets_Climat'!I18,"")</x:f>
      </x:c>
      <x:c r="J18" s="81" t="str">
        <x:f>IF('09_Form_Projets_Climat'!$P18="Validé humainement",'09_Form_Projets_Climat'!J18,"")</x:f>
      </x:c>
      <x:c r="K18" s="81" t="str">
        <x:f>IF('09_Form_Projets_Climat'!$P18="Validé humainement",'09_Form_Projets_Climat'!K18,"")</x:f>
      </x:c>
      <x:c r="L18" s="84" t="str">
        <x:f>IF('09_Form_Projets_Climat'!$P18="Validé humainement",'09_Form_Projets_Climat'!L18,"")</x:f>
      </x:c>
      <x:c r="M18" s="76" t="str">
        <x:f>IF('09_Form_Projets_Climat'!$P18="Validé humainement",'09_Form_Projets_Climat'!M18,"")</x:f>
      </x:c>
      <x:c r="N18" s="76" t="str">
        <x:f>IF('09_Form_Projets_Climat'!$P18="Validé humainement",'09_Form_Projets_Climat'!N18,"")</x:f>
      </x:c>
      <x:c r="O18" s="76" t="str">
        <x:f>IF('09_Form_Projets_Climat'!$P18="Validé humainement",'09_Form_Projets_Climat'!O18,"")</x:f>
      </x:c>
      <x:c r="P18" s="76" t="str">
        <x:f>IF('09_Form_Projets_Climat'!$P18="Validé humainement",'09_Form_Projets_Climat'!P18,"")</x:f>
      </x:c>
      <x:c r="Q18" s="76" t="str">
        <x:f>IF('09_Form_Projets_Climat'!$P18="Validé humainement",'09_Form_Projets_Climat'!Q18,"")</x:f>
      </x:c>
      <x:c r="R18" s="78" t="str">
        <x:f>IF('09_Form_Projets_Climat'!$P18="Validé humainement",'09_Form_Projets_Climat'!R18,"")</x:f>
      </x:c>
      <x:c r="S18" s="76" t="str">
        <x:f>IF('09_Form_Projets_Climat'!$P18="Validé humainement",'09_Form_Projets_Climat'!S18,"")</x:f>
      </x:c>
      <x:c r="T18" s="76" t="str">
        <x:f>IF('09_Form_Projets_Climat'!$P18="Validé humainement",'09_Form_Projets_Climat'!T18,"")</x:f>
      </x:c>
      <x:c r="U18" s="76" t="str">
        <x:f>IF('09_Form_Projets_Climat'!$P18="Validé humainement",'09_Form_Projets_Climat'!U18,"")</x:f>
      </x:c>
    </x:row>
    <x:row r="19">
      <x:c r="A19" s="76" t="str">
        <x:f>IF('09_Form_Projets_Climat'!$P19="Validé humainement",'09_Form_Projets_Climat'!A19,"")</x:f>
      </x:c>
      <x:c r="B19" s="76" t="str">
        <x:f>IF('09_Form_Projets_Climat'!$P19="Validé humainement",'09_Form_Projets_Climat'!B19,"")</x:f>
      </x:c>
      <x:c r="C19" s="76" t="str">
        <x:f>IF('09_Form_Projets_Climat'!$P19="Validé humainement",'09_Form_Projets_Climat'!C19,"")</x:f>
      </x:c>
      <x:c r="D19" s="76" t="str">
        <x:f>IF('09_Form_Projets_Climat'!$P19="Validé humainement",'09_Form_Projets_Climat'!D19,"")</x:f>
      </x:c>
      <x:c r="E19" s="76" t="str">
        <x:f>IF('09_Form_Projets_Climat'!$P19="Validé humainement",'09_Form_Projets_Climat'!E19,"")</x:f>
      </x:c>
      <x:c r="F19" s="76" t="str">
        <x:f>IF('09_Form_Projets_Climat'!$P19="Validé humainement",'09_Form_Projets_Climat'!F19,"")</x:f>
      </x:c>
      <x:c r="G19" s="78" t="str">
        <x:f>IF('09_Form_Projets_Climat'!$P19="Validé humainement",'09_Form_Projets_Climat'!G19,"")</x:f>
      </x:c>
      <x:c r="H19" s="78" t="str">
        <x:f>IF('09_Form_Projets_Climat'!$P19="Validé humainement",'09_Form_Projets_Climat'!H19,"")</x:f>
      </x:c>
      <x:c r="I19" s="81" t="str">
        <x:f>IF('09_Form_Projets_Climat'!$P19="Validé humainement",'09_Form_Projets_Climat'!I19,"")</x:f>
      </x:c>
      <x:c r="J19" s="81" t="str">
        <x:f>IF('09_Form_Projets_Climat'!$P19="Validé humainement",'09_Form_Projets_Climat'!J19,"")</x:f>
      </x:c>
      <x:c r="K19" s="81" t="str">
        <x:f>IF('09_Form_Projets_Climat'!$P19="Validé humainement",'09_Form_Projets_Climat'!K19,"")</x:f>
      </x:c>
      <x:c r="L19" s="84" t="str">
        <x:f>IF('09_Form_Projets_Climat'!$P19="Validé humainement",'09_Form_Projets_Climat'!L19,"")</x:f>
      </x:c>
      <x:c r="M19" s="76" t="str">
        <x:f>IF('09_Form_Projets_Climat'!$P19="Validé humainement",'09_Form_Projets_Climat'!M19,"")</x:f>
      </x:c>
      <x:c r="N19" s="76" t="str">
        <x:f>IF('09_Form_Projets_Climat'!$P19="Validé humainement",'09_Form_Projets_Climat'!N19,"")</x:f>
      </x:c>
      <x:c r="O19" s="76" t="str">
        <x:f>IF('09_Form_Projets_Climat'!$P19="Validé humainement",'09_Form_Projets_Climat'!O19,"")</x:f>
      </x:c>
      <x:c r="P19" s="76" t="str">
        <x:f>IF('09_Form_Projets_Climat'!$P19="Validé humainement",'09_Form_Projets_Climat'!P19,"")</x:f>
      </x:c>
      <x:c r="Q19" s="76" t="str">
        <x:f>IF('09_Form_Projets_Climat'!$P19="Validé humainement",'09_Form_Projets_Climat'!Q19,"")</x:f>
      </x:c>
      <x:c r="R19" s="78" t="str">
        <x:f>IF('09_Form_Projets_Climat'!$P19="Validé humainement",'09_Form_Projets_Climat'!R19,"")</x:f>
      </x:c>
      <x:c r="S19" s="76" t="str">
        <x:f>IF('09_Form_Projets_Climat'!$P19="Validé humainement",'09_Form_Projets_Climat'!S19,"")</x:f>
      </x:c>
      <x:c r="T19" s="76" t="str">
        <x:f>IF('09_Form_Projets_Climat'!$P19="Validé humainement",'09_Form_Projets_Climat'!T19,"")</x:f>
      </x:c>
      <x:c r="U19" s="76" t="str">
        <x:f>IF('09_Form_Projets_Climat'!$P19="Validé humainement",'09_Form_Projets_Climat'!U19,"")</x:f>
      </x:c>
    </x:row>
    <x:row r="20">
      <x:c r="A20" s="76" t="str">
        <x:f>IF('09_Form_Projets_Climat'!$P20="Validé humainement",'09_Form_Projets_Climat'!A20,"")</x:f>
      </x:c>
      <x:c r="B20" s="76" t="str">
        <x:f>IF('09_Form_Projets_Climat'!$P20="Validé humainement",'09_Form_Projets_Climat'!B20,"")</x:f>
      </x:c>
      <x:c r="C20" s="76" t="str">
        <x:f>IF('09_Form_Projets_Climat'!$P20="Validé humainement",'09_Form_Projets_Climat'!C20,"")</x:f>
      </x:c>
      <x:c r="D20" s="76" t="str">
        <x:f>IF('09_Form_Projets_Climat'!$P20="Validé humainement",'09_Form_Projets_Climat'!D20,"")</x:f>
      </x:c>
      <x:c r="E20" s="76" t="str">
        <x:f>IF('09_Form_Projets_Climat'!$P20="Validé humainement",'09_Form_Projets_Climat'!E20,"")</x:f>
      </x:c>
      <x:c r="F20" s="76" t="str">
        <x:f>IF('09_Form_Projets_Climat'!$P20="Validé humainement",'09_Form_Projets_Climat'!F20,"")</x:f>
      </x:c>
      <x:c r="G20" s="78" t="str">
        <x:f>IF('09_Form_Projets_Climat'!$P20="Validé humainement",'09_Form_Projets_Climat'!G20,"")</x:f>
      </x:c>
      <x:c r="H20" s="78" t="str">
        <x:f>IF('09_Form_Projets_Climat'!$P20="Validé humainement",'09_Form_Projets_Climat'!H20,"")</x:f>
      </x:c>
      <x:c r="I20" s="81" t="str">
        <x:f>IF('09_Form_Projets_Climat'!$P20="Validé humainement",'09_Form_Projets_Climat'!I20,"")</x:f>
      </x:c>
      <x:c r="J20" s="81" t="str">
        <x:f>IF('09_Form_Projets_Climat'!$P20="Validé humainement",'09_Form_Projets_Climat'!J20,"")</x:f>
      </x:c>
      <x:c r="K20" s="81" t="str">
        <x:f>IF('09_Form_Projets_Climat'!$P20="Validé humainement",'09_Form_Projets_Climat'!K20,"")</x:f>
      </x:c>
      <x:c r="L20" s="84" t="str">
        <x:f>IF('09_Form_Projets_Climat'!$P20="Validé humainement",'09_Form_Projets_Climat'!L20,"")</x:f>
      </x:c>
      <x:c r="M20" s="76" t="str">
        <x:f>IF('09_Form_Projets_Climat'!$P20="Validé humainement",'09_Form_Projets_Climat'!M20,"")</x:f>
      </x:c>
      <x:c r="N20" s="76" t="str">
        <x:f>IF('09_Form_Projets_Climat'!$P20="Validé humainement",'09_Form_Projets_Climat'!N20,"")</x:f>
      </x:c>
      <x:c r="O20" s="76" t="str">
        <x:f>IF('09_Form_Projets_Climat'!$P20="Validé humainement",'09_Form_Projets_Climat'!O20,"")</x:f>
      </x:c>
      <x:c r="P20" s="76" t="str">
        <x:f>IF('09_Form_Projets_Climat'!$P20="Validé humainement",'09_Form_Projets_Climat'!P20,"")</x:f>
      </x:c>
      <x:c r="Q20" s="76" t="str">
        <x:f>IF('09_Form_Projets_Climat'!$P20="Validé humainement",'09_Form_Projets_Climat'!Q20,"")</x:f>
      </x:c>
      <x:c r="R20" s="78" t="str">
        <x:f>IF('09_Form_Projets_Climat'!$P20="Validé humainement",'09_Form_Projets_Climat'!R20,"")</x:f>
      </x:c>
      <x:c r="S20" s="76" t="str">
        <x:f>IF('09_Form_Projets_Climat'!$P20="Validé humainement",'09_Form_Projets_Climat'!S20,"")</x:f>
      </x:c>
      <x:c r="T20" s="76" t="str">
        <x:f>IF('09_Form_Projets_Climat'!$P20="Validé humainement",'09_Form_Projets_Climat'!T20,"")</x:f>
      </x:c>
      <x:c r="U20" s="76" t="str">
        <x:f>IF('09_Form_Projets_Climat'!$P20="Validé humainement",'09_Form_Projets_Climat'!U20,"")</x:f>
      </x:c>
    </x:row>
    <x:row r="21">
      <x:c r="A21" s="76" t="str">
        <x:f>IF('09_Form_Projets_Climat'!$P21="Validé humainement",'09_Form_Projets_Climat'!A21,"")</x:f>
      </x:c>
      <x:c r="B21" s="76" t="str">
        <x:f>IF('09_Form_Projets_Climat'!$P21="Validé humainement",'09_Form_Projets_Climat'!B21,"")</x:f>
      </x:c>
      <x:c r="C21" s="76" t="str">
        <x:f>IF('09_Form_Projets_Climat'!$P21="Validé humainement",'09_Form_Projets_Climat'!C21,"")</x:f>
      </x:c>
      <x:c r="D21" s="76" t="str">
        <x:f>IF('09_Form_Projets_Climat'!$P21="Validé humainement",'09_Form_Projets_Climat'!D21,"")</x:f>
      </x:c>
      <x:c r="E21" s="76" t="str">
        <x:f>IF('09_Form_Projets_Climat'!$P21="Validé humainement",'09_Form_Projets_Climat'!E21,"")</x:f>
      </x:c>
      <x:c r="F21" s="76" t="str">
        <x:f>IF('09_Form_Projets_Climat'!$P21="Validé humainement",'09_Form_Projets_Climat'!F21,"")</x:f>
      </x:c>
      <x:c r="G21" s="78" t="str">
        <x:f>IF('09_Form_Projets_Climat'!$P21="Validé humainement",'09_Form_Projets_Climat'!G21,"")</x:f>
      </x:c>
      <x:c r="H21" s="78" t="str">
        <x:f>IF('09_Form_Projets_Climat'!$P21="Validé humainement",'09_Form_Projets_Climat'!H21,"")</x:f>
      </x:c>
      <x:c r="I21" s="81" t="str">
        <x:f>IF('09_Form_Projets_Climat'!$P21="Validé humainement",'09_Form_Projets_Climat'!I21,"")</x:f>
      </x:c>
      <x:c r="J21" s="81" t="str">
        <x:f>IF('09_Form_Projets_Climat'!$P21="Validé humainement",'09_Form_Projets_Climat'!J21,"")</x:f>
      </x:c>
      <x:c r="K21" s="81" t="str">
        <x:f>IF('09_Form_Projets_Climat'!$P21="Validé humainement",'09_Form_Projets_Climat'!K21,"")</x:f>
      </x:c>
      <x:c r="L21" s="84" t="str">
        <x:f>IF('09_Form_Projets_Climat'!$P21="Validé humainement",'09_Form_Projets_Climat'!L21,"")</x:f>
      </x:c>
      <x:c r="M21" s="76" t="str">
        <x:f>IF('09_Form_Projets_Climat'!$P21="Validé humainement",'09_Form_Projets_Climat'!M21,"")</x:f>
      </x:c>
      <x:c r="N21" s="76" t="str">
        <x:f>IF('09_Form_Projets_Climat'!$P21="Validé humainement",'09_Form_Projets_Climat'!N21,"")</x:f>
      </x:c>
      <x:c r="O21" s="76" t="str">
        <x:f>IF('09_Form_Projets_Climat'!$P21="Validé humainement",'09_Form_Projets_Climat'!O21,"")</x:f>
      </x:c>
      <x:c r="P21" s="76" t="str">
        <x:f>IF('09_Form_Projets_Climat'!$P21="Validé humainement",'09_Form_Projets_Climat'!P21,"")</x:f>
      </x:c>
      <x:c r="Q21" s="76" t="str">
        <x:f>IF('09_Form_Projets_Climat'!$P21="Validé humainement",'09_Form_Projets_Climat'!Q21,"")</x:f>
      </x:c>
      <x:c r="R21" s="78" t="str">
        <x:f>IF('09_Form_Projets_Climat'!$P21="Validé humainement",'09_Form_Projets_Climat'!R21,"")</x:f>
      </x:c>
      <x:c r="S21" s="76" t="str">
        <x:f>IF('09_Form_Projets_Climat'!$P21="Validé humainement",'09_Form_Projets_Climat'!S21,"")</x:f>
      </x:c>
      <x:c r="T21" s="76" t="str">
        <x:f>IF('09_Form_Projets_Climat'!$P21="Validé humainement",'09_Form_Projets_Climat'!T21,"")</x:f>
      </x:c>
      <x:c r="U21" s="76" t="str">
        <x:f>IF('09_Form_Projets_Climat'!$P21="Validé humainement",'09_Form_Projets_Climat'!U21,"")</x:f>
      </x:c>
    </x:row>
    <x:row r="22">
      <x:c r="A22" s="76" t="str">
        <x:f>IF('09_Form_Projets_Climat'!$P22="Validé humainement",'09_Form_Projets_Climat'!A22,"")</x:f>
      </x:c>
      <x:c r="B22" s="76" t="str">
        <x:f>IF('09_Form_Projets_Climat'!$P22="Validé humainement",'09_Form_Projets_Climat'!B22,"")</x:f>
      </x:c>
      <x:c r="C22" s="76" t="str">
        <x:f>IF('09_Form_Projets_Climat'!$P22="Validé humainement",'09_Form_Projets_Climat'!C22,"")</x:f>
      </x:c>
      <x:c r="D22" s="76" t="str">
        <x:f>IF('09_Form_Projets_Climat'!$P22="Validé humainement",'09_Form_Projets_Climat'!D22,"")</x:f>
      </x:c>
      <x:c r="E22" s="76" t="str">
        <x:f>IF('09_Form_Projets_Climat'!$P22="Validé humainement",'09_Form_Projets_Climat'!E22,"")</x:f>
      </x:c>
      <x:c r="F22" s="76" t="str">
        <x:f>IF('09_Form_Projets_Climat'!$P22="Validé humainement",'09_Form_Projets_Climat'!F22,"")</x:f>
      </x:c>
      <x:c r="G22" s="78" t="str">
        <x:f>IF('09_Form_Projets_Climat'!$P22="Validé humainement",'09_Form_Projets_Climat'!G22,"")</x:f>
      </x:c>
      <x:c r="H22" s="78" t="str">
        <x:f>IF('09_Form_Projets_Climat'!$P22="Validé humainement",'09_Form_Projets_Climat'!H22,"")</x:f>
      </x:c>
      <x:c r="I22" s="81" t="str">
        <x:f>IF('09_Form_Projets_Climat'!$P22="Validé humainement",'09_Form_Projets_Climat'!I22,"")</x:f>
      </x:c>
      <x:c r="J22" s="81" t="str">
        <x:f>IF('09_Form_Projets_Climat'!$P22="Validé humainement",'09_Form_Projets_Climat'!J22,"")</x:f>
      </x:c>
      <x:c r="K22" s="81" t="str">
        <x:f>IF('09_Form_Projets_Climat'!$P22="Validé humainement",'09_Form_Projets_Climat'!K22,"")</x:f>
      </x:c>
      <x:c r="L22" s="84" t="str">
        <x:f>IF('09_Form_Projets_Climat'!$P22="Validé humainement",'09_Form_Projets_Climat'!L22,"")</x:f>
      </x:c>
      <x:c r="M22" s="76" t="str">
        <x:f>IF('09_Form_Projets_Climat'!$P22="Validé humainement",'09_Form_Projets_Climat'!M22,"")</x:f>
      </x:c>
      <x:c r="N22" s="76" t="str">
        <x:f>IF('09_Form_Projets_Climat'!$P22="Validé humainement",'09_Form_Projets_Climat'!N22,"")</x:f>
      </x:c>
      <x:c r="O22" s="76" t="str">
        <x:f>IF('09_Form_Projets_Climat'!$P22="Validé humainement",'09_Form_Projets_Climat'!O22,"")</x:f>
      </x:c>
      <x:c r="P22" s="76" t="str">
        <x:f>IF('09_Form_Projets_Climat'!$P22="Validé humainement",'09_Form_Projets_Climat'!P22,"")</x:f>
      </x:c>
      <x:c r="Q22" s="76" t="str">
        <x:f>IF('09_Form_Projets_Climat'!$P22="Validé humainement",'09_Form_Projets_Climat'!Q22,"")</x:f>
      </x:c>
      <x:c r="R22" s="78" t="str">
        <x:f>IF('09_Form_Projets_Climat'!$P22="Validé humainement",'09_Form_Projets_Climat'!R22,"")</x:f>
      </x:c>
      <x:c r="S22" s="76" t="str">
        <x:f>IF('09_Form_Projets_Climat'!$P22="Validé humainement",'09_Form_Projets_Climat'!S22,"")</x:f>
      </x:c>
      <x:c r="T22" s="76" t="str">
        <x:f>IF('09_Form_Projets_Climat'!$P22="Validé humainement",'09_Form_Projets_Climat'!T22,"")</x:f>
      </x:c>
      <x:c r="U22" s="76" t="str">
        <x:f>IF('09_Form_Projets_Climat'!$P22="Validé humainement",'09_Form_Projets_Climat'!U22,"")</x:f>
      </x:c>
    </x:row>
    <x:row r="23">
      <x:c r="A23" s="76" t="str">
        <x:f>IF('09_Form_Projets_Climat'!$P23="Validé humainement",'09_Form_Projets_Climat'!A23,"")</x:f>
      </x:c>
      <x:c r="B23" s="76" t="str">
        <x:f>IF('09_Form_Projets_Climat'!$P23="Validé humainement",'09_Form_Projets_Climat'!B23,"")</x:f>
      </x:c>
      <x:c r="C23" s="76" t="str">
        <x:f>IF('09_Form_Projets_Climat'!$P23="Validé humainement",'09_Form_Projets_Climat'!C23,"")</x:f>
      </x:c>
      <x:c r="D23" s="76" t="str">
        <x:f>IF('09_Form_Projets_Climat'!$P23="Validé humainement",'09_Form_Projets_Climat'!D23,"")</x:f>
      </x:c>
      <x:c r="E23" s="76" t="str">
        <x:f>IF('09_Form_Projets_Climat'!$P23="Validé humainement",'09_Form_Projets_Climat'!E23,"")</x:f>
      </x:c>
      <x:c r="F23" s="76" t="str">
        <x:f>IF('09_Form_Projets_Climat'!$P23="Validé humainement",'09_Form_Projets_Climat'!F23,"")</x:f>
      </x:c>
      <x:c r="G23" s="78" t="str">
        <x:f>IF('09_Form_Projets_Climat'!$P23="Validé humainement",'09_Form_Projets_Climat'!G23,"")</x:f>
      </x:c>
      <x:c r="H23" s="78" t="str">
        <x:f>IF('09_Form_Projets_Climat'!$P23="Validé humainement",'09_Form_Projets_Climat'!H23,"")</x:f>
      </x:c>
      <x:c r="I23" s="81" t="str">
        <x:f>IF('09_Form_Projets_Climat'!$P23="Validé humainement",'09_Form_Projets_Climat'!I23,"")</x:f>
      </x:c>
      <x:c r="J23" s="81" t="str">
        <x:f>IF('09_Form_Projets_Climat'!$P23="Validé humainement",'09_Form_Projets_Climat'!J23,"")</x:f>
      </x:c>
      <x:c r="K23" s="81" t="str">
        <x:f>IF('09_Form_Projets_Climat'!$P23="Validé humainement",'09_Form_Projets_Climat'!K23,"")</x:f>
      </x:c>
      <x:c r="L23" s="84" t="str">
        <x:f>IF('09_Form_Projets_Climat'!$P23="Validé humainement",'09_Form_Projets_Climat'!L23,"")</x:f>
      </x:c>
      <x:c r="M23" s="76" t="str">
        <x:f>IF('09_Form_Projets_Climat'!$P23="Validé humainement",'09_Form_Projets_Climat'!M23,"")</x:f>
      </x:c>
      <x:c r="N23" s="76" t="str">
        <x:f>IF('09_Form_Projets_Climat'!$P23="Validé humainement",'09_Form_Projets_Climat'!N23,"")</x:f>
      </x:c>
      <x:c r="O23" s="76" t="str">
        <x:f>IF('09_Form_Projets_Climat'!$P23="Validé humainement",'09_Form_Projets_Climat'!O23,"")</x:f>
      </x:c>
      <x:c r="P23" s="76" t="str">
        <x:f>IF('09_Form_Projets_Climat'!$P23="Validé humainement",'09_Form_Projets_Climat'!P23,"")</x:f>
      </x:c>
      <x:c r="Q23" s="76" t="str">
        <x:f>IF('09_Form_Projets_Climat'!$P23="Validé humainement",'09_Form_Projets_Climat'!Q23,"")</x:f>
      </x:c>
      <x:c r="R23" s="78" t="str">
        <x:f>IF('09_Form_Projets_Climat'!$P23="Validé humainement",'09_Form_Projets_Climat'!R23,"")</x:f>
      </x:c>
      <x:c r="S23" s="76" t="str">
        <x:f>IF('09_Form_Projets_Climat'!$P23="Validé humainement",'09_Form_Projets_Climat'!S23,"")</x:f>
      </x:c>
      <x:c r="T23" s="76" t="str">
        <x:f>IF('09_Form_Projets_Climat'!$P23="Validé humainement",'09_Form_Projets_Climat'!T23,"")</x:f>
      </x:c>
      <x:c r="U23" s="76" t="str">
        <x:f>IF('09_Form_Projets_Climat'!$P23="Validé humainement",'09_Form_Projets_Climat'!U23,"")</x:f>
      </x:c>
    </x:row>
    <x:row r="24">
      <x:c r="A24" s="76" t="str">
        <x:f>IF('09_Form_Projets_Climat'!$P24="Validé humainement",'09_Form_Projets_Climat'!A24,"")</x:f>
      </x:c>
      <x:c r="B24" s="76" t="str">
        <x:f>IF('09_Form_Projets_Climat'!$P24="Validé humainement",'09_Form_Projets_Climat'!B24,"")</x:f>
      </x:c>
      <x:c r="C24" s="76" t="str">
        <x:f>IF('09_Form_Projets_Climat'!$P24="Validé humainement",'09_Form_Projets_Climat'!C24,"")</x:f>
      </x:c>
      <x:c r="D24" s="76" t="str">
        <x:f>IF('09_Form_Projets_Climat'!$P24="Validé humainement",'09_Form_Projets_Climat'!D24,"")</x:f>
      </x:c>
      <x:c r="E24" s="76" t="str">
        <x:f>IF('09_Form_Projets_Climat'!$P24="Validé humainement",'09_Form_Projets_Climat'!E24,"")</x:f>
      </x:c>
      <x:c r="F24" s="76" t="str">
        <x:f>IF('09_Form_Projets_Climat'!$P24="Validé humainement",'09_Form_Projets_Climat'!F24,"")</x:f>
      </x:c>
      <x:c r="G24" s="78" t="str">
        <x:f>IF('09_Form_Projets_Climat'!$P24="Validé humainement",'09_Form_Projets_Climat'!G24,"")</x:f>
      </x:c>
      <x:c r="H24" s="78" t="str">
        <x:f>IF('09_Form_Projets_Climat'!$P24="Validé humainement",'09_Form_Projets_Climat'!H24,"")</x:f>
      </x:c>
      <x:c r="I24" s="81" t="str">
        <x:f>IF('09_Form_Projets_Climat'!$P24="Validé humainement",'09_Form_Projets_Climat'!I24,"")</x:f>
      </x:c>
      <x:c r="J24" s="81" t="str">
        <x:f>IF('09_Form_Projets_Climat'!$P24="Validé humainement",'09_Form_Projets_Climat'!J24,"")</x:f>
      </x:c>
      <x:c r="K24" s="81" t="str">
        <x:f>IF('09_Form_Projets_Climat'!$P24="Validé humainement",'09_Form_Projets_Climat'!K24,"")</x:f>
      </x:c>
      <x:c r="L24" s="84" t="str">
        <x:f>IF('09_Form_Projets_Climat'!$P24="Validé humainement",'09_Form_Projets_Climat'!L24,"")</x:f>
      </x:c>
      <x:c r="M24" s="76" t="str">
        <x:f>IF('09_Form_Projets_Climat'!$P24="Validé humainement",'09_Form_Projets_Climat'!M24,"")</x:f>
      </x:c>
      <x:c r="N24" s="76" t="str">
        <x:f>IF('09_Form_Projets_Climat'!$P24="Validé humainement",'09_Form_Projets_Climat'!N24,"")</x:f>
      </x:c>
      <x:c r="O24" s="76" t="str">
        <x:f>IF('09_Form_Projets_Climat'!$P24="Validé humainement",'09_Form_Projets_Climat'!O24,"")</x:f>
      </x:c>
      <x:c r="P24" s="76" t="str">
        <x:f>IF('09_Form_Projets_Climat'!$P24="Validé humainement",'09_Form_Projets_Climat'!P24,"")</x:f>
      </x:c>
      <x:c r="Q24" s="76" t="str">
        <x:f>IF('09_Form_Projets_Climat'!$P24="Validé humainement",'09_Form_Projets_Climat'!Q24,"")</x:f>
      </x:c>
      <x:c r="R24" s="78" t="str">
        <x:f>IF('09_Form_Projets_Climat'!$P24="Validé humainement",'09_Form_Projets_Climat'!R24,"")</x:f>
      </x:c>
      <x:c r="S24" s="76" t="str">
        <x:f>IF('09_Form_Projets_Climat'!$P24="Validé humainement",'09_Form_Projets_Climat'!S24,"")</x:f>
      </x:c>
      <x:c r="T24" s="76" t="str">
        <x:f>IF('09_Form_Projets_Climat'!$P24="Validé humainement",'09_Form_Projets_Climat'!T24,"")</x:f>
      </x:c>
      <x:c r="U24" s="76" t="str">
        <x:f>IF('09_Form_Projets_Climat'!$P24="Validé humainement",'09_Form_Projets_Climat'!U24,"")</x:f>
      </x:c>
    </x:row>
    <x:row r="25">
      <x:c r="A25" s="76" t="str">
        <x:f>IF('09_Form_Projets_Climat'!$P25="Validé humainement",'09_Form_Projets_Climat'!A25,"")</x:f>
      </x:c>
      <x:c r="B25" s="76" t="str">
        <x:f>IF('09_Form_Projets_Climat'!$P25="Validé humainement",'09_Form_Projets_Climat'!B25,"")</x:f>
      </x:c>
      <x:c r="C25" s="76" t="str">
        <x:f>IF('09_Form_Projets_Climat'!$P25="Validé humainement",'09_Form_Projets_Climat'!C25,"")</x:f>
      </x:c>
      <x:c r="D25" s="76" t="str">
        <x:f>IF('09_Form_Projets_Climat'!$P25="Validé humainement",'09_Form_Projets_Climat'!D25,"")</x:f>
      </x:c>
      <x:c r="E25" s="76" t="str">
        <x:f>IF('09_Form_Projets_Climat'!$P25="Validé humainement",'09_Form_Projets_Climat'!E25,"")</x:f>
      </x:c>
      <x:c r="F25" s="76" t="str">
        <x:f>IF('09_Form_Projets_Climat'!$P25="Validé humainement",'09_Form_Projets_Climat'!F25,"")</x:f>
      </x:c>
      <x:c r="G25" s="78" t="str">
        <x:f>IF('09_Form_Projets_Climat'!$P25="Validé humainement",'09_Form_Projets_Climat'!G25,"")</x:f>
      </x:c>
      <x:c r="H25" s="78" t="str">
        <x:f>IF('09_Form_Projets_Climat'!$P25="Validé humainement",'09_Form_Projets_Climat'!H25,"")</x:f>
      </x:c>
      <x:c r="I25" s="81" t="str">
        <x:f>IF('09_Form_Projets_Climat'!$P25="Validé humainement",'09_Form_Projets_Climat'!I25,"")</x:f>
      </x:c>
      <x:c r="J25" s="81" t="str">
        <x:f>IF('09_Form_Projets_Climat'!$P25="Validé humainement",'09_Form_Projets_Climat'!J25,"")</x:f>
      </x:c>
      <x:c r="K25" s="81" t="str">
        <x:f>IF('09_Form_Projets_Climat'!$P25="Validé humainement",'09_Form_Projets_Climat'!K25,"")</x:f>
      </x:c>
      <x:c r="L25" s="84" t="str">
        <x:f>IF('09_Form_Projets_Climat'!$P25="Validé humainement",'09_Form_Projets_Climat'!L25,"")</x:f>
      </x:c>
      <x:c r="M25" s="76" t="str">
        <x:f>IF('09_Form_Projets_Climat'!$P25="Validé humainement",'09_Form_Projets_Climat'!M25,"")</x:f>
      </x:c>
      <x:c r="N25" s="76" t="str">
        <x:f>IF('09_Form_Projets_Climat'!$P25="Validé humainement",'09_Form_Projets_Climat'!N25,"")</x:f>
      </x:c>
      <x:c r="O25" s="76" t="str">
        <x:f>IF('09_Form_Projets_Climat'!$P25="Validé humainement",'09_Form_Projets_Climat'!O25,"")</x:f>
      </x:c>
      <x:c r="P25" s="76" t="str">
        <x:f>IF('09_Form_Projets_Climat'!$P25="Validé humainement",'09_Form_Projets_Climat'!P25,"")</x:f>
      </x:c>
      <x:c r="Q25" s="76" t="str">
        <x:f>IF('09_Form_Projets_Climat'!$P25="Validé humainement",'09_Form_Projets_Climat'!Q25,"")</x:f>
      </x:c>
      <x:c r="R25" s="78" t="str">
        <x:f>IF('09_Form_Projets_Climat'!$P25="Validé humainement",'09_Form_Projets_Climat'!R25,"")</x:f>
      </x:c>
      <x:c r="S25" s="76" t="str">
        <x:f>IF('09_Form_Projets_Climat'!$P25="Validé humainement",'09_Form_Projets_Climat'!S25,"")</x:f>
      </x:c>
      <x:c r="T25" s="76" t="str">
        <x:f>IF('09_Form_Projets_Climat'!$P25="Validé humainement",'09_Form_Projets_Climat'!T25,"")</x:f>
      </x:c>
      <x:c r="U25" s="76" t="str">
        <x:f>IF('09_Form_Projets_Climat'!$P25="Validé humainement",'09_Form_Projets_Climat'!U25,"")</x:f>
      </x:c>
    </x:row>
    <x:row r="26">
      <x:c r="A26" s="76" t="str">
        <x:f>IF('09_Form_Projets_Climat'!$P26="Validé humainement",'09_Form_Projets_Climat'!A26,"")</x:f>
      </x:c>
      <x:c r="B26" s="76" t="str">
        <x:f>IF('09_Form_Projets_Climat'!$P26="Validé humainement",'09_Form_Projets_Climat'!B26,"")</x:f>
      </x:c>
      <x:c r="C26" s="76" t="str">
        <x:f>IF('09_Form_Projets_Climat'!$P26="Validé humainement",'09_Form_Projets_Climat'!C26,"")</x:f>
      </x:c>
      <x:c r="D26" s="76" t="str">
        <x:f>IF('09_Form_Projets_Climat'!$P26="Validé humainement",'09_Form_Projets_Climat'!D26,"")</x:f>
      </x:c>
      <x:c r="E26" s="76" t="str">
        <x:f>IF('09_Form_Projets_Climat'!$P26="Validé humainement",'09_Form_Projets_Climat'!E26,"")</x:f>
      </x:c>
      <x:c r="F26" s="76" t="str">
        <x:f>IF('09_Form_Projets_Climat'!$P26="Validé humainement",'09_Form_Projets_Climat'!F26,"")</x:f>
      </x:c>
      <x:c r="G26" s="78" t="str">
        <x:f>IF('09_Form_Projets_Climat'!$P26="Validé humainement",'09_Form_Projets_Climat'!G26,"")</x:f>
      </x:c>
      <x:c r="H26" s="78" t="str">
        <x:f>IF('09_Form_Projets_Climat'!$P26="Validé humainement",'09_Form_Projets_Climat'!H26,"")</x:f>
      </x:c>
      <x:c r="I26" s="81" t="str">
        <x:f>IF('09_Form_Projets_Climat'!$P26="Validé humainement",'09_Form_Projets_Climat'!I26,"")</x:f>
      </x:c>
      <x:c r="J26" s="81" t="str">
        <x:f>IF('09_Form_Projets_Climat'!$P26="Validé humainement",'09_Form_Projets_Climat'!J26,"")</x:f>
      </x:c>
      <x:c r="K26" s="81" t="str">
        <x:f>IF('09_Form_Projets_Climat'!$P26="Validé humainement",'09_Form_Projets_Climat'!K26,"")</x:f>
      </x:c>
      <x:c r="L26" s="84" t="str">
        <x:f>IF('09_Form_Projets_Climat'!$P26="Validé humainement",'09_Form_Projets_Climat'!L26,"")</x:f>
      </x:c>
      <x:c r="M26" s="76" t="str">
        <x:f>IF('09_Form_Projets_Climat'!$P26="Validé humainement",'09_Form_Projets_Climat'!M26,"")</x:f>
      </x:c>
      <x:c r="N26" s="76" t="str">
        <x:f>IF('09_Form_Projets_Climat'!$P26="Validé humainement",'09_Form_Projets_Climat'!N26,"")</x:f>
      </x:c>
      <x:c r="O26" s="76" t="str">
        <x:f>IF('09_Form_Projets_Climat'!$P26="Validé humainement",'09_Form_Projets_Climat'!O26,"")</x:f>
      </x:c>
      <x:c r="P26" s="76" t="str">
        <x:f>IF('09_Form_Projets_Climat'!$P26="Validé humainement",'09_Form_Projets_Climat'!P26,"")</x:f>
      </x:c>
      <x:c r="Q26" s="76" t="str">
        <x:f>IF('09_Form_Projets_Climat'!$P26="Validé humainement",'09_Form_Projets_Climat'!Q26,"")</x:f>
      </x:c>
      <x:c r="R26" s="78" t="str">
        <x:f>IF('09_Form_Projets_Climat'!$P26="Validé humainement",'09_Form_Projets_Climat'!R26,"")</x:f>
      </x:c>
      <x:c r="S26" s="76" t="str">
        <x:f>IF('09_Form_Projets_Climat'!$P26="Validé humainement",'09_Form_Projets_Climat'!S26,"")</x:f>
      </x:c>
      <x:c r="T26" s="76" t="str">
        <x:f>IF('09_Form_Projets_Climat'!$P26="Validé humainement",'09_Form_Projets_Climat'!T26,"")</x:f>
      </x:c>
      <x:c r="U26" s="76" t="str">
        <x:f>IF('09_Form_Projets_Climat'!$P26="Validé humainement",'09_Form_Projets_Climat'!U26,"")</x:f>
      </x:c>
    </x:row>
    <x:row r="27">
      <x:c r="A27" s="76" t="str">
        <x:f>IF('09_Form_Projets_Climat'!$P27="Validé humainement",'09_Form_Projets_Climat'!A27,"")</x:f>
      </x:c>
      <x:c r="B27" s="76" t="str">
        <x:f>IF('09_Form_Projets_Climat'!$P27="Validé humainement",'09_Form_Projets_Climat'!B27,"")</x:f>
      </x:c>
      <x:c r="C27" s="76" t="str">
        <x:f>IF('09_Form_Projets_Climat'!$P27="Validé humainement",'09_Form_Projets_Climat'!C27,"")</x:f>
      </x:c>
      <x:c r="D27" s="76" t="str">
        <x:f>IF('09_Form_Projets_Climat'!$P27="Validé humainement",'09_Form_Projets_Climat'!D27,"")</x:f>
      </x:c>
      <x:c r="E27" s="76" t="str">
        <x:f>IF('09_Form_Projets_Climat'!$P27="Validé humainement",'09_Form_Projets_Climat'!E27,"")</x:f>
      </x:c>
      <x:c r="F27" s="76" t="str">
        <x:f>IF('09_Form_Projets_Climat'!$P27="Validé humainement",'09_Form_Projets_Climat'!F27,"")</x:f>
      </x:c>
      <x:c r="G27" s="78" t="str">
        <x:f>IF('09_Form_Projets_Climat'!$P27="Validé humainement",'09_Form_Projets_Climat'!G27,"")</x:f>
      </x:c>
      <x:c r="H27" s="78" t="str">
        <x:f>IF('09_Form_Projets_Climat'!$P27="Validé humainement",'09_Form_Projets_Climat'!H27,"")</x:f>
      </x:c>
      <x:c r="I27" s="81" t="str">
        <x:f>IF('09_Form_Projets_Climat'!$P27="Validé humainement",'09_Form_Projets_Climat'!I27,"")</x:f>
      </x:c>
      <x:c r="J27" s="81" t="str">
        <x:f>IF('09_Form_Projets_Climat'!$P27="Validé humainement",'09_Form_Projets_Climat'!J27,"")</x:f>
      </x:c>
      <x:c r="K27" s="81" t="str">
        <x:f>IF('09_Form_Projets_Climat'!$P27="Validé humainement",'09_Form_Projets_Climat'!K27,"")</x:f>
      </x:c>
      <x:c r="L27" s="84" t="str">
        <x:f>IF('09_Form_Projets_Climat'!$P27="Validé humainement",'09_Form_Projets_Climat'!L27,"")</x:f>
      </x:c>
      <x:c r="M27" s="76" t="str">
        <x:f>IF('09_Form_Projets_Climat'!$P27="Validé humainement",'09_Form_Projets_Climat'!M27,"")</x:f>
      </x:c>
      <x:c r="N27" s="76" t="str">
        <x:f>IF('09_Form_Projets_Climat'!$P27="Validé humainement",'09_Form_Projets_Climat'!N27,"")</x:f>
      </x:c>
      <x:c r="O27" s="76" t="str">
        <x:f>IF('09_Form_Projets_Climat'!$P27="Validé humainement",'09_Form_Projets_Climat'!O27,"")</x:f>
      </x:c>
      <x:c r="P27" s="76" t="str">
        <x:f>IF('09_Form_Projets_Climat'!$P27="Validé humainement",'09_Form_Projets_Climat'!P27,"")</x:f>
      </x:c>
      <x:c r="Q27" s="76" t="str">
        <x:f>IF('09_Form_Projets_Climat'!$P27="Validé humainement",'09_Form_Projets_Climat'!Q27,"")</x:f>
      </x:c>
      <x:c r="R27" s="78" t="str">
        <x:f>IF('09_Form_Projets_Climat'!$P27="Validé humainement",'09_Form_Projets_Climat'!R27,"")</x:f>
      </x:c>
      <x:c r="S27" s="76" t="str">
        <x:f>IF('09_Form_Projets_Climat'!$P27="Validé humainement",'09_Form_Projets_Climat'!S27,"")</x:f>
      </x:c>
      <x:c r="T27" s="76" t="str">
        <x:f>IF('09_Form_Projets_Climat'!$P27="Validé humainement",'09_Form_Projets_Climat'!T27,"")</x:f>
      </x:c>
      <x:c r="U27" s="76" t="str">
        <x:f>IF('09_Form_Projets_Climat'!$P27="Validé humainement",'09_Form_Projets_Climat'!U27,"")</x:f>
      </x:c>
    </x:row>
    <x:row r="28">
      <x:c r="A28" s="76" t="str">
        <x:f>IF('09_Form_Projets_Climat'!$P28="Validé humainement",'09_Form_Projets_Climat'!A28,"")</x:f>
      </x:c>
      <x:c r="B28" s="76" t="str">
        <x:f>IF('09_Form_Projets_Climat'!$P28="Validé humainement",'09_Form_Projets_Climat'!B28,"")</x:f>
      </x:c>
      <x:c r="C28" s="76" t="str">
        <x:f>IF('09_Form_Projets_Climat'!$P28="Validé humainement",'09_Form_Projets_Climat'!C28,"")</x:f>
      </x:c>
      <x:c r="D28" s="76" t="str">
        <x:f>IF('09_Form_Projets_Climat'!$P28="Validé humainement",'09_Form_Projets_Climat'!D28,"")</x:f>
      </x:c>
      <x:c r="E28" s="76" t="str">
        <x:f>IF('09_Form_Projets_Climat'!$P28="Validé humainement",'09_Form_Projets_Climat'!E28,"")</x:f>
      </x:c>
      <x:c r="F28" s="76" t="str">
        <x:f>IF('09_Form_Projets_Climat'!$P28="Validé humainement",'09_Form_Projets_Climat'!F28,"")</x:f>
      </x:c>
      <x:c r="G28" s="78" t="str">
        <x:f>IF('09_Form_Projets_Climat'!$P28="Validé humainement",'09_Form_Projets_Climat'!G28,"")</x:f>
      </x:c>
      <x:c r="H28" s="78" t="str">
        <x:f>IF('09_Form_Projets_Climat'!$P28="Validé humainement",'09_Form_Projets_Climat'!H28,"")</x:f>
      </x:c>
      <x:c r="I28" s="81" t="str">
        <x:f>IF('09_Form_Projets_Climat'!$P28="Validé humainement",'09_Form_Projets_Climat'!I28,"")</x:f>
      </x:c>
      <x:c r="J28" s="81" t="str">
        <x:f>IF('09_Form_Projets_Climat'!$P28="Validé humainement",'09_Form_Projets_Climat'!J28,"")</x:f>
      </x:c>
      <x:c r="K28" s="81" t="str">
        <x:f>IF('09_Form_Projets_Climat'!$P28="Validé humainement",'09_Form_Projets_Climat'!K28,"")</x:f>
      </x:c>
      <x:c r="L28" s="84" t="str">
        <x:f>IF('09_Form_Projets_Climat'!$P28="Validé humainement",'09_Form_Projets_Climat'!L28,"")</x:f>
      </x:c>
      <x:c r="M28" s="76" t="str">
        <x:f>IF('09_Form_Projets_Climat'!$P28="Validé humainement",'09_Form_Projets_Climat'!M28,"")</x:f>
      </x:c>
      <x:c r="N28" s="76" t="str">
        <x:f>IF('09_Form_Projets_Climat'!$P28="Validé humainement",'09_Form_Projets_Climat'!N28,"")</x:f>
      </x:c>
      <x:c r="O28" s="76" t="str">
        <x:f>IF('09_Form_Projets_Climat'!$P28="Validé humainement",'09_Form_Projets_Climat'!O28,"")</x:f>
      </x:c>
      <x:c r="P28" s="76" t="str">
        <x:f>IF('09_Form_Projets_Climat'!$P28="Validé humainement",'09_Form_Projets_Climat'!P28,"")</x:f>
      </x:c>
      <x:c r="Q28" s="76" t="str">
        <x:f>IF('09_Form_Projets_Climat'!$P28="Validé humainement",'09_Form_Projets_Climat'!Q28,"")</x:f>
      </x:c>
      <x:c r="R28" s="78" t="str">
        <x:f>IF('09_Form_Projets_Climat'!$P28="Validé humainement",'09_Form_Projets_Climat'!R28,"")</x:f>
      </x:c>
      <x:c r="S28" s="76" t="str">
        <x:f>IF('09_Form_Projets_Climat'!$P28="Validé humainement",'09_Form_Projets_Climat'!S28,"")</x:f>
      </x:c>
      <x:c r="T28" s="76" t="str">
        <x:f>IF('09_Form_Projets_Climat'!$P28="Validé humainement",'09_Form_Projets_Climat'!T28,"")</x:f>
      </x:c>
      <x:c r="U28" s="76" t="str">
        <x:f>IF('09_Form_Projets_Climat'!$P28="Validé humainement",'09_Form_Projets_Climat'!U28,"")</x:f>
      </x:c>
    </x:row>
    <x:row r="29">
      <x:c r="A29" s="76" t="str">
        <x:f>IF('09_Form_Projets_Climat'!$P29="Validé humainement",'09_Form_Projets_Climat'!A29,"")</x:f>
      </x:c>
      <x:c r="B29" s="76" t="str">
        <x:f>IF('09_Form_Projets_Climat'!$P29="Validé humainement",'09_Form_Projets_Climat'!B29,"")</x:f>
      </x:c>
      <x:c r="C29" s="76" t="str">
        <x:f>IF('09_Form_Projets_Climat'!$P29="Validé humainement",'09_Form_Projets_Climat'!C29,"")</x:f>
      </x:c>
      <x:c r="D29" s="76" t="str">
        <x:f>IF('09_Form_Projets_Climat'!$P29="Validé humainement",'09_Form_Projets_Climat'!D29,"")</x:f>
      </x:c>
      <x:c r="E29" s="76" t="str">
        <x:f>IF('09_Form_Projets_Climat'!$P29="Validé humainement",'09_Form_Projets_Climat'!E29,"")</x:f>
      </x:c>
      <x:c r="F29" s="76" t="str">
        <x:f>IF('09_Form_Projets_Climat'!$P29="Validé humainement",'09_Form_Projets_Climat'!F29,"")</x:f>
      </x:c>
      <x:c r="G29" s="78" t="str">
        <x:f>IF('09_Form_Projets_Climat'!$P29="Validé humainement",'09_Form_Projets_Climat'!G29,"")</x:f>
      </x:c>
      <x:c r="H29" s="78" t="str">
        <x:f>IF('09_Form_Projets_Climat'!$P29="Validé humainement",'09_Form_Projets_Climat'!H29,"")</x:f>
      </x:c>
      <x:c r="I29" s="81" t="str">
        <x:f>IF('09_Form_Projets_Climat'!$P29="Validé humainement",'09_Form_Projets_Climat'!I29,"")</x:f>
      </x:c>
      <x:c r="J29" s="81" t="str">
        <x:f>IF('09_Form_Projets_Climat'!$P29="Validé humainement",'09_Form_Projets_Climat'!J29,"")</x:f>
      </x:c>
      <x:c r="K29" s="81" t="str">
        <x:f>IF('09_Form_Projets_Climat'!$P29="Validé humainement",'09_Form_Projets_Climat'!K29,"")</x:f>
      </x:c>
      <x:c r="L29" s="84" t="str">
        <x:f>IF('09_Form_Projets_Climat'!$P29="Validé humainement",'09_Form_Projets_Climat'!L29,"")</x:f>
      </x:c>
      <x:c r="M29" s="76" t="str">
        <x:f>IF('09_Form_Projets_Climat'!$P29="Validé humainement",'09_Form_Projets_Climat'!M29,"")</x:f>
      </x:c>
      <x:c r="N29" s="76" t="str">
        <x:f>IF('09_Form_Projets_Climat'!$P29="Validé humainement",'09_Form_Projets_Climat'!N29,"")</x:f>
      </x:c>
      <x:c r="O29" s="76" t="str">
        <x:f>IF('09_Form_Projets_Climat'!$P29="Validé humainement",'09_Form_Projets_Climat'!O29,"")</x:f>
      </x:c>
      <x:c r="P29" s="76" t="str">
        <x:f>IF('09_Form_Projets_Climat'!$P29="Validé humainement",'09_Form_Projets_Climat'!P29,"")</x:f>
      </x:c>
      <x:c r="Q29" s="76" t="str">
        <x:f>IF('09_Form_Projets_Climat'!$P29="Validé humainement",'09_Form_Projets_Climat'!Q29,"")</x:f>
      </x:c>
      <x:c r="R29" s="78" t="str">
        <x:f>IF('09_Form_Projets_Climat'!$P29="Validé humainement",'09_Form_Projets_Climat'!R29,"")</x:f>
      </x:c>
      <x:c r="S29" s="76" t="str">
        <x:f>IF('09_Form_Projets_Climat'!$P29="Validé humainement",'09_Form_Projets_Climat'!S29,"")</x:f>
      </x:c>
      <x:c r="T29" s="76" t="str">
        <x:f>IF('09_Form_Projets_Climat'!$P29="Validé humainement",'09_Form_Projets_Climat'!T29,"")</x:f>
      </x:c>
      <x:c r="U29" s="76" t="str">
        <x:f>IF('09_Form_Projets_Climat'!$P29="Validé humainement",'09_Form_Projets_Climat'!U29,"")</x:f>
      </x:c>
    </x:row>
    <x:row r="30">
      <x:c r="A30" s="76" t="str">
        <x:f>IF('09_Form_Projets_Climat'!$P30="Validé humainement",'09_Form_Projets_Climat'!A30,"")</x:f>
      </x:c>
      <x:c r="B30" s="76" t="str">
        <x:f>IF('09_Form_Projets_Climat'!$P30="Validé humainement",'09_Form_Projets_Climat'!B30,"")</x:f>
      </x:c>
      <x:c r="C30" s="76" t="str">
        <x:f>IF('09_Form_Projets_Climat'!$P30="Validé humainement",'09_Form_Projets_Climat'!C30,"")</x:f>
      </x:c>
      <x:c r="D30" s="76" t="str">
        <x:f>IF('09_Form_Projets_Climat'!$P30="Validé humainement",'09_Form_Projets_Climat'!D30,"")</x:f>
      </x:c>
      <x:c r="E30" s="76" t="str">
        <x:f>IF('09_Form_Projets_Climat'!$P30="Validé humainement",'09_Form_Projets_Climat'!E30,"")</x:f>
      </x:c>
      <x:c r="F30" s="76" t="str">
        <x:f>IF('09_Form_Projets_Climat'!$P30="Validé humainement",'09_Form_Projets_Climat'!F30,"")</x:f>
      </x:c>
      <x:c r="G30" s="78" t="str">
        <x:f>IF('09_Form_Projets_Climat'!$P30="Validé humainement",'09_Form_Projets_Climat'!G30,"")</x:f>
      </x:c>
      <x:c r="H30" s="78" t="str">
        <x:f>IF('09_Form_Projets_Climat'!$P30="Validé humainement",'09_Form_Projets_Climat'!H30,"")</x:f>
      </x:c>
      <x:c r="I30" s="81" t="str">
        <x:f>IF('09_Form_Projets_Climat'!$P30="Validé humainement",'09_Form_Projets_Climat'!I30,"")</x:f>
      </x:c>
      <x:c r="J30" s="81" t="str">
        <x:f>IF('09_Form_Projets_Climat'!$P30="Validé humainement",'09_Form_Projets_Climat'!J30,"")</x:f>
      </x:c>
      <x:c r="K30" s="81" t="str">
        <x:f>IF('09_Form_Projets_Climat'!$P30="Validé humainement",'09_Form_Projets_Climat'!K30,"")</x:f>
      </x:c>
      <x:c r="L30" s="84" t="str">
        <x:f>IF('09_Form_Projets_Climat'!$P30="Validé humainement",'09_Form_Projets_Climat'!L30,"")</x:f>
      </x:c>
      <x:c r="M30" s="76" t="str">
        <x:f>IF('09_Form_Projets_Climat'!$P30="Validé humainement",'09_Form_Projets_Climat'!M30,"")</x:f>
      </x:c>
      <x:c r="N30" s="76" t="str">
        <x:f>IF('09_Form_Projets_Climat'!$P30="Validé humainement",'09_Form_Projets_Climat'!N30,"")</x:f>
      </x:c>
      <x:c r="O30" s="76" t="str">
        <x:f>IF('09_Form_Projets_Climat'!$P30="Validé humainement",'09_Form_Projets_Climat'!O30,"")</x:f>
      </x:c>
      <x:c r="P30" s="76" t="str">
        <x:f>IF('09_Form_Projets_Climat'!$P30="Validé humainement",'09_Form_Projets_Climat'!P30,"")</x:f>
      </x:c>
      <x:c r="Q30" s="76" t="str">
        <x:f>IF('09_Form_Projets_Climat'!$P30="Validé humainement",'09_Form_Projets_Climat'!Q30,"")</x:f>
      </x:c>
      <x:c r="R30" s="78" t="str">
        <x:f>IF('09_Form_Projets_Climat'!$P30="Validé humainement",'09_Form_Projets_Climat'!R30,"")</x:f>
      </x:c>
      <x:c r="S30" s="76" t="str">
        <x:f>IF('09_Form_Projets_Climat'!$P30="Validé humainement",'09_Form_Projets_Climat'!S30,"")</x:f>
      </x:c>
      <x:c r="T30" s="76" t="str">
        <x:f>IF('09_Form_Projets_Climat'!$P30="Validé humainement",'09_Form_Projets_Climat'!T30,"")</x:f>
      </x:c>
      <x:c r="U30" s="76" t="str">
        <x:f>IF('09_Form_Projets_Climat'!$P30="Validé humainement",'09_Form_Projets_Climat'!U30,"")</x:f>
      </x:c>
    </x:row>
    <x:row r="31">
      <x:c r="A31" s="76" t="str">
        <x:f>IF('09_Form_Projets_Climat'!$P31="Validé humainement",'09_Form_Projets_Climat'!A31,"")</x:f>
      </x:c>
      <x:c r="B31" s="76" t="str">
        <x:f>IF('09_Form_Projets_Climat'!$P31="Validé humainement",'09_Form_Projets_Climat'!B31,"")</x:f>
      </x:c>
      <x:c r="C31" s="76" t="str">
        <x:f>IF('09_Form_Projets_Climat'!$P31="Validé humainement",'09_Form_Projets_Climat'!C31,"")</x:f>
      </x:c>
      <x:c r="D31" s="76" t="str">
        <x:f>IF('09_Form_Projets_Climat'!$P31="Validé humainement",'09_Form_Projets_Climat'!D31,"")</x:f>
      </x:c>
      <x:c r="E31" s="76" t="str">
        <x:f>IF('09_Form_Projets_Climat'!$P31="Validé humainement",'09_Form_Projets_Climat'!E31,"")</x:f>
      </x:c>
      <x:c r="F31" s="76" t="str">
        <x:f>IF('09_Form_Projets_Climat'!$P31="Validé humainement",'09_Form_Projets_Climat'!F31,"")</x:f>
      </x:c>
      <x:c r="G31" s="78" t="str">
        <x:f>IF('09_Form_Projets_Climat'!$P31="Validé humainement",'09_Form_Projets_Climat'!G31,"")</x:f>
      </x:c>
      <x:c r="H31" s="78" t="str">
        <x:f>IF('09_Form_Projets_Climat'!$P31="Validé humainement",'09_Form_Projets_Climat'!H31,"")</x:f>
      </x:c>
      <x:c r="I31" s="81" t="str">
        <x:f>IF('09_Form_Projets_Climat'!$P31="Validé humainement",'09_Form_Projets_Climat'!I31,"")</x:f>
      </x:c>
      <x:c r="J31" s="81" t="str">
        <x:f>IF('09_Form_Projets_Climat'!$P31="Validé humainement",'09_Form_Projets_Climat'!J31,"")</x:f>
      </x:c>
      <x:c r="K31" s="81" t="str">
        <x:f>IF('09_Form_Projets_Climat'!$P31="Validé humainement",'09_Form_Projets_Climat'!K31,"")</x:f>
      </x:c>
      <x:c r="L31" s="84" t="str">
        <x:f>IF('09_Form_Projets_Climat'!$P31="Validé humainement",'09_Form_Projets_Climat'!L31,"")</x:f>
      </x:c>
      <x:c r="M31" s="76" t="str">
        <x:f>IF('09_Form_Projets_Climat'!$P31="Validé humainement",'09_Form_Projets_Climat'!M31,"")</x:f>
      </x:c>
      <x:c r="N31" s="76" t="str">
        <x:f>IF('09_Form_Projets_Climat'!$P31="Validé humainement",'09_Form_Projets_Climat'!N31,"")</x:f>
      </x:c>
      <x:c r="O31" s="76" t="str">
        <x:f>IF('09_Form_Projets_Climat'!$P31="Validé humainement",'09_Form_Projets_Climat'!O31,"")</x:f>
      </x:c>
      <x:c r="P31" s="76" t="str">
        <x:f>IF('09_Form_Projets_Climat'!$P31="Validé humainement",'09_Form_Projets_Climat'!P31,"")</x:f>
      </x:c>
      <x:c r="Q31" s="76" t="str">
        <x:f>IF('09_Form_Projets_Climat'!$P31="Validé humainement",'09_Form_Projets_Climat'!Q31,"")</x:f>
      </x:c>
      <x:c r="R31" s="78" t="str">
        <x:f>IF('09_Form_Projets_Climat'!$P31="Validé humainement",'09_Form_Projets_Climat'!R31,"")</x:f>
      </x:c>
      <x:c r="S31" s="76" t="str">
        <x:f>IF('09_Form_Projets_Climat'!$P31="Validé humainement",'09_Form_Projets_Climat'!S31,"")</x:f>
      </x:c>
      <x:c r="T31" s="76" t="str">
        <x:f>IF('09_Form_Projets_Climat'!$P31="Validé humainement",'09_Form_Projets_Climat'!T31,"")</x:f>
      </x:c>
      <x:c r="U31" s="76" t="str">
        <x:f>IF('09_Form_Projets_Climat'!$P31="Validé humainement",'09_Form_Projets_Climat'!U31,"")</x:f>
      </x:c>
    </x:row>
    <x:row r="32">
      <x:c r="A32" s="76" t="str">
        <x:f>IF('09_Form_Projets_Climat'!$P32="Validé humainement",'09_Form_Projets_Climat'!A32,"")</x:f>
      </x:c>
      <x:c r="B32" s="76" t="str">
        <x:f>IF('09_Form_Projets_Climat'!$P32="Validé humainement",'09_Form_Projets_Climat'!B32,"")</x:f>
      </x:c>
      <x:c r="C32" s="76" t="str">
        <x:f>IF('09_Form_Projets_Climat'!$P32="Validé humainement",'09_Form_Projets_Climat'!C32,"")</x:f>
      </x:c>
      <x:c r="D32" s="76" t="str">
        <x:f>IF('09_Form_Projets_Climat'!$P32="Validé humainement",'09_Form_Projets_Climat'!D32,"")</x:f>
      </x:c>
      <x:c r="E32" s="76" t="str">
        <x:f>IF('09_Form_Projets_Climat'!$P32="Validé humainement",'09_Form_Projets_Climat'!E32,"")</x:f>
      </x:c>
      <x:c r="F32" s="76" t="str">
        <x:f>IF('09_Form_Projets_Climat'!$P32="Validé humainement",'09_Form_Projets_Climat'!F32,"")</x:f>
      </x:c>
      <x:c r="G32" s="78" t="str">
        <x:f>IF('09_Form_Projets_Climat'!$P32="Validé humainement",'09_Form_Projets_Climat'!G32,"")</x:f>
      </x:c>
      <x:c r="H32" s="78" t="str">
        <x:f>IF('09_Form_Projets_Climat'!$P32="Validé humainement",'09_Form_Projets_Climat'!H32,"")</x:f>
      </x:c>
      <x:c r="I32" s="81" t="str">
        <x:f>IF('09_Form_Projets_Climat'!$P32="Validé humainement",'09_Form_Projets_Climat'!I32,"")</x:f>
      </x:c>
      <x:c r="J32" s="81" t="str">
        <x:f>IF('09_Form_Projets_Climat'!$P32="Validé humainement",'09_Form_Projets_Climat'!J32,"")</x:f>
      </x:c>
      <x:c r="K32" s="81" t="str">
        <x:f>IF('09_Form_Projets_Climat'!$P32="Validé humainement",'09_Form_Projets_Climat'!K32,"")</x:f>
      </x:c>
      <x:c r="L32" s="84" t="str">
        <x:f>IF('09_Form_Projets_Climat'!$P32="Validé humainement",'09_Form_Projets_Climat'!L32,"")</x:f>
      </x:c>
      <x:c r="M32" s="76" t="str">
        <x:f>IF('09_Form_Projets_Climat'!$P32="Validé humainement",'09_Form_Projets_Climat'!M32,"")</x:f>
      </x:c>
      <x:c r="N32" s="76" t="str">
        <x:f>IF('09_Form_Projets_Climat'!$P32="Validé humainement",'09_Form_Projets_Climat'!N32,"")</x:f>
      </x:c>
      <x:c r="O32" s="76" t="str">
        <x:f>IF('09_Form_Projets_Climat'!$P32="Validé humainement",'09_Form_Projets_Climat'!O32,"")</x:f>
      </x:c>
      <x:c r="P32" s="76" t="str">
        <x:f>IF('09_Form_Projets_Climat'!$P32="Validé humainement",'09_Form_Projets_Climat'!P32,"")</x:f>
      </x:c>
      <x:c r="Q32" s="76" t="str">
        <x:f>IF('09_Form_Projets_Climat'!$P32="Validé humainement",'09_Form_Projets_Climat'!Q32,"")</x:f>
      </x:c>
      <x:c r="R32" s="78" t="str">
        <x:f>IF('09_Form_Projets_Climat'!$P32="Validé humainement",'09_Form_Projets_Climat'!R32,"")</x:f>
      </x:c>
      <x:c r="S32" s="76" t="str">
        <x:f>IF('09_Form_Projets_Climat'!$P32="Validé humainement",'09_Form_Projets_Climat'!S32,"")</x:f>
      </x:c>
      <x:c r="T32" s="76" t="str">
        <x:f>IF('09_Form_Projets_Climat'!$P32="Validé humainement",'09_Form_Projets_Climat'!T32,"")</x:f>
      </x:c>
      <x:c r="U32" s="76" t="str">
        <x:f>IF('09_Form_Projets_Climat'!$P32="Validé humainement",'09_Form_Projets_Climat'!U32,"")</x:f>
      </x:c>
    </x:row>
    <x:row r="33">
      <x:c r="A33" s="76" t="str">
        <x:f>IF('09_Form_Projets_Climat'!$P33="Validé humainement",'09_Form_Projets_Climat'!A33,"")</x:f>
      </x:c>
      <x:c r="B33" s="76" t="str">
        <x:f>IF('09_Form_Projets_Climat'!$P33="Validé humainement",'09_Form_Projets_Climat'!B33,"")</x:f>
      </x:c>
      <x:c r="C33" s="76" t="str">
        <x:f>IF('09_Form_Projets_Climat'!$P33="Validé humainement",'09_Form_Projets_Climat'!C33,"")</x:f>
      </x:c>
      <x:c r="D33" s="76" t="str">
        <x:f>IF('09_Form_Projets_Climat'!$P33="Validé humainement",'09_Form_Projets_Climat'!D33,"")</x:f>
      </x:c>
      <x:c r="E33" s="76" t="str">
        <x:f>IF('09_Form_Projets_Climat'!$P33="Validé humainement",'09_Form_Projets_Climat'!E33,"")</x:f>
      </x:c>
      <x:c r="F33" s="76" t="str">
        <x:f>IF('09_Form_Projets_Climat'!$P33="Validé humainement",'09_Form_Projets_Climat'!F33,"")</x:f>
      </x:c>
      <x:c r="G33" s="78" t="str">
        <x:f>IF('09_Form_Projets_Climat'!$P33="Validé humainement",'09_Form_Projets_Climat'!G33,"")</x:f>
      </x:c>
      <x:c r="H33" s="78" t="str">
        <x:f>IF('09_Form_Projets_Climat'!$P33="Validé humainement",'09_Form_Projets_Climat'!H33,"")</x:f>
      </x:c>
      <x:c r="I33" s="81" t="str">
        <x:f>IF('09_Form_Projets_Climat'!$P33="Validé humainement",'09_Form_Projets_Climat'!I33,"")</x:f>
      </x:c>
      <x:c r="J33" s="81" t="str">
        <x:f>IF('09_Form_Projets_Climat'!$P33="Validé humainement",'09_Form_Projets_Climat'!J33,"")</x:f>
      </x:c>
      <x:c r="K33" s="81" t="str">
        <x:f>IF('09_Form_Projets_Climat'!$P33="Validé humainement",'09_Form_Projets_Climat'!K33,"")</x:f>
      </x:c>
      <x:c r="L33" s="84" t="str">
        <x:f>IF('09_Form_Projets_Climat'!$P33="Validé humainement",'09_Form_Projets_Climat'!L33,"")</x:f>
      </x:c>
      <x:c r="M33" s="76" t="str">
        <x:f>IF('09_Form_Projets_Climat'!$P33="Validé humainement",'09_Form_Projets_Climat'!M33,"")</x:f>
      </x:c>
      <x:c r="N33" s="76" t="str">
        <x:f>IF('09_Form_Projets_Climat'!$P33="Validé humainement",'09_Form_Projets_Climat'!N33,"")</x:f>
      </x:c>
      <x:c r="O33" s="76" t="str">
        <x:f>IF('09_Form_Projets_Climat'!$P33="Validé humainement",'09_Form_Projets_Climat'!O33,"")</x:f>
      </x:c>
      <x:c r="P33" s="76" t="str">
        <x:f>IF('09_Form_Projets_Climat'!$P33="Validé humainement",'09_Form_Projets_Climat'!P33,"")</x:f>
      </x:c>
      <x:c r="Q33" s="76" t="str">
        <x:f>IF('09_Form_Projets_Climat'!$P33="Validé humainement",'09_Form_Projets_Climat'!Q33,"")</x:f>
      </x:c>
      <x:c r="R33" s="78" t="str">
        <x:f>IF('09_Form_Projets_Climat'!$P33="Validé humainement",'09_Form_Projets_Climat'!R33,"")</x:f>
      </x:c>
      <x:c r="S33" s="76" t="str">
        <x:f>IF('09_Form_Projets_Climat'!$P33="Validé humainement",'09_Form_Projets_Climat'!S33,"")</x:f>
      </x:c>
      <x:c r="T33" s="76" t="str">
        <x:f>IF('09_Form_Projets_Climat'!$P33="Validé humainement",'09_Form_Projets_Climat'!T33,"")</x:f>
      </x:c>
      <x:c r="U33" s="76" t="str">
        <x:f>IF('09_Form_Projets_Climat'!$P33="Validé humainement",'09_Form_Projets_Climat'!U33,"")</x:f>
      </x:c>
    </x:row>
    <x:row r="34">
      <x:c r="A34" s="76" t="str">
        <x:f>IF('09_Form_Projets_Climat'!$P34="Validé humainement",'09_Form_Projets_Climat'!A34,"")</x:f>
      </x:c>
      <x:c r="B34" s="76" t="str">
        <x:f>IF('09_Form_Projets_Climat'!$P34="Validé humainement",'09_Form_Projets_Climat'!B34,"")</x:f>
      </x:c>
      <x:c r="C34" s="76" t="str">
        <x:f>IF('09_Form_Projets_Climat'!$P34="Validé humainement",'09_Form_Projets_Climat'!C34,"")</x:f>
      </x:c>
      <x:c r="D34" s="76" t="str">
        <x:f>IF('09_Form_Projets_Climat'!$P34="Validé humainement",'09_Form_Projets_Climat'!D34,"")</x:f>
      </x:c>
      <x:c r="E34" s="76" t="str">
        <x:f>IF('09_Form_Projets_Climat'!$P34="Validé humainement",'09_Form_Projets_Climat'!E34,"")</x:f>
      </x:c>
      <x:c r="F34" s="76" t="str">
        <x:f>IF('09_Form_Projets_Climat'!$P34="Validé humainement",'09_Form_Projets_Climat'!F34,"")</x:f>
      </x:c>
      <x:c r="G34" s="78" t="str">
        <x:f>IF('09_Form_Projets_Climat'!$P34="Validé humainement",'09_Form_Projets_Climat'!G34,"")</x:f>
      </x:c>
      <x:c r="H34" s="78" t="str">
        <x:f>IF('09_Form_Projets_Climat'!$P34="Validé humainement",'09_Form_Projets_Climat'!H34,"")</x:f>
      </x:c>
      <x:c r="I34" s="81" t="str">
        <x:f>IF('09_Form_Projets_Climat'!$P34="Validé humainement",'09_Form_Projets_Climat'!I34,"")</x:f>
      </x:c>
      <x:c r="J34" s="81" t="str">
        <x:f>IF('09_Form_Projets_Climat'!$P34="Validé humainement",'09_Form_Projets_Climat'!J34,"")</x:f>
      </x:c>
      <x:c r="K34" s="81" t="str">
        <x:f>IF('09_Form_Projets_Climat'!$P34="Validé humainement",'09_Form_Projets_Climat'!K34,"")</x:f>
      </x:c>
      <x:c r="L34" s="84" t="str">
        <x:f>IF('09_Form_Projets_Climat'!$P34="Validé humainement",'09_Form_Projets_Climat'!L34,"")</x:f>
      </x:c>
      <x:c r="M34" s="76" t="str">
        <x:f>IF('09_Form_Projets_Climat'!$P34="Validé humainement",'09_Form_Projets_Climat'!M34,"")</x:f>
      </x:c>
      <x:c r="N34" s="76" t="str">
        <x:f>IF('09_Form_Projets_Climat'!$P34="Validé humainement",'09_Form_Projets_Climat'!N34,"")</x:f>
      </x:c>
      <x:c r="O34" s="76" t="str">
        <x:f>IF('09_Form_Projets_Climat'!$P34="Validé humainement",'09_Form_Projets_Climat'!O34,"")</x:f>
      </x:c>
      <x:c r="P34" s="76" t="str">
        <x:f>IF('09_Form_Projets_Climat'!$P34="Validé humainement",'09_Form_Projets_Climat'!P34,"")</x:f>
      </x:c>
      <x:c r="Q34" s="76" t="str">
        <x:f>IF('09_Form_Projets_Climat'!$P34="Validé humainement",'09_Form_Projets_Climat'!Q34,"")</x:f>
      </x:c>
      <x:c r="R34" s="78" t="str">
        <x:f>IF('09_Form_Projets_Climat'!$P34="Validé humainement",'09_Form_Projets_Climat'!R34,"")</x:f>
      </x:c>
      <x:c r="S34" s="76" t="str">
        <x:f>IF('09_Form_Projets_Climat'!$P34="Validé humainement",'09_Form_Projets_Climat'!S34,"")</x:f>
      </x:c>
      <x:c r="T34" s="76" t="str">
        <x:f>IF('09_Form_Projets_Climat'!$P34="Validé humainement",'09_Form_Projets_Climat'!T34,"")</x:f>
      </x:c>
      <x:c r="U34" s="76" t="str">
        <x:f>IF('09_Form_Projets_Climat'!$P34="Validé humainement",'09_Form_Projets_Climat'!U34,"")</x:f>
      </x:c>
    </x:row>
    <x:row r="35">
      <x:c r="A35" s="76" t="str">
        <x:f>IF('09_Form_Projets_Climat'!$P35="Validé humainement",'09_Form_Projets_Climat'!A35,"")</x:f>
      </x:c>
      <x:c r="B35" s="76" t="str">
        <x:f>IF('09_Form_Projets_Climat'!$P35="Validé humainement",'09_Form_Projets_Climat'!B35,"")</x:f>
      </x:c>
      <x:c r="C35" s="76" t="str">
        <x:f>IF('09_Form_Projets_Climat'!$P35="Validé humainement",'09_Form_Projets_Climat'!C35,"")</x:f>
      </x:c>
      <x:c r="D35" s="76" t="str">
        <x:f>IF('09_Form_Projets_Climat'!$P35="Validé humainement",'09_Form_Projets_Climat'!D35,"")</x:f>
      </x:c>
      <x:c r="E35" s="76" t="str">
        <x:f>IF('09_Form_Projets_Climat'!$P35="Validé humainement",'09_Form_Projets_Climat'!E35,"")</x:f>
      </x:c>
      <x:c r="F35" s="76" t="str">
        <x:f>IF('09_Form_Projets_Climat'!$P35="Validé humainement",'09_Form_Projets_Climat'!F35,"")</x:f>
      </x:c>
      <x:c r="G35" s="78" t="str">
        <x:f>IF('09_Form_Projets_Climat'!$P35="Validé humainement",'09_Form_Projets_Climat'!G35,"")</x:f>
      </x:c>
      <x:c r="H35" s="78" t="str">
        <x:f>IF('09_Form_Projets_Climat'!$P35="Validé humainement",'09_Form_Projets_Climat'!H35,"")</x:f>
      </x:c>
      <x:c r="I35" s="81" t="str">
        <x:f>IF('09_Form_Projets_Climat'!$P35="Validé humainement",'09_Form_Projets_Climat'!I35,"")</x:f>
      </x:c>
      <x:c r="J35" s="81" t="str">
        <x:f>IF('09_Form_Projets_Climat'!$P35="Validé humainement",'09_Form_Projets_Climat'!J35,"")</x:f>
      </x:c>
      <x:c r="K35" s="81" t="str">
        <x:f>IF('09_Form_Projets_Climat'!$P35="Validé humainement",'09_Form_Projets_Climat'!K35,"")</x:f>
      </x:c>
      <x:c r="L35" s="84" t="str">
        <x:f>IF('09_Form_Projets_Climat'!$P35="Validé humainement",'09_Form_Projets_Climat'!L35,"")</x:f>
      </x:c>
      <x:c r="M35" s="76" t="str">
        <x:f>IF('09_Form_Projets_Climat'!$P35="Validé humainement",'09_Form_Projets_Climat'!M35,"")</x:f>
      </x:c>
      <x:c r="N35" s="76" t="str">
        <x:f>IF('09_Form_Projets_Climat'!$P35="Validé humainement",'09_Form_Projets_Climat'!N35,"")</x:f>
      </x:c>
      <x:c r="O35" s="76" t="str">
        <x:f>IF('09_Form_Projets_Climat'!$P35="Validé humainement",'09_Form_Projets_Climat'!O35,"")</x:f>
      </x:c>
      <x:c r="P35" s="76" t="str">
        <x:f>IF('09_Form_Projets_Climat'!$P35="Validé humainement",'09_Form_Projets_Climat'!P35,"")</x:f>
      </x:c>
      <x:c r="Q35" s="76" t="str">
        <x:f>IF('09_Form_Projets_Climat'!$P35="Validé humainement",'09_Form_Projets_Climat'!Q35,"")</x:f>
      </x:c>
      <x:c r="R35" s="78" t="str">
        <x:f>IF('09_Form_Projets_Climat'!$P35="Validé humainement",'09_Form_Projets_Climat'!R35,"")</x:f>
      </x:c>
      <x:c r="S35" s="76" t="str">
        <x:f>IF('09_Form_Projets_Climat'!$P35="Validé humainement",'09_Form_Projets_Climat'!S35,"")</x:f>
      </x:c>
      <x:c r="T35" s="76" t="str">
        <x:f>IF('09_Form_Projets_Climat'!$P35="Validé humainement",'09_Form_Projets_Climat'!T35,"")</x:f>
      </x:c>
      <x:c r="U35" s="76" t="str">
        <x:f>IF('09_Form_Projets_Climat'!$P35="Validé humainement",'09_Form_Projets_Climat'!U35,"")</x:f>
      </x:c>
    </x:row>
    <x:row r="36">
      <x:c r="A36" s="76" t="str">
        <x:f>IF('09_Form_Projets_Climat'!$P36="Validé humainement",'09_Form_Projets_Climat'!A36,"")</x:f>
      </x:c>
      <x:c r="B36" s="76" t="str">
        <x:f>IF('09_Form_Projets_Climat'!$P36="Validé humainement",'09_Form_Projets_Climat'!B36,"")</x:f>
      </x:c>
      <x:c r="C36" s="76" t="str">
        <x:f>IF('09_Form_Projets_Climat'!$P36="Validé humainement",'09_Form_Projets_Climat'!C36,"")</x:f>
      </x:c>
      <x:c r="D36" s="76" t="str">
        <x:f>IF('09_Form_Projets_Climat'!$P36="Validé humainement",'09_Form_Projets_Climat'!D36,"")</x:f>
      </x:c>
      <x:c r="E36" s="76" t="str">
        <x:f>IF('09_Form_Projets_Climat'!$P36="Validé humainement",'09_Form_Projets_Climat'!E36,"")</x:f>
      </x:c>
      <x:c r="F36" s="76" t="str">
        <x:f>IF('09_Form_Projets_Climat'!$P36="Validé humainement",'09_Form_Projets_Climat'!F36,"")</x:f>
      </x:c>
      <x:c r="G36" s="78" t="str">
        <x:f>IF('09_Form_Projets_Climat'!$P36="Validé humainement",'09_Form_Projets_Climat'!G36,"")</x:f>
      </x:c>
      <x:c r="H36" s="78" t="str">
        <x:f>IF('09_Form_Projets_Climat'!$P36="Validé humainement",'09_Form_Projets_Climat'!H36,"")</x:f>
      </x:c>
      <x:c r="I36" s="81" t="str">
        <x:f>IF('09_Form_Projets_Climat'!$P36="Validé humainement",'09_Form_Projets_Climat'!I36,"")</x:f>
      </x:c>
      <x:c r="J36" s="81" t="str">
        <x:f>IF('09_Form_Projets_Climat'!$P36="Validé humainement",'09_Form_Projets_Climat'!J36,"")</x:f>
      </x:c>
      <x:c r="K36" s="81" t="str">
        <x:f>IF('09_Form_Projets_Climat'!$P36="Validé humainement",'09_Form_Projets_Climat'!K36,"")</x:f>
      </x:c>
      <x:c r="L36" s="84" t="str">
        <x:f>IF('09_Form_Projets_Climat'!$P36="Validé humainement",'09_Form_Projets_Climat'!L36,"")</x:f>
      </x:c>
      <x:c r="M36" s="76" t="str">
        <x:f>IF('09_Form_Projets_Climat'!$P36="Validé humainement",'09_Form_Projets_Climat'!M36,"")</x:f>
      </x:c>
      <x:c r="N36" s="76" t="str">
        <x:f>IF('09_Form_Projets_Climat'!$P36="Validé humainement",'09_Form_Projets_Climat'!N36,"")</x:f>
      </x:c>
      <x:c r="O36" s="76" t="str">
        <x:f>IF('09_Form_Projets_Climat'!$P36="Validé humainement",'09_Form_Projets_Climat'!O36,"")</x:f>
      </x:c>
      <x:c r="P36" s="76" t="str">
        <x:f>IF('09_Form_Projets_Climat'!$P36="Validé humainement",'09_Form_Projets_Climat'!P36,"")</x:f>
      </x:c>
      <x:c r="Q36" s="76" t="str">
        <x:f>IF('09_Form_Projets_Climat'!$P36="Validé humainement",'09_Form_Projets_Climat'!Q36,"")</x:f>
      </x:c>
      <x:c r="R36" s="78" t="str">
        <x:f>IF('09_Form_Projets_Climat'!$P36="Validé humainement",'09_Form_Projets_Climat'!R36,"")</x:f>
      </x:c>
      <x:c r="S36" s="76" t="str">
        <x:f>IF('09_Form_Projets_Climat'!$P36="Validé humainement",'09_Form_Projets_Climat'!S36,"")</x:f>
      </x:c>
      <x:c r="T36" s="76" t="str">
        <x:f>IF('09_Form_Projets_Climat'!$P36="Validé humainement",'09_Form_Projets_Climat'!T36,"")</x:f>
      </x:c>
      <x:c r="U36" s="76" t="str">
        <x:f>IF('09_Form_Projets_Climat'!$P36="Validé humainement",'09_Form_Projets_Climat'!U36,"")</x:f>
      </x:c>
    </x:row>
    <x:row r="37">
      <x:c r="A37" s="76" t="str">
        <x:f>IF('09_Form_Projets_Climat'!$P37="Validé humainement",'09_Form_Projets_Climat'!A37,"")</x:f>
      </x:c>
      <x:c r="B37" s="76" t="str">
        <x:f>IF('09_Form_Projets_Climat'!$P37="Validé humainement",'09_Form_Projets_Climat'!B37,"")</x:f>
      </x:c>
      <x:c r="C37" s="76" t="str">
        <x:f>IF('09_Form_Projets_Climat'!$P37="Validé humainement",'09_Form_Projets_Climat'!C37,"")</x:f>
      </x:c>
      <x:c r="D37" s="76" t="str">
        <x:f>IF('09_Form_Projets_Climat'!$P37="Validé humainement",'09_Form_Projets_Climat'!D37,"")</x:f>
      </x:c>
      <x:c r="E37" s="76" t="str">
        <x:f>IF('09_Form_Projets_Climat'!$P37="Validé humainement",'09_Form_Projets_Climat'!E37,"")</x:f>
      </x:c>
      <x:c r="F37" s="76" t="str">
        <x:f>IF('09_Form_Projets_Climat'!$P37="Validé humainement",'09_Form_Projets_Climat'!F37,"")</x:f>
      </x:c>
      <x:c r="G37" s="78" t="str">
        <x:f>IF('09_Form_Projets_Climat'!$P37="Validé humainement",'09_Form_Projets_Climat'!G37,"")</x:f>
      </x:c>
      <x:c r="H37" s="78" t="str">
        <x:f>IF('09_Form_Projets_Climat'!$P37="Validé humainement",'09_Form_Projets_Climat'!H37,"")</x:f>
      </x:c>
      <x:c r="I37" s="81" t="str">
        <x:f>IF('09_Form_Projets_Climat'!$P37="Validé humainement",'09_Form_Projets_Climat'!I37,"")</x:f>
      </x:c>
      <x:c r="J37" s="81" t="str">
        <x:f>IF('09_Form_Projets_Climat'!$P37="Validé humainement",'09_Form_Projets_Climat'!J37,"")</x:f>
      </x:c>
      <x:c r="K37" s="81" t="str">
        <x:f>IF('09_Form_Projets_Climat'!$P37="Validé humainement",'09_Form_Projets_Climat'!K37,"")</x:f>
      </x:c>
      <x:c r="L37" s="84" t="str">
        <x:f>IF('09_Form_Projets_Climat'!$P37="Validé humainement",'09_Form_Projets_Climat'!L37,"")</x:f>
      </x:c>
      <x:c r="M37" s="76" t="str">
        <x:f>IF('09_Form_Projets_Climat'!$P37="Validé humainement",'09_Form_Projets_Climat'!M37,"")</x:f>
      </x:c>
      <x:c r="N37" s="76" t="str">
        <x:f>IF('09_Form_Projets_Climat'!$P37="Validé humainement",'09_Form_Projets_Climat'!N37,"")</x:f>
      </x:c>
      <x:c r="O37" s="76" t="str">
        <x:f>IF('09_Form_Projets_Climat'!$P37="Validé humainement",'09_Form_Projets_Climat'!O37,"")</x:f>
      </x:c>
      <x:c r="P37" s="76" t="str">
        <x:f>IF('09_Form_Projets_Climat'!$P37="Validé humainement",'09_Form_Projets_Climat'!P37,"")</x:f>
      </x:c>
      <x:c r="Q37" s="76" t="str">
        <x:f>IF('09_Form_Projets_Climat'!$P37="Validé humainement",'09_Form_Projets_Climat'!Q37,"")</x:f>
      </x:c>
      <x:c r="R37" s="78" t="str">
        <x:f>IF('09_Form_Projets_Climat'!$P37="Validé humainement",'09_Form_Projets_Climat'!R37,"")</x:f>
      </x:c>
      <x:c r="S37" s="76" t="str">
        <x:f>IF('09_Form_Projets_Climat'!$P37="Validé humainement",'09_Form_Projets_Climat'!S37,"")</x:f>
      </x:c>
      <x:c r="T37" s="76" t="str">
        <x:f>IF('09_Form_Projets_Climat'!$P37="Validé humainement",'09_Form_Projets_Climat'!T37,"")</x:f>
      </x:c>
      <x:c r="U37" s="76" t="str">
        <x:f>IF('09_Form_Projets_Climat'!$P37="Validé humainement",'09_Form_Projets_Climat'!U37,"")</x:f>
      </x:c>
    </x:row>
    <x:row r="38">
      <x:c r="A38" s="76" t="str">
        <x:f>IF('09_Form_Projets_Climat'!$P38="Validé humainement",'09_Form_Projets_Climat'!A38,"")</x:f>
      </x:c>
      <x:c r="B38" s="76" t="str">
        <x:f>IF('09_Form_Projets_Climat'!$P38="Validé humainement",'09_Form_Projets_Climat'!B38,"")</x:f>
      </x:c>
      <x:c r="C38" s="76" t="str">
        <x:f>IF('09_Form_Projets_Climat'!$P38="Validé humainement",'09_Form_Projets_Climat'!C38,"")</x:f>
      </x:c>
      <x:c r="D38" s="76" t="str">
        <x:f>IF('09_Form_Projets_Climat'!$P38="Validé humainement",'09_Form_Projets_Climat'!D38,"")</x:f>
      </x:c>
      <x:c r="E38" s="76" t="str">
        <x:f>IF('09_Form_Projets_Climat'!$P38="Validé humainement",'09_Form_Projets_Climat'!E38,"")</x:f>
      </x:c>
      <x:c r="F38" s="76" t="str">
        <x:f>IF('09_Form_Projets_Climat'!$P38="Validé humainement",'09_Form_Projets_Climat'!F38,"")</x:f>
      </x:c>
      <x:c r="G38" s="78" t="str">
        <x:f>IF('09_Form_Projets_Climat'!$P38="Validé humainement",'09_Form_Projets_Climat'!G38,"")</x:f>
      </x:c>
      <x:c r="H38" s="78" t="str">
        <x:f>IF('09_Form_Projets_Climat'!$P38="Validé humainement",'09_Form_Projets_Climat'!H38,"")</x:f>
      </x:c>
      <x:c r="I38" s="81" t="str">
        <x:f>IF('09_Form_Projets_Climat'!$P38="Validé humainement",'09_Form_Projets_Climat'!I38,"")</x:f>
      </x:c>
      <x:c r="J38" s="81" t="str">
        <x:f>IF('09_Form_Projets_Climat'!$P38="Validé humainement",'09_Form_Projets_Climat'!J38,"")</x:f>
      </x:c>
      <x:c r="K38" s="81" t="str">
        <x:f>IF('09_Form_Projets_Climat'!$P38="Validé humainement",'09_Form_Projets_Climat'!K38,"")</x:f>
      </x:c>
      <x:c r="L38" s="84" t="str">
        <x:f>IF('09_Form_Projets_Climat'!$P38="Validé humainement",'09_Form_Projets_Climat'!L38,"")</x:f>
      </x:c>
      <x:c r="M38" s="76" t="str">
        <x:f>IF('09_Form_Projets_Climat'!$P38="Validé humainement",'09_Form_Projets_Climat'!M38,"")</x:f>
      </x:c>
      <x:c r="N38" s="76" t="str">
        <x:f>IF('09_Form_Projets_Climat'!$P38="Validé humainement",'09_Form_Projets_Climat'!N38,"")</x:f>
      </x:c>
      <x:c r="O38" s="76" t="str">
        <x:f>IF('09_Form_Projets_Climat'!$P38="Validé humainement",'09_Form_Projets_Climat'!O38,"")</x:f>
      </x:c>
      <x:c r="P38" s="76" t="str">
        <x:f>IF('09_Form_Projets_Climat'!$P38="Validé humainement",'09_Form_Projets_Climat'!P38,"")</x:f>
      </x:c>
      <x:c r="Q38" s="76" t="str">
        <x:f>IF('09_Form_Projets_Climat'!$P38="Validé humainement",'09_Form_Projets_Climat'!Q38,"")</x:f>
      </x:c>
      <x:c r="R38" s="78" t="str">
        <x:f>IF('09_Form_Projets_Climat'!$P38="Validé humainement",'09_Form_Projets_Climat'!R38,"")</x:f>
      </x:c>
      <x:c r="S38" s="76" t="str">
        <x:f>IF('09_Form_Projets_Climat'!$P38="Validé humainement",'09_Form_Projets_Climat'!S38,"")</x:f>
      </x:c>
      <x:c r="T38" s="76" t="str">
        <x:f>IF('09_Form_Projets_Climat'!$P38="Validé humainement",'09_Form_Projets_Climat'!T38,"")</x:f>
      </x:c>
      <x:c r="U38" s="76" t="str">
        <x:f>IF('09_Form_Projets_Climat'!$P38="Validé humainement",'09_Form_Projets_Climat'!U38,"")</x:f>
      </x:c>
    </x:row>
    <x:row r="39">
      <x:c r="A39" s="76" t="str">
        <x:f>IF('09_Form_Projets_Climat'!$P39="Validé humainement",'09_Form_Projets_Climat'!A39,"")</x:f>
      </x:c>
      <x:c r="B39" s="76" t="str">
        <x:f>IF('09_Form_Projets_Climat'!$P39="Validé humainement",'09_Form_Projets_Climat'!B39,"")</x:f>
      </x:c>
      <x:c r="C39" s="76" t="str">
        <x:f>IF('09_Form_Projets_Climat'!$P39="Validé humainement",'09_Form_Projets_Climat'!C39,"")</x:f>
      </x:c>
      <x:c r="D39" s="76" t="str">
        <x:f>IF('09_Form_Projets_Climat'!$P39="Validé humainement",'09_Form_Projets_Climat'!D39,"")</x:f>
      </x:c>
      <x:c r="E39" s="76" t="str">
        <x:f>IF('09_Form_Projets_Climat'!$P39="Validé humainement",'09_Form_Projets_Climat'!E39,"")</x:f>
      </x:c>
      <x:c r="F39" s="76" t="str">
        <x:f>IF('09_Form_Projets_Climat'!$P39="Validé humainement",'09_Form_Projets_Climat'!F39,"")</x:f>
      </x:c>
      <x:c r="G39" s="78" t="str">
        <x:f>IF('09_Form_Projets_Climat'!$P39="Validé humainement",'09_Form_Projets_Climat'!G39,"")</x:f>
      </x:c>
      <x:c r="H39" s="78" t="str">
        <x:f>IF('09_Form_Projets_Climat'!$P39="Validé humainement",'09_Form_Projets_Climat'!H39,"")</x:f>
      </x:c>
      <x:c r="I39" s="81" t="str">
        <x:f>IF('09_Form_Projets_Climat'!$P39="Validé humainement",'09_Form_Projets_Climat'!I39,"")</x:f>
      </x:c>
      <x:c r="J39" s="81" t="str">
        <x:f>IF('09_Form_Projets_Climat'!$P39="Validé humainement",'09_Form_Projets_Climat'!J39,"")</x:f>
      </x:c>
      <x:c r="K39" s="81" t="str">
        <x:f>IF('09_Form_Projets_Climat'!$P39="Validé humainement",'09_Form_Projets_Climat'!K39,"")</x:f>
      </x:c>
      <x:c r="L39" s="84" t="str">
        <x:f>IF('09_Form_Projets_Climat'!$P39="Validé humainement",'09_Form_Projets_Climat'!L39,"")</x:f>
      </x:c>
      <x:c r="M39" s="76" t="str">
        <x:f>IF('09_Form_Projets_Climat'!$P39="Validé humainement",'09_Form_Projets_Climat'!M39,"")</x:f>
      </x:c>
      <x:c r="N39" s="76" t="str">
        <x:f>IF('09_Form_Projets_Climat'!$P39="Validé humainement",'09_Form_Projets_Climat'!N39,"")</x:f>
      </x:c>
      <x:c r="O39" s="76" t="str">
        <x:f>IF('09_Form_Projets_Climat'!$P39="Validé humainement",'09_Form_Projets_Climat'!O39,"")</x:f>
      </x:c>
      <x:c r="P39" s="76" t="str">
        <x:f>IF('09_Form_Projets_Climat'!$P39="Validé humainement",'09_Form_Projets_Climat'!P39,"")</x:f>
      </x:c>
      <x:c r="Q39" s="76" t="str">
        <x:f>IF('09_Form_Projets_Climat'!$P39="Validé humainement",'09_Form_Projets_Climat'!Q39,"")</x:f>
      </x:c>
      <x:c r="R39" s="78" t="str">
        <x:f>IF('09_Form_Projets_Climat'!$P39="Validé humainement",'09_Form_Projets_Climat'!R39,"")</x:f>
      </x:c>
      <x:c r="S39" s="76" t="str">
        <x:f>IF('09_Form_Projets_Climat'!$P39="Validé humainement",'09_Form_Projets_Climat'!S39,"")</x:f>
      </x:c>
      <x:c r="T39" s="76" t="str">
        <x:f>IF('09_Form_Projets_Climat'!$P39="Validé humainement",'09_Form_Projets_Climat'!T39,"")</x:f>
      </x:c>
      <x:c r="U39" s="76" t="str">
        <x:f>IF('09_Form_Projets_Climat'!$P39="Validé humainement",'09_Form_Projets_Climat'!U39,"")</x:f>
      </x:c>
    </x:row>
    <x:row r="40">
      <x:c r="A40" s="76" t="str">
        <x:f>IF('09_Form_Projets_Climat'!$P40="Validé humainement",'09_Form_Projets_Climat'!A40,"")</x:f>
      </x:c>
      <x:c r="B40" s="76" t="str">
        <x:f>IF('09_Form_Projets_Climat'!$P40="Validé humainement",'09_Form_Projets_Climat'!B40,"")</x:f>
      </x:c>
      <x:c r="C40" s="76" t="str">
        <x:f>IF('09_Form_Projets_Climat'!$P40="Validé humainement",'09_Form_Projets_Climat'!C40,"")</x:f>
      </x:c>
      <x:c r="D40" s="76" t="str">
        <x:f>IF('09_Form_Projets_Climat'!$P40="Validé humainement",'09_Form_Projets_Climat'!D40,"")</x:f>
      </x:c>
      <x:c r="E40" s="76" t="str">
        <x:f>IF('09_Form_Projets_Climat'!$P40="Validé humainement",'09_Form_Projets_Climat'!E40,"")</x:f>
      </x:c>
      <x:c r="F40" s="76" t="str">
        <x:f>IF('09_Form_Projets_Climat'!$P40="Validé humainement",'09_Form_Projets_Climat'!F40,"")</x:f>
      </x:c>
      <x:c r="G40" s="78" t="str">
        <x:f>IF('09_Form_Projets_Climat'!$P40="Validé humainement",'09_Form_Projets_Climat'!G40,"")</x:f>
      </x:c>
      <x:c r="H40" s="78" t="str">
        <x:f>IF('09_Form_Projets_Climat'!$P40="Validé humainement",'09_Form_Projets_Climat'!H40,"")</x:f>
      </x:c>
      <x:c r="I40" s="81" t="str">
        <x:f>IF('09_Form_Projets_Climat'!$P40="Validé humainement",'09_Form_Projets_Climat'!I40,"")</x:f>
      </x:c>
      <x:c r="J40" s="81" t="str">
        <x:f>IF('09_Form_Projets_Climat'!$P40="Validé humainement",'09_Form_Projets_Climat'!J40,"")</x:f>
      </x:c>
      <x:c r="K40" s="81" t="str">
        <x:f>IF('09_Form_Projets_Climat'!$P40="Validé humainement",'09_Form_Projets_Climat'!K40,"")</x:f>
      </x:c>
      <x:c r="L40" s="84" t="str">
        <x:f>IF('09_Form_Projets_Climat'!$P40="Validé humainement",'09_Form_Projets_Climat'!L40,"")</x:f>
      </x:c>
      <x:c r="M40" s="76" t="str">
        <x:f>IF('09_Form_Projets_Climat'!$P40="Validé humainement",'09_Form_Projets_Climat'!M40,"")</x:f>
      </x:c>
      <x:c r="N40" s="76" t="str">
        <x:f>IF('09_Form_Projets_Climat'!$P40="Validé humainement",'09_Form_Projets_Climat'!N40,"")</x:f>
      </x:c>
      <x:c r="O40" s="76" t="str">
        <x:f>IF('09_Form_Projets_Climat'!$P40="Validé humainement",'09_Form_Projets_Climat'!O40,"")</x:f>
      </x:c>
      <x:c r="P40" s="76" t="str">
        <x:f>IF('09_Form_Projets_Climat'!$P40="Validé humainement",'09_Form_Projets_Climat'!P40,"")</x:f>
      </x:c>
      <x:c r="Q40" s="76" t="str">
        <x:f>IF('09_Form_Projets_Climat'!$P40="Validé humainement",'09_Form_Projets_Climat'!Q40,"")</x:f>
      </x:c>
      <x:c r="R40" s="78" t="str">
        <x:f>IF('09_Form_Projets_Climat'!$P40="Validé humainement",'09_Form_Projets_Climat'!R40,"")</x:f>
      </x:c>
      <x:c r="S40" s="76" t="str">
        <x:f>IF('09_Form_Projets_Climat'!$P40="Validé humainement",'09_Form_Projets_Climat'!S40,"")</x:f>
      </x:c>
      <x:c r="T40" s="76" t="str">
        <x:f>IF('09_Form_Projets_Climat'!$P40="Validé humainement",'09_Form_Projets_Climat'!T40,"")</x:f>
      </x:c>
      <x:c r="U40" s="76" t="str">
        <x:f>IF('09_Form_Projets_Climat'!$P40="Validé humainement",'09_Form_Projets_Climat'!U40,"")</x:f>
      </x:c>
    </x:row>
    <x:row r="41">
      <x:c r="A41" s="76" t="str">
        <x:f>IF('09_Form_Projets_Climat'!$P41="Validé humainement",'09_Form_Projets_Climat'!A41,"")</x:f>
      </x:c>
      <x:c r="B41" s="76" t="str">
        <x:f>IF('09_Form_Projets_Climat'!$P41="Validé humainement",'09_Form_Projets_Climat'!B41,"")</x:f>
      </x:c>
      <x:c r="C41" s="76" t="str">
        <x:f>IF('09_Form_Projets_Climat'!$P41="Validé humainement",'09_Form_Projets_Climat'!C41,"")</x:f>
      </x:c>
      <x:c r="D41" s="76" t="str">
        <x:f>IF('09_Form_Projets_Climat'!$P41="Validé humainement",'09_Form_Projets_Climat'!D41,"")</x:f>
      </x:c>
      <x:c r="E41" s="76" t="str">
        <x:f>IF('09_Form_Projets_Climat'!$P41="Validé humainement",'09_Form_Projets_Climat'!E41,"")</x:f>
      </x:c>
      <x:c r="F41" s="76" t="str">
        <x:f>IF('09_Form_Projets_Climat'!$P41="Validé humainement",'09_Form_Projets_Climat'!F41,"")</x:f>
      </x:c>
      <x:c r="G41" s="78" t="str">
        <x:f>IF('09_Form_Projets_Climat'!$P41="Validé humainement",'09_Form_Projets_Climat'!G41,"")</x:f>
      </x:c>
      <x:c r="H41" s="78" t="str">
        <x:f>IF('09_Form_Projets_Climat'!$P41="Validé humainement",'09_Form_Projets_Climat'!H41,"")</x:f>
      </x:c>
      <x:c r="I41" s="81" t="str">
        <x:f>IF('09_Form_Projets_Climat'!$P41="Validé humainement",'09_Form_Projets_Climat'!I41,"")</x:f>
      </x:c>
      <x:c r="J41" s="81" t="str">
        <x:f>IF('09_Form_Projets_Climat'!$P41="Validé humainement",'09_Form_Projets_Climat'!J41,"")</x:f>
      </x:c>
      <x:c r="K41" s="81" t="str">
        <x:f>IF('09_Form_Projets_Climat'!$P41="Validé humainement",'09_Form_Projets_Climat'!K41,"")</x:f>
      </x:c>
      <x:c r="L41" s="84" t="str">
        <x:f>IF('09_Form_Projets_Climat'!$P41="Validé humainement",'09_Form_Projets_Climat'!L41,"")</x:f>
      </x:c>
      <x:c r="M41" s="76" t="str">
        <x:f>IF('09_Form_Projets_Climat'!$P41="Validé humainement",'09_Form_Projets_Climat'!M41,"")</x:f>
      </x:c>
      <x:c r="N41" s="76" t="str">
        <x:f>IF('09_Form_Projets_Climat'!$P41="Validé humainement",'09_Form_Projets_Climat'!N41,"")</x:f>
      </x:c>
      <x:c r="O41" s="76" t="str">
        <x:f>IF('09_Form_Projets_Climat'!$P41="Validé humainement",'09_Form_Projets_Climat'!O41,"")</x:f>
      </x:c>
      <x:c r="P41" s="76" t="str">
        <x:f>IF('09_Form_Projets_Climat'!$P41="Validé humainement",'09_Form_Projets_Climat'!P41,"")</x:f>
      </x:c>
      <x:c r="Q41" s="76" t="str">
        <x:f>IF('09_Form_Projets_Climat'!$P41="Validé humainement",'09_Form_Projets_Climat'!Q41,"")</x:f>
      </x:c>
      <x:c r="R41" s="78" t="str">
        <x:f>IF('09_Form_Projets_Climat'!$P41="Validé humainement",'09_Form_Projets_Climat'!R41,"")</x:f>
      </x:c>
      <x:c r="S41" s="76" t="str">
        <x:f>IF('09_Form_Projets_Climat'!$P41="Validé humainement",'09_Form_Projets_Climat'!S41,"")</x:f>
      </x:c>
      <x:c r="T41" s="76" t="str">
        <x:f>IF('09_Form_Projets_Climat'!$P41="Validé humainement",'09_Form_Projets_Climat'!T41,"")</x:f>
      </x:c>
      <x:c r="U41" s="76" t="str">
        <x:f>IF('09_Form_Projets_Climat'!$P41="Validé humainement",'09_Form_Projets_Climat'!U41,"")</x:f>
      </x:c>
    </x:row>
    <x:row r="42">
      <x:c r="A42" s="76" t="str">
        <x:f>IF('09_Form_Projets_Climat'!$P42="Validé humainement",'09_Form_Projets_Climat'!A42,"")</x:f>
      </x:c>
      <x:c r="B42" s="76" t="str">
        <x:f>IF('09_Form_Projets_Climat'!$P42="Validé humainement",'09_Form_Projets_Climat'!B42,"")</x:f>
      </x:c>
      <x:c r="C42" s="76" t="str">
        <x:f>IF('09_Form_Projets_Climat'!$P42="Validé humainement",'09_Form_Projets_Climat'!C42,"")</x:f>
      </x:c>
      <x:c r="D42" s="76" t="str">
        <x:f>IF('09_Form_Projets_Climat'!$P42="Validé humainement",'09_Form_Projets_Climat'!D42,"")</x:f>
      </x:c>
      <x:c r="E42" s="76" t="str">
        <x:f>IF('09_Form_Projets_Climat'!$P42="Validé humainement",'09_Form_Projets_Climat'!E42,"")</x:f>
      </x:c>
      <x:c r="F42" s="76" t="str">
        <x:f>IF('09_Form_Projets_Climat'!$P42="Validé humainement",'09_Form_Projets_Climat'!F42,"")</x:f>
      </x:c>
      <x:c r="G42" s="78" t="str">
        <x:f>IF('09_Form_Projets_Climat'!$P42="Validé humainement",'09_Form_Projets_Climat'!G42,"")</x:f>
      </x:c>
      <x:c r="H42" s="78" t="str">
        <x:f>IF('09_Form_Projets_Climat'!$P42="Validé humainement",'09_Form_Projets_Climat'!H42,"")</x:f>
      </x:c>
      <x:c r="I42" s="81" t="str">
        <x:f>IF('09_Form_Projets_Climat'!$P42="Validé humainement",'09_Form_Projets_Climat'!I42,"")</x:f>
      </x:c>
      <x:c r="J42" s="81" t="str">
        <x:f>IF('09_Form_Projets_Climat'!$P42="Validé humainement",'09_Form_Projets_Climat'!J42,"")</x:f>
      </x:c>
      <x:c r="K42" s="81" t="str">
        <x:f>IF('09_Form_Projets_Climat'!$P42="Validé humainement",'09_Form_Projets_Climat'!K42,"")</x:f>
      </x:c>
      <x:c r="L42" s="84" t="str">
        <x:f>IF('09_Form_Projets_Climat'!$P42="Validé humainement",'09_Form_Projets_Climat'!L42,"")</x:f>
      </x:c>
      <x:c r="M42" s="76" t="str">
        <x:f>IF('09_Form_Projets_Climat'!$P42="Validé humainement",'09_Form_Projets_Climat'!M42,"")</x:f>
      </x:c>
      <x:c r="N42" s="76" t="str">
        <x:f>IF('09_Form_Projets_Climat'!$P42="Validé humainement",'09_Form_Projets_Climat'!N42,"")</x:f>
      </x:c>
      <x:c r="O42" s="76" t="str">
        <x:f>IF('09_Form_Projets_Climat'!$P42="Validé humainement",'09_Form_Projets_Climat'!O42,"")</x:f>
      </x:c>
      <x:c r="P42" s="76" t="str">
        <x:f>IF('09_Form_Projets_Climat'!$P42="Validé humainement",'09_Form_Projets_Climat'!P42,"")</x:f>
      </x:c>
      <x:c r="Q42" s="76" t="str">
        <x:f>IF('09_Form_Projets_Climat'!$P42="Validé humainement",'09_Form_Projets_Climat'!Q42,"")</x:f>
      </x:c>
      <x:c r="R42" s="78" t="str">
        <x:f>IF('09_Form_Projets_Climat'!$P42="Validé humainement",'09_Form_Projets_Climat'!R42,"")</x:f>
      </x:c>
      <x:c r="S42" s="76" t="str">
        <x:f>IF('09_Form_Projets_Climat'!$P42="Validé humainement",'09_Form_Projets_Climat'!S42,"")</x:f>
      </x:c>
      <x:c r="T42" s="76" t="str">
        <x:f>IF('09_Form_Projets_Climat'!$P42="Validé humainement",'09_Form_Projets_Climat'!T42,"")</x:f>
      </x:c>
      <x:c r="U42" s="76" t="str">
        <x:f>IF('09_Form_Projets_Climat'!$P42="Validé humainement",'09_Form_Projets_Climat'!U42,"")</x:f>
      </x:c>
    </x:row>
    <x:row r="43">
      <x:c r="A43" s="76" t="str">
        <x:f>IF('09_Form_Projets_Climat'!$P43="Validé humainement",'09_Form_Projets_Climat'!A43,"")</x:f>
      </x:c>
      <x:c r="B43" s="76" t="str">
        <x:f>IF('09_Form_Projets_Climat'!$P43="Validé humainement",'09_Form_Projets_Climat'!B43,"")</x:f>
      </x:c>
      <x:c r="C43" s="76" t="str">
        <x:f>IF('09_Form_Projets_Climat'!$P43="Validé humainement",'09_Form_Projets_Climat'!C43,"")</x:f>
      </x:c>
      <x:c r="D43" s="76" t="str">
        <x:f>IF('09_Form_Projets_Climat'!$P43="Validé humainement",'09_Form_Projets_Climat'!D43,"")</x:f>
      </x:c>
      <x:c r="E43" s="76" t="str">
        <x:f>IF('09_Form_Projets_Climat'!$P43="Validé humainement",'09_Form_Projets_Climat'!E43,"")</x:f>
      </x:c>
      <x:c r="F43" s="76" t="str">
        <x:f>IF('09_Form_Projets_Climat'!$P43="Validé humainement",'09_Form_Projets_Climat'!F43,"")</x:f>
      </x:c>
      <x:c r="G43" s="78" t="str">
        <x:f>IF('09_Form_Projets_Climat'!$P43="Validé humainement",'09_Form_Projets_Climat'!G43,"")</x:f>
      </x:c>
      <x:c r="H43" s="78" t="str">
        <x:f>IF('09_Form_Projets_Climat'!$P43="Validé humainement",'09_Form_Projets_Climat'!H43,"")</x:f>
      </x:c>
      <x:c r="I43" s="81" t="str">
        <x:f>IF('09_Form_Projets_Climat'!$P43="Validé humainement",'09_Form_Projets_Climat'!I43,"")</x:f>
      </x:c>
      <x:c r="J43" s="81" t="str">
        <x:f>IF('09_Form_Projets_Climat'!$P43="Validé humainement",'09_Form_Projets_Climat'!J43,"")</x:f>
      </x:c>
      <x:c r="K43" s="81" t="str">
        <x:f>IF('09_Form_Projets_Climat'!$P43="Validé humainement",'09_Form_Projets_Climat'!K43,"")</x:f>
      </x:c>
      <x:c r="L43" s="84" t="str">
        <x:f>IF('09_Form_Projets_Climat'!$P43="Validé humainement",'09_Form_Projets_Climat'!L43,"")</x:f>
      </x:c>
      <x:c r="M43" s="76" t="str">
        <x:f>IF('09_Form_Projets_Climat'!$P43="Validé humainement",'09_Form_Projets_Climat'!M43,"")</x:f>
      </x:c>
      <x:c r="N43" s="76" t="str">
        <x:f>IF('09_Form_Projets_Climat'!$P43="Validé humainement",'09_Form_Projets_Climat'!N43,"")</x:f>
      </x:c>
      <x:c r="O43" s="76" t="str">
        <x:f>IF('09_Form_Projets_Climat'!$P43="Validé humainement",'09_Form_Projets_Climat'!O43,"")</x:f>
      </x:c>
      <x:c r="P43" s="76" t="str">
        <x:f>IF('09_Form_Projets_Climat'!$P43="Validé humainement",'09_Form_Projets_Climat'!P43,"")</x:f>
      </x:c>
      <x:c r="Q43" s="76" t="str">
        <x:f>IF('09_Form_Projets_Climat'!$P43="Validé humainement",'09_Form_Projets_Climat'!Q43,"")</x:f>
      </x:c>
      <x:c r="R43" s="78" t="str">
        <x:f>IF('09_Form_Projets_Climat'!$P43="Validé humainement",'09_Form_Projets_Climat'!R43,"")</x:f>
      </x:c>
      <x:c r="S43" s="76" t="str">
        <x:f>IF('09_Form_Projets_Climat'!$P43="Validé humainement",'09_Form_Projets_Climat'!S43,"")</x:f>
      </x:c>
      <x:c r="T43" s="76" t="str">
        <x:f>IF('09_Form_Projets_Climat'!$P43="Validé humainement",'09_Form_Projets_Climat'!T43,"")</x:f>
      </x:c>
      <x:c r="U43" s="76" t="str">
        <x:f>IF('09_Form_Projets_Climat'!$P43="Validé humainement",'09_Form_Projets_Climat'!U43,"")</x:f>
      </x:c>
    </x:row>
    <x:row r="44">
      <x:c r="A44" s="76" t="str">
        <x:f>IF('09_Form_Projets_Climat'!$P44="Validé humainement",'09_Form_Projets_Climat'!A44,"")</x:f>
      </x:c>
      <x:c r="B44" s="76" t="str">
        <x:f>IF('09_Form_Projets_Climat'!$P44="Validé humainement",'09_Form_Projets_Climat'!B44,"")</x:f>
      </x:c>
      <x:c r="C44" s="76" t="str">
        <x:f>IF('09_Form_Projets_Climat'!$P44="Validé humainement",'09_Form_Projets_Climat'!C44,"")</x:f>
      </x:c>
      <x:c r="D44" s="76" t="str">
        <x:f>IF('09_Form_Projets_Climat'!$P44="Validé humainement",'09_Form_Projets_Climat'!D44,"")</x:f>
      </x:c>
      <x:c r="E44" s="76" t="str">
        <x:f>IF('09_Form_Projets_Climat'!$P44="Validé humainement",'09_Form_Projets_Climat'!E44,"")</x:f>
      </x:c>
      <x:c r="F44" s="76" t="str">
        <x:f>IF('09_Form_Projets_Climat'!$P44="Validé humainement",'09_Form_Projets_Climat'!F44,"")</x:f>
      </x:c>
      <x:c r="G44" s="78" t="str">
        <x:f>IF('09_Form_Projets_Climat'!$P44="Validé humainement",'09_Form_Projets_Climat'!G44,"")</x:f>
      </x:c>
      <x:c r="H44" s="78" t="str">
        <x:f>IF('09_Form_Projets_Climat'!$P44="Validé humainement",'09_Form_Projets_Climat'!H44,"")</x:f>
      </x:c>
      <x:c r="I44" s="81" t="str">
        <x:f>IF('09_Form_Projets_Climat'!$P44="Validé humainement",'09_Form_Projets_Climat'!I44,"")</x:f>
      </x:c>
      <x:c r="J44" s="81" t="str">
        <x:f>IF('09_Form_Projets_Climat'!$P44="Validé humainement",'09_Form_Projets_Climat'!J44,"")</x:f>
      </x:c>
      <x:c r="K44" s="81" t="str">
        <x:f>IF('09_Form_Projets_Climat'!$P44="Validé humainement",'09_Form_Projets_Climat'!K44,"")</x:f>
      </x:c>
      <x:c r="L44" s="84" t="str">
        <x:f>IF('09_Form_Projets_Climat'!$P44="Validé humainement",'09_Form_Projets_Climat'!L44,"")</x:f>
      </x:c>
      <x:c r="M44" s="76" t="str">
        <x:f>IF('09_Form_Projets_Climat'!$P44="Validé humainement",'09_Form_Projets_Climat'!M44,"")</x:f>
      </x:c>
      <x:c r="N44" s="76" t="str">
        <x:f>IF('09_Form_Projets_Climat'!$P44="Validé humainement",'09_Form_Projets_Climat'!N44,"")</x:f>
      </x:c>
      <x:c r="O44" s="76" t="str">
        <x:f>IF('09_Form_Projets_Climat'!$P44="Validé humainement",'09_Form_Projets_Climat'!O44,"")</x:f>
      </x:c>
      <x:c r="P44" s="76" t="str">
        <x:f>IF('09_Form_Projets_Climat'!$P44="Validé humainement",'09_Form_Projets_Climat'!P44,"")</x:f>
      </x:c>
      <x:c r="Q44" s="76" t="str">
        <x:f>IF('09_Form_Projets_Climat'!$P44="Validé humainement",'09_Form_Projets_Climat'!Q44,"")</x:f>
      </x:c>
      <x:c r="R44" s="78" t="str">
        <x:f>IF('09_Form_Projets_Climat'!$P44="Validé humainement",'09_Form_Projets_Climat'!R44,"")</x:f>
      </x:c>
      <x:c r="S44" s="76" t="str">
        <x:f>IF('09_Form_Projets_Climat'!$P44="Validé humainement",'09_Form_Projets_Climat'!S44,"")</x:f>
      </x:c>
      <x:c r="T44" s="76" t="str">
        <x:f>IF('09_Form_Projets_Climat'!$P44="Validé humainement",'09_Form_Projets_Climat'!T44,"")</x:f>
      </x:c>
      <x:c r="U44" s="76" t="str">
        <x:f>IF('09_Form_Projets_Climat'!$P44="Validé humainement",'09_Form_Projets_Climat'!U44,"")</x:f>
      </x:c>
    </x:row>
    <x:row r="45">
      <x:c r="A45" s="76" t="str">
        <x:f>IF('09_Form_Projets_Climat'!$P45="Validé humainement",'09_Form_Projets_Climat'!A45,"")</x:f>
      </x:c>
      <x:c r="B45" s="76" t="str">
        <x:f>IF('09_Form_Projets_Climat'!$P45="Validé humainement",'09_Form_Projets_Climat'!B45,"")</x:f>
      </x:c>
      <x:c r="C45" s="76" t="str">
        <x:f>IF('09_Form_Projets_Climat'!$P45="Validé humainement",'09_Form_Projets_Climat'!C45,"")</x:f>
      </x:c>
      <x:c r="D45" s="76" t="str">
        <x:f>IF('09_Form_Projets_Climat'!$P45="Validé humainement",'09_Form_Projets_Climat'!D45,"")</x:f>
      </x:c>
      <x:c r="E45" s="76" t="str">
        <x:f>IF('09_Form_Projets_Climat'!$P45="Validé humainement",'09_Form_Projets_Climat'!E45,"")</x:f>
      </x:c>
      <x:c r="F45" s="76" t="str">
        <x:f>IF('09_Form_Projets_Climat'!$P45="Validé humainement",'09_Form_Projets_Climat'!F45,"")</x:f>
      </x:c>
      <x:c r="G45" s="78" t="str">
        <x:f>IF('09_Form_Projets_Climat'!$P45="Validé humainement",'09_Form_Projets_Climat'!G45,"")</x:f>
      </x:c>
      <x:c r="H45" s="78" t="str">
        <x:f>IF('09_Form_Projets_Climat'!$P45="Validé humainement",'09_Form_Projets_Climat'!H45,"")</x:f>
      </x:c>
      <x:c r="I45" s="81" t="str">
        <x:f>IF('09_Form_Projets_Climat'!$P45="Validé humainement",'09_Form_Projets_Climat'!I45,"")</x:f>
      </x:c>
      <x:c r="J45" s="81" t="str">
        <x:f>IF('09_Form_Projets_Climat'!$P45="Validé humainement",'09_Form_Projets_Climat'!J45,"")</x:f>
      </x:c>
      <x:c r="K45" s="81" t="str">
        <x:f>IF('09_Form_Projets_Climat'!$P45="Validé humainement",'09_Form_Projets_Climat'!K45,"")</x:f>
      </x:c>
      <x:c r="L45" s="84" t="str">
        <x:f>IF('09_Form_Projets_Climat'!$P45="Validé humainement",'09_Form_Projets_Climat'!L45,"")</x:f>
      </x:c>
      <x:c r="M45" s="76" t="str">
        <x:f>IF('09_Form_Projets_Climat'!$P45="Validé humainement",'09_Form_Projets_Climat'!M45,"")</x:f>
      </x:c>
      <x:c r="N45" s="76" t="str">
        <x:f>IF('09_Form_Projets_Climat'!$P45="Validé humainement",'09_Form_Projets_Climat'!N45,"")</x:f>
      </x:c>
      <x:c r="O45" s="76" t="str">
        <x:f>IF('09_Form_Projets_Climat'!$P45="Validé humainement",'09_Form_Projets_Climat'!O45,"")</x:f>
      </x:c>
      <x:c r="P45" s="76" t="str">
        <x:f>IF('09_Form_Projets_Climat'!$P45="Validé humainement",'09_Form_Projets_Climat'!P45,"")</x:f>
      </x:c>
      <x:c r="Q45" s="76" t="str">
        <x:f>IF('09_Form_Projets_Climat'!$P45="Validé humainement",'09_Form_Projets_Climat'!Q45,"")</x:f>
      </x:c>
      <x:c r="R45" s="78" t="str">
        <x:f>IF('09_Form_Projets_Climat'!$P45="Validé humainement",'09_Form_Projets_Climat'!R45,"")</x:f>
      </x:c>
      <x:c r="S45" s="76" t="str">
        <x:f>IF('09_Form_Projets_Climat'!$P45="Validé humainement",'09_Form_Projets_Climat'!S45,"")</x:f>
      </x:c>
      <x:c r="T45" s="76" t="str">
        <x:f>IF('09_Form_Projets_Climat'!$P45="Validé humainement",'09_Form_Projets_Climat'!T45,"")</x:f>
      </x:c>
      <x:c r="U45" s="76" t="str">
        <x:f>IF('09_Form_Projets_Climat'!$P45="Validé humainement",'09_Form_Projets_Climat'!U45,"")</x:f>
      </x:c>
    </x:row>
    <x:row r="46">
      <x:c r="A46" s="76" t="str">
        <x:f>IF('09_Form_Projets_Climat'!$P46="Validé humainement",'09_Form_Projets_Climat'!A46,"")</x:f>
      </x:c>
      <x:c r="B46" s="76" t="str">
        <x:f>IF('09_Form_Projets_Climat'!$P46="Validé humainement",'09_Form_Projets_Climat'!B46,"")</x:f>
      </x:c>
      <x:c r="C46" s="76" t="str">
        <x:f>IF('09_Form_Projets_Climat'!$P46="Validé humainement",'09_Form_Projets_Climat'!C46,"")</x:f>
      </x:c>
      <x:c r="D46" s="76" t="str">
        <x:f>IF('09_Form_Projets_Climat'!$P46="Validé humainement",'09_Form_Projets_Climat'!D46,"")</x:f>
      </x:c>
      <x:c r="E46" s="76" t="str">
        <x:f>IF('09_Form_Projets_Climat'!$P46="Validé humainement",'09_Form_Projets_Climat'!E46,"")</x:f>
      </x:c>
      <x:c r="F46" s="76" t="str">
        <x:f>IF('09_Form_Projets_Climat'!$P46="Validé humainement",'09_Form_Projets_Climat'!F46,"")</x:f>
      </x:c>
      <x:c r="G46" s="78" t="str">
        <x:f>IF('09_Form_Projets_Climat'!$P46="Validé humainement",'09_Form_Projets_Climat'!G46,"")</x:f>
      </x:c>
      <x:c r="H46" s="78" t="str">
        <x:f>IF('09_Form_Projets_Climat'!$P46="Validé humainement",'09_Form_Projets_Climat'!H46,"")</x:f>
      </x:c>
      <x:c r="I46" s="81" t="str">
        <x:f>IF('09_Form_Projets_Climat'!$P46="Validé humainement",'09_Form_Projets_Climat'!I46,"")</x:f>
      </x:c>
      <x:c r="J46" s="81" t="str">
        <x:f>IF('09_Form_Projets_Climat'!$P46="Validé humainement",'09_Form_Projets_Climat'!J46,"")</x:f>
      </x:c>
      <x:c r="K46" s="81" t="str">
        <x:f>IF('09_Form_Projets_Climat'!$P46="Validé humainement",'09_Form_Projets_Climat'!K46,"")</x:f>
      </x:c>
      <x:c r="L46" s="84" t="str">
        <x:f>IF('09_Form_Projets_Climat'!$P46="Validé humainement",'09_Form_Projets_Climat'!L46,"")</x:f>
      </x:c>
      <x:c r="M46" s="76" t="str">
        <x:f>IF('09_Form_Projets_Climat'!$P46="Validé humainement",'09_Form_Projets_Climat'!M46,"")</x:f>
      </x:c>
      <x:c r="N46" s="76" t="str">
        <x:f>IF('09_Form_Projets_Climat'!$P46="Validé humainement",'09_Form_Projets_Climat'!N46,"")</x:f>
      </x:c>
      <x:c r="O46" s="76" t="str">
        <x:f>IF('09_Form_Projets_Climat'!$P46="Validé humainement",'09_Form_Projets_Climat'!O46,"")</x:f>
      </x:c>
      <x:c r="P46" s="76" t="str">
        <x:f>IF('09_Form_Projets_Climat'!$P46="Validé humainement",'09_Form_Projets_Climat'!P46,"")</x:f>
      </x:c>
      <x:c r="Q46" s="76" t="str">
        <x:f>IF('09_Form_Projets_Climat'!$P46="Validé humainement",'09_Form_Projets_Climat'!Q46,"")</x:f>
      </x:c>
      <x:c r="R46" s="78" t="str">
        <x:f>IF('09_Form_Projets_Climat'!$P46="Validé humainement",'09_Form_Projets_Climat'!R46,"")</x:f>
      </x:c>
      <x:c r="S46" s="76" t="str">
        <x:f>IF('09_Form_Projets_Climat'!$P46="Validé humainement",'09_Form_Projets_Climat'!S46,"")</x:f>
      </x:c>
      <x:c r="T46" s="76" t="str">
        <x:f>IF('09_Form_Projets_Climat'!$P46="Validé humainement",'09_Form_Projets_Climat'!T46,"")</x:f>
      </x:c>
      <x:c r="U46" s="76" t="str">
        <x:f>IF('09_Form_Projets_Climat'!$P46="Validé humainement",'09_Form_Projets_Climat'!U46,"")</x:f>
      </x:c>
    </x:row>
    <x:row r="47">
      <x:c r="A47" s="76" t="str">
        <x:f>IF('09_Form_Projets_Climat'!$P47="Validé humainement",'09_Form_Projets_Climat'!A47,"")</x:f>
      </x:c>
      <x:c r="B47" s="76" t="str">
        <x:f>IF('09_Form_Projets_Climat'!$P47="Validé humainement",'09_Form_Projets_Climat'!B47,"")</x:f>
      </x:c>
      <x:c r="C47" s="76" t="str">
        <x:f>IF('09_Form_Projets_Climat'!$P47="Validé humainement",'09_Form_Projets_Climat'!C47,"")</x:f>
      </x:c>
      <x:c r="D47" s="76" t="str">
        <x:f>IF('09_Form_Projets_Climat'!$P47="Validé humainement",'09_Form_Projets_Climat'!D47,"")</x:f>
      </x:c>
      <x:c r="E47" s="76" t="str">
        <x:f>IF('09_Form_Projets_Climat'!$P47="Validé humainement",'09_Form_Projets_Climat'!E47,"")</x:f>
      </x:c>
      <x:c r="F47" s="76" t="str">
        <x:f>IF('09_Form_Projets_Climat'!$P47="Validé humainement",'09_Form_Projets_Climat'!F47,"")</x:f>
      </x:c>
      <x:c r="G47" s="78" t="str">
        <x:f>IF('09_Form_Projets_Climat'!$P47="Validé humainement",'09_Form_Projets_Climat'!G47,"")</x:f>
      </x:c>
      <x:c r="H47" s="78" t="str">
        <x:f>IF('09_Form_Projets_Climat'!$P47="Validé humainement",'09_Form_Projets_Climat'!H47,"")</x:f>
      </x:c>
      <x:c r="I47" s="81" t="str">
        <x:f>IF('09_Form_Projets_Climat'!$P47="Validé humainement",'09_Form_Projets_Climat'!I47,"")</x:f>
      </x:c>
      <x:c r="J47" s="81" t="str">
        <x:f>IF('09_Form_Projets_Climat'!$P47="Validé humainement",'09_Form_Projets_Climat'!J47,"")</x:f>
      </x:c>
      <x:c r="K47" s="81" t="str">
        <x:f>IF('09_Form_Projets_Climat'!$P47="Validé humainement",'09_Form_Projets_Climat'!K47,"")</x:f>
      </x:c>
      <x:c r="L47" s="84" t="str">
        <x:f>IF('09_Form_Projets_Climat'!$P47="Validé humainement",'09_Form_Projets_Climat'!L47,"")</x:f>
      </x:c>
      <x:c r="M47" s="76" t="str">
        <x:f>IF('09_Form_Projets_Climat'!$P47="Validé humainement",'09_Form_Projets_Climat'!M47,"")</x:f>
      </x:c>
      <x:c r="N47" s="76" t="str">
        <x:f>IF('09_Form_Projets_Climat'!$P47="Validé humainement",'09_Form_Projets_Climat'!N47,"")</x:f>
      </x:c>
      <x:c r="O47" s="76" t="str">
        <x:f>IF('09_Form_Projets_Climat'!$P47="Validé humainement",'09_Form_Projets_Climat'!O47,"")</x:f>
      </x:c>
      <x:c r="P47" s="76" t="str">
        <x:f>IF('09_Form_Projets_Climat'!$P47="Validé humainement",'09_Form_Projets_Climat'!P47,"")</x:f>
      </x:c>
      <x:c r="Q47" s="76" t="str">
        <x:f>IF('09_Form_Projets_Climat'!$P47="Validé humainement",'09_Form_Projets_Climat'!Q47,"")</x:f>
      </x:c>
      <x:c r="R47" s="78" t="str">
        <x:f>IF('09_Form_Projets_Climat'!$P47="Validé humainement",'09_Form_Projets_Climat'!R47,"")</x:f>
      </x:c>
      <x:c r="S47" s="76" t="str">
        <x:f>IF('09_Form_Projets_Climat'!$P47="Validé humainement",'09_Form_Projets_Climat'!S47,"")</x:f>
      </x:c>
      <x:c r="T47" s="76" t="str">
        <x:f>IF('09_Form_Projets_Climat'!$P47="Validé humainement",'09_Form_Projets_Climat'!T47,"")</x:f>
      </x:c>
      <x:c r="U47" s="76" t="str">
        <x:f>IF('09_Form_Projets_Climat'!$P47="Validé humainement",'09_Form_Projets_Climat'!U47,"")</x:f>
      </x:c>
    </x:row>
    <x:row r="48">
      <x:c r="A48" s="76" t="str">
        <x:f>IF('09_Form_Projets_Climat'!$P48="Validé humainement",'09_Form_Projets_Climat'!A48,"")</x:f>
      </x:c>
      <x:c r="B48" s="76" t="str">
        <x:f>IF('09_Form_Projets_Climat'!$P48="Validé humainement",'09_Form_Projets_Climat'!B48,"")</x:f>
      </x:c>
      <x:c r="C48" s="76" t="str">
        <x:f>IF('09_Form_Projets_Climat'!$P48="Validé humainement",'09_Form_Projets_Climat'!C48,"")</x:f>
      </x:c>
      <x:c r="D48" s="76" t="str">
        <x:f>IF('09_Form_Projets_Climat'!$P48="Validé humainement",'09_Form_Projets_Climat'!D48,"")</x:f>
      </x:c>
      <x:c r="E48" s="76" t="str">
        <x:f>IF('09_Form_Projets_Climat'!$P48="Validé humainement",'09_Form_Projets_Climat'!E48,"")</x:f>
      </x:c>
      <x:c r="F48" s="76" t="str">
        <x:f>IF('09_Form_Projets_Climat'!$P48="Validé humainement",'09_Form_Projets_Climat'!F48,"")</x:f>
      </x:c>
      <x:c r="G48" s="78" t="str">
        <x:f>IF('09_Form_Projets_Climat'!$P48="Validé humainement",'09_Form_Projets_Climat'!G48,"")</x:f>
      </x:c>
      <x:c r="H48" s="78" t="str">
        <x:f>IF('09_Form_Projets_Climat'!$P48="Validé humainement",'09_Form_Projets_Climat'!H48,"")</x:f>
      </x:c>
      <x:c r="I48" s="81" t="str">
        <x:f>IF('09_Form_Projets_Climat'!$P48="Validé humainement",'09_Form_Projets_Climat'!I48,"")</x:f>
      </x:c>
      <x:c r="J48" s="81" t="str">
        <x:f>IF('09_Form_Projets_Climat'!$P48="Validé humainement",'09_Form_Projets_Climat'!J48,"")</x:f>
      </x:c>
      <x:c r="K48" s="81" t="str">
        <x:f>IF('09_Form_Projets_Climat'!$P48="Validé humainement",'09_Form_Projets_Climat'!K48,"")</x:f>
      </x:c>
      <x:c r="L48" s="84" t="str">
        <x:f>IF('09_Form_Projets_Climat'!$P48="Validé humainement",'09_Form_Projets_Climat'!L48,"")</x:f>
      </x:c>
      <x:c r="M48" s="76" t="str">
        <x:f>IF('09_Form_Projets_Climat'!$P48="Validé humainement",'09_Form_Projets_Climat'!M48,"")</x:f>
      </x:c>
      <x:c r="N48" s="76" t="str">
        <x:f>IF('09_Form_Projets_Climat'!$P48="Validé humainement",'09_Form_Projets_Climat'!N48,"")</x:f>
      </x:c>
      <x:c r="O48" s="76" t="str">
        <x:f>IF('09_Form_Projets_Climat'!$P48="Validé humainement",'09_Form_Projets_Climat'!O48,"")</x:f>
      </x:c>
      <x:c r="P48" s="76" t="str">
        <x:f>IF('09_Form_Projets_Climat'!$P48="Validé humainement",'09_Form_Projets_Climat'!P48,"")</x:f>
      </x:c>
      <x:c r="Q48" s="76" t="str">
        <x:f>IF('09_Form_Projets_Climat'!$P48="Validé humainement",'09_Form_Projets_Climat'!Q48,"")</x:f>
      </x:c>
      <x:c r="R48" s="78" t="str">
        <x:f>IF('09_Form_Projets_Climat'!$P48="Validé humainement",'09_Form_Projets_Climat'!R48,"")</x:f>
      </x:c>
      <x:c r="S48" s="76" t="str">
        <x:f>IF('09_Form_Projets_Climat'!$P48="Validé humainement",'09_Form_Projets_Climat'!S48,"")</x:f>
      </x:c>
      <x:c r="T48" s="76" t="str">
        <x:f>IF('09_Form_Projets_Climat'!$P48="Validé humainement",'09_Form_Projets_Climat'!T48,"")</x:f>
      </x:c>
      <x:c r="U48" s="76" t="str">
        <x:f>IF('09_Form_Projets_Climat'!$P48="Validé humainement",'09_Form_Projets_Climat'!U48,"")</x:f>
      </x:c>
    </x:row>
    <x:row r="49">
      <x:c r="A49" s="76" t="str">
        <x:f>IF('09_Form_Projets_Climat'!$P49="Validé humainement",'09_Form_Projets_Climat'!A49,"")</x:f>
      </x:c>
      <x:c r="B49" s="76" t="str">
        <x:f>IF('09_Form_Projets_Climat'!$P49="Validé humainement",'09_Form_Projets_Climat'!B49,"")</x:f>
      </x:c>
      <x:c r="C49" s="76" t="str">
        <x:f>IF('09_Form_Projets_Climat'!$P49="Validé humainement",'09_Form_Projets_Climat'!C49,"")</x:f>
      </x:c>
      <x:c r="D49" s="76" t="str">
        <x:f>IF('09_Form_Projets_Climat'!$P49="Validé humainement",'09_Form_Projets_Climat'!D49,"")</x:f>
      </x:c>
      <x:c r="E49" s="76" t="str">
        <x:f>IF('09_Form_Projets_Climat'!$P49="Validé humainement",'09_Form_Projets_Climat'!E49,"")</x:f>
      </x:c>
      <x:c r="F49" s="76" t="str">
        <x:f>IF('09_Form_Projets_Climat'!$P49="Validé humainement",'09_Form_Projets_Climat'!F49,"")</x:f>
      </x:c>
      <x:c r="G49" s="78" t="str">
        <x:f>IF('09_Form_Projets_Climat'!$P49="Validé humainement",'09_Form_Projets_Climat'!G49,"")</x:f>
      </x:c>
      <x:c r="H49" s="78" t="str">
        <x:f>IF('09_Form_Projets_Climat'!$P49="Validé humainement",'09_Form_Projets_Climat'!H49,"")</x:f>
      </x:c>
      <x:c r="I49" s="81" t="str">
        <x:f>IF('09_Form_Projets_Climat'!$P49="Validé humainement",'09_Form_Projets_Climat'!I49,"")</x:f>
      </x:c>
      <x:c r="J49" s="81" t="str">
        <x:f>IF('09_Form_Projets_Climat'!$P49="Validé humainement",'09_Form_Projets_Climat'!J49,"")</x:f>
      </x:c>
      <x:c r="K49" s="81" t="str">
        <x:f>IF('09_Form_Projets_Climat'!$P49="Validé humainement",'09_Form_Projets_Climat'!K49,"")</x:f>
      </x:c>
      <x:c r="L49" s="84" t="str">
        <x:f>IF('09_Form_Projets_Climat'!$P49="Validé humainement",'09_Form_Projets_Climat'!L49,"")</x:f>
      </x:c>
      <x:c r="M49" s="76" t="str">
        <x:f>IF('09_Form_Projets_Climat'!$P49="Validé humainement",'09_Form_Projets_Climat'!M49,"")</x:f>
      </x:c>
      <x:c r="N49" s="76" t="str">
        <x:f>IF('09_Form_Projets_Climat'!$P49="Validé humainement",'09_Form_Projets_Climat'!N49,"")</x:f>
      </x:c>
      <x:c r="O49" s="76" t="str">
        <x:f>IF('09_Form_Projets_Climat'!$P49="Validé humainement",'09_Form_Projets_Climat'!O49,"")</x:f>
      </x:c>
      <x:c r="P49" s="76" t="str">
        <x:f>IF('09_Form_Projets_Climat'!$P49="Validé humainement",'09_Form_Projets_Climat'!P49,"")</x:f>
      </x:c>
      <x:c r="Q49" s="76" t="str">
        <x:f>IF('09_Form_Projets_Climat'!$P49="Validé humainement",'09_Form_Projets_Climat'!Q49,"")</x:f>
      </x:c>
      <x:c r="R49" s="78" t="str">
        <x:f>IF('09_Form_Projets_Climat'!$P49="Validé humainement",'09_Form_Projets_Climat'!R49,"")</x:f>
      </x:c>
      <x:c r="S49" s="76" t="str">
        <x:f>IF('09_Form_Projets_Climat'!$P49="Validé humainement",'09_Form_Projets_Climat'!S49,"")</x:f>
      </x:c>
      <x:c r="T49" s="76" t="str">
        <x:f>IF('09_Form_Projets_Climat'!$P49="Validé humainement",'09_Form_Projets_Climat'!T49,"")</x:f>
      </x:c>
      <x:c r="U49" s="76" t="str">
        <x:f>IF('09_Form_Projets_Climat'!$P49="Validé humainement",'09_Form_Projets_Climat'!U49,"")</x:f>
      </x:c>
    </x:row>
    <x:row r="50">
      <x:c r="A50" s="76" t="str">
        <x:f>IF('09_Form_Projets_Climat'!$P50="Validé humainement",'09_Form_Projets_Climat'!A50,"")</x:f>
      </x:c>
      <x:c r="B50" s="76" t="str">
        <x:f>IF('09_Form_Projets_Climat'!$P50="Validé humainement",'09_Form_Projets_Climat'!B50,"")</x:f>
      </x:c>
      <x:c r="C50" s="76" t="str">
        <x:f>IF('09_Form_Projets_Climat'!$P50="Validé humainement",'09_Form_Projets_Climat'!C50,"")</x:f>
      </x:c>
      <x:c r="D50" s="76" t="str">
        <x:f>IF('09_Form_Projets_Climat'!$P50="Validé humainement",'09_Form_Projets_Climat'!D50,"")</x:f>
      </x:c>
      <x:c r="E50" s="76" t="str">
        <x:f>IF('09_Form_Projets_Climat'!$P50="Validé humainement",'09_Form_Projets_Climat'!E50,"")</x:f>
      </x:c>
      <x:c r="F50" s="76" t="str">
        <x:f>IF('09_Form_Projets_Climat'!$P50="Validé humainement",'09_Form_Projets_Climat'!F50,"")</x:f>
      </x:c>
      <x:c r="G50" s="78" t="str">
        <x:f>IF('09_Form_Projets_Climat'!$P50="Validé humainement",'09_Form_Projets_Climat'!G50,"")</x:f>
      </x:c>
      <x:c r="H50" s="78" t="str">
        <x:f>IF('09_Form_Projets_Climat'!$P50="Validé humainement",'09_Form_Projets_Climat'!H50,"")</x:f>
      </x:c>
      <x:c r="I50" s="81" t="str">
        <x:f>IF('09_Form_Projets_Climat'!$P50="Validé humainement",'09_Form_Projets_Climat'!I50,"")</x:f>
      </x:c>
      <x:c r="J50" s="81" t="str">
        <x:f>IF('09_Form_Projets_Climat'!$P50="Validé humainement",'09_Form_Projets_Climat'!J50,"")</x:f>
      </x:c>
      <x:c r="K50" s="81" t="str">
        <x:f>IF('09_Form_Projets_Climat'!$P50="Validé humainement",'09_Form_Projets_Climat'!K50,"")</x:f>
      </x:c>
      <x:c r="L50" s="84" t="str">
        <x:f>IF('09_Form_Projets_Climat'!$P50="Validé humainement",'09_Form_Projets_Climat'!L50,"")</x:f>
      </x:c>
      <x:c r="M50" s="76" t="str">
        <x:f>IF('09_Form_Projets_Climat'!$P50="Validé humainement",'09_Form_Projets_Climat'!M50,"")</x:f>
      </x:c>
      <x:c r="N50" s="76" t="str">
        <x:f>IF('09_Form_Projets_Climat'!$P50="Validé humainement",'09_Form_Projets_Climat'!N50,"")</x:f>
      </x:c>
      <x:c r="O50" s="76" t="str">
        <x:f>IF('09_Form_Projets_Climat'!$P50="Validé humainement",'09_Form_Projets_Climat'!O50,"")</x:f>
      </x:c>
      <x:c r="P50" s="76" t="str">
        <x:f>IF('09_Form_Projets_Climat'!$P50="Validé humainement",'09_Form_Projets_Climat'!P50,"")</x:f>
      </x:c>
      <x:c r="Q50" s="76" t="str">
        <x:f>IF('09_Form_Projets_Climat'!$P50="Validé humainement",'09_Form_Projets_Climat'!Q50,"")</x:f>
      </x:c>
      <x:c r="R50" s="78" t="str">
        <x:f>IF('09_Form_Projets_Climat'!$P50="Validé humainement",'09_Form_Projets_Climat'!R50,"")</x:f>
      </x:c>
      <x:c r="S50" s="76" t="str">
        <x:f>IF('09_Form_Projets_Climat'!$P50="Validé humainement",'09_Form_Projets_Climat'!S50,"")</x:f>
      </x:c>
      <x:c r="T50" s="76" t="str">
        <x:f>IF('09_Form_Projets_Climat'!$P50="Validé humainement",'09_Form_Projets_Climat'!T50,"")</x:f>
      </x:c>
      <x:c r="U50" s="76" t="str">
        <x:f>IF('09_Form_Projets_Climat'!$P50="Validé humainement",'09_Form_Projets_Climat'!U50,"")</x:f>
      </x:c>
    </x:row>
    <x:row r="51">
      <x:c r="A51" s="76" t="str">
        <x:f>IF('09_Form_Projets_Climat'!$P51="Validé humainement",'09_Form_Projets_Climat'!A51,"")</x:f>
      </x:c>
      <x:c r="B51" s="76" t="str">
        <x:f>IF('09_Form_Projets_Climat'!$P51="Validé humainement",'09_Form_Projets_Climat'!B51,"")</x:f>
      </x:c>
      <x:c r="C51" s="76" t="str">
        <x:f>IF('09_Form_Projets_Climat'!$P51="Validé humainement",'09_Form_Projets_Climat'!C51,"")</x:f>
      </x:c>
      <x:c r="D51" s="76" t="str">
        <x:f>IF('09_Form_Projets_Climat'!$P51="Validé humainement",'09_Form_Projets_Climat'!D51,"")</x:f>
      </x:c>
      <x:c r="E51" s="76" t="str">
        <x:f>IF('09_Form_Projets_Climat'!$P51="Validé humainement",'09_Form_Projets_Climat'!E51,"")</x:f>
      </x:c>
      <x:c r="F51" s="76" t="str">
        <x:f>IF('09_Form_Projets_Climat'!$P51="Validé humainement",'09_Form_Projets_Climat'!F51,"")</x:f>
      </x:c>
      <x:c r="G51" s="78" t="str">
        <x:f>IF('09_Form_Projets_Climat'!$P51="Validé humainement",'09_Form_Projets_Climat'!G51,"")</x:f>
      </x:c>
      <x:c r="H51" s="78" t="str">
        <x:f>IF('09_Form_Projets_Climat'!$P51="Validé humainement",'09_Form_Projets_Climat'!H51,"")</x:f>
      </x:c>
      <x:c r="I51" s="81" t="str">
        <x:f>IF('09_Form_Projets_Climat'!$P51="Validé humainement",'09_Form_Projets_Climat'!I51,"")</x:f>
      </x:c>
      <x:c r="J51" s="81" t="str">
        <x:f>IF('09_Form_Projets_Climat'!$P51="Validé humainement",'09_Form_Projets_Climat'!J51,"")</x:f>
      </x:c>
      <x:c r="K51" s="81" t="str">
        <x:f>IF('09_Form_Projets_Climat'!$P51="Validé humainement",'09_Form_Projets_Climat'!K51,"")</x:f>
      </x:c>
      <x:c r="L51" s="84" t="str">
        <x:f>IF('09_Form_Projets_Climat'!$P51="Validé humainement",'09_Form_Projets_Climat'!L51,"")</x:f>
      </x:c>
      <x:c r="M51" s="76" t="str">
        <x:f>IF('09_Form_Projets_Climat'!$P51="Validé humainement",'09_Form_Projets_Climat'!M51,"")</x:f>
      </x:c>
      <x:c r="N51" s="76" t="str">
        <x:f>IF('09_Form_Projets_Climat'!$P51="Validé humainement",'09_Form_Projets_Climat'!N51,"")</x:f>
      </x:c>
      <x:c r="O51" s="76" t="str">
        <x:f>IF('09_Form_Projets_Climat'!$P51="Validé humainement",'09_Form_Projets_Climat'!O51,"")</x:f>
      </x:c>
      <x:c r="P51" s="76" t="str">
        <x:f>IF('09_Form_Projets_Climat'!$P51="Validé humainement",'09_Form_Projets_Climat'!P51,"")</x:f>
      </x:c>
      <x:c r="Q51" s="76" t="str">
        <x:f>IF('09_Form_Projets_Climat'!$P51="Validé humainement",'09_Form_Projets_Climat'!Q51,"")</x:f>
      </x:c>
      <x:c r="R51" s="78" t="str">
        <x:f>IF('09_Form_Projets_Climat'!$P51="Validé humainement",'09_Form_Projets_Climat'!R51,"")</x:f>
      </x:c>
      <x:c r="S51" s="76" t="str">
        <x:f>IF('09_Form_Projets_Climat'!$P51="Validé humainement",'09_Form_Projets_Climat'!S51,"")</x:f>
      </x:c>
      <x:c r="T51" s="76" t="str">
        <x:f>IF('09_Form_Projets_Climat'!$P51="Validé humainement",'09_Form_Projets_Climat'!T51,"")</x:f>
      </x:c>
      <x:c r="U51" s="76" t="str">
        <x:f>IF('09_Form_Projets_Climat'!$P51="Validé humainement",'09_Form_Projets_Climat'!U51,"")</x:f>
      </x:c>
    </x:row>
    <x:row r="52">
      <x:c r="A52" s="76" t="str">
        <x:f>IF('09_Form_Projets_Climat'!$P52="Validé humainement",'09_Form_Projets_Climat'!A52,"")</x:f>
      </x:c>
      <x:c r="B52" s="76" t="str">
        <x:f>IF('09_Form_Projets_Climat'!$P52="Validé humainement",'09_Form_Projets_Climat'!B52,"")</x:f>
      </x:c>
      <x:c r="C52" s="76" t="str">
        <x:f>IF('09_Form_Projets_Climat'!$P52="Validé humainement",'09_Form_Projets_Climat'!C52,"")</x:f>
      </x:c>
      <x:c r="D52" s="76" t="str">
        <x:f>IF('09_Form_Projets_Climat'!$P52="Validé humainement",'09_Form_Projets_Climat'!D52,"")</x:f>
      </x:c>
      <x:c r="E52" s="76" t="str">
        <x:f>IF('09_Form_Projets_Climat'!$P52="Validé humainement",'09_Form_Projets_Climat'!E52,"")</x:f>
      </x:c>
      <x:c r="F52" s="76" t="str">
        <x:f>IF('09_Form_Projets_Climat'!$P52="Validé humainement",'09_Form_Projets_Climat'!F52,"")</x:f>
      </x:c>
      <x:c r="G52" s="78" t="str">
        <x:f>IF('09_Form_Projets_Climat'!$P52="Validé humainement",'09_Form_Projets_Climat'!G52,"")</x:f>
      </x:c>
      <x:c r="H52" s="78" t="str">
        <x:f>IF('09_Form_Projets_Climat'!$P52="Validé humainement",'09_Form_Projets_Climat'!H52,"")</x:f>
      </x:c>
      <x:c r="I52" s="81" t="str">
        <x:f>IF('09_Form_Projets_Climat'!$P52="Validé humainement",'09_Form_Projets_Climat'!I52,"")</x:f>
      </x:c>
      <x:c r="J52" s="81" t="str">
        <x:f>IF('09_Form_Projets_Climat'!$P52="Validé humainement",'09_Form_Projets_Climat'!J52,"")</x:f>
      </x:c>
      <x:c r="K52" s="81" t="str">
        <x:f>IF('09_Form_Projets_Climat'!$P52="Validé humainement",'09_Form_Projets_Climat'!K52,"")</x:f>
      </x:c>
      <x:c r="L52" s="84" t="str">
        <x:f>IF('09_Form_Projets_Climat'!$P52="Validé humainement",'09_Form_Projets_Climat'!L52,"")</x:f>
      </x:c>
      <x:c r="M52" s="76" t="str">
        <x:f>IF('09_Form_Projets_Climat'!$P52="Validé humainement",'09_Form_Projets_Climat'!M52,"")</x:f>
      </x:c>
      <x:c r="N52" s="76" t="str">
        <x:f>IF('09_Form_Projets_Climat'!$P52="Validé humainement",'09_Form_Projets_Climat'!N52,"")</x:f>
      </x:c>
      <x:c r="O52" s="76" t="str">
        <x:f>IF('09_Form_Projets_Climat'!$P52="Validé humainement",'09_Form_Projets_Climat'!O52,"")</x:f>
      </x:c>
      <x:c r="P52" s="76" t="str">
        <x:f>IF('09_Form_Projets_Climat'!$P52="Validé humainement",'09_Form_Projets_Climat'!P52,"")</x:f>
      </x:c>
      <x:c r="Q52" s="76" t="str">
        <x:f>IF('09_Form_Projets_Climat'!$P52="Validé humainement",'09_Form_Projets_Climat'!Q52,"")</x:f>
      </x:c>
      <x:c r="R52" s="78" t="str">
        <x:f>IF('09_Form_Projets_Climat'!$P52="Validé humainement",'09_Form_Projets_Climat'!R52,"")</x:f>
      </x:c>
      <x:c r="S52" s="76" t="str">
        <x:f>IF('09_Form_Projets_Climat'!$P52="Validé humainement",'09_Form_Projets_Climat'!S52,"")</x:f>
      </x:c>
      <x:c r="T52" s="76" t="str">
        <x:f>IF('09_Form_Projets_Climat'!$P52="Validé humainement",'09_Form_Projets_Climat'!T52,"")</x:f>
      </x:c>
      <x:c r="U52" s="76" t="str">
        <x:f>IF('09_Form_Projets_Climat'!$P52="Validé humainement",'09_Form_Projets_Climat'!U52,"")</x:f>
      </x:c>
    </x:row>
    <x:row r="53">
      <x:c r="A53" s="76" t="str">
        <x:f>IF('09_Form_Projets_Climat'!$P53="Validé humainement",'09_Form_Projets_Climat'!A53,"")</x:f>
      </x:c>
      <x:c r="B53" s="76" t="str">
        <x:f>IF('09_Form_Projets_Climat'!$P53="Validé humainement",'09_Form_Projets_Climat'!B53,"")</x:f>
      </x:c>
      <x:c r="C53" s="76" t="str">
        <x:f>IF('09_Form_Projets_Climat'!$P53="Validé humainement",'09_Form_Projets_Climat'!C53,"")</x:f>
      </x:c>
      <x:c r="D53" s="76" t="str">
        <x:f>IF('09_Form_Projets_Climat'!$P53="Validé humainement",'09_Form_Projets_Climat'!D53,"")</x:f>
      </x:c>
      <x:c r="E53" s="76" t="str">
        <x:f>IF('09_Form_Projets_Climat'!$P53="Validé humainement",'09_Form_Projets_Climat'!E53,"")</x:f>
      </x:c>
      <x:c r="F53" s="76" t="str">
        <x:f>IF('09_Form_Projets_Climat'!$P53="Validé humainement",'09_Form_Projets_Climat'!F53,"")</x:f>
      </x:c>
      <x:c r="G53" s="78" t="str">
        <x:f>IF('09_Form_Projets_Climat'!$P53="Validé humainement",'09_Form_Projets_Climat'!G53,"")</x:f>
      </x:c>
      <x:c r="H53" s="78" t="str">
        <x:f>IF('09_Form_Projets_Climat'!$P53="Validé humainement",'09_Form_Projets_Climat'!H53,"")</x:f>
      </x:c>
      <x:c r="I53" s="81" t="str">
        <x:f>IF('09_Form_Projets_Climat'!$P53="Validé humainement",'09_Form_Projets_Climat'!I53,"")</x:f>
      </x:c>
      <x:c r="J53" s="81" t="str">
        <x:f>IF('09_Form_Projets_Climat'!$P53="Validé humainement",'09_Form_Projets_Climat'!J53,"")</x:f>
      </x:c>
      <x:c r="K53" s="81" t="str">
        <x:f>IF('09_Form_Projets_Climat'!$P53="Validé humainement",'09_Form_Projets_Climat'!K53,"")</x:f>
      </x:c>
      <x:c r="L53" s="84" t="str">
        <x:f>IF('09_Form_Projets_Climat'!$P53="Validé humainement",'09_Form_Projets_Climat'!L53,"")</x:f>
      </x:c>
      <x:c r="M53" s="76" t="str">
        <x:f>IF('09_Form_Projets_Climat'!$P53="Validé humainement",'09_Form_Projets_Climat'!M53,"")</x:f>
      </x:c>
      <x:c r="N53" s="76" t="str">
        <x:f>IF('09_Form_Projets_Climat'!$P53="Validé humainement",'09_Form_Projets_Climat'!N53,"")</x:f>
      </x:c>
      <x:c r="O53" s="76" t="str">
        <x:f>IF('09_Form_Projets_Climat'!$P53="Validé humainement",'09_Form_Projets_Climat'!O53,"")</x:f>
      </x:c>
      <x:c r="P53" s="76" t="str">
        <x:f>IF('09_Form_Projets_Climat'!$P53="Validé humainement",'09_Form_Projets_Climat'!P53,"")</x:f>
      </x:c>
      <x:c r="Q53" s="76" t="str">
        <x:f>IF('09_Form_Projets_Climat'!$P53="Validé humainement",'09_Form_Projets_Climat'!Q53,"")</x:f>
      </x:c>
      <x:c r="R53" s="78" t="str">
        <x:f>IF('09_Form_Projets_Climat'!$P53="Validé humainement",'09_Form_Projets_Climat'!R53,"")</x:f>
      </x:c>
      <x:c r="S53" s="76" t="str">
        <x:f>IF('09_Form_Projets_Climat'!$P53="Validé humainement",'09_Form_Projets_Climat'!S53,"")</x:f>
      </x:c>
      <x:c r="T53" s="76" t="str">
        <x:f>IF('09_Form_Projets_Climat'!$P53="Validé humainement",'09_Form_Projets_Climat'!T53,"")</x:f>
      </x:c>
      <x:c r="U53" s="76" t="str">
        <x:f>IF('09_Form_Projets_Climat'!$P53="Validé humainement",'09_Form_Projets_Climat'!U53,"")</x:f>
      </x:c>
    </x:row>
    <x:row r="54">
      <x:c r="A54" s="76" t="str">
        <x:f>IF('09_Form_Projets_Climat'!$P54="Validé humainement",'09_Form_Projets_Climat'!A54,"")</x:f>
      </x:c>
      <x:c r="B54" s="76" t="str">
        <x:f>IF('09_Form_Projets_Climat'!$P54="Validé humainement",'09_Form_Projets_Climat'!B54,"")</x:f>
      </x:c>
      <x:c r="C54" s="76" t="str">
        <x:f>IF('09_Form_Projets_Climat'!$P54="Validé humainement",'09_Form_Projets_Climat'!C54,"")</x:f>
      </x:c>
      <x:c r="D54" s="76" t="str">
        <x:f>IF('09_Form_Projets_Climat'!$P54="Validé humainement",'09_Form_Projets_Climat'!D54,"")</x:f>
      </x:c>
      <x:c r="E54" s="76" t="str">
        <x:f>IF('09_Form_Projets_Climat'!$P54="Validé humainement",'09_Form_Projets_Climat'!E54,"")</x:f>
      </x:c>
      <x:c r="F54" s="76" t="str">
        <x:f>IF('09_Form_Projets_Climat'!$P54="Validé humainement",'09_Form_Projets_Climat'!F54,"")</x:f>
      </x:c>
      <x:c r="G54" s="78" t="str">
        <x:f>IF('09_Form_Projets_Climat'!$P54="Validé humainement",'09_Form_Projets_Climat'!G54,"")</x:f>
      </x:c>
      <x:c r="H54" s="78" t="str">
        <x:f>IF('09_Form_Projets_Climat'!$P54="Validé humainement",'09_Form_Projets_Climat'!H54,"")</x:f>
      </x:c>
      <x:c r="I54" s="81" t="str">
        <x:f>IF('09_Form_Projets_Climat'!$P54="Validé humainement",'09_Form_Projets_Climat'!I54,"")</x:f>
      </x:c>
      <x:c r="J54" s="81" t="str">
        <x:f>IF('09_Form_Projets_Climat'!$P54="Validé humainement",'09_Form_Projets_Climat'!J54,"")</x:f>
      </x:c>
      <x:c r="K54" s="81" t="str">
        <x:f>IF('09_Form_Projets_Climat'!$P54="Validé humainement",'09_Form_Projets_Climat'!K54,"")</x:f>
      </x:c>
      <x:c r="L54" s="84" t="str">
        <x:f>IF('09_Form_Projets_Climat'!$P54="Validé humainement",'09_Form_Projets_Climat'!L54,"")</x:f>
      </x:c>
      <x:c r="M54" s="76" t="str">
        <x:f>IF('09_Form_Projets_Climat'!$P54="Validé humainement",'09_Form_Projets_Climat'!M54,"")</x:f>
      </x:c>
      <x:c r="N54" s="76" t="str">
        <x:f>IF('09_Form_Projets_Climat'!$P54="Validé humainement",'09_Form_Projets_Climat'!N54,"")</x:f>
      </x:c>
      <x:c r="O54" s="76" t="str">
        <x:f>IF('09_Form_Projets_Climat'!$P54="Validé humainement",'09_Form_Projets_Climat'!O54,"")</x:f>
      </x:c>
      <x:c r="P54" s="76" t="str">
        <x:f>IF('09_Form_Projets_Climat'!$P54="Validé humainement",'09_Form_Projets_Climat'!P54,"")</x:f>
      </x:c>
      <x:c r="Q54" s="76" t="str">
        <x:f>IF('09_Form_Projets_Climat'!$P54="Validé humainement",'09_Form_Projets_Climat'!Q54,"")</x:f>
      </x:c>
      <x:c r="R54" s="78" t="str">
        <x:f>IF('09_Form_Projets_Climat'!$P54="Validé humainement",'09_Form_Projets_Climat'!R54,"")</x:f>
      </x:c>
      <x:c r="S54" s="76" t="str">
        <x:f>IF('09_Form_Projets_Climat'!$P54="Validé humainement",'09_Form_Projets_Climat'!S54,"")</x:f>
      </x:c>
      <x:c r="T54" s="76" t="str">
        <x:f>IF('09_Form_Projets_Climat'!$P54="Validé humainement",'09_Form_Projets_Climat'!T54,"")</x:f>
      </x:c>
      <x:c r="U54" s="76" t="str">
        <x:f>IF('09_Form_Projets_Climat'!$P54="Validé humainement",'09_Form_Projets_Climat'!U54,"")</x:f>
      </x:c>
    </x:row>
    <x:row r="55">
      <x:c r="A55" s="76" t="str">
        <x:f>IF('09_Form_Projets_Climat'!$P55="Validé humainement",'09_Form_Projets_Climat'!A55,"")</x:f>
      </x:c>
      <x:c r="B55" s="76" t="str">
        <x:f>IF('09_Form_Projets_Climat'!$P55="Validé humainement",'09_Form_Projets_Climat'!B55,"")</x:f>
      </x:c>
      <x:c r="C55" s="76" t="str">
        <x:f>IF('09_Form_Projets_Climat'!$P55="Validé humainement",'09_Form_Projets_Climat'!C55,"")</x:f>
      </x:c>
      <x:c r="D55" s="76" t="str">
        <x:f>IF('09_Form_Projets_Climat'!$P55="Validé humainement",'09_Form_Projets_Climat'!D55,"")</x:f>
      </x:c>
      <x:c r="E55" s="76" t="str">
        <x:f>IF('09_Form_Projets_Climat'!$P55="Validé humainement",'09_Form_Projets_Climat'!E55,"")</x:f>
      </x:c>
      <x:c r="F55" s="76" t="str">
        <x:f>IF('09_Form_Projets_Climat'!$P55="Validé humainement",'09_Form_Projets_Climat'!F55,"")</x:f>
      </x:c>
      <x:c r="G55" s="78" t="str">
        <x:f>IF('09_Form_Projets_Climat'!$P55="Validé humainement",'09_Form_Projets_Climat'!G55,"")</x:f>
      </x:c>
      <x:c r="H55" s="78" t="str">
        <x:f>IF('09_Form_Projets_Climat'!$P55="Validé humainement",'09_Form_Projets_Climat'!H55,"")</x:f>
      </x:c>
      <x:c r="I55" s="81" t="str">
        <x:f>IF('09_Form_Projets_Climat'!$P55="Validé humainement",'09_Form_Projets_Climat'!I55,"")</x:f>
      </x:c>
      <x:c r="J55" s="81" t="str">
        <x:f>IF('09_Form_Projets_Climat'!$P55="Validé humainement",'09_Form_Projets_Climat'!J55,"")</x:f>
      </x:c>
      <x:c r="K55" s="81" t="str">
        <x:f>IF('09_Form_Projets_Climat'!$P55="Validé humainement",'09_Form_Projets_Climat'!K55,"")</x:f>
      </x:c>
      <x:c r="L55" s="84" t="str">
        <x:f>IF('09_Form_Projets_Climat'!$P55="Validé humainement",'09_Form_Projets_Climat'!L55,"")</x:f>
      </x:c>
      <x:c r="M55" s="76" t="str">
        <x:f>IF('09_Form_Projets_Climat'!$P55="Validé humainement",'09_Form_Projets_Climat'!M55,"")</x:f>
      </x:c>
      <x:c r="N55" s="76" t="str">
        <x:f>IF('09_Form_Projets_Climat'!$P55="Validé humainement",'09_Form_Projets_Climat'!N55,"")</x:f>
      </x:c>
      <x:c r="O55" s="76" t="str">
        <x:f>IF('09_Form_Projets_Climat'!$P55="Validé humainement",'09_Form_Projets_Climat'!O55,"")</x:f>
      </x:c>
      <x:c r="P55" s="76" t="str">
        <x:f>IF('09_Form_Projets_Climat'!$P55="Validé humainement",'09_Form_Projets_Climat'!P55,"")</x:f>
      </x:c>
      <x:c r="Q55" s="76" t="str">
        <x:f>IF('09_Form_Projets_Climat'!$P55="Validé humainement",'09_Form_Projets_Climat'!Q55,"")</x:f>
      </x:c>
      <x:c r="R55" s="78" t="str">
        <x:f>IF('09_Form_Projets_Climat'!$P55="Validé humainement",'09_Form_Projets_Climat'!R55,"")</x:f>
      </x:c>
      <x:c r="S55" s="76" t="str">
        <x:f>IF('09_Form_Projets_Climat'!$P55="Validé humainement",'09_Form_Projets_Climat'!S55,"")</x:f>
      </x:c>
      <x:c r="T55" s="76" t="str">
        <x:f>IF('09_Form_Projets_Climat'!$P55="Validé humainement",'09_Form_Projets_Climat'!T55,"")</x:f>
      </x:c>
      <x:c r="U55" s="76" t="str">
        <x:f>IF('09_Form_Projets_Climat'!$P55="Validé humainement",'09_Form_Projets_Climat'!U55,"")</x:f>
      </x:c>
    </x:row>
    <x:row r="56">
      <x:c r="A56" s="76" t="str">
        <x:f>IF('09_Form_Projets_Climat'!$P56="Validé humainement",'09_Form_Projets_Climat'!A56,"")</x:f>
      </x:c>
      <x:c r="B56" s="76" t="str">
        <x:f>IF('09_Form_Projets_Climat'!$P56="Validé humainement",'09_Form_Projets_Climat'!B56,"")</x:f>
      </x:c>
      <x:c r="C56" s="76" t="str">
        <x:f>IF('09_Form_Projets_Climat'!$P56="Validé humainement",'09_Form_Projets_Climat'!C56,"")</x:f>
      </x:c>
      <x:c r="D56" s="76" t="str">
        <x:f>IF('09_Form_Projets_Climat'!$P56="Validé humainement",'09_Form_Projets_Climat'!D56,"")</x:f>
      </x:c>
      <x:c r="E56" s="76" t="str">
        <x:f>IF('09_Form_Projets_Climat'!$P56="Validé humainement",'09_Form_Projets_Climat'!E56,"")</x:f>
      </x:c>
      <x:c r="F56" s="76" t="str">
        <x:f>IF('09_Form_Projets_Climat'!$P56="Validé humainement",'09_Form_Projets_Climat'!F56,"")</x:f>
      </x:c>
      <x:c r="G56" s="78" t="str">
        <x:f>IF('09_Form_Projets_Climat'!$P56="Validé humainement",'09_Form_Projets_Climat'!G56,"")</x:f>
      </x:c>
      <x:c r="H56" s="78" t="str">
        <x:f>IF('09_Form_Projets_Climat'!$P56="Validé humainement",'09_Form_Projets_Climat'!H56,"")</x:f>
      </x:c>
      <x:c r="I56" s="81" t="str">
        <x:f>IF('09_Form_Projets_Climat'!$P56="Validé humainement",'09_Form_Projets_Climat'!I56,"")</x:f>
      </x:c>
      <x:c r="J56" s="81" t="str">
        <x:f>IF('09_Form_Projets_Climat'!$P56="Validé humainement",'09_Form_Projets_Climat'!J56,"")</x:f>
      </x:c>
      <x:c r="K56" s="81" t="str">
        <x:f>IF('09_Form_Projets_Climat'!$P56="Validé humainement",'09_Form_Projets_Climat'!K56,"")</x:f>
      </x:c>
      <x:c r="L56" s="84" t="str">
        <x:f>IF('09_Form_Projets_Climat'!$P56="Validé humainement",'09_Form_Projets_Climat'!L56,"")</x:f>
      </x:c>
      <x:c r="M56" s="76" t="str">
        <x:f>IF('09_Form_Projets_Climat'!$P56="Validé humainement",'09_Form_Projets_Climat'!M56,"")</x:f>
      </x:c>
      <x:c r="N56" s="76" t="str">
        <x:f>IF('09_Form_Projets_Climat'!$P56="Validé humainement",'09_Form_Projets_Climat'!N56,"")</x:f>
      </x:c>
      <x:c r="O56" s="76" t="str">
        <x:f>IF('09_Form_Projets_Climat'!$P56="Validé humainement",'09_Form_Projets_Climat'!O56,"")</x:f>
      </x:c>
      <x:c r="P56" s="76" t="str">
        <x:f>IF('09_Form_Projets_Climat'!$P56="Validé humainement",'09_Form_Projets_Climat'!P56,"")</x:f>
      </x:c>
      <x:c r="Q56" s="76" t="str">
        <x:f>IF('09_Form_Projets_Climat'!$P56="Validé humainement",'09_Form_Projets_Climat'!Q56,"")</x:f>
      </x:c>
      <x:c r="R56" s="78" t="str">
        <x:f>IF('09_Form_Projets_Climat'!$P56="Validé humainement",'09_Form_Projets_Climat'!R56,"")</x:f>
      </x:c>
      <x:c r="S56" s="76" t="str">
        <x:f>IF('09_Form_Projets_Climat'!$P56="Validé humainement",'09_Form_Projets_Climat'!S56,"")</x:f>
      </x:c>
      <x:c r="T56" s="76" t="str">
        <x:f>IF('09_Form_Projets_Climat'!$P56="Validé humainement",'09_Form_Projets_Climat'!T56,"")</x:f>
      </x:c>
      <x:c r="U56" s="76" t="str">
        <x:f>IF('09_Form_Projets_Climat'!$P56="Validé humainement",'09_Form_Projets_Climat'!U56,"")</x:f>
      </x:c>
    </x:row>
    <x:row r="57">
      <x:c r="A57" s="76" t="str">
        <x:f>IF('09_Form_Projets_Climat'!$P57="Validé humainement",'09_Form_Projets_Climat'!A57,"")</x:f>
      </x:c>
      <x:c r="B57" s="76" t="str">
        <x:f>IF('09_Form_Projets_Climat'!$P57="Validé humainement",'09_Form_Projets_Climat'!B57,"")</x:f>
      </x:c>
      <x:c r="C57" s="76" t="str">
        <x:f>IF('09_Form_Projets_Climat'!$P57="Validé humainement",'09_Form_Projets_Climat'!C57,"")</x:f>
      </x:c>
      <x:c r="D57" s="76" t="str">
        <x:f>IF('09_Form_Projets_Climat'!$P57="Validé humainement",'09_Form_Projets_Climat'!D57,"")</x:f>
      </x:c>
      <x:c r="E57" s="76" t="str">
        <x:f>IF('09_Form_Projets_Climat'!$P57="Validé humainement",'09_Form_Projets_Climat'!E57,"")</x:f>
      </x:c>
      <x:c r="F57" s="76" t="str">
        <x:f>IF('09_Form_Projets_Climat'!$P57="Validé humainement",'09_Form_Projets_Climat'!F57,"")</x:f>
      </x:c>
      <x:c r="G57" s="78" t="str">
        <x:f>IF('09_Form_Projets_Climat'!$P57="Validé humainement",'09_Form_Projets_Climat'!G57,"")</x:f>
      </x:c>
      <x:c r="H57" s="78" t="str">
        <x:f>IF('09_Form_Projets_Climat'!$P57="Validé humainement",'09_Form_Projets_Climat'!H57,"")</x:f>
      </x:c>
      <x:c r="I57" s="81" t="str">
        <x:f>IF('09_Form_Projets_Climat'!$P57="Validé humainement",'09_Form_Projets_Climat'!I57,"")</x:f>
      </x:c>
      <x:c r="J57" s="81" t="str">
        <x:f>IF('09_Form_Projets_Climat'!$P57="Validé humainement",'09_Form_Projets_Climat'!J57,"")</x:f>
      </x:c>
      <x:c r="K57" s="81" t="str">
        <x:f>IF('09_Form_Projets_Climat'!$P57="Validé humainement",'09_Form_Projets_Climat'!K57,"")</x:f>
      </x:c>
      <x:c r="L57" s="84" t="str">
        <x:f>IF('09_Form_Projets_Climat'!$P57="Validé humainement",'09_Form_Projets_Climat'!L57,"")</x:f>
      </x:c>
      <x:c r="M57" s="76" t="str">
        <x:f>IF('09_Form_Projets_Climat'!$P57="Validé humainement",'09_Form_Projets_Climat'!M57,"")</x:f>
      </x:c>
      <x:c r="N57" s="76" t="str">
        <x:f>IF('09_Form_Projets_Climat'!$P57="Validé humainement",'09_Form_Projets_Climat'!N57,"")</x:f>
      </x:c>
      <x:c r="O57" s="76" t="str">
        <x:f>IF('09_Form_Projets_Climat'!$P57="Validé humainement",'09_Form_Projets_Climat'!O57,"")</x:f>
      </x:c>
      <x:c r="P57" s="76" t="str">
        <x:f>IF('09_Form_Projets_Climat'!$P57="Validé humainement",'09_Form_Projets_Climat'!P57,"")</x:f>
      </x:c>
      <x:c r="Q57" s="76" t="str">
        <x:f>IF('09_Form_Projets_Climat'!$P57="Validé humainement",'09_Form_Projets_Climat'!Q57,"")</x:f>
      </x:c>
      <x:c r="R57" s="78" t="str">
        <x:f>IF('09_Form_Projets_Climat'!$P57="Validé humainement",'09_Form_Projets_Climat'!R57,"")</x:f>
      </x:c>
      <x:c r="S57" s="76" t="str">
        <x:f>IF('09_Form_Projets_Climat'!$P57="Validé humainement",'09_Form_Projets_Climat'!S57,"")</x:f>
      </x:c>
      <x:c r="T57" s="76" t="str">
        <x:f>IF('09_Form_Projets_Climat'!$P57="Validé humainement",'09_Form_Projets_Climat'!T57,"")</x:f>
      </x:c>
      <x:c r="U57" s="76" t="str">
        <x:f>IF('09_Form_Projets_Climat'!$P57="Validé humainement",'09_Form_Projets_Climat'!U57,"")</x:f>
      </x:c>
    </x:row>
    <x:row r="58">
      <x:c r="A58" s="76" t="str">
        <x:f>IF('09_Form_Projets_Climat'!$P58="Validé humainement",'09_Form_Projets_Climat'!A58,"")</x:f>
      </x:c>
      <x:c r="B58" s="76" t="str">
        <x:f>IF('09_Form_Projets_Climat'!$P58="Validé humainement",'09_Form_Projets_Climat'!B58,"")</x:f>
      </x:c>
      <x:c r="C58" s="76" t="str">
        <x:f>IF('09_Form_Projets_Climat'!$P58="Validé humainement",'09_Form_Projets_Climat'!C58,"")</x:f>
      </x:c>
      <x:c r="D58" s="76" t="str">
        <x:f>IF('09_Form_Projets_Climat'!$P58="Validé humainement",'09_Form_Projets_Climat'!D58,"")</x:f>
      </x:c>
      <x:c r="E58" s="76" t="str">
        <x:f>IF('09_Form_Projets_Climat'!$P58="Validé humainement",'09_Form_Projets_Climat'!E58,"")</x:f>
      </x:c>
      <x:c r="F58" s="76" t="str">
        <x:f>IF('09_Form_Projets_Climat'!$P58="Validé humainement",'09_Form_Projets_Climat'!F58,"")</x:f>
      </x:c>
      <x:c r="G58" s="78" t="str">
        <x:f>IF('09_Form_Projets_Climat'!$P58="Validé humainement",'09_Form_Projets_Climat'!G58,"")</x:f>
      </x:c>
      <x:c r="H58" s="78" t="str">
        <x:f>IF('09_Form_Projets_Climat'!$P58="Validé humainement",'09_Form_Projets_Climat'!H58,"")</x:f>
      </x:c>
      <x:c r="I58" s="81" t="str">
        <x:f>IF('09_Form_Projets_Climat'!$P58="Validé humainement",'09_Form_Projets_Climat'!I58,"")</x:f>
      </x:c>
      <x:c r="J58" s="81" t="str">
        <x:f>IF('09_Form_Projets_Climat'!$P58="Validé humainement",'09_Form_Projets_Climat'!J58,"")</x:f>
      </x:c>
      <x:c r="K58" s="81" t="str">
        <x:f>IF('09_Form_Projets_Climat'!$P58="Validé humainement",'09_Form_Projets_Climat'!K58,"")</x:f>
      </x:c>
      <x:c r="L58" s="84" t="str">
        <x:f>IF('09_Form_Projets_Climat'!$P58="Validé humainement",'09_Form_Projets_Climat'!L58,"")</x:f>
      </x:c>
      <x:c r="M58" s="76" t="str">
        <x:f>IF('09_Form_Projets_Climat'!$P58="Validé humainement",'09_Form_Projets_Climat'!M58,"")</x:f>
      </x:c>
      <x:c r="N58" s="76" t="str">
        <x:f>IF('09_Form_Projets_Climat'!$P58="Validé humainement",'09_Form_Projets_Climat'!N58,"")</x:f>
      </x:c>
      <x:c r="O58" s="76" t="str">
        <x:f>IF('09_Form_Projets_Climat'!$P58="Validé humainement",'09_Form_Projets_Climat'!O58,"")</x:f>
      </x:c>
      <x:c r="P58" s="76" t="str">
        <x:f>IF('09_Form_Projets_Climat'!$P58="Validé humainement",'09_Form_Projets_Climat'!P58,"")</x:f>
      </x:c>
      <x:c r="Q58" s="76" t="str">
        <x:f>IF('09_Form_Projets_Climat'!$P58="Validé humainement",'09_Form_Projets_Climat'!Q58,"")</x:f>
      </x:c>
      <x:c r="R58" s="78" t="str">
        <x:f>IF('09_Form_Projets_Climat'!$P58="Validé humainement",'09_Form_Projets_Climat'!R58,"")</x:f>
      </x:c>
      <x:c r="S58" s="76" t="str">
        <x:f>IF('09_Form_Projets_Climat'!$P58="Validé humainement",'09_Form_Projets_Climat'!S58,"")</x:f>
      </x:c>
      <x:c r="T58" s="76" t="str">
        <x:f>IF('09_Form_Projets_Climat'!$P58="Validé humainement",'09_Form_Projets_Climat'!T58,"")</x:f>
      </x:c>
      <x:c r="U58" s="76" t="str">
        <x:f>IF('09_Form_Projets_Climat'!$P58="Validé humainement",'09_Form_Projets_Climat'!U58,"")</x:f>
      </x:c>
    </x:row>
    <x:row r="59">
      <x:c r="A59" s="76" t="str">
        <x:f>IF('09_Form_Projets_Climat'!$P59="Validé humainement",'09_Form_Projets_Climat'!A59,"")</x:f>
      </x:c>
      <x:c r="B59" s="76" t="str">
        <x:f>IF('09_Form_Projets_Climat'!$P59="Validé humainement",'09_Form_Projets_Climat'!B59,"")</x:f>
      </x:c>
      <x:c r="C59" s="76" t="str">
        <x:f>IF('09_Form_Projets_Climat'!$P59="Validé humainement",'09_Form_Projets_Climat'!C59,"")</x:f>
      </x:c>
      <x:c r="D59" s="76" t="str">
        <x:f>IF('09_Form_Projets_Climat'!$P59="Validé humainement",'09_Form_Projets_Climat'!D59,"")</x:f>
      </x:c>
      <x:c r="E59" s="76" t="str">
        <x:f>IF('09_Form_Projets_Climat'!$P59="Validé humainement",'09_Form_Projets_Climat'!E59,"")</x:f>
      </x:c>
      <x:c r="F59" s="76" t="str">
        <x:f>IF('09_Form_Projets_Climat'!$P59="Validé humainement",'09_Form_Projets_Climat'!F59,"")</x:f>
      </x:c>
      <x:c r="G59" s="78" t="str">
        <x:f>IF('09_Form_Projets_Climat'!$P59="Validé humainement",'09_Form_Projets_Climat'!G59,"")</x:f>
      </x:c>
      <x:c r="H59" s="78" t="str">
        <x:f>IF('09_Form_Projets_Climat'!$P59="Validé humainement",'09_Form_Projets_Climat'!H59,"")</x:f>
      </x:c>
      <x:c r="I59" s="81" t="str">
        <x:f>IF('09_Form_Projets_Climat'!$P59="Validé humainement",'09_Form_Projets_Climat'!I59,"")</x:f>
      </x:c>
      <x:c r="J59" s="81" t="str">
        <x:f>IF('09_Form_Projets_Climat'!$P59="Validé humainement",'09_Form_Projets_Climat'!J59,"")</x:f>
      </x:c>
      <x:c r="K59" s="81" t="str">
        <x:f>IF('09_Form_Projets_Climat'!$P59="Validé humainement",'09_Form_Projets_Climat'!K59,"")</x:f>
      </x:c>
      <x:c r="L59" s="84" t="str">
        <x:f>IF('09_Form_Projets_Climat'!$P59="Validé humainement",'09_Form_Projets_Climat'!L59,"")</x:f>
      </x:c>
      <x:c r="M59" s="76" t="str">
        <x:f>IF('09_Form_Projets_Climat'!$P59="Validé humainement",'09_Form_Projets_Climat'!M59,"")</x:f>
      </x:c>
      <x:c r="N59" s="76" t="str">
        <x:f>IF('09_Form_Projets_Climat'!$P59="Validé humainement",'09_Form_Projets_Climat'!N59,"")</x:f>
      </x:c>
      <x:c r="O59" s="76" t="str">
        <x:f>IF('09_Form_Projets_Climat'!$P59="Validé humainement",'09_Form_Projets_Climat'!O59,"")</x:f>
      </x:c>
      <x:c r="P59" s="76" t="str">
        <x:f>IF('09_Form_Projets_Climat'!$P59="Validé humainement",'09_Form_Projets_Climat'!P59,"")</x:f>
      </x:c>
      <x:c r="Q59" s="76" t="str">
        <x:f>IF('09_Form_Projets_Climat'!$P59="Validé humainement",'09_Form_Projets_Climat'!Q59,"")</x:f>
      </x:c>
      <x:c r="R59" s="78" t="str">
        <x:f>IF('09_Form_Projets_Climat'!$P59="Validé humainement",'09_Form_Projets_Climat'!R59,"")</x:f>
      </x:c>
      <x:c r="S59" s="76" t="str">
        <x:f>IF('09_Form_Projets_Climat'!$P59="Validé humainement",'09_Form_Projets_Climat'!S59,"")</x:f>
      </x:c>
      <x:c r="T59" s="76" t="str">
        <x:f>IF('09_Form_Projets_Climat'!$P59="Validé humainement",'09_Form_Projets_Climat'!T59,"")</x:f>
      </x:c>
      <x:c r="U59" s="76" t="str">
        <x:f>IF('09_Form_Projets_Climat'!$P59="Validé humainement",'09_Form_Projets_Climat'!U59,"")</x:f>
      </x:c>
    </x:row>
    <x:row r="60">
      <x:c r="A60" s="76" t="str">
        <x:f>IF('09_Form_Projets_Climat'!$P60="Validé humainement",'09_Form_Projets_Climat'!A60,"")</x:f>
      </x:c>
      <x:c r="B60" s="76" t="str">
        <x:f>IF('09_Form_Projets_Climat'!$P60="Validé humainement",'09_Form_Projets_Climat'!B60,"")</x:f>
      </x:c>
      <x:c r="C60" s="76" t="str">
        <x:f>IF('09_Form_Projets_Climat'!$P60="Validé humainement",'09_Form_Projets_Climat'!C60,"")</x:f>
      </x:c>
      <x:c r="D60" s="76" t="str">
        <x:f>IF('09_Form_Projets_Climat'!$P60="Validé humainement",'09_Form_Projets_Climat'!D60,"")</x:f>
      </x:c>
      <x:c r="E60" s="76" t="str">
        <x:f>IF('09_Form_Projets_Climat'!$P60="Validé humainement",'09_Form_Projets_Climat'!E60,"")</x:f>
      </x:c>
      <x:c r="F60" s="76" t="str">
        <x:f>IF('09_Form_Projets_Climat'!$P60="Validé humainement",'09_Form_Projets_Climat'!F60,"")</x:f>
      </x:c>
      <x:c r="G60" s="78" t="str">
        <x:f>IF('09_Form_Projets_Climat'!$P60="Validé humainement",'09_Form_Projets_Climat'!G60,"")</x:f>
      </x:c>
      <x:c r="H60" s="78" t="str">
        <x:f>IF('09_Form_Projets_Climat'!$P60="Validé humainement",'09_Form_Projets_Climat'!H60,"")</x:f>
      </x:c>
      <x:c r="I60" s="81" t="str">
        <x:f>IF('09_Form_Projets_Climat'!$P60="Validé humainement",'09_Form_Projets_Climat'!I60,"")</x:f>
      </x:c>
      <x:c r="J60" s="81" t="str">
        <x:f>IF('09_Form_Projets_Climat'!$P60="Validé humainement",'09_Form_Projets_Climat'!J60,"")</x:f>
      </x:c>
      <x:c r="K60" s="81" t="str">
        <x:f>IF('09_Form_Projets_Climat'!$P60="Validé humainement",'09_Form_Projets_Climat'!K60,"")</x:f>
      </x:c>
      <x:c r="L60" s="84" t="str">
        <x:f>IF('09_Form_Projets_Climat'!$P60="Validé humainement",'09_Form_Projets_Climat'!L60,"")</x:f>
      </x:c>
      <x:c r="M60" s="76" t="str">
        <x:f>IF('09_Form_Projets_Climat'!$P60="Validé humainement",'09_Form_Projets_Climat'!M60,"")</x:f>
      </x:c>
      <x:c r="N60" s="76" t="str">
        <x:f>IF('09_Form_Projets_Climat'!$P60="Validé humainement",'09_Form_Projets_Climat'!N60,"")</x:f>
      </x:c>
      <x:c r="O60" s="76" t="str">
        <x:f>IF('09_Form_Projets_Climat'!$P60="Validé humainement",'09_Form_Projets_Climat'!O60,"")</x:f>
      </x:c>
      <x:c r="P60" s="76" t="str">
        <x:f>IF('09_Form_Projets_Climat'!$P60="Validé humainement",'09_Form_Projets_Climat'!P60,"")</x:f>
      </x:c>
      <x:c r="Q60" s="76" t="str">
        <x:f>IF('09_Form_Projets_Climat'!$P60="Validé humainement",'09_Form_Projets_Climat'!Q60,"")</x:f>
      </x:c>
      <x:c r="R60" s="78" t="str">
        <x:f>IF('09_Form_Projets_Climat'!$P60="Validé humainement",'09_Form_Projets_Climat'!R60,"")</x:f>
      </x:c>
      <x:c r="S60" s="76" t="str">
        <x:f>IF('09_Form_Projets_Climat'!$P60="Validé humainement",'09_Form_Projets_Climat'!S60,"")</x:f>
      </x:c>
      <x:c r="T60" s="76" t="str">
        <x:f>IF('09_Form_Projets_Climat'!$P60="Validé humainement",'09_Form_Projets_Climat'!T60,"")</x:f>
      </x:c>
      <x:c r="U60" s="76" t="str">
        <x:f>IF('09_Form_Projets_Climat'!$P60="Validé humainement",'09_Form_Projets_Climat'!U60,"")</x:f>
      </x:c>
    </x:row>
    <x:row r="61">
      <x:c r="A61" s="76" t="str">
        <x:f>IF('09_Form_Projets_Climat'!$P61="Validé humainement",'09_Form_Projets_Climat'!A61,"")</x:f>
      </x:c>
      <x:c r="B61" s="76" t="str">
        <x:f>IF('09_Form_Projets_Climat'!$P61="Validé humainement",'09_Form_Projets_Climat'!B61,"")</x:f>
      </x:c>
      <x:c r="C61" s="76" t="str">
        <x:f>IF('09_Form_Projets_Climat'!$P61="Validé humainement",'09_Form_Projets_Climat'!C61,"")</x:f>
      </x:c>
      <x:c r="D61" s="76" t="str">
        <x:f>IF('09_Form_Projets_Climat'!$P61="Validé humainement",'09_Form_Projets_Climat'!D61,"")</x:f>
      </x:c>
      <x:c r="E61" s="76" t="str">
        <x:f>IF('09_Form_Projets_Climat'!$P61="Validé humainement",'09_Form_Projets_Climat'!E61,"")</x:f>
      </x:c>
      <x:c r="F61" s="76" t="str">
        <x:f>IF('09_Form_Projets_Climat'!$P61="Validé humainement",'09_Form_Projets_Climat'!F61,"")</x:f>
      </x:c>
      <x:c r="G61" s="78" t="str">
        <x:f>IF('09_Form_Projets_Climat'!$P61="Validé humainement",'09_Form_Projets_Climat'!G61,"")</x:f>
      </x:c>
      <x:c r="H61" s="78" t="str">
        <x:f>IF('09_Form_Projets_Climat'!$P61="Validé humainement",'09_Form_Projets_Climat'!H61,"")</x:f>
      </x:c>
      <x:c r="I61" s="81" t="str">
        <x:f>IF('09_Form_Projets_Climat'!$P61="Validé humainement",'09_Form_Projets_Climat'!I61,"")</x:f>
      </x:c>
      <x:c r="J61" s="81" t="str">
        <x:f>IF('09_Form_Projets_Climat'!$P61="Validé humainement",'09_Form_Projets_Climat'!J61,"")</x:f>
      </x:c>
      <x:c r="K61" s="81" t="str">
        <x:f>IF('09_Form_Projets_Climat'!$P61="Validé humainement",'09_Form_Projets_Climat'!K61,"")</x:f>
      </x:c>
      <x:c r="L61" s="84" t="str">
        <x:f>IF('09_Form_Projets_Climat'!$P61="Validé humainement",'09_Form_Projets_Climat'!L61,"")</x:f>
      </x:c>
      <x:c r="M61" s="76" t="str">
        <x:f>IF('09_Form_Projets_Climat'!$P61="Validé humainement",'09_Form_Projets_Climat'!M61,"")</x:f>
      </x:c>
      <x:c r="N61" s="76" t="str">
        <x:f>IF('09_Form_Projets_Climat'!$P61="Validé humainement",'09_Form_Projets_Climat'!N61,"")</x:f>
      </x:c>
      <x:c r="O61" s="76" t="str">
        <x:f>IF('09_Form_Projets_Climat'!$P61="Validé humainement",'09_Form_Projets_Climat'!O61,"")</x:f>
      </x:c>
      <x:c r="P61" s="76" t="str">
        <x:f>IF('09_Form_Projets_Climat'!$P61="Validé humainement",'09_Form_Projets_Climat'!P61,"")</x:f>
      </x:c>
      <x:c r="Q61" s="76" t="str">
        <x:f>IF('09_Form_Projets_Climat'!$P61="Validé humainement",'09_Form_Projets_Climat'!Q61,"")</x:f>
      </x:c>
      <x:c r="R61" s="78" t="str">
        <x:f>IF('09_Form_Projets_Climat'!$P61="Validé humainement",'09_Form_Projets_Climat'!R61,"")</x:f>
      </x:c>
      <x:c r="S61" s="76" t="str">
        <x:f>IF('09_Form_Projets_Climat'!$P61="Validé humainement",'09_Form_Projets_Climat'!S61,"")</x:f>
      </x:c>
      <x:c r="T61" s="76" t="str">
        <x:f>IF('09_Form_Projets_Climat'!$P61="Validé humainement",'09_Form_Projets_Climat'!T61,"")</x:f>
      </x:c>
      <x:c r="U61" s="76" t="str">
        <x:f>IF('09_Form_Projets_Climat'!$P61="Validé humainement",'09_Form_Projets_Climat'!U61,"")</x:f>
      </x:c>
    </x:row>
    <x:row r="62">
      <x:c r="A62" s="76" t="str">
        <x:f>IF('09_Form_Projets_Climat'!$P62="Validé humainement",'09_Form_Projets_Climat'!A62,"")</x:f>
      </x:c>
      <x:c r="B62" s="76" t="str">
        <x:f>IF('09_Form_Projets_Climat'!$P62="Validé humainement",'09_Form_Projets_Climat'!B62,"")</x:f>
      </x:c>
      <x:c r="C62" s="76" t="str">
        <x:f>IF('09_Form_Projets_Climat'!$P62="Validé humainement",'09_Form_Projets_Climat'!C62,"")</x:f>
      </x:c>
      <x:c r="D62" s="76" t="str">
        <x:f>IF('09_Form_Projets_Climat'!$P62="Validé humainement",'09_Form_Projets_Climat'!D62,"")</x:f>
      </x:c>
      <x:c r="E62" s="76" t="str">
        <x:f>IF('09_Form_Projets_Climat'!$P62="Validé humainement",'09_Form_Projets_Climat'!E62,"")</x:f>
      </x:c>
      <x:c r="F62" s="76" t="str">
        <x:f>IF('09_Form_Projets_Climat'!$P62="Validé humainement",'09_Form_Projets_Climat'!F62,"")</x:f>
      </x:c>
      <x:c r="G62" s="78" t="str">
        <x:f>IF('09_Form_Projets_Climat'!$P62="Validé humainement",'09_Form_Projets_Climat'!G62,"")</x:f>
      </x:c>
      <x:c r="H62" s="78" t="str">
        <x:f>IF('09_Form_Projets_Climat'!$P62="Validé humainement",'09_Form_Projets_Climat'!H62,"")</x:f>
      </x:c>
      <x:c r="I62" s="81" t="str">
        <x:f>IF('09_Form_Projets_Climat'!$P62="Validé humainement",'09_Form_Projets_Climat'!I62,"")</x:f>
      </x:c>
      <x:c r="J62" s="81" t="str">
        <x:f>IF('09_Form_Projets_Climat'!$P62="Validé humainement",'09_Form_Projets_Climat'!J62,"")</x:f>
      </x:c>
      <x:c r="K62" s="81" t="str">
        <x:f>IF('09_Form_Projets_Climat'!$P62="Validé humainement",'09_Form_Projets_Climat'!K62,"")</x:f>
      </x:c>
      <x:c r="L62" s="84" t="str">
        <x:f>IF('09_Form_Projets_Climat'!$P62="Validé humainement",'09_Form_Projets_Climat'!L62,"")</x:f>
      </x:c>
      <x:c r="M62" s="76" t="str">
        <x:f>IF('09_Form_Projets_Climat'!$P62="Validé humainement",'09_Form_Projets_Climat'!M62,"")</x:f>
      </x:c>
      <x:c r="N62" s="76" t="str">
        <x:f>IF('09_Form_Projets_Climat'!$P62="Validé humainement",'09_Form_Projets_Climat'!N62,"")</x:f>
      </x:c>
      <x:c r="O62" s="76" t="str">
        <x:f>IF('09_Form_Projets_Climat'!$P62="Validé humainement",'09_Form_Projets_Climat'!O62,"")</x:f>
      </x:c>
      <x:c r="P62" s="76" t="str">
        <x:f>IF('09_Form_Projets_Climat'!$P62="Validé humainement",'09_Form_Projets_Climat'!P62,"")</x:f>
      </x:c>
      <x:c r="Q62" s="76" t="str">
        <x:f>IF('09_Form_Projets_Climat'!$P62="Validé humainement",'09_Form_Projets_Climat'!Q62,"")</x:f>
      </x:c>
      <x:c r="R62" s="78" t="str">
        <x:f>IF('09_Form_Projets_Climat'!$P62="Validé humainement",'09_Form_Projets_Climat'!R62,"")</x:f>
      </x:c>
      <x:c r="S62" s="76" t="str">
        <x:f>IF('09_Form_Projets_Climat'!$P62="Validé humainement",'09_Form_Projets_Climat'!S62,"")</x:f>
      </x:c>
      <x:c r="T62" s="76" t="str">
        <x:f>IF('09_Form_Projets_Climat'!$P62="Validé humainement",'09_Form_Projets_Climat'!T62,"")</x:f>
      </x:c>
      <x:c r="U62" s="76" t="str">
        <x:f>IF('09_Form_Projets_Climat'!$P62="Validé humainement",'09_Form_Projets_Climat'!U62,"")</x:f>
      </x:c>
    </x:row>
    <x:row r="63">
      <x:c r="A63" s="76" t="str">
        <x:f>IF('09_Form_Projets_Climat'!$P63="Validé humainement",'09_Form_Projets_Climat'!A63,"")</x:f>
      </x:c>
      <x:c r="B63" s="76" t="str">
        <x:f>IF('09_Form_Projets_Climat'!$P63="Validé humainement",'09_Form_Projets_Climat'!B63,"")</x:f>
      </x:c>
      <x:c r="C63" s="76" t="str">
        <x:f>IF('09_Form_Projets_Climat'!$P63="Validé humainement",'09_Form_Projets_Climat'!C63,"")</x:f>
      </x:c>
      <x:c r="D63" s="76" t="str">
        <x:f>IF('09_Form_Projets_Climat'!$P63="Validé humainement",'09_Form_Projets_Climat'!D63,"")</x:f>
      </x:c>
      <x:c r="E63" s="76" t="str">
        <x:f>IF('09_Form_Projets_Climat'!$P63="Validé humainement",'09_Form_Projets_Climat'!E63,"")</x:f>
      </x:c>
      <x:c r="F63" s="76" t="str">
        <x:f>IF('09_Form_Projets_Climat'!$P63="Validé humainement",'09_Form_Projets_Climat'!F63,"")</x:f>
      </x:c>
      <x:c r="G63" s="78" t="str">
        <x:f>IF('09_Form_Projets_Climat'!$P63="Validé humainement",'09_Form_Projets_Climat'!G63,"")</x:f>
      </x:c>
      <x:c r="H63" s="78" t="str">
        <x:f>IF('09_Form_Projets_Climat'!$P63="Validé humainement",'09_Form_Projets_Climat'!H63,"")</x:f>
      </x:c>
      <x:c r="I63" s="81" t="str">
        <x:f>IF('09_Form_Projets_Climat'!$P63="Validé humainement",'09_Form_Projets_Climat'!I63,"")</x:f>
      </x:c>
      <x:c r="J63" s="81" t="str">
        <x:f>IF('09_Form_Projets_Climat'!$P63="Validé humainement",'09_Form_Projets_Climat'!J63,"")</x:f>
      </x:c>
      <x:c r="K63" s="81" t="str">
        <x:f>IF('09_Form_Projets_Climat'!$P63="Validé humainement",'09_Form_Projets_Climat'!K63,"")</x:f>
      </x:c>
      <x:c r="L63" s="84" t="str">
        <x:f>IF('09_Form_Projets_Climat'!$P63="Validé humainement",'09_Form_Projets_Climat'!L63,"")</x:f>
      </x:c>
      <x:c r="M63" s="76" t="str">
        <x:f>IF('09_Form_Projets_Climat'!$P63="Validé humainement",'09_Form_Projets_Climat'!M63,"")</x:f>
      </x:c>
      <x:c r="N63" s="76" t="str">
        <x:f>IF('09_Form_Projets_Climat'!$P63="Validé humainement",'09_Form_Projets_Climat'!N63,"")</x:f>
      </x:c>
      <x:c r="O63" s="76" t="str">
        <x:f>IF('09_Form_Projets_Climat'!$P63="Validé humainement",'09_Form_Projets_Climat'!O63,"")</x:f>
      </x:c>
      <x:c r="P63" s="76" t="str">
        <x:f>IF('09_Form_Projets_Climat'!$P63="Validé humainement",'09_Form_Projets_Climat'!P63,"")</x:f>
      </x:c>
      <x:c r="Q63" s="76" t="str">
        <x:f>IF('09_Form_Projets_Climat'!$P63="Validé humainement",'09_Form_Projets_Climat'!Q63,"")</x:f>
      </x:c>
      <x:c r="R63" s="78" t="str">
        <x:f>IF('09_Form_Projets_Climat'!$P63="Validé humainement",'09_Form_Projets_Climat'!R63,"")</x:f>
      </x:c>
      <x:c r="S63" s="76" t="str">
        <x:f>IF('09_Form_Projets_Climat'!$P63="Validé humainement",'09_Form_Projets_Climat'!S63,"")</x:f>
      </x:c>
      <x:c r="T63" s="76" t="str">
        <x:f>IF('09_Form_Projets_Climat'!$P63="Validé humainement",'09_Form_Projets_Climat'!T63,"")</x:f>
      </x:c>
      <x:c r="U63" s="76" t="str">
        <x:f>IF('09_Form_Projets_Climat'!$P63="Validé humainement",'09_Form_Projets_Climat'!U63,"")</x:f>
      </x:c>
    </x:row>
    <x:row r="64">
      <x:c r="A64" s="76" t="str">
        <x:f>IF('09_Form_Projets_Climat'!$P64="Validé humainement",'09_Form_Projets_Climat'!A64,"")</x:f>
      </x:c>
      <x:c r="B64" s="76" t="str">
        <x:f>IF('09_Form_Projets_Climat'!$P64="Validé humainement",'09_Form_Projets_Climat'!B64,"")</x:f>
      </x:c>
      <x:c r="C64" s="76" t="str">
        <x:f>IF('09_Form_Projets_Climat'!$P64="Validé humainement",'09_Form_Projets_Climat'!C64,"")</x:f>
      </x:c>
      <x:c r="D64" s="76" t="str">
        <x:f>IF('09_Form_Projets_Climat'!$P64="Validé humainement",'09_Form_Projets_Climat'!D64,"")</x:f>
      </x:c>
      <x:c r="E64" s="76" t="str">
        <x:f>IF('09_Form_Projets_Climat'!$P64="Validé humainement",'09_Form_Projets_Climat'!E64,"")</x:f>
      </x:c>
      <x:c r="F64" s="76" t="str">
        <x:f>IF('09_Form_Projets_Climat'!$P64="Validé humainement",'09_Form_Projets_Climat'!F64,"")</x:f>
      </x:c>
      <x:c r="G64" s="78" t="str">
        <x:f>IF('09_Form_Projets_Climat'!$P64="Validé humainement",'09_Form_Projets_Climat'!G64,"")</x:f>
      </x:c>
      <x:c r="H64" s="78" t="str">
        <x:f>IF('09_Form_Projets_Climat'!$P64="Validé humainement",'09_Form_Projets_Climat'!H64,"")</x:f>
      </x:c>
      <x:c r="I64" s="81" t="str">
        <x:f>IF('09_Form_Projets_Climat'!$P64="Validé humainement",'09_Form_Projets_Climat'!I64,"")</x:f>
      </x:c>
      <x:c r="J64" s="81" t="str">
        <x:f>IF('09_Form_Projets_Climat'!$P64="Validé humainement",'09_Form_Projets_Climat'!J64,"")</x:f>
      </x:c>
      <x:c r="K64" s="81" t="str">
        <x:f>IF('09_Form_Projets_Climat'!$P64="Validé humainement",'09_Form_Projets_Climat'!K64,"")</x:f>
      </x:c>
      <x:c r="L64" s="84" t="str">
        <x:f>IF('09_Form_Projets_Climat'!$P64="Validé humainement",'09_Form_Projets_Climat'!L64,"")</x:f>
      </x:c>
      <x:c r="M64" s="76" t="str">
        <x:f>IF('09_Form_Projets_Climat'!$P64="Validé humainement",'09_Form_Projets_Climat'!M64,"")</x:f>
      </x:c>
      <x:c r="N64" s="76" t="str">
        <x:f>IF('09_Form_Projets_Climat'!$P64="Validé humainement",'09_Form_Projets_Climat'!N64,"")</x:f>
      </x:c>
      <x:c r="O64" s="76" t="str">
        <x:f>IF('09_Form_Projets_Climat'!$P64="Validé humainement",'09_Form_Projets_Climat'!O64,"")</x:f>
      </x:c>
      <x:c r="P64" s="76" t="str">
        <x:f>IF('09_Form_Projets_Climat'!$P64="Validé humainement",'09_Form_Projets_Climat'!P64,"")</x:f>
      </x:c>
      <x:c r="Q64" s="76" t="str">
        <x:f>IF('09_Form_Projets_Climat'!$P64="Validé humainement",'09_Form_Projets_Climat'!Q64,"")</x:f>
      </x:c>
      <x:c r="R64" s="78" t="str">
        <x:f>IF('09_Form_Projets_Climat'!$P64="Validé humainement",'09_Form_Projets_Climat'!R64,"")</x:f>
      </x:c>
      <x:c r="S64" s="76" t="str">
        <x:f>IF('09_Form_Projets_Climat'!$P64="Validé humainement",'09_Form_Projets_Climat'!S64,"")</x:f>
      </x:c>
      <x:c r="T64" s="76" t="str">
        <x:f>IF('09_Form_Projets_Climat'!$P64="Validé humainement",'09_Form_Projets_Climat'!T64,"")</x:f>
      </x:c>
      <x:c r="U64" s="76" t="str">
        <x:f>IF('09_Form_Projets_Climat'!$P64="Validé humainement",'09_Form_Projets_Climat'!U64,"")</x:f>
      </x:c>
    </x:row>
    <x:row r="65">
      <x:c r="A65" s="76" t="str">
        <x:f>IF('09_Form_Projets_Climat'!$P65="Validé humainement",'09_Form_Projets_Climat'!A65,"")</x:f>
      </x:c>
      <x:c r="B65" s="76" t="str">
        <x:f>IF('09_Form_Projets_Climat'!$P65="Validé humainement",'09_Form_Projets_Climat'!B65,"")</x:f>
      </x:c>
      <x:c r="C65" s="76" t="str">
        <x:f>IF('09_Form_Projets_Climat'!$P65="Validé humainement",'09_Form_Projets_Climat'!C65,"")</x:f>
      </x:c>
      <x:c r="D65" s="76" t="str">
        <x:f>IF('09_Form_Projets_Climat'!$P65="Validé humainement",'09_Form_Projets_Climat'!D65,"")</x:f>
      </x:c>
      <x:c r="E65" s="76" t="str">
        <x:f>IF('09_Form_Projets_Climat'!$P65="Validé humainement",'09_Form_Projets_Climat'!E65,"")</x:f>
      </x:c>
      <x:c r="F65" s="76" t="str">
        <x:f>IF('09_Form_Projets_Climat'!$P65="Validé humainement",'09_Form_Projets_Climat'!F65,"")</x:f>
      </x:c>
      <x:c r="G65" s="78" t="str">
        <x:f>IF('09_Form_Projets_Climat'!$P65="Validé humainement",'09_Form_Projets_Climat'!G65,"")</x:f>
      </x:c>
      <x:c r="H65" s="78" t="str">
        <x:f>IF('09_Form_Projets_Climat'!$P65="Validé humainement",'09_Form_Projets_Climat'!H65,"")</x:f>
      </x:c>
      <x:c r="I65" s="81" t="str">
        <x:f>IF('09_Form_Projets_Climat'!$P65="Validé humainement",'09_Form_Projets_Climat'!I65,"")</x:f>
      </x:c>
      <x:c r="J65" s="81" t="str">
        <x:f>IF('09_Form_Projets_Climat'!$P65="Validé humainement",'09_Form_Projets_Climat'!J65,"")</x:f>
      </x:c>
      <x:c r="K65" s="81" t="str">
        <x:f>IF('09_Form_Projets_Climat'!$P65="Validé humainement",'09_Form_Projets_Climat'!K65,"")</x:f>
      </x:c>
      <x:c r="L65" s="84" t="str">
        <x:f>IF('09_Form_Projets_Climat'!$P65="Validé humainement",'09_Form_Projets_Climat'!L65,"")</x:f>
      </x:c>
      <x:c r="M65" s="76" t="str">
        <x:f>IF('09_Form_Projets_Climat'!$P65="Validé humainement",'09_Form_Projets_Climat'!M65,"")</x:f>
      </x:c>
      <x:c r="N65" s="76" t="str">
        <x:f>IF('09_Form_Projets_Climat'!$P65="Validé humainement",'09_Form_Projets_Climat'!N65,"")</x:f>
      </x:c>
      <x:c r="O65" s="76" t="str">
        <x:f>IF('09_Form_Projets_Climat'!$P65="Validé humainement",'09_Form_Projets_Climat'!O65,"")</x:f>
      </x:c>
      <x:c r="P65" s="76" t="str">
        <x:f>IF('09_Form_Projets_Climat'!$P65="Validé humainement",'09_Form_Projets_Climat'!P65,"")</x:f>
      </x:c>
      <x:c r="Q65" s="76" t="str">
        <x:f>IF('09_Form_Projets_Climat'!$P65="Validé humainement",'09_Form_Projets_Climat'!Q65,"")</x:f>
      </x:c>
      <x:c r="R65" s="78" t="str">
        <x:f>IF('09_Form_Projets_Climat'!$P65="Validé humainement",'09_Form_Projets_Climat'!R65,"")</x:f>
      </x:c>
      <x:c r="S65" s="76" t="str">
        <x:f>IF('09_Form_Projets_Climat'!$P65="Validé humainement",'09_Form_Projets_Climat'!S65,"")</x:f>
      </x:c>
      <x:c r="T65" s="76" t="str">
        <x:f>IF('09_Form_Projets_Climat'!$P65="Validé humainement",'09_Form_Projets_Climat'!T65,"")</x:f>
      </x:c>
      <x:c r="U65" s="76" t="str">
        <x:f>IF('09_Form_Projets_Climat'!$P65="Validé humainement",'09_Form_Projets_Climat'!U65,"")</x:f>
      </x:c>
    </x:row>
    <x:row r="66">
      <x:c r="A66" s="76" t="str">
        <x:f>IF('09_Form_Projets_Climat'!$P66="Validé humainement",'09_Form_Projets_Climat'!A66,"")</x:f>
      </x:c>
      <x:c r="B66" s="76" t="str">
        <x:f>IF('09_Form_Projets_Climat'!$P66="Validé humainement",'09_Form_Projets_Climat'!B66,"")</x:f>
      </x:c>
      <x:c r="C66" s="76" t="str">
        <x:f>IF('09_Form_Projets_Climat'!$P66="Validé humainement",'09_Form_Projets_Climat'!C66,"")</x:f>
      </x:c>
      <x:c r="D66" s="76" t="str">
        <x:f>IF('09_Form_Projets_Climat'!$P66="Validé humainement",'09_Form_Projets_Climat'!D66,"")</x:f>
      </x:c>
      <x:c r="E66" s="76" t="str">
        <x:f>IF('09_Form_Projets_Climat'!$P66="Validé humainement",'09_Form_Projets_Climat'!E66,"")</x:f>
      </x:c>
      <x:c r="F66" s="76" t="str">
        <x:f>IF('09_Form_Projets_Climat'!$P66="Validé humainement",'09_Form_Projets_Climat'!F66,"")</x:f>
      </x:c>
      <x:c r="G66" s="78" t="str">
        <x:f>IF('09_Form_Projets_Climat'!$P66="Validé humainement",'09_Form_Projets_Climat'!G66,"")</x:f>
      </x:c>
      <x:c r="H66" s="78" t="str">
        <x:f>IF('09_Form_Projets_Climat'!$P66="Validé humainement",'09_Form_Projets_Climat'!H66,"")</x:f>
      </x:c>
      <x:c r="I66" s="81" t="str">
        <x:f>IF('09_Form_Projets_Climat'!$P66="Validé humainement",'09_Form_Projets_Climat'!I66,"")</x:f>
      </x:c>
      <x:c r="J66" s="81" t="str">
        <x:f>IF('09_Form_Projets_Climat'!$P66="Validé humainement",'09_Form_Projets_Climat'!J66,"")</x:f>
      </x:c>
      <x:c r="K66" s="81" t="str">
        <x:f>IF('09_Form_Projets_Climat'!$P66="Validé humainement",'09_Form_Projets_Climat'!K66,"")</x:f>
      </x:c>
      <x:c r="L66" s="84" t="str">
        <x:f>IF('09_Form_Projets_Climat'!$P66="Validé humainement",'09_Form_Projets_Climat'!L66,"")</x:f>
      </x:c>
      <x:c r="M66" s="76" t="str">
        <x:f>IF('09_Form_Projets_Climat'!$P66="Validé humainement",'09_Form_Projets_Climat'!M66,"")</x:f>
      </x:c>
      <x:c r="N66" s="76" t="str">
        <x:f>IF('09_Form_Projets_Climat'!$P66="Validé humainement",'09_Form_Projets_Climat'!N66,"")</x:f>
      </x:c>
      <x:c r="O66" s="76" t="str">
        <x:f>IF('09_Form_Projets_Climat'!$P66="Validé humainement",'09_Form_Projets_Climat'!O66,"")</x:f>
      </x:c>
      <x:c r="P66" s="76" t="str">
        <x:f>IF('09_Form_Projets_Climat'!$P66="Validé humainement",'09_Form_Projets_Climat'!P66,"")</x:f>
      </x:c>
      <x:c r="Q66" s="76" t="str">
        <x:f>IF('09_Form_Projets_Climat'!$P66="Validé humainement",'09_Form_Projets_Climat'!Q66,"")</x:f>
      </x:c>
      <x:c r="R66" s="78" t="str">
        <x:f>IF('09_Form_Projets_Climat'!$P66="Validé humainement",'09_Form_Projets_Climat'!R66,"")</x:f>
      </x:c>
      <x:c r="S66" s="76" t="str">
        <x:f>IF('09_Form_Projets_Climat'!$P66="Validé humainement",'09_Form_Projets_Climat'!S66,"")</x:f>
      </x:c>
      <x:c r="T66" s="76" t="str">
        <x:f>IF('09_Form_Projets_Climat'!$P66="Validé humainement",'09_Form_Projets_Climat'!T66,"")</x:f>
      </x:c>
      <x:c r="U66" s="76" t="str">
        <x:f>IF('09_Form_Projets_Climat'!$P66="Validé humainement",'09_Form_Projets_Climat'!U66,"")</x:f>
      </x:c>
    </x:row>
    <x:row r="67">
      <x:c r="A67" s="76" t="str">
        <x:f>IF('09_Form_Projets_Climat'!$P67="Validé humainement",'09_Form_Projets_Climat'!A67,"")</x:f>
      </x:c>
      <x:c r="B67" s="76" t="str">
        <x:f>IF('09_Form_Projets_Climat'!$P67="Validé humainement",'09_Form_Projets_Climat'!B67,"")</x:f>
      </x:c>
      <x:c r="C67" s="76" t="str">
        <x:f>IF('09_Form_Projets_Climat'!$P67="Validé humainement",'09_Form_Projets_Climat'!C67,"")</x:f>
      </x:c>
      <x:c r="D67" s="76" t="str">
        <x:f>IF('09_Form_Projets_Climat'!$P67="Validé humainement",'09_Form_Projets_Climat'!D67,"")</x:f>
      </x:c>
      <x:c r="E67" s="76" t="str">
        <x:f>IF('09_Form_Projets_Climat'!$P67="Validé humainement",'09_Form_Projets_Climat'!E67,"")</x:f>
      </x:c>
      <x:c r="F67" s="76" t="str">
        <x:f>IF('09_Form_Projets_Climat'!$P67="Validé humainement",'09_Form_Projets_Climat'!F67,"")</x:f>
      </x:c>
      <x:c r="G67" s="78" t="str">
        <x:f>IF('09_Form_Projets_Climat'!$P67="Validé humainement",'09_Form_Projets_Climat'!G67,"")</x:f>
      </x:c>
      <x:c r="H67" s="78" t="str">
        <x:f>IF('09_Form_Projets_Climat'!$P67="Validé humainement",'09_Form_Projets_Climat'!H67,"")</x:f>
      </x:c>
      <x:c r="I67" s="81" t="str">
        <x:f>IF('09_Form_Projets_Climat'!$P67="Validé humainement",'09_Form_Projets_Climat'!I67,"")</x:f>
      </x:c>
      <x:c r="J67" s="81" t="str">
        <x:f>IF('09_Form_Projets_Climat'!$P67="Validé humainement",'09_Form_Projets_Climat'!J67,"")</x:f>
      </x:c>
      <x:c r="K67" s="81" t="str">
        <x:f>IF('09_Form_Projets_Climat'!$P67="Validé humainement",'09_Form_Projets_Climat'!K67,"")</x:f>
      </x:c>
      <x:c r="L67" s="84" t="str">
        <x:f>IF('09_Form_Projets_Climat'!$P67="Validé humainement",'09_Form_Projets_Climat'!L67,"")</x:f>
      </x:c>
      <x:c r="M67" s="76" t="str">
        <x:f>IF('09_Form_Projets_Climat'!$P67="Validé humainement",'09_Form_Projets_Climat'!M67,"")</x:f>
      </x:c>
      <x:c r="N67" s="76" t="str">
        <x:f>IF('09_Form_Projets_Climat'!$P67="Validé humainement",'09_Form_Projets_Climat'!N67,"")</x:f>
      </x:c>
      <x:c r="O67" s="76" t="str">
        <x:f>IF('09_Form_Projets_Climat'!$P67="Validé humainement",'09_Form_Projets_Climat'!O67,"")</x:f>
      </x:c>
      <x:c r="P67" s="76" t="str">
        <x:f>IF('09_Form_Projets_Climat'!$P67="Validé humainement",'09_Form_Projets_Climat'!P67,"")</x:f>
      </x:c>
      <x:c r="Q67" s="76" t="str">
        <x:f>IF('09_Form_Projets_Climat'!$P67="Validé humainement",'09_Form_Projets_Climat'!Q67,"")</x:f>
      </x:c>
      <x:c r="R67" s="78" t="str">
        <x:f>IF('09_Form_Projets_Climat'!$P67="Validé humainement",'09_Form_Projets_Climat'!R67,"")</x:f>
      </x:c>
      <x:c r="S67" s="76" t="str">
        <x:f>IF('09_Form_Projets_Climat'!$P67="Validé humainement",'09_Form_Projets_Climat'!S67,"")</x:f>
      </x:c>
      <x:c r="T67" s="76" t="str">
        <x:f>IF('09_Form_Projets_Climat'!$P67="Validé humainement",'09_Form_Projets_Climat'!T67,"")</x:f>
      </x:c>
      <x:c r="U67" s="76" t="str">
        <x:f>IF('09_Form_Projets_Climat'!$P67="Validé humainement",'09_Form_Projets_Climat'!U67,"")</x:f>
      </x:c>
    </x:row>
    <x:row r="68">
      <x:c r="A68" s="76" t="str">
        <x:f>IF('09_Form_Projets_Climat'!$P68="Validé humainement",'09_Form_Projets_Climat'!A68,"")</x:f>
      </x:c>
      <x:c r="B68" s="76" t="str">
        <x:f>IF('09_Form_Projets_Climat'!$P68="Validé humainement",'09_Form_Projets_Climat'!B68,"")</x:f>
      </x:c>
      <x:c r="C68" s="76" t="str">
        <x:f>IF('09_Form_Projets_Climat'!$P68="Validé humainement",'09_Form_Projets_Climat'!C68,"")</x:f>
      </x:c>
      <x:c r="D68" s="76" t="str">
        <x:f>IF('09_Form_Projets_Climat'!$P68="Validé humainement",'09_Form_Projets_Climat'!D68,"")</x:f>
      </x:c>
      <x:c r="E68" s="76" t="str">
        <x:f>IF('09_Form_Projets_Climat'!$P68="Validé humainement",'09_Form_Projets_Climat'!E68,"")</x:f>
      </x:c>
      <x:c r="F68" s="76" t="str">
        <x:f>IF('09_Form_Projets_Climat'!$P68="Validé humainement",'09_Form_Projets_Climat'!F68,"")</x:f>
      </x:c>
      <x:c r="G68" s="78" t="str">
        <x:f>IF('09_Form_Projets_Climat'!$P68="Validé humainement",'09_Form_Projets_Climat'!G68,"")</x:f>
      </x:c>
      <x:c r="H68" s="78" t="str">
        <x:f>IF('09_Form_Projets_Climat'!$P68="Validé humainement",'09_Form_Projets_Climat'!H68,"")</x:f>
      </x:c>
      <x:c r="I68" s="81" t="str">
        <x:f>IF('09_Form_Projets_Climat'!$P68="Validé humainement",'09_Form_Projets_Climat'!I68,"")</x:f>
      </x:c>
      <x:c r="J68" s="81" t="str">
        <x:f>IF('09_Form_Projets_Climat'!$P68="Validé humainement",'09_Form_Projets_Climat'!J68,"")</x:f>
      </x:c>
      <x:c r="K68" s="81" t="str">
        <x:f>IF('09_Form_Projets_Climat'!$P68="Validé humainement",'09_Form_Projets_Climat'!K68,"")</x:f>
      </x:c>
      <x:c r="L68" s="84" t="str">
        <x:f>IF('09_Form_Projets_Climat'!$P68="Validé humainement",'09_Form_Projets_Climat'!L68,"")</x:f>
      </x:c>
      <x:c r="M68" s="76" t="str">
        <x:f>IF('09_Form_Projets_Climat'!$P68="Validé humainement",'09_Form_Projets_Climat'!M68,"")</x:f>
      </x:c>
      <x:c r="N68" s="76" t="str">
        <x:f>IF('09_Form_Projets_Climat'!$P68="Validé humainement",'09_Form_Projets_Climat'!N68,"")</x:f>
      </x:c>
      <x:c r="O68" s="76" t="str">
        <x:f>IF('09_Form_Projets_Climat'!$P68="Validé humainement",'09_Form_Projets_Climat'!O68,"")</x:f>
      </x:c>
      <x:c r="P68" s="76" t="str">
        <x:f>IF('09_Form_Projets_Climat'!$P68="Validé humainement",'09_Form_Projets_Climat'!P68,"")</x:f>
      </x:c>
      <x:c r="Q68" s="76" t="str">
        <x:f>IF('09_Form_Projets_Climat'!$P68="Validé humainement",'09_Form_Projets_Climat'!Q68,"")</x:f>
      </x:c>
      <x:c r="R68" s="78" t="str">
        <x:f>IF('09_Form_Projets_Climat'!$P68="Validé humainement",'09_Form_Projets_Climat'!R68,"")</x:f>
      </x:c>
      <x:c r="S68" s="76" t="str">
        <x:f>IF('09_Form_Projets_Climat'!$P68="Validé humainement",'09_Form_Projets_Climat'!S68,"")</x:f>
      </x:c>
      <x:c r="T68" s="76" t="str">
        <x:f>IF('09_Form_Projets_Climat'!$P68="Validé humainement",'09_Form_Projets_Climat'!T68,"")</x:f>
      </x:c>
      <x:c r="U68" s="76" t="str">
        <x:f>IF('09_Form_Projets_Climat'!$P68="Validé humainement",'09_Form_Projets_Climat'!U68,"")</x:f>
      </x:c>
    </x:row>
    <x:row r="69">
      <x:c r="A69" s="76" t="str">
        <x:f>IF('09_Form_Projets_Climat'!$P69="Validé humainement",'09_Form_Projets_Climat'!A69,"")</x:f>
      </x:c>
      <x:c r="B69" s="76" t="str">
        <x:f>IF('09_Form_Projets_Climat'!$P69="Validé humainement",'09_Form_Projets_Climat'!B69,"")</x:f>
      </x:c>
      <x:c r="C69" s="76" t="str">
        <x:f>IF('09_Form_Projets_Climat'!$P69="Validé humainement",'09_Form_Projets_Climat'!C69,"")</x:f>
      </x:c>
      <x:c r="D69" s="76" t="str">
        <x:f>IF('09_Form_Projets_Climat'!$P69="Validé humainement",'09_Form_Projets_Climat'!D69,"")</x:f>
      </x:c>
      <x:c r="E69" s="76" t="str">
        <x:f>IF('09_Form_Projets_Climat'!$P69="Validé humainement",'09_Form_Projets_Climat'!E69,"")</x:f>
      </x:c>
      <x:c r="F69" s="76" t="str">
        <x:f>IF('09_Form_Projets_Climat'!$P69="Validé humainement",'09_Form_Projets_Climat'!F69,"")</x:f>
      </x:c>
      <x:c r="G69" s="78" t="str">
        <x:f>IF('09_Form_Projets_Climat'!$P69="Validé humainement",'09_Form_Projets_Climat'!G69,"")</x:f>
      </x:c>
      <x:c r="H69" s="78" t="str">
        <x:f>IF('09_Form_Projets_Climat'!$P69="Validé humainement",'09_Form_Projets_Climat'!H69,"")</x:f>
      </x:c>
      <x:c r="I69" s="81" t="str">
        <x:f>IF('09_Form_Projets_Climat'!$P69="Validé humainement",'09_Form_Projets_Climat'!I69,"")</x:f>
      </x:c>
      <x:c r="J69" s="81" t="str">
        <x:f>IF('09_Form_Projets_Climat'!$P69="Validé humainement",'09_Form_Projets_Climat'!J69,"")</x:f>
      </x:c>
      <x:c r="K69" s="81" t="str">
        <x:f>IF('09_Form_Projets_Climat'!$P69="Validé humainement",'09_Form_Projets_Climat'!K69,"")</x:f>
      </x:c>
      <x:c r="L69" s="84" t="str">
        <x:f>IF('09_Form_Projets_Climat'!$P69="Validé humainement",'09_Form_Projets_Climat'!L69,"")</x:f>
      </x:c>
      <x:c r="M69" s="76" t="str">
        <x:f>IF('09_Form_Projets_Climat'!$P69="Validé humainement",'09_Form_Projets_Climat'!M69,"")</x:f>
      </x:c>
      <x:c r="N69" s="76" t="str">
        <x:f>IF('09_Form_Projets_Climat'!$P69="Validé humainement",'09_Form_Projets_Climat'!N69,"")</x:f>
      </x:c>
      <x:c r="O69" s="76" t="str">
        <x:f>IF('09_Form_Projets_Climat'!$P69="Validé humainement",'09_Form_Projets_Climat'!O69,"")</x:f>
      </x:c>
      <x:c r="P69" s="76" t="str">
        <x:f>IF('09_Form_Projets_Climat'!$P69="Validé humainement",'09_Form_Projets_Climat'!P69,"")</x:f>
      </x:c>
      <x:c r="Q69" s="76" t="str">
        <x:f>IF('09_Form_Projets_Climat'!$P69="Validé humainement",'09_Form_Projets_Climat'!Q69,"")</x:f>
      </x:c>
      <x:c r="R69" s="78" t="str">
        <x:f>IF('09_Form_Projets_Climat'!$P69="Validé humainement",'09_Form_Projets_Climat'!R69,"")</x:f>
      </x:c>
      <x:c r="S69" s="76" t="str">
        <x:f>IF('09_Form_Projets_Climat'!$P69="Validé humainement",'09_Form_Projets_Climat'!S69,"")</x:f>
      </x:c>
      <x:c r="T69" s="76" t="str">
        <x:f>IF('09_Form_Projets_Climat'!$P69="Validé humainement",'09_Form_Projets_Climat'!T69,"")</x:f>
      </x:c>
      <x:c r="U69" s="76" t="str">
        <x:f>IF('09_Form_Projets_Climat'!$P69="Validé humainement",'09_Form_Projets_Climat'!U69,"")</x:f>
      </x:c>
    </x:row>
    <x:row r="70">
      <x:c r="A70" s="76" t="str">
        <x:f>IF('09_Form_Projets_Climat'!$P70="Validé humainement",'09_Form_Projets_Climat'!A70,"")</x:f>
      </x:c>
      <x:c r="B70" s="76" t="str">
        <x:f>IF('09_Form_Projets_Climat'!$P70="Validé humainement",'09_Form_Projets_Climat'!B70,"")</x:f>
      </x:c>
      <x:c r="C70" s="76" t="str">
        <x:f>IF('09_Form_Projets_Climat'!$P70="Validé humainement",'09_Form_Projets_Climat'!C70,"")</x:f>
      </x:c>
      <x:c r="D70" s="76" t="str">
        <x:f>IF('09_Form_Projets_Climat'!$P70="Validé humainement",'09_Form_Projets_Climat'!D70,"")</x:f>
      </x:c>
      <x:c r="E70" s="76" t="str">
        <x:f>IF('09_Form_Projets_Climat'!$P70="Validé humainement",'09_Form_Projets_Climat'!E70,"")</x:f>
      </x:c>
      <x:c r="F70" s="76" t="str">
        <x:f>IF('09_Form_Projets_Climat'!$P70="Validé humainement",'09_Form_Projets_Climat'!F70,"")</x:f>
      </x:c>
      <x:c r="G70" s="78" t="str">
        <x:f>IF('09_Form_Projets_Climat'!$P70="Validé humainement",'09_Form_Projets_Climat'!G70,"")</x:f>
      </x:c>
      <x:c r="H70" s="78" t="str">
        <x:f>IF('09_Form_Projets_Climat'!$P70="Validé humainement",'09_Form_Projets_Climat'!H70,"")</x:f>
      </x:c>
      <x:c r="I70" s="81" t="str">
        <x:f>IF('09_Form_Projets_Climat'!$P70="Validé humainement",'09_Form_Projets_Climat'!I70,"")</x:f>
      </x:c>
      <x:c r="J70" s="81" t="str">
        <x:f>IF('09_Form_Projets_Climat'!$P70="Validé humainement",'09_Form_Projets_Climat'!J70,"")</x:f>
      </x:c>
      <x:c r="K70" s="81" t="str">
        <x:f>IF('09_Form_Projets_Climat'!$P70="Validé humainement",'09_Form_Projets_Climat'!K70,"")</x:f>
      </x:c>
      <x:c r="L70" s="84" t="str">
        <x:f>IF('09_Form_Projets_Climat'!$P70="Validé humainement",'09_Form_Projets_Climat'!L70,"")</x:f>
      </x:c>
      <x:c r="M70" s="76" t="str">
        <x:f>IF('09_Form_Projets_Climat'!$P70="Validé humainement",'09_Form_Projets_Climat'!M70,"")</x:f>
      </x:c>
      <x:c r="N70" s="76" t="str">
        <x:f>IF('09_Form_Projets_Climat'!$P70="Validé humainement",'09_Form_Projets_Climat'!N70,"")</x:f>
      </x:c>
      <x:c r="O70" s="76" t="str">
        <x:f>IF('09_Form_Projets_Climat'!$P70="Validé humainement",'09_Form_Projets_Climat'!O70,"")</x:f>
      </x:c>
      <x:c r="P70" s="76" t="str">
        <x:f>IF('09_Form_Projets_Climat'!$P70="Validé humainement",'09_Form_Projets_Climat'!P70,"")</x:f>
      </x:c>
      <x:c r="Q70" s="76" t="str">
        <x:f>IF('09_Form_Projets_Climat'!$P70="Validé humainement",'09_Form_Projets_Climat'!Q70,"")</x:f>
      </x:c>
      <x:c r="R70" s="78" t="str">
        <x:f>IF('09_Form_Projets_Climat'!$P70="Validé humainement",'09_Form_Projets_Climat'!R70,"")</x:f>
      </x:c>
      <x:c r="S70" s="76" t="str">
        <x:f>IF('09_Form_Projets_Climat'!$P70="Validé humainement",'09_Form_Projets_Climat'!S70,"")</x:f>
      </x:c>
      <x:c r="T70" s="76" t="str">
        <x:f>IF('09_Form_Projets_Climat'!$P70="Validé humainement",'09_Form_Projets_Climat'!T70,"")</x:f>
      </x:c>
      <x:c r="U70" s="76" t="str">
        <x:f>IF('09_Form_Projets_Climat'!$P70="Validé humainement",'09_Form_Projets_Climat'!U70,"")</x:f>
      </x:c>
    </x:row>
    <x:row r="71">
      <x:c r="A71" s="76" t="str">
        <x:f>IF('09_Form_Projets_Climat'!$P71="Validé humainement",'09_Form_Projets_Climat'!A71,"")</x:f>
      </x:c>
      <x:c r="B71" s="76" t="str">
        <x:f>IF('09_Form_Projets_Climat'!$P71="Validé humainement",'09_Form_Projets_Climat'!B71,"")</x:f>
      </x:c>
      <x:c r="C71" s="76" t="str">
        <x:f>IF('09_Form_Projets_Climat'!$P71="Validé humainement",'09_Form_Projets_Climat'!C71,"")</x:f>
      </x:c>
      <x:c r="D71" s="76" t="str">
        <x:f>IF('09_Form_Projets_Climat'!$P71="Validé humainement",'09_Form_Projets_Climat'!D71,"")</x:f>
      </x:c>
      <x:c r="E71" s="76" t="str">
        <x:f>IF('09_Form_Projets_Climat'!$P71="Validé humainement",'09_Form_Projets_Climat'!E71,"")</x:f>
      </x:c>
      <x:c r="F71" s="76" t="str">
        <x:f>IF('09_Form_Projets_Climat'!$P71="Validé humainement",'09_Form_Projets_Climat'!F71,"")</x:f>
      </x:c>
      <x:c r="G71" s="78" t="str">
        <x:f>IF('09_Form_Projets_Climat'!$P71="Validé humainement",'09_Form_Projets_Climat'!G71,"")</x:f>
      </x:c>
      <x:c r="H71" s="78" t="str">
        <x:f>IF('09_Form_Projets_Climat'!$P71="Validé humainement",'09_Form_Projets_Climat'!H71,"")</x:f>
      </x:c>
      <x:c r="I71" s="81" t="str">
        <x:f>IF('09_Form_Projets_Climat'!$P71="Validé humainement",'09_Form_Projets_Climat'!I71,"")</x:f>
      </x:c>
      <x:c r="J71" s="81" t="str">
        <x:f>IF('09_Form_Projets_Climat'!$P71="Validé humainement",'09_Form_Projets_Climat'!J71,"")</x:f>
      </x:c>
      <x:c r="K71" s="81" t="str">
        <x:f>IF('09_Form_Projets_Climat'!$P71="Validé humainement",'09_Form_Projets_Climat'!K71,"")</x:f>
      </x:c>
      <x:c r="L71" s="84" t="str">
        <x:f>IF('09_Form_Projets_Climat'!$P71="Validé humainement",'09_Form_Projets_Climat'!L71,"")</x:f>
      </x:c>
      <x:c r="M71" s="76" t="str">
        <x:f>IF('09_Form_Projets_Climat'!$P71="Validé humainement",'09_Form_Projets_Climat'!M71,"")</x:f>
      </x:c>
      <x:c r="N71" s="76" t="str">
        <x:f>IF('09_Form_Projets_Climat'!$P71="Validé humainement",'09_Form_Projets_Climat'!N71,"")</x:f>
      </x:c>
      <x:c r="O71" s="76" t="str">
        <x:f>IF('09_Form_Projets_Climat'!$P71="Validé humainement",'09_Form_Projets_Climat'!O71,"")</x:f>
      </x:c>
      <x:c r="P71" s="76" t="str">
        <x:f>IF('09_Form_Projets_Climat'!$P71="Validé humainement",'09_Form_Projets_Climat'!P71,"")</x:f>
      </x:c>
      <x:c r="Q71" s="76" t="str">
        <x:f>IF('09_Form_Projets_Climat'!$P71="Validé humainement",'09_Form_Projets_Climat'!Q71,"")</x:f>
      </x:c>
      <x:c r="R71" s="78" t="str">
        <x:f>IF('09_Form_Projets_Climat'!$P71="Validé humainement",'09_Form_Projets_Climat'!R71,"")</x:f>
      </x:c>
      <x:c r="S71" s="76" t="str">
        <x:f>IF('09_Form_Projets_Climat'!$P71="Validé humainement",'09_Form_Projets_Climat'!S71,"")</x:f>
      </x:c>
      <x:c r="T71" s="76" t="str">
        <x:f>IF('09_Form_Projets_Climat'!$P71="Validé humainement",'09_Form_Projets_Climat'!T71,"")</x:f>
      </x:c>
      <x:c r="U71" s="76" t="str">
        <x:f>IF('09_Form_Projets_Climat'!$P71="Validé humainement",'09_Form_Projets_Climat'!U71,"")</x:f>
      </x:c>
    </x:row>
    <x:row r="72">
      <x:c r="A72" s="76" t="str">
        <x:f>IF('09_Form_Projets_Climat'!$P72="Validé humainement",'09_Form_Projets_Climat'!A72,"")</x:f>
      </x:c>
      <x:c r="B72" s="76" t="str">
        <x:f>IF('09_Form_Projets_Climat'!$P72="Validé humainement",'09_Form_Projets_Climat'!B72,"")</x:f>
      </x:c>
      <x:c r="C72" s="76" t="str">
        <x:f>IF('09_Form_Projets_Climat'!$P72="Validé humainement",'09_Form_Projets_Climat'!C72,"")</x:f>
      </x:c>
      <x:c r="D72" s="76" t="str">
        <x:f>IF('09_Form_Projets_Climat'!$P72="Validé humainement",'09_Form_Projets_Climat'!D72,"")</x:f>
      </x:c>
      <x:c r="E72" s="76" t="str">
        <x:f>IF('09_Form_Projets_Climat'!$P72="Validé humainement",'09_Form_Projets_Climat'!E72,"")</x:f>
      </x:c>
      <x:c r="F72" s="76" t="str">
        <x:f>IF('09_Form_Projets_Climat'!$P72="Validé humainement",'09_Form_Projets_Climat'!F72,"")</x:f>
      </x:c>
      <x:c r="G72" s="78" t="str">
        <x:f>IF('09_Form_Projets_Climat'!$P72="Validé humainement",'09_Form_Projets_Climat'!G72,"")</x:f>
      </x:c>
      <x:c r="H72" s="78" t="str">
        <x:f>IF('09_Form_Projets_Climat'!$P72="Validé humainement",'09_Form_Projets_Climat'!H72,"")</x:f>
      </x:c>
      <x:c r="I72" s="81" t="str">
        <x:f>IF('09_Form_Projets_Climat'!$P72="Validé humainement",'09_Form_Projets_Climat'!I72,"")</x:f>
      </x:c>
      <x:c r="J72" s="81" t="str">
        <x:f>IF('09_Form_Projets_Climat'!$P72="Validé humainement",'09_Form_Projets_Climat'!J72,"")</x:f>
      </x:c>
      <x:c r="K72" s="81" t="str">
        <x:f>IF('09_Form_Projets_Climat'!$P72="Validé humainement",'09_Form_Projets_Climat'!K72,"")</x:f>
      </x:c>
      <x:c r="L72" s="84" t="str">
        <x:f>IF('09_Form_Projets_Climat'!$P72="Validé humainement",'09_Form_Projets_Climat'!L72,"")</x:f>
      </x:c>
      <x:c r="M72" s="76" t="str">
        <x:f>IF('09_Form_Projets_Climat'!$P72="Validé humainement",'09_Form_Projets_Climat'!M72,"")</x:f>
      </x:c>
      <x:c r="N72" s="76" t="str">
        <x:f>IF('09_Form_Projets_Climat'!$P72="Validé humainement",'09_Form_Projets_Climat'!N72,"")</x:f>
      </x:c>
      <x:c r="O72" s="76" t="str">
        <x:f>IF('09_Form_Projets_Climat'!$P72="Validé humainement",'09_Form_Projets_Climat'!O72,"")</x:f>
      </x:c>
      <x:c r="P72" s="76" t="str">
        <x:f>IF('09_Form_Projets_Climat'!$P72="Validé humainement",'09_Form_Projets_Climat'!P72,"")</x:f>
      </x:c>
      <x:c r="Q72" s="76" t="str">
        <x:f>IF('09_Form_Projets_Climat'!$P72="Validé humainement",'09_Form_Projets_Climat'!Q72,"")</x:f>
      </x:c>
      <x:c r="R72" s="78" t="str">
        <x:f>IF('09_Form_Projets_Climat'!$P72="Validé humainement",'09_Form_Projets_Climat'!R72,"")</x:f>
      </x:c>
      <x:c r="S72" s="76" t="str">
        <x:f>IF('09_Form_Projets_Climat'!$P72="Validé humainement",'09_Form_Projets_Climat'!S72,"")</x:f>
      </x:c>
      <x:c r="T72" s="76" t="str">
        <x:f>IF('09_Form_Projets_Climat'!$P72="Validé humainement",'09_Form_Projets_Climat'!T72,"")</x:f>
      </x:c>
      <x:c r="U72" s="76" t="str">
        <x:f>IF('09_Form_Projets_Climat'!$P72="Validé humainement",'09_Form_Projets_Climat'!U72,"")</x:f>
      </x:c>
    </x:row>
    <x:row r="73">
      <x:c r="A73" s="76" t="str">
        <x:f>IF('09_Form_Projets_Climat'!$P73="Validé humainement",'09_Form_Projets_Climat'!A73,"")</x:f>
      </x:c>
      <x:c r="B73" s="76" t="str">
        <x:f>IF('09_Form_Projets_Climat'!$P73="Validé humainement",'09_Form_Projets_Climat'!B73,"")</x:f>
      </x:c>
      <x:c r="C73" s="76" t="str">
        <x:f>IF('09_Form_Projets_Climat'!$P73="Validé humainement",'09_Form_Projets_Climat'!C73,"")</x:f>
      </x:c>
      <x:c r="D73" s="76" t="str">
        <x:f>IF('09_Form_Projets_Climat'!$P73="Validé humainement",'09_Form_Projets_Climat'!D73,"")</x:f>
      </x:c>
      <x:c r="E73" s="76" t="str">
        <x:f>IF('09_Form_Projets_Climat'!$P73="Validé humainement",'09_Form_Projets_Climat'!E73,"")</x:f>
      </x:c>
      <x:c r="F73" s="76" t="str">
        <x:f>IF('09_Form_Projets_Climat'!$P73="Validé humainement",'09_Form_Projets_Climat'!F73,"")</x:f>
      </x:c>
      <x:c r="G73" s="78" t="str">
        <x:f>IF('09_Form_Projets_Climat'!$P73="Validé humainement",'09_Form_Projets_Climat'!G73,"")</x:f>
      </x:c>
      <x:c r="H73" s="78" t="str">
        <x:f>IF('09_Form_Projets_Climat'!$P73="Validé humainement",'09_Form_Projets_Climat'!H73,"")</x:f>
      </x:c>
      <x:c r="I73" s="81" t="str">
        <x:f>IF('09_Form_Projets_Climat'!$P73="Validé humainement",'09_Form_Projets_Climat'!I73,"")</x:f>
      </x:c>
      <x:c r="J73" s="81" t="str">
        <x:f>IF('09_Form_Projets_Climat'!$P73="Validé humainement",'09_Form_Projets_Climat'!J73,"")</x:f>
      </x:c>
      <x:c r="K73" s="81" t="str">
        <x:f>IF('09_Form_Projets_Climat'!$P73="Validé humainement",'09_Form_Projets_Climat'!K73,"")</x:f>
      </x:c>
      <x:c r="L73" s="84" t="str">
        <x:f>IF('09_Form_Projets_Climat'!$P73="Validé humainement",'09_Form_Projets_Climat'!L73,"")</x:f>
      </x:c>
      <x:c r="M73" s="76" t="str">
        <x:f>IF('09_Form_Projets_Climat'!$P73="Validé humainement",'09_Form_Projets_Climat'!M73,"")</x:f>
      </x:c>
      <x:c r="N73" s="76" t="str">
        <x:f>IF('09_Form_Projets_Climat'!$P73="Validé humainement",'09_Form_Projets_Climat'!N73,"")</x:f>
      </x:c>
      <x:c r="O73" s="76" t="str">
        <x:f>IF('09_Form_Projets_Climat'!$P73="Validé humainement",'09_Form_Projets_Climat'!O73,"")</x:f>
      </x:c>
      <x:c r="P73" s="76" t="str">
        <x:f>IF('09_Form_Projets_Climat'!$P73="Validé humainement",'09_Form_Projets_Climat'!P73,"")</x:f>
      </x:c>
      <x:c r="Q73" s="76" t="str">
        <x:f>IF('09_Form_Projets_Climat'!$P73="Validé humainement",'09_Form_Projets_Climat'!Q73,"")</x:f>
      </x:c>
      <x:c r="R73" s="78" t="str">
        <x:f>IF('09_Form_Projets_Climat'!$P73="Validé humainement",'09_Form_Projets_Climat'!R73,"")</x:f>
      </x:c>
      <x:c r="S73" s="76" t="str">
        <x:f>IF('09_Form_Projets_Climat'!$P73="Validé humainement",'09_Form_Projets_Climat'!S73,"")</x:f>
      </x:c>
      <x:c r="T73" s="76" t="str">
        <x:f>IF('09_Form_Projets_Climat'!$P73="Validé humainement",'09_Form_Projets_Climat'!T73,"")</x:f>
      </x:c>
      <x:c r="U73" s="76" t="str">
        <x:f>IF('09_Form_Projets_Climat'!$P73="Validé humainement",'09_Form_Projets_Climat'!U73,"")</x:f>
      </x:c>
    </x:row>
    <x:row r="74">
      <x:c r="A74" s="76" t="str">
        <x:f>IF('09_Form_Projets_Climat'!$P74="Validé humainement",'09_Form_Projets_Climat'!A74,"")</x:f>
      </x:c>
      <x:c r="B74" s="76" t="str">
        <x:f>IF('09_Form_Projets_Climat'!$P74="Validé humainement",'09_Form_Projets_Climat'!B74,"")</x:f>
      </x:c>
      <x:c r="C74" s="76" t="str">
        <x:f>IF('09_Form_Projets_Climat'!$P74="Validé humainement",'09_Form_Projets_Climat'!C74,"")</x:f>
      </x:c>
      <x:c r="D74" s="76" t="str">
        <x:f>IF('09_Form_Projets_Climat'!$P74="Validé humainement",'09_Form_Projets_Climat'!D74,"")</x:f>
      </x:c>
      <x:c r="E74" s="76" t="str">
        <x:f>IF('09_Form_Projets_Climat'!$P74="Validé humainement",'09_Form_Projets_Climat'!E74,"")</x:f>
      </x:c>
      <x:c r="F74" s="76" t="str">
        <x:f>IF('09_Form_Projets_Climat'!$P74="Validé humainement",'09_Form_Projets_Climat'!F74,"")</x:f>
      </x:c>
      <x:c r="G74" s="78" t="str">
        <x:f>IF('09_Form_Projets_Climat'!$P74="Validé humainement",'09_Form_Projets_Climat'!G74,"")</x:f>
      </x:c>
      <x:c r="H74" s="78" t="str">
        <x:f>IF('09_Form_Projets_Climat'!$P74="Validé humainement",'09_Form_Projets_Climat'!H74,"")</x:f>
      </x:c>
      <x:c r="I74" s="81" t="str">
        <x:f>IF('09_Form_Projets_Climat'!$P74="Validé humainement",'09_Form_Projets_Climat'!I74,"")</x:f>
      </x:c>
      <x:c r="J74" s="81" t="str">
        <x:f>IF('09_Form_Projets_Climat'!$P74="Validé humainement",'09_Form_Projets_Climat'!J74,"")</x:f>
      </x:c>
      <x:c r="K74" s="81" t="str">
        <x:f>IF('09_Form_Projets_Climat'!$P74="Validé humainement",'09_Form_Projets_Climat'!K74,"")</x:f>
      </x:c>
      <x:c r="L74" s="84" t="str">
        <x:f>IF('09_Form_Projets_Climat'!$P74="Validé humainement",'09_Form_Projets_Climat'!L74,"")</x:f>
      </x:c>
      <x:c r="M74" s="76" t="str">
        <x:f>IF('09_Form_Projets_Climat'!$P74="Validé humainement",'09_Form_Projets_Climat'!M74,"")</x:f>
      </x:c>
      <x:c r="N74" s="76" t="str">
        <x:f>IF('09_Form_Projets_Climat'!$P74="Validé humainement",'09_Form_Projets_Climat'!N74,"")</x:f>
      </x:c>
      <x:c r="O74" s="76" t="str">
        <x:f>IF('09_Form_Projets_Climat'!$P74="Validé humainement",'09_Form_Projets_Climat'!O74,"")</x:f>
      </x:c>
      <x:c r="P74" s="76" t="str">
        <x:f>IF('09_Form_Projets_Climat'!$P74="Validé humainement",'09_Form_Projets_Climat'!P74,"")</x:f>
      </x:c>
      <x:c r="Q74" s="76" t="str">
        <x:f>IF('09_Form_Projets_Climat'!$P74="Validé humainement",'09_Form_Projets_Climat'!Q74,"")</x:f>
      </x:c>
      <x:c r="R74" s="78" t="str">
        <x:f>IF('09_Form_Projets_Climat'!$P74="Validé humainement",'09_Form_Projets_Climat'!R74,"")</x:f>
      </x:c>
      <x:c r="S74" s="76" t="str">
        <x:f>IF('09_Form_Projets_Climat'!$P74="Validé humainement",'09_Form_Projets_Climat'!S74,"")</x:f>
      </x:c>
      <x:c r="T74" s="76" t="str">
        <x:f>IF('09_Form_Projets_Climat'!$P74="Validé humainement",'09_Form_Projets_Climat'!T74,"")</x:f>
      </x:c>
      <x:c r="U74" s="76" t="str">
        <x:f>IF('09_Form_Projets_Climat'!$P74="Validé humainement",'09_Form_Projets_Climat'!U74,"")</x:f>
      </x:c>
    </x:row>
    <x:row r="75">
      <x:c r="A75" s="76" t="str">
        <x:f>IF('09_Form_Projets_Climat'!$P75="Validé humainement",'09_Form_Projets_Climat'!A75,"")</x:f>
      </x:c>
      <x:c r="B75" s="76" t="str">
        <x:f>IF('09_Form_Projets_Climat'!$P75="Validé humainement",'09_Form_Projets_Climat'!B75,"")</x:f>
      </x:c>
      <x:c r="C75" s="76" t="str">
        <x:f>IF('09_Form_Projets_Climat'!$P75="Validé humainement",'09_Form_Projets_Climat'!C75,"")</x:f>
      </x:c>
      <x:c r="D75" s="76" t="str">
        <x:f>IF('09_Form_Projets_Climat'!$P75="Validé humainement",'09_Form_Projets_Climat'!D75,"")</x:f>
      </x:c>
      <x:c r="E75" s="76" t="str">
        <x:f>IF('09_Form_Projets_Climat'!$P75="Validé humainement",'09_Form_Projets_Climat'!E75,"")</x:f>
      </x:c>
      <x:c r="F75" s="76" t="str">
        <x:f>IF('09_Form_Projets_Climat'!$P75="Validé humainement",'09_Form_Projets_Climat'!F75,"")</x:f>
      </x:c>
      <x:c r="G75" s="78" t="str">
        <x:f>IF('09_Form_Projets_Climat'!$P75="Validé humainement",'09_Form_Projets_Climat'!G75,"")</x:f>
      </x:c>
      <x:c r="H75" s="78" t="str">
        <x:f>IF('09_Form_Projets_Climat'!$P75="Validé humainement",'09_Form_Projets_Climat'!H75,"")</x:f>
      </x:c>
      <x:c r="I75" s="81" t="str">
        <x:f>IF('09_Form_Projets_Climat'!$P75="Validé humainement",'09_Form_Projets_Climat'!I75,"")</x:f>
      </x:c>
      <x:c r="J75" s="81" t="str">
        <x:f>IF('09_Form_Projets_Climat'!$P75="Validé humainement",'09_Form_Projets_Climat'!J75,"")</x:f>
      </x:c>
      <x:c r="K75" s="81" t="str">
        <x:f>IF('09_Form_Projets_Climat'!$P75="Validé humainement",'09_Form_Projets_Climat'!K75,"")</x:f>
      </x:c>
      <x:c r="L75" s="84" t="str">
        <x:f>IF('09_Form_Projets_Climat'!$P75="Validé humainement",'09_Form_Projets_Climat'!L75,"")</x:f>
      </x:c>
      <x:c r="M75" s="76" t="str">
        <x:f>IF('09_Form_Projets_Climat'!$P75="Validé humainement",'09_Form_Projets_Climat'!M75,"")</x:f>
      </x:c>
      <x:c r="N75" s="76" t="str">
        <x:f>IF('09_Form_Projets_Climat'!$P75="Validé humainement",'09_Form_Projets_Climat'!N75,"")</x:f>
      </x:c>
      <x:c r="O75" s="76" t="str">
        <x:f>IF('09_Form_Projets_Climat'!$P75="Validé humainement",'09_Form_Projets_Climat'!O75,"")</x:f>
      </x:c>
      <x:c r="P75" s="76" t="str">
        <x:f>IF('09_Form_Projets_Climat'!$P75="Validé humainement",'09_Form_Projets_Climat'!P75,"")</x:f>
      </x:c>
      <x:c r="Q75" s="76" t="str">
        <x:f>IF('09_Form_Projets_Climat'!$P75="Validé humainement",'09_Form_Projets_Climat'!Q75,"")</x:f>
      </x:c>
      <x:c r="R75" s="78" t="str">
        <x:f>IF('09_Form_Projets_Climat'!$P75="Validé humainement",'09_Form_Projets_Climat'!R75,"")</x:f>
      </x:c>
      <x:c r="S75" s="76" t="str">
        <x:f>IF('09_Form_Projets_Climat'!$P75="Validé humainement",'09_Form_Projets_Climat'!S75,"")</x:f>
      </x:c>
      <x:c r="T75" s="76" t="str">
        <x:f>IF('09_Form_Projets_Climat'!$P75="Validé humainement",'09_Form_Projets_Climat'!T75,"")</x:f>
      </x:c>
      <x:c r="U75" s="76" t="str">
        <x:f>IF('09_Form_Projets_Climat'!$P75="Validé humainement",'09_Form_Projets_Climat'!U75,"")</x:f>
      </x:c>
    </x:row>
    <x:row r="76">
      <x:c r="A76" s="76" t="str">
        <x:f>IF('09_Form_Projets_Climat'!$P76="Validé humainement",'09_Form_Projets_Climat'!A76,"")</x:f>
      </x:c>
      <x:c r="B76" s="76" t="str">
        <x:f>IF('09_Form_Projets_Climat'!$P76="Validé humainement",'09_Form_Projets_Climat'!B76,"")</x:f>
      </x:c>
      <x:c r="C76" s="76" t="str">
        <x:f>IF('09_Form_Projets_Climat'!$P76="Validé humainement",'09_Form_Projets_Climat'!C76,"")</x:f>
      </x:c>
      <x:c r="D76" s="76" t="str">
        <x:f>IF('09_Form_Projets_Climat'!$P76="Validé humainement",'09_Form_Projets_Climat'!D76,"")</x:f>
      </x:c>
      <x:c r="E76" s="76" t="str">
        <x:f>IF('09_Form_Projets_Climat'!$P76="Validé humainement",'09_Form_Projets_Climat'!E76,"")</x:f>
      </x:c>
      <x:c r="F76" s="76" t="str">
        <x:f>IF('09_Form_Projets_Climat'!$P76="Validé humainement",'09_Form_Projets_Climat'!F76,"")</x:f>
      </x:c>
      <x:c r="G76" s="78" t="str">
        <x:f>IF('09_Form_Projets_Climat'!$P76="Validé humainement",'09_Form_Projets_Climat'!G76,"")</x:f>
      </x:c>
      <x:c r="H76" s="78" t="str">
        <x:f>IF('09_Form_Projets_Climat'!$P76="Validé humainement",'09_Form_Projets_Climat'!H76,"")</x:f>
      </x:c>
      <x:c r="I76" s="81" t="str">
        <x:f>IF('09_Form_Projets_Climat'!$P76="Validé humainement",'09_Form_Projets_Climat'!I76,"")</x:f>
      </x:c>
      <x:c r="J76" s="81" t="str">
        <x:f>IF('09_Form_Projets_Climat'!$P76="Validé humainement",'09_Form_Projets_Climat'!J76,"")</x:f>
      </x:c>
      <x:c r="K76" s="81" t="str">
        <x:f>IF('09_Form_Projets_Climat'!$P76="Validé humainement",'09_Form_Projets_Climat'!K76,"")</x:f>
      </x:c>
      <x:c r="L76" s="84" t="str">
        <x:f>IF('09_Form_Projets_Climat'!$P76="Validé humainement",'09_Form_Projets_Climat'!L76,"")</x:f>
      </x:c>
      <x:c r="M76" s="76" t="str">
        <x:f>IF('09_Form_Projets_Climat'!$P76="Validé humainement",'09_Form_Projets_Climat'!M76,"")</x:f>
      </x:c>
      <x:c r="N76" s="76" t="str">
        <x:f>IF('09_Form_Projets_Climat'!$P76="Validé humainement",'09_Form_Projets_Climat'!N76,"")</x:f>
      </x:c>
      <x:c r="O76" s="76" t="str">
        <x:f>IF('09_Form_Projets_Climat'!$P76="Validé humainement",'09_Form_Projets_Climat'!O76,"")</x:f>
      </x:c>
      <x:c r="P76" s="76" t="str">
        <x:f>IF('09_Form_Projets_Climat'!$P76="Validé humainement",'09_Form_Projets_Climat'!P76,"")</x:f>
      </x:c>
      <x:c r="Q76" s="76" t="str">
        <x:f>IF('09_Form_Projets_Climat'!$P76="Validé humainement",'09_Form_Projets_Climat'!Q76,"")</x:f>
      </x:c>
      <x:c r="R76" s="78" t="str">
        <x:f>IF('09_Form_Projets_Climat'!$P76="Validé humainement",'09_Form_Projets_Climat'!R76,"")</x:f>
      </x:c>
      <x:c r="S76" s="76" t="str">
        <x:f>IF('09_Form_Projets_Climat'!$P76="Validé humainement",'09_Form_Projets_Climat'!S76,"")</x:f>
      </x:c>
      <x:c r="T76" s="76" t="str">
        <x:f>IF('09_Form_Projets_Climat'!$P76="Validé humainement",'09_Form_Projets_Climat'!T76,"")</x:f>
      </x:c>
      <x:c r="U76" s="76" t="str">
        <x:f>IF('09_Form_Projets_Climat'!$P76="Validé humainement",'09_Form_Projets_Climat'!U76,"")</x:f>
      </x:c>
    </x:row>
    <x:row r="77">
      <x:c r="A77" s="76" t="str">
        <x:f>IF('09_Form_Projets_Climat'!$P77="Validé humainement",'09_Form_Projets_Climat'!A77,"")</x:f>
      </x:c>
      <x:c r="B77" s="76" t="str">
        <x:f>IF('09_Form_Projets_Climat'!$P77="Validé humainement",'09_Form_Projets_Climat'!B77,"")</x:f>
      </x:c>
      <x:c r="C77" s="76" t="str">
        <x:f>IF('09_Form_Projets_Climat'!$P77="Validé humainement",'09_Form_Projets_Climat'!C77,"")</x:f>
      </x:c>
      <x:c r="D77" s="76" t="str">
        <x:f>IF('09_Form_Projets_Climat'!$P77="Validé humainement",'09_Form_Projets_Climat'!D77,"")</x:f>
      </x:c>
      <x:c r="E77" s="76" t="str">
        <x:f>IF('09_Form_Projets_Climat'!$P77="Validé humainement",'09_Form_Projets_Climat'!E77,"")</x:f>
      </x:c>
      <x:c r="F77" s="76" t="str">
        <x:f>IF('09_Form_Projets_Climat'!$P77="Validé humainement",'09_Form_Projets_Climat'!F77,"")</x:f>
      </x:c>
      <x:c r="G77" s="78" t="str">
        <x:f>IF('09_Form_Projets_Climat'!$P77="Validé humainement",'09_Form_Projets_Climat'!G77,"")</x:f>
      </x:c>
      <x:c r="H77" s="78" t="str">
        <x:f>IF('09_Form_Projets_Climat'!$P77="Validé humainement",'09_Form_Projets_Climat'!H77,"")</x:f>
      </x:c>
      <x:c r="I77" s="81" t="str">
        <x:f>IF('09_Form_Projets_Climat'!$P77="Validé humainement",'09_Form_Projets_Climat'!I77,"")</x:f>
      </x:c>
      <x:c r="J77" s="81" t="str">
        <x:f>IF('09_Form_Projets_Climat'!$P77="Validé humainement",'09_Form_Projets_Climat'!J77,"")</x:f>
      </x:c>
      <x:c r="K77" s="81" t="str">
        <x:f>IF('09_Form_Projets_Climat'!$P77="Validé humainement",'09_Form_Projets_Climat'!K77,"")</x:f>
      </x:c>
      <x:c r="L77" s="84" t="str">
        <x:f>IF('09_Form_Projets_Climat'!$P77="Validé humainement",'09_Form_Projets_Climat'!L77,"")</x:f>
      </x:c>
      <x:c r="M77" s="76" t="str">
        <x:f>IF('09_Form_Projets_Climat'!$P77="Validé humainement",'09_Form_Projets_Climat'!M77,"")</x:f>
      </x:c>
      <x:c r="N77" s="76" t="str">
        <x:f>IF('09_Form_Projets_Climat'!$P77="Validé humainement",'09_Form_Projets_Climat'!N77,"")</x:f>
      </x:c>
      <x:c r="O77" s="76" t="str">
        <x:f>IF('09_Form_Projets_Climat'!$P77="Validé humainement",'09_Form_Projets_Climat'!O77,"")</x:f>
      </x:c>
      <x:c r="P77" s="76" t="str">
        <x:f>IF('09_Form_Projets_Climat'!$P77="Validé humainement",'09_Form_Projets_Climat'!P77,"")</x:f>
      </x:c>
      <x:c r="Q77" s="76" t="str">
        <x:f>IF('09_Form_Projets_Climat'!$P77="Validé humainement",'09_Form_Projets_Climat'!Q77,"")</x:f>
      </x:c>
      <x:c r="R77" s="78" t="str">
        <x:f>IF('09_Form_Projets_Climat'!$P77="Validé humainement",'09_Form_Projets_Climat'!R77,"")</x:f>
      </x:c>
      <x:c r="S77" s="76" t="str">
        <x:f>IF('09_Form_Projets_Climat'!$P77="Validé humainement",'09_Form_Projets_Climat'!S77,"")</x:f>
      </x:c>
      <x:c r="T77" s="76" t="str">
        <x:f>IF('09_Form_Projets_Climat'!$P77="Validé humainement",'09_Form_Projets_Climat'!T77,"")</x:f>
      </x:c>
      <x:c r="U77" s="76" t="str">
        <x:f>IF('09_Form_Projets_Climat'!$P77="Validé humainement",'09_Form_Projets_Climat'!U77,"")</x:f>
      </x:c>
    </x:row>
    <x:row r="78">
      <x:c r="A78" s="76" t="str">
        <x:f>IF('09_Form_Projets_Climat'!$P78="Validé humainement",'09_Form_Projets_Climat'!A78,"")</x:f>
      </x:c>
      <x:c r="B78" s="76" t="str">
        <x:f>IF('09_Form_Projets_Climat'!$P78="Validé humainement",'09_Form_Projets_Climat'!B78,"")</x:f>
      </x:c>
      <x:c r="C78" s="76" t="str">
        <x:f>IF('09_Form_Projets_Climat'!$P78="Validé humainement",'09_Form_Projets_Climat'!C78,"")</x:f>
      </x:c>
      <x:c r="D78" s="76" t="str">
        <x:f>IF('09_Form_Projets_Climat'!$P78="Validé humainement",'09_Form_Projets_Climat'!D78,"")</x:f>
      </x:c>
      <x:c r="E78" s="76" t="str">
        <x:f>IF('09_Form_Projets_Climat'!$P78="Validé humainement",'09_Form_Projets_Climat'!E78,"")</x:f>
      </x:c>
      <x:c r="F78" s="76" t="str">
        <x:f>IF('09_Form_Projets_Climat'!$P78="Validé humainement",'09_Form_Projets_Climat'!F78,"")</x:f>
      </x:c>
      <x:c r="G78" s="78" t="str">
        <x:f>IF('09_Form_Projets_Climat'!$P78="Validé humainement",'09_Form_Projets_Climat'!G78,"")</x:f>
      </x:c>
      <x:c r="H78" s="78" t="str">
        <x:f>IF('09_Form_Projets_Climat'!$P78="Validé humainement",'09_Form_Projets_Climat'!H78,"")</x:f>
      </x:c>
      <x:c r="I78" s="81" t="str">
        <x:f>IF('09_Form_Projets_Climat'!$P78="Validé humainement",'09_Form_Projets_Climat'!I78,"")</x:f>
      </x:c>
      <x:c r="J78" s="81" t="str">
        <x:f>IF('09_Form_Projets_Climat'!$P78="Validé humainement",'09_Form_Projets_Climat'!J78,"")</x:f>
      </x:c>
      <x:c r="K78" s="81" t="str">
        <x:f>IF('09_Form_Projets_Climat'!$P78="Validé humainement",'09_Form_Projets_Climat'!K78,"")</x:f>
      </x:c>
      <x:c r="L78" s="84" t="str">
        <x:f>IF('09_Form_Projets_Climat'!$P78="Validé humainement",'09_Form_Projets_Climat'!L78,"")</x:f>
      </x:c>
      <x:c r="M78" s="76" t="str">
        <x:f>IF('09_Form_Projets_Climat'!$P78="Validé humainement",'09_Form_Projets_Climat'!M78,"")</x:f>
      </x:c>
      <x:c r="N78" s="76" t="str">
        <x:f>IF('09_Form_Projets_Climat'!$P78="Validé humainement",'09_Form_Projets_Climat'!N78,"")</x:f>
      </x:c>
      <x:c r="O78" s="76" t="str">
        <x:f>IF('09_Form_Projets_Climat'!$P78="Validé humainement",'09_Form_Projets_Climat'!O78,"")</x:f>
      </x:c>
      <x:c r="P78" s="76" t="str">
        <x:f>IF('09_Form_Projets_Climat'!$P78="Validé humainement",'09_Form_Projets_Climat'!P78,"")</x:f>
      </x:c>
      <x:c r="Q78" s="76" t="str">
        <x:f>IF('09_Form_Projets_Climat'!$P78="Validé humainement",'09_Form_Projets_Climat'!Q78,"")</x:f>
      </x:c>
      <x:c r="R78" s="78" t="str">
        <x:f>IF('09_Form_Projets_Climat'!$P78="Validé humainement",'09_Form_Projets_Climat'!R78,"")</x:f>
      </x:c>
      <x:c r="S78" s="76" t="str">
        <x:f>IF('09_Form_Projets_Climat'!$P78="Validé humainement",'09_Form_Projets_Climat'!S78,"")</x:f>
      </x:c>
      <x:c r="T78" s="76" t="str">
        <x:f>IF('09_Form_Projets_Climat'!$P78="Validé humainement",'09_Form_Projets_Climat'!T78,"")</x:f>
      </x:c>
      <x:c r="U78" s="76" t="str">
        <x:f>IF('09_Form_Projets_Climat'!$P78="Validé humainement",'09_Form_Projets_Climat'!U78,"")</x:f>
      </x:c>
    </x:row>
    <x:row r="79">
      <x:c r="A79" s="76" t="str">
        <x:f>IF('09_Form_Projets_Climat'!$P79="Validé humainement",'09_Form_Projets_Climat'!A79,"")</x:f>
      </x:c>
      <x:c r="B79" s="76" t="str">
        <x:f>IF('09_Form_Projets_Climat'!$P79="Validé humainement",'09_Form_Projets_Climat'!B79,"")</x:f>
      </x:c>
      <x:c r="C79" s="76" t="str">
        <x:f>IF('09_Form_Projets_Climat'!$P79="Validé humainement",'09_Form_Projets_Climat'!C79,"")</x:f>
      </x:c>
      <x:c r="D79" s="76" t="str">
        <x:f>IF('09_Form_Projets_Climat'!$P79="Validé humainement",'09_Form_Projets_Climat'!D79,"")</x:f>
      </x:c>
      <x:c r="E79" s="76" t="str">
        <x:f>IF('09_Form_Projets_Climat'!$P79="Validé humainement",'09_Form_Projets_Climat'!E79,"")</x:f>
      </x:c>
      <x:c r="F79" s="76" t="str">
        <x:f>IF('09_Form_Projets_Climat'!$P79="Validé humainement",'09_Form_Projets_Climat'!F79,"")</x:f>
      </x:c>
      <x:c r="G79" s="78" t="str">
        <x:f>IF('09_Form_Projets_Climat'!$P79="Validé humainement",'09_Form_Projets_Climat'!G79,"")</x:f>
      </x:c>
      <x:c r="H79" s="78" t="str">
        <x:f>IF('09_Form_Projets_Climat'!$P79="Validé humainement",'09_Form_Projets_Climat'!H79,"")</x:f>
      </x:c>
      <x:c r="I79" s="81" t="str">
        <x:f>IF('09_Form_Projets_Climat'!$P79="Validé humainement",'09_Form_Projets_Climat'!I79,"")</x:f>
      </x:c>
      <x:c r="J79" s="81" t="str">
        <x:f>IF('09_Form_Projets_Climat'!$P79="Validé humainement",'09_Form_Projets_Climat'!J79,"")</x:f>
      </x:c>
      <x:c r="K79" s="81" t="str">
        <x:f>IF('09_Form_Projets_Climat'!$P79="Validé humainement",'09_Form_Projets_Climat'!K79,"")</x:f>
      </x:c>
      <x:c r="L79" s="84" t="str">
        <x:f>IF('09_Form_Projets_Climat'!$P79="Validé humainement",'09_Form_Projets_Climat'!L79,"")</x:f>
      </x:c>
      <x:c r="M79" s="76" t="str">
        <x:f>IF('09_Form_Projets_Climat'!$P79="Validé humainement",'09_Form_Projets_Climat'!M79,"")</x:f>
      </x:c>
      <x:c r="N79" s="76" t="str">
        <x:f>IF('09_Form_Projets_Climat'!$P79="Validé humainement",'09_Form_Projets_Climat'!N79,"")</x:f>
      </x:c>
      <x:c r="O79" s="76" t="str">
        <x:f>IF('09_Form_Projets_Climat'!$P79="Validé humainement",'09_Form_Projets_Climat'!O79,"")</x:f>
      </x:c>
      <x:c r="P79" s="76" t="str">
        <x:f>IF('09_Form_Projets_Climat'!$P79="Validé humainement",'09_Form_Projets_Climat'!P79,"")</x:f>
      </x:c>
      <x:c r="Q79" s="76" t="str">
        <x:f>IF('09_Form_Projets_Climat'!$P79="Validé humainement",'09_Form_Projets_Climat'!Q79,"")</x:f>
      </x:c>
      <x:c r="R79" s="78" t="str">
        <x:f>IF('09_Form_Projets_Climat'!$P79="Validé humainement",'09_Form_Projets_Climat'!R79,"")</x:f>
      </x:c>
      <x:c r="S79" s="76" t="str">
        <x:f>IF('09_Form_Projets_Climat'!$P79="Validé humainement",'09_Form_Projets_Climat'!S79,"")</x:f>
      </x:c>
      <x:c r="T79" s="76" t="str">
        <x:f>IF('09_Form_Projets_Climat'!$P79="Validé humainement",'09_Form_Projets_Climat'!T79,"")</x:f>
      </x:c>
      <x:c r="U79" s="76" t="str">
        <x:f>IF('09_Form_Projets_Climat'!$P79="Validé humainement",'09_Form_Projets_Climat'!U79,"")</x:f>
      </x:c>
    </x:row>
    <x:row r="80">
      <x:c r="A80" s="76" t="str">
        <x:f>IF('09_Form_Projets_Climat'!$P80="Validé humainement",'09_Form_Projets_Climat'!A80,"")</x:f>
      </x:c>
      <x:c r="B80" s="76" t="str">
        <x:f>IF('09_Form_Projets_Climat'!$P80="Validé humainement",'09_Form_Projets_Climat'!B80,"")</x:f>
      </x:c>
      <x:c r="C80" s="76" t="str">
        <x:f>IF('09_Form_Projets_Climat'!$P80="Validé humainement",'09_Form_Projets_Climat'!C80,"")</x:f>
      </x:c>
      <x:c r="D80" s="76" t="str">
        <x:f>IF('09_Form_Projets_Climat'!$P80="Validé humainement",'09_Form_Projets_Climat'!D80,"")</x:f>
      </x:c>
      <x:c r="E80" s="76" t="str">
        <x:f>IF('09_Form_Projets_Climat'!$P80="Validé humainement",'09_Form_Projets_Climat'!E80,"")</x:f>
      </x:c>
      <x:c r="F80" s="76" t="str">
        <x:f>IF('09_Form_Projets_Climat'!$P80="Validé humainement",'09_Form_Projets_Climat'!F80,"")</x:f>
      </x:c>
      <x:c r="G80" s="78" t="str">
        <x:f>IF('09_Form_Projets_Climat'!$P80="Validé humainement",'09_Form_Projets_Climat'!G80,"")</x:f>
      </x:c>
      <x:c r="H80" s="78" t="str">
        <x:f>IF('09_Form_Projets_Climat'!$P80="Validé humainement",'09_Form_Projets_Climat'!H80,"")</x:f>
      </x:c>
      <x:c r="I80" s="81" t="str">
        <x:f>IF('09_Form_Projets_Climat'!$P80="Validé humainement",'09_Form_Projets_Climat'!I80,"")</x:f>
      </x:c>
      <x:c r="J80" s="81" t="str">
        <x:f>IF('09_Form_Projets_Climat'!$P80="Validé humainement",'09_Form_Projets_Climat'!J80,"")</x:f>
      </x:c>
      <x:c r="K80" s="81" t="str">
        <x:f>IF('09_Form_Projets_Climat'!$P80="Validé humainement",'09_Form_Projets_Climat'!K80,"")</x:f>
      </x:c>
      <x:c r="L80" s="84" t="str">
        <x:f>IF('09_Form_Projets_Climat'!$P80="Validé humainement",'09_Form_Projets_Climat'!L80,"")</x:f>
      </x:c>
      <x:c r="M80" s="76" t="str">
        <x:f>IF('09_Form_Projets_Climat'!$P80="Validé humainement",'09_Form_Projets_Climat'!M80,"")</x:f>
      </x:c>
      <x:c r="N80" s="76" t="str">
        <x:f>IF('09_Form_Projets_Climat'!$P80="Validé humainement",'09_Form_Projets_Climat'!N80,"")</x:f>
      </x:c>
      <x:c r="O80" s="76" t="str">
        <x:f>IF('09_Form_Projets_Climat'!$P80="Validé humainement",'09_Form_Projets_Climat'!O80,"")</x:f>
      </x:c>
      <x:c r="P80" s="76" t="str">
        <x:f>IF('09_Form_Projets_Climat'!$P80="Validé humainement",'09_Form_Projets_Climat'!P80,"")</x:f>
      </x:c>
      <x:c r="Q80" s="76" t="str">
        <x:f>IF('09_Form_Projets_Climat'!$P80="Validé humainement",'09_Form_Projets_Climat'!Q80,"")</x:f>
      </x:c>
      <x:c r="R80" s="78" t="str">
        <x:f>IF('09_Form_Projets_Climat'!$P80="Validé humainement",'09_Form_Projets_Climat'!R80,"")</x:f>
      </x:c>
      <x:c r="S80" s="76" t="str">
        <x:f>IF('09_Form_Projets_Climat'!$P80="Validé humainement",'09_Form_Projets_Climat'!S80,"")</x:f>
      </x:c>
      <x:c r="T80" s="76" t="str">
        <x:f>IF('09_Form_Projets_Climat'!$P80="Validé humainement",'09_Form_Projets_Climat'!T80,"")</x:f>
      </x:c>
      <x:c r="U80" s="76" t="str">
        <x:f>IF('09_Form_Projets_Climat'!$P80="Validé humainement",'09_Form_Projets_Climat'!U80,"")</x:f>
      </x:c>
    </x:row>
    <x:row r="81">
      <x:c r="A81" s="76" t="str">
        <x:f>IF('09_Form_Projets_Climat'!$P81="Validé humainement",'09_Form_Projets_Climat'!A81,"")</x:f>
      </x:c>
      <x:c r="B81" s="76" t="str">
        <x:f>IF('09_Form_Projets_Climat'!$P81="Validé humainement",'09_Form_Projets_Climat'!B81,"")</x:f>
      </x:c>
      <x:c r="C81" s="76" t="str">
        <x:f>IF('09_Form_Projets_Climat'!$P81="Validé humainement",'09_Form_Projets_Climat'!C81,"")</x:f>
      </x:c>
      <x:c r="D81" s="76" t="str">
        <x:f>IF('09_Form_Projets_Climat'!$P81="Validé humainement",'09_Form_Projets_Climat'!D81,"")</x:f>
      </x:c>
      <x:c r="E81" s="76" t="str">
        <x:f>IF('09_Form_Projets_Climat'!$P81="Validé humainement",'09_Form_Projets_Climat'!E81,"")</x:f>
      </x:c>
      <x:c r="F81" s="76" t="str">
        <x:f>IF('09_Form_Projets_Climat'!$P81="Validé humainement",'09_Form_Projets_Climat'!F81,"")</x:f>
      </x:c>
      <x:c r="G81" s="78" t="str">
        <x:f>IF('09_Form_Projets_Climat'!$P81="Validé humainement",'09_Form_Projets_Climat'!G81,"")</x:f>
      </x:c>
      <x:c r="H81" s="78" t="str">
        <x:f>IF('09_Form_Projets_Climat'!$P81="Validé humainement",'09_Form_Projets_Climat'!H81,"")</x:f>
      </x:c>
      <x:c r="I81" s="81" t="str">
        <x:f>IF('09_Form_Projets_Climat'!$P81="Validé humainement",'09_Form_Projets_Climat'!I81,"")</x:f>
      </x:c>
      <x:c r="J81" s="81" t="str">
        <x:f>IF('09_Form_Projets_Climat'!$P81="Validé humainement",'09_Form_Projets_Climat'!J81,"")</x:f>
      </x:c>
      <x:c r="K81" s="81" t="str">
        <x:f>IF('09_Form_Projets_Climat'!$P81="Validé humainement",'09_Form_Projets_Climat'!K81,"")</x:f>
      </x:c>
      <x:c r="L81" s="84" t="str">
        <x:f>IF('09_Form_Projets_Climat'!$P81="Validé humainement",'09_Form_Projets_Climat'!L81,"")</x:f>
      </x:c>
      <x:c r="M81" s="76" t="str">
        <x:f>IF('09_Form_Projets_Climat'!$P81="Validé humainement",'09_Form_Projets_Climat'!M81,"")</x:f>
      </x:c>
      <x:c r="N81" s="76" t="str">
        <x:f>IF('09_Form_Projets_Climat'!$P81="Validé humainement",'09_Form_Projets_Climat'!N81,"")</x:f>
      </x:c>
      <x:c r="O81" s="76" t="str">
        <x:f>IF('09_Form_Projets_Climat'!$P81="Validé humainement",'09_Form_Projets_Climat'!O81,"")</x:f>
      </x:c>
      <x:c r="P81" s="76" t="str">
        <x:f>IF('09_Form_Projets_Climat'!$P81="Validé humainement",'09_Form_Projets_Climat'!P81,"")</x:f>
      </x:c>
      <x:c r="Q81" s="76" t="str">
        <x:f>IF('09_Form_Projets_Climat'!$P81="Validé humainement",'09_Form_Projets_Climat'!Q81,"")</x:f>
      </x:c>
      <x:c r="R81" s="78" t="str">
        <x:f>IF('09_Form_Projets_Climat'!$P81="Validé humainement",'09_Form_Projets_Climat'!R81,"")</x:f>
      </x:c>
      <x:c r="S81" s="76" t="str">
        <x:f>IF('09_Form_Projets_Climat'!$P81="Validé humainement",'09_Form_Projets_Climat'!S81,"")</x:f>
      </x:c>
      <x:c r="T81" s="76" t="str">
        <x:f>IF('09_Form_Projets_Climat'!$P81="Validé humainement",'09_Form_Projets_Climat'!T81,"")</x:f>
      </x:c>
      <x:c r="U81" s="76" t="str">
        <x:f>IF('09_Form_Projets_Climat'!$P81="Validé humainement",'09_Form_Projets_Climat'!U81,"")</x:f>
      </x:c>
    </x:row>
    <x:row r="82">
      <x:c r="A82" s="76" t="str">
        <x:f>IF('09_Form_Projets_Climat'!$P82="Validé humainement",'09_Form_Projets_Climat'!A82,"")</x:f>
      </x:c>
      <x:c r="B82" s="76" t="str">
        <x:f>IF('09_Form_Projets_Climat'!$P82="Validé humainement",'09_Form_Projets_Climat'!B82,"")</x:f>
      </x:c>
      <x:c r="C82" s="76" t="str">
        <x:f>IF('09_Form_Projets_Climat'!$P82="Validé humainement",'09_Form_Projets_Climat'!C82,"")</x:f>
      </x:c>
      <x:c r="D82" s="76" t="str">
        <x:f>IF('09_Form_Projets_Climat'!$P82="Validé humainement",'09_Form_Projets_Climat'!D82,"")</x:f>
      </x:c>
      <x:c r="E82" s="76" t="str">
        <x:f>IF('09_Form_Projets_Climat'!$P82="Validé humainement",'09_Form_Projets_Climat'!E82,"")</x:f>
      </x:c>
      <x:c r="F82" s="76" t="str">
        <x:f>IF('09_Form_Projets_Climat'!$P82="Validé humainement",'09_Form_Projets_Climat'!F82,"")</x:f>
      </x:c>
      <x:c r="G82" s="78" t="str">
        <x:f>IF('09_Form_Projets_Climat'!$P82="Validé humainement",'09_Form_Projets_Climat'!G82,"")</x:f>
      </x:c>
      <x:c r="H82" s="78" t="str">
        <x:f>IF('09_Form_Projets_Climat'!$P82="Validé humainement",'09_Form_Projets_Climat'!H82,"")</x:f>
      </x:c>
      <x:c r="I82" s="81" t="str">
        <x:f>IF('09_Form_Projets_Climat'!$P82="Validé humainement",'09_Form_Projets_Climat'!I82,"")</x:f>
      </x:c>
      <x:c r="J82" s="81" t="str">
        <x:f>IF('09_Form_Projets_Climat'!$P82="Validé humainement",'09_Form_Projets_Climat'!J82,"")</x:f>
      </x:c>
      <x:c r="K82" s="81" t="str">
        <x:f>IF('09_Form_Projets_Climat'!$P82="Validé humainement",'09_Form_Projets_Climat'!K82,"")</x:f>
      </x:c>
      <x:c r="L82" s="84" t="str">
        <x:f>IF('09_Form_Projets_Climat'!$P82="Validé humainement",'09_Form_Projets_Climat'!L82,"")</x:f>
      </x:c>
      <x:c r="M82" s="76" t="str">
        <x:f>IF('09_Form_Projets_Climat'!$P82="Validé humainement",'09_Form_Projets_Climat'!M82,"")</x:f>
      </x:c>
      <x:c r="N82" s="76" t="str">
        <x:f>IF('09_Form_Projets_Climat'!$P82="Validé humainement",'09_Form_Projets_Climat'!N82,"")</x:f>
      </x:c>
      <x:c r="O82" s="76" t="str">
        <x:f>IF('09_Form_Projets_Climat'!$P82="Validé humainement",'09_Form_Projets_Climat'!O82,"")</x:f>
      </x:c>
      <x:c r="P82" s="76" t="str">
        <x:f>IF('09_Form_Projets_Climat'!$P82="Validé humainement",'09_Form_Projets_Climat'!P82,"")</x:f>
      </x:c>
      <x:c r="Q82" s="76" t="str">
        <x:f>IF('09_Form_Projets_Climat'!$P82="Validé humainement",'09_Form_Projets_Climat'!Q82,"")</x:f>
      </x:c>
      <x:c r="R82" s="78" t="str">
        <x:f>IF('09_Form_Projets_Climat'!$P82="Validé humainement",'09_Form_Projets_Climat'!R82,"")</x:f>
      </x:c>
      <x:c r="S82" s="76" t="str">
        <x:f>IF('09_Form_Projets_Climat'!$P82="Validé humainement",'09_Form_Projets_Climat'!S82,"")</x:f>
      </x:c>
      <x:c r="T82" s="76" t="str">
        <x:f>IF('09_Form_Projets_Climat'!$P82="Validé humainement",'09_Form_Projets_Climat'!T82,"")</x:f>
      </x:c>
      <x:c r="U82" s="76" t="str">
        <x:f>IF('09_Form_Projets_Climat'!$P82="Validé humainement",'09_Form_Projets_Climat'!U82,"")</x:f>
      </x:c>
    </x:row>
    <x:row r="83">
      <x:c r="A83" s="76" t="str">
        <x:f>IF('09_Form_Projets_Climat'!$P83="Validé humainement",'09_Form_Projets_Climat'!A83,"")</x:f>
      </x:c>
      <x:c r="B83" s="76" t="str">
        <x:f>IF('09_Form_Projets_Climat'!$P83="Validé humainement",'09_Form_Projets_Climat'!B83,"")</x:f>
      </x:c>
      <x:c r="C83" s="76" t="str">
        <x:f>IF('09_Form_Projets_Climat'!$P83="Validé humainement",'09_Form_Projets_Climat'!C83,"")</x:f>
      </x:c>
      <x:c r="D83" s="76" t="str">
        <x:f>IF('09_Form_Projets_Climat'!$P83="Validé humainement",'09_Form_Projets_Climat'!D83,"")</x:f>
      </x:c>
      <x:c r="E83" s="76" t="str">
        <x:f>IF('09_Form_Projets_Climat'!$P83="Validé humainement",'09_Form_Projets_Climat'!E83,"")</x:f>
      </x:c>
      <x:c r="F83" s="76" t="str">
        <x:f>IF('09_Form_Projets_Climat'!$P83="Validé humainement",'09_Form_Projets_Climat'!F83,"")</x:f>
      </x:c>
      <x:c r="G83" s="78" t="str">
        <x:f>IF('09_Form_Projets_Climat'!$P83="Validé humainement",'09_Form_Projets_Climat'!G83,"")</x:f>
      </x:c>
      <x:c r="H83" s="78" t="str">
        <x:f>IF('09_Form_Projets_Climat'!$P83="Validé humainement",'09_Form_Projets_Climat'!H83,"")</x:f>
      </x:c>
      <x:c r="I83" s="81" t="str">
        <x:f>IF('09_Form_Projets_Climat'!$P83="Validé humainement",'09_Form_Projets_Climat'!I83,"")</x:f>
      </x:c>
      <x:c r="J83" s="81" t="str">
        <x:f>IF('09_Form_Projets_Climat'!$P83="Validé humainement",'09_Form_Projets_Climat'!J83,"")</x:f>
      </x:c>
      <x:c r="K83" s="81" t="str">
        <x:f>IF('09_Form_Projets_Climat'!$P83="Validé humainement",'09_Form_Projets_Climat'!K83,"")</x:f>
      </x:c>
      <x:c r="L83" s="84" t="str">
        <x:f>IF('09_Form_Projets_Climat'!$P83="Validé humainement",'09_Form_Projets_Climat'!L83,"")</x:f>
      </x:c>
      <x:c r="M83" s="76" t="str">
        <x:f>IF('09_Form_Projets_Climat'!$P83="Validé humainement",'09_Form_Projets_Climat'!M83,"")</x:f>
      </x:c>
      <x:c r="N83" s="76" t="str">
        <x:f>IF('09_Form_Projets_Climat'!$P83="Validé humainement",'09_Form_Projets_Climat'!N83,"")</x:f>
      </x:c>
      <x:c r="O83" s="76" t="str">
        <x:f>IF('09_Form_Projets_Climat'!$P83="Validé humainement",'09_Form_Projets_Climat'!O83,"")</x:f>
      </x:c>
      <x:c r="P83" s="76" t="str">
        <x:f>IF('09_Form_Projets_Climat'!$P83="Validé humainement",'09_Form_Projets_Climat'!P83,"")</x:f>
      </x:c>
      <x:c r="Q83" s="76" t="str">
        <x:f>IF('09_Form_Projets_Climat'!$P83="Validé humainement",'09_Form_Projets_Climat'!Q83,"")</x:f>
      </x:c>
      <x:c r="R83" s="78" t="str">
        <x:f>IF('09_Form_Projets_Climat'!$P83="Validé humainement",'09_Form_Projets_Climat'!R83,"")</x:f>
      </x:c>
      <x:c r="S83" s="76" t="str">
        <x:f>IF('09_Form_Projets_Climat'!$P83="Validé humainement",'09_Form_Projets_Climat'!S83,"")</x:f>
      </x:c>
      <x:c r="T83" s="76" t="str">
        <x:f>IF('09_Form_Projets_Climat'!$P83="Validé humainement",'09_Form_Projets_Climat'!T83,"")</x:f>
      </x:c>
      <x:c r="U83" s="76" t="str">
        <x:f>IF('09_Form_Projets_Climat'!$P83="Validé humainement",'09_Form_Projets_Climat'!U83,"")</x:f>
      </x:c>
    </x:row>
    <x:row r="84">
      <x:c r="A84" s="76" t="str">
        <x:f>IF('09_Form_Projets_Climat'!$P84="Validé humainement",'09_Form_Projets_Climat'!A84,"")</x:f>
      </x:c>
      <x:c r="B84" s="76" t="str">
        <x:f>IF('09_Form_Projets_Climat'!$P84="Validé humainement",'09_Form_Projets_Climat'!B84,"")</x:f>
      </x:c>
      <x:c r="C84" s="76" t="str">
        <x:f>IF('09_Form_Projets_Climat'!$P84="Validé humainement",'09_Form_Projets_Climat'!C84,"")</x:f>
      </x:c>
      <x:c r="D84" s="76" t="str">
        <x:f>IF('09_Form_Projets_Climat'!$P84="Validé humainement",'09_Form_Projets_Climat'!D84,"")</x:f>
      </x:c>
      <x:c r="E84" s="76" t="str">
        <x:f>IF('09_Form_Projets_Climat'!$P84="Validé humainement",'09_Form_Projets_Climat'!E84,"")</x:f>
      </x:c>
      <x:c r="F84" s="76" t="str">
        <x:f>IF('09_Form_Projets_Climat'!$P84="Validé humainement",'09_Form_Projets_Climat'!F84,"")</x:f>
      </x:c>
      <x:c r="G84" s="78" t="str">
        <x:f>IF('09_Form_Projets_Climat'!$P84="Validé humainement",'09_Form_Projets_Climat'!G84,"")</x:f>
      </x:c>
      <x:c r="H84" s="78" t="str">
        <x:f>IF('09_Form_Projets_Climat'!$P84="Validé humainement",'09_Form_Projets_Climat'!H84,"")</x:f>
      </x:c>
      <x:c r="I84" s="81" t="str">
        <x:f>IF('09_Form_Projets_Climat'!$P84="Validé humainement",'09_Form_Projets_Climat'!I84,"")</x:f>
      </x:c>
      <x:c r="J84" s="81" t="str">
        <x:f>IF('09_Form_Projets_Climat'!$P84="Validé humainement",'09_Form_Projets_Climat'!J84,"")</x:f>
      </x:c>
      <x:c r="K84" s="81" t="str">
        <x:f>IF('09_Form_Projets_Climat'!$P84="Validé humainement",'09_Form_Projets_Climat'!K84,"")</x:f>
      </x:c>
      <x:c r="L84" s="84" t="str">
        <x:f>IF('09_Form_Projets_Climat'!$P84="Validé humainement",'09_Form_Projets_Climat'!L84,"")</x:f>
      </x:c>
      <x:c r="M84" s="76" t="str">
        <x:f>IF('09_Form_Projets_Climat'!$P84="Validé humainement",'09_Form_Projets_Climat'!M84,"")</x:f>
      </x:c>
      <x:c r="N84" s="76" t="str">
        <x:f>IF('09_Form_Projets_Climat'!$P84="Validé humainement",'09_Form_Projets_Climat'!N84,"")</x:f>
      </x:c>
      <x:c r="O84" s="76" t="str">
        <x:f>IF('09_Form_Projets_Climat'!$P84="Validé humainement",'09_Form_Projets_Climat'!O84,"")</x:f>
      </x:c>
      <x:c r="P84" s="76" t="str">
        <x:f>IF('09_Form_Projets_Climat'!$P84="Validé humainement",'09_Form_Projets_Climat'!P84,"")</x:f>
      </x:c>
      <x:c r="Q84" s="76" t="str">
        <x:f>IF('09_Form_Projets_Climat'!$P84="Validé humainement",'09_Form_Projets_Climat'!Q84,"")</x:f>
      </x:c>
      <x:c r="R84" s="78" t="str">
        <x:f>IF('09_Form_Projets_Climat'!$P84="Validé humainement",'09_Form_Projets_Climat'!R84,"")</x:f>
      </x:c>
      <x:c r="S84" s="76" t="str">
        <x:f>IF('09_Form_Projets_Climat'!$P84="Validé humainement",'09_Form_Projets_Climat'!S84,"")</x:f>
      </x:c>
      <x:c r="T84" s="76" t="str">
        <x:f>IF('09_Form_Projets_Climat'!$P84="Validé humainement",'09_Form_Projets_Climat'!T84,"")</x:f>
      </x:c>
      <x:c r="U84" s="76" t="str">
        <x:f>IF('09_Form_Projets_Climat'!$P84="Validé humainement",'09_Form_Projets_Climat'!U84,"")</x:f>
      </x:c>
    </x:row>
    <x:row r="85">
      <x:c r="A85" s="76" t="str">
        <x:f>IF('09_Form_Projets_Climat'!$P85="Validé humainement",'09_Form_Projets_Climat'!A85,"")</x:f>
      </x:c>
      <x:c r="B85" s="76" t="str">
        <x:f>IF('09_Form_Projets_Climat'!$P85="Validé humainement",'09_Form_Projets_Climat'!B85,"")</x:f>
      </x:c>
      <x:c r="C85" s="76" t="str">
        <x:f>IF('09_Form_Projets_Climat'!$P85="Validé humainement",'09_Form_Projets_Climat'!C85,"")</x:f>
      </x:c>
      <x:c r="D85" s="76" t="str">
        <x:f>IF('09_Form_Projets_Climat'!$P85="Validé humainement",'09_Form_Projets_Climat'!D85,"")</x:f>
      </x:c>
      <x:c r="E85" s="76" t="str">
        <x:f>IF('09_Form_Projets_Climat'!$P85="Validé humainement",'09_Form_Projets_Climat'!E85,"")</x:f>
      </x:c>
      <x:c r="F85" s="76" t="str">
        <x:f>IF('09_Form_Projets_Climat'!$P85="Validé humainement",'09_Form_Projets_Climat'!F85,"")</x:f>
      </x:c>
      <x:c r="G85" s="78" t="str">
        <x:f>IF('09_Form_Projets_Climat'!$P85="Validé humainement",'09_Form_Projets_Climat'!G85,"")</x:f>
      </x:c>
      <x:c r="H85" s="78" t="str">
        <x:f>IF('09_Form_Projets_Climat'!$P85="Validé humainement",'09_Form_Projets_Climat'!H85,"")</x:f>
      </x:c>
      <x:c r="I85" s="81" t="str">
        <x:f>IF('09_Form_Projets_Climat'!$P85="Validé humainement",'09_Form_Projets_Climat'!I85,"")</x:f>
      </x:c>
      <x:c r="J85" s="81" t="str">
        <x:f>IF('09_Form_Projets_Climat'!$P85="Validé humainement",'09_Form_Projets_Climat'!J85,"")</x:f>
      </x:c>
      <x:c r="K85" s="81" t="str">
        <x:f>IF('09_Form_Projets_Climat'!$P85="Validé humainement",'09_Form_Projets_Climat'!K85,"")</x:f>
      </x:c>
      <x:c r="L85" s="84" t="str">
        <x:f>IF('09_Form_Projets_Climat'!$P85="Validé humainement",'09_Form_Projets_Climat'!L85,"")</x:f>
      </x:c>
      <x:c r="M85" s="76" t="str">
        <x:f>IF('09_Form_Projets_Climat'!$P85="Validé humainement",'09_Form_Projets_Climat'!M85,"")</x:f>
      </x:c>
      <x:c r="N85" s="76" t="str">
        <x:f>IF('09_Form_Projets_Climat'!$P85="Validé humainement",'09_Form_Projets_Climat'!N85,"")</x:f>
      </x:c>
      <x:c r="O85" s="76" t="str">
        <x:f>IF('09_Form_Projets_Climat'!$P85="Validé humainement",'09_Form_Projets_Climat'!O85,"")</x:f>
      </x:c>
      <x:c r="P85" s="76" t="str">
        <x:f>IF('09_Form_Projets_Climat'!$P85="Validé humainement",'09_Form_Projets_Climat'!P85,"")</x:f>
      </x:c>
      <x:c r="Q85" s="76" t="str">
        <x:f>IF('09_Form_Projets_Climat'!$P85="Validé humainement",'09_Form_Projets_Climat'!Q85,"")</x:f>
      </x:c>
      <x:c r="R85" s="78" t="str">
        <x:f>IF('09_Form_Projets_Climat'!$P85="Validé humainement",'09_Form_Projets_Climat'!R85,"")</x:f>
      </x:c>
      <x:c r="S85" s="76" t="str">
        <x:f>IF('09_Form_Projets_Climat'!$P85="Validé humainement",'09_Form_Projets_Climat'!S85,"")</x:f>
      </x:c>
      <x:c r="T85" s="76" t="str">
        <x:f>IF('09_Form_Projets_Climat'!$P85="Validé humainement",'09_Form_Projets_Climat'!T85,"")</x:f>
      </x:c>
      <x:c r="U85" s="76" t="str">
        <x:f>IF('09_Form_Projets_Climat'!$P85="Validé humainement",'09_Form_Projets_Climat'!U85,"")</x:f>
      </x:c>
    </x:row>
    <x:row r="86">
      <x:c r="A86" s="76" t="str">
        <x:f>IF('09_Form_Projets_Climat'!$P86="Validé humainement",'09_Form_Projets_Climat'!A86,"")</x:f>
      </x:c>
      <x:c r="B86" s="76" t="str">
        <x:f>IF('09_Form_Projets_Climat'!$P86="Validé humainement",'09_Form_Projets_Climat'!B86,"")</x:f>
      </x:c>
      <x:c r="C86" s="76" t="str">
        <x:f>IF('09_Form_Projets_Climat'!$P86="Validé humainement",'09_Form_Projets_Climat'!C86,"")</x:f>
      </x:c>
      <x:c r="D86" s="76" t="str">
        <x:f>IF('09_Form_Projets_Climat'!$P86="Validé humainement",'09_Form_Projets_Climat'!D86,"")</x:f>
      </x:c>
      <x:c r="E86" s="76" t="str">
        <x:f>IF('09_Form_Projets_Climat'!$P86="Validé humainement",'09_Form_Projets_Climat'!E86,"")</x:f>
      </x:c>
      <x:c r="F86" s="76" t="str">
        <x:f>IF('09_Form_Projets_Climat'!$P86="Validé humainement",'09_Form_Projets_Climat'!F86,"")</x:f>
      </x:c>
      <x:c r="G86" s="78" t="str">
        <x:f>IF('09_Form_Projets_Climat'!$P86="Validé humainement",'09_Form_Projets_Climat'!G86,"")</x:f>
      </x:c>
      <x:c r="H86" s="78" t="str">
        <x:f>IF('09_Form_Projets_Climat'!$P86="Validé humainement",'09_Form_Projets_Climat'!H86,"")</x:f>
      </x:c>
      <x:c r="I86" s="81" t="str">
        <x:f>IF('09_Form_Projets_Climat'!$P86="Validé humainement",'09_Form_Projets_Climat'!I86,"")</x:f>
      </x:c>
      <x:c r="J86" s="81" t="str">
        <x:f>IF('09_Form_Projets_Climat'!$P86="Validé humainement",'09_Form_Projets_Climat'!J86,"")</x:f>
      </x:c>
      <x:c r="K86" s="81" t="str">
        <x:f>IF('09_Form_Projets_Climat'!$P86="Validé humainement",'09_Form_Projets_Climat'!K86,"")</x:f>
      </x:c>
      <x:c r="L86" s="84" t="str">
        <x:f>IF('09_Form_Projets_Climat'!$P86="Validé humainement",'09_Form_Projets_Climat'!L86,"")</x:f>
      </x:c>
      <x:c r="M86" s="76" t="str">
        <x:f>IF('09_Form_Projets_Climat'!$P86="Validé humainement",'09_Form_Projets_Climat'!M86,"")</x:f>
      </x:c>
      <x:c r="N86" s="76" t="str">
        <x:f>IF('09_Form_Projets_Climat'!$P86="Validé humainement",'09_Form_Projets_Climat'!N86,"")</x:f>
      </x:c>
      <x:c r="O86" s="76" t="str">
        <x:f>IF('09_Form_Projets_Climat'!$P86="Validé humainement",'09_Form_Projets_Climat'!O86,"")</x:f>
      </x:c>
      <x:c r="P86" s="76" t="str">
        <x:f>IF('09_Form_Projets_Climat'!$P86="Validé humainement",'09_Form_Projets_Climat'!P86,"")</x:f>
      </x:c>
      <x:c r="Q86" s="76" t="str">
        <x:f>IF('09_Form_Projets_Climat'!$P86="Validé humainement",'09_Form_Projets_Climat'!Q86,"")</x:f>
      </x:c>
      <x:c r="R86" s="78" t="str">
        <x:f>IF('09_Form_Projets_Climat'!$P86="Validé humainement",'09_Form_Projets_Climat'!R86,"")</x:f>
      </x:c>
      <x:c r="S86" s="76" t="str">
        <x:f>IF('09_Form_Projets_Climat'!$P86="Validé humainement",'09_Form_Projets_Climat'!S86,"")</x:f>
      </x:c>
      <x:c r="T86" s="76" t="str">
        <x:f>IF('09_Form_Projets_Climat'!$P86="Validé humainement",'09_Form_Projets_Climat'!T86,"")</x:f>
      </x:c>
      <x:c r="U86" s="76" t="str">
        <x:f>IF('09_Form_Projets_Climat'!$P86="Validé humainement",'09_Form_Projets_Climat'!U86,"")</x:f>
      </x:c>
    </x:row>
    <x:row r="87">
      <x:c r="A87" s="76" t="str">
        <x:f>IF('09_Form_Projets_Climat'!$P87="Validé humainement",'09_Form_Projets_Climat'!A87,"")</x:f>
      </x:c>
      <x:c r="B87" s="76" t="str">
        <x:f>IF('09_Form_Projets_Climat'!$P87="Validé humainement",'09_Form_Projets_Climat'!B87,"")</x:f>
      </x:c>
      <x:c r="C87" s="76" t="str">
        <x:f>IF('09_Form_Projets_Climat'!$P87="Validé humainement",'09_Form_Projets_Climat'!C87,"")</x:f>
      </x:c>
      <x:c r="D87" s="76" t="str">
        <x:f>IF('09_Form_Projets_Climat'!$P87="Validé humainement",'09_Form_Projets_Climat'!D87,"")</x:f>
      </x:c>
      <x:c r="E87" s="76" t="str">
        <x:f>IF('09_Form_Projets_Climat'!$P87="Validé humainement",'09_Form_Projets_Climat'!E87,"")</x:f>
      </x:c>
      <x:c r="F87" s="76" t="str">
        <x:f>IF('09_Form_Projets_Climat'!$P87="Validé humainement",'09_Form_Projets_Climat'!F87,"")</x:f>
      </x:c>
      <x:c r="G87" s="78" t="str">
        <x:f>IF('09_Form_Projets_Climat'!$P87="Validé humainement",'09_Form_Projets_Climat'!G87,"")</x:f>
      </x:c>
      <x:c r="H87" s="78" t="str">
        <x:f>IF('09_Form_Projets_Climat'!$P87="Validé humainement",'09_Form_Projets_Climat'!H87,"")</x:f>
      </x:c>
      <x:c r="I87" s="81" t="str">
        <x:f>IF('09_Form_Projets_Climat'!$P87="Validé humainement",'09_Form_Projets_Climat'!I87,"")</x:f>
      </x:c>
      <x:c r="J87" s="81" t="str">
        <x:f>IF('09_Form_Projets_Climat'!$P87="Validé humainement",'09_Form_Projets_Climat'!J87,"")</x:f>
      </x:c>
      <x:c r="K87" s="81" t="str">
        <x:f>IF('09_Form_Projets_Climat'!$P87="Validé humainement",'09_Form_Projets_Climat'!K87,"")</x:f>
      </x:c>
      <x:c r="L87" s="84" t="str">
        <x:f>IF('09_Form_Projets_Climat'!$P87="Validé humainement",'09_Form_Projets_Climat'!L87,"")</x:f>
      </x:c>
      <x:c r="M87" s="76" t="str">
        <x:f>IF('09_Form_Projets_Climat'!$P87="Validé humainement",'09_Form_Projets_Climat'!M87,"")</x:f>
      </x:c>
      <x:c r="N87" s="76" t="str">
        <x:f>IF('09_Form_Projets_Climat'!$P87="Validé humainement",'09_Form_Projets_Climat'!N87,"")</x:f>
      </x:c>
      <x:c r="O87" s="76" t="str">
        <x:f>IF('09_Form_Projets_Climat'!$P87="Validé humainement",'09_Form_Projets_Climat'!O87,"")</x:f>
      </x:c>
      <x:c r="P87" s="76" t="str">
        <x:f>IF('09_Form_Projets_Climat'!$P87="Validé humainement",'09_Form_Projets_Climat'!P87,"")</x:f>
      </x:c>
      <x:c r="Q87" s="76" t="str">
        <x:f>IF('09_Form_Projets_Climat'!$P87="Validé humainement",'09_Form_Projets_Climat'!Q87,"")</x:f>
      </x:c>
      <x:c r="R87" s="78" t="str">
        <x:f>IF('09_Form_Projets_Climat'!$P87="Validé humainement",'09_Form_Projets_Climat'!R87,"")</x:f>
      </x:c>
      <x:c r="S87" s="76" t="str">
        <x:f>IF('09_Form_Projets_Climat'!$P87="Validé humainement",'09_Form_Projets_Climat'!S87,"")</x:f>
      </x:c>
      <x:c r="T87" s="76" t="str">
        <x:f>IF('09_Form_Projets_Climat'!$P87="Validé humainement",'09_Form_Projets_Climat'!T87,"")</x:f>
      </x:c>
      <x:c r="U87" s="76" t="str">
        <x:f>IF('09_Form_Projets_Climat'!$P87="Validé humainement",'09_Form_Projets_Climat'!U87,"")</x:f>
      </x:c>
    </x:row>
    <x:row r="88">
      <x:c r="A88" s="76" t="str">
        <x:f>IF('09_Form_Projets_Climat'!$P88="Validé humainement",'09_Form_Projets_Climat'!A88,"")</x:f>
      </x:c>
      <x:c r="B88" s="76" t="str">
        <x:f>IF('09_Form_Projets_Climat'!$P88="Validé humainement",'09_Form_Projets_Climat'!B88,"")</x:f>
      </x:c>
      <x:c r="C88" s="76" t="str">
        <x:f>IF('09_Form_Projets_Climat'!$P88="Validé humainement",'09_Form_Projets_Climat'!C88,"")</x:f>
      </x:c>
      <x:c r="D88" s="76" t="str">
        <x:f>IF('09_Form_Projets_Climat'!$P88="Validé humainement",'09_Form_Projets_Climat'!D88,"")</x:f>
      </x:c>
      <x:c r="E88" s="76" t="str">
        <x:f>IF('09_Form_Projets_Climat'!$P88="Validé humainement",'09_Form_Projets_Climat'!E88,"")</x:f>
      </x:c>
      <x:c r="F88" s="76" t="str">
        <x:f>IF('09_Form_Projets_Climat'!$P88="Validé humainement",'09_Form_Projets_Climat'!F88,"")</x:f>
      </x:c>
      <x:c r="G88" s="78" t="str">
        <x:f>IF('09_Form_Projets_Climat'!$P88="Validé humainement",'09_Form_Projets_Climat'!G88,"")</x:f>
      </x:c>
      <x:c r="H88" s="78" t="str">
        <x:f>IF('09_Form_Projets_Climat'!$P88="Validé humainement",'09_Form_Projets_Climat'!H88,"")</x:f>
      </x:c>
      <x:c r="I88" s="81" t="str">
        <x:f>IF('09_Form_Projets_Climat'!$P88="Validé humainement",'09_Form_Projets_Climat'!I88,"")</x:f>
      </x:c>
      <x:c r="J88" s="81" t="str">
        <x:f>IF('09_Form_Projets_Climat'!$P88="Validé humainement",'09_Form_Projets_Climat'!J88,"")</x:f>
      </x:c>
      <x:c r="K88" s="81" t="str">
        <x:f>IF('09_Form_Projets_Climat'!$P88="Validé humainement",'09_Form_Projets_Climat'!K88,"")</x:f>
      </x:c>
      <x:c r="L88" s="84" t="str">
        <x:f>IF('09_Form_Projets_Climat'!$P88="Validé humainement",'09_Form_Projets_Climat'!L88,"")</x:f>
      </x:c>
      <x:c r="M88" s="76" t="str">
        <x:f>IF('09_Form_Projets_Climat'!$P88="Validé humainement",'09_Form_Projets_Climat'!M88,"")</x:f>
      </x:c>
      <x:c r="N88" s="76" t="str">
        <x:f>IF('09_Form_Projets_Climat'!$P88="Validé humainement",'09_Form_Projets_Climat'!N88,"")</x:f>
      </x:c>
      <x:c r="O88" s="76" t="str">
        <x:f>IF('09_Form_Projets_Climat'!$P88="Validé humainement",'09_Form_Projets_Climat'!O88,"")</x:f>
      </x:c>
      <x:c r="P88" s="76" t="str">
        <x:f>IF('09_Form_Projets_Climat'!$P88="Validé humainement",'09_Form_Projets_Climat'!P88,"")</x:f>
      </x:c>
      <x:c r="Q88" s="76" t="str">
        <x:f>IF('09_Form_Projets_Climat'!$P88="Validé humainement",'09_Form_Projets_Climat'!Q88,"")</x:f>
      </x:c>
      <x:c r="R88" s="78" t="str">
        <x:f>IF('09_Form_Projets_Climat'!$P88="Validé humainement",'09_Form_Projets_Climat'!R88,"")</x:f>
      </x:c>
      <x:c r="S88" s="76" t="str">
        <x:f>IF('09_Form_Projets_Climat'!$P88="Validé humainement",'09_Form_Projets_Climat'!S88,"")</x:f>
      </x:c>
      <x:c r="T88" s="76" t="str">
        <x:f>IF('09_Form_Projets_Climat'!$P88="Validé humainement",'09_Form_Projets_Climat'!T88,"")</x:f>
      </x:c>
      <x:c r="U88" s="76" t="str">
        <x:f>IF('09_Form_Projets_Climat'!$P88="Validé humainement",'09_Form_Projets_Climat'!U88,"")</x:f>
      </x:c>
    </x:row>
    <x:row r="89">
      <x:c r="A89" s="76" t="str">
        <x:f>IF('09_Form_Projets_Climat'!$P89="Validé humainement",'09_Form_Projets_Climat'!A89,"")</x:f>
      </x:c>
      <x:c r="B89" s="76" t="str">
        <x:f>IF('09_Form_Projets_Climat'!$P89="Validé humainement",'09_Form_Projets_Climat'!B89,"")</x:f>
      </x:c>
      <x:c r="C89" s="76" t="str">
        <x:f>IF('09_Form_Projets_Climat'!$P89="Validé humainement",'09_Form_Projets_Climat'!C89,"")</x:f>
      </x:c>
      <x:c r="D89" s="76" t="str">
        <x:f>IF('09_Form_Projets_Climat'!$P89="Validé humainement",'09_Form_Projets_Climat'!D89,"")</x:f>
      </x:c>
      <x:c r="E89" s="76" t="str">
        <x:f>IF('09_Form_Projets_Climat'!$P89="Validé humainement",'09_Form_Projets_Climat'!E89,"")</x:f>
      </x:c>
      <x:c r="F89" s="76" t="str">
        <x:f>IF('09_Form_Projets_Climat'!$P89="Validé humainement",'09_Form_Projets_Climat'!F89,"")</x:f>
      </x:c>
      <x:c r="G89" s="78" t="str">
        <x:f>IF('09_Form_Projets_Climat'!$P89="Validé humainement",'09_Form_Projets_Climat'!G89,"")</x:f>
      </x:c>
      <x:c r="H89" s="78" t="str">
        <x:f>IF('09_Form_Projets_Climat'!$P89="Validé humainement",'09_Form_Projets_Climat'!H89,"")</x:f>
      </x:c>
      <x:c r="I89" s="81" t="str">
        <x:f>IF('09_Form_Projets_Climat'!$P89="Validé humainement",'09_Form_Projets_Climat'!I89,"")</x:f>
      </x:c>
      <x:c r="J89" s="81" t="str">
        <x:f>IF('09_Form_Projets_Climat'!$P89="Validé humainement",'09_Form_Projets_Climat'!J89,"")</x:f>
      </x:c>
      <x:c r="K89" s="81" t="str">
        <x:f>IF('09_Form_Projets_Climat'!$P89="Validé humainement",'09_Form_Projets_Climat'!K89,"")</x:f>
      </x:c>
      <x:c r="L89" s="84" t="str">
        <x:f>IF('09_Form_Projets_Climat'!$P89="Validé humainement",'09_Form_Projets_Climat'!L89,"")</x:f>
      </x:c>
      <x:c r="M89" s="76" t="str">
        <x:f>IF('09_Form_Projets_Climat'!$P89="Validé humainement",'09_Form_Projets_Climat'!M89,"")</x:f>
      </x:c>
      <x:c r="N89" s="76" t="str">
        <x:f>IF('09_Form_Projets_Climat'!$P89="Validé humainement",'09_Form_Projets_Climat'!N89,"")</x:f>
      </x:c>
      <x:c r="O89" s="76" t="str">
        <x:f>IF('09_Form_Projets_Climat'!$P89="Validé humainement",'09_Form_Projets_Climat'!O89,"")</x:f>
      </x:c>
      <x:c r="P89" s="76" t="str">
        <x:f>IF('09_Form_Projets_Climat'!$P89="Validé humainement",'09_Form_Projets_Climat'!P89,"")</x:f>
      </x:c>
      <x:c r="Q89" s="76" t="str">
        <x:f>IF('09_Form_Projets_Climat'!$P89="Validé humainement",'09_Form_Projets_Climat'!Q89,"")</x:f>
      </x:c>
      <x:c r="R89" s="78" t="str">
        <x:f>IF('09_Form_Projets_Climat'!$P89="Validé humainement",'09_Form_Projets_Climat'!R89,"")</x:f>
      </x:c>
      <x:c r="S89" s="76" t="str">
        <x:f>IF('09_Form_Projets_Climat'!$P89="Validé humainement",'09_Form_Projets_Climat'!S89,"")</x:f>
      </x:c>
      <x:c r="T89" s="76" t="str">
        <x:f>IF('09_Form_Projets_Climat'!$P89="Validé humainement",'09_Form_Projets_Climat'!T89,"")</x:f>
      </x:c>
      <x:c r="U89" s="76" t="str">
        <x:f>IF('09_Form_Projets_Climat'!$P89="Validé humainement",'09_Form_Projets_Climat'!U89,"")</x:f>
      </x:c>
    </x:row>
    <x:row r="90">
      <x:c r="A90" s="76" t="str">
        <x:f>IF('09_Form_Projets_Climat'!$P90="Validé humainement",'09_Form_Projets_Climat'!A90,"")</x:f>
      </x:c>
      <x:c r="B90" s="76" t="str">
        <x:f>IF('09_Form_Projets_Climat'!$P90="Validé humainement",'09_Form_Projets_Climat'!B90,"")</x:f>
      </x:c>
      <x:c r="C90" s="76" t="str">
        <x:f>IF('09_Form_Projets_Climat'!$P90="Validé humainement",'09_Form_Projets_Climat'!C90,"")</x:f>
      </x:c>
      <x:c r="D90" s="76" t="str">
        <x:f>IF('09_Form_Projets_Climat'!$P90="Validé humainement",'09_Form_Projets_Climat'!D90,"")</x:f>
      </x:c>
      <x:c r="E90" s="76" t="str">
        <x:f>IF('09_Form_Projets_Climat'!$P90="Validé humainement",'09_Form_Projets_Climat'!E90,"")</x:f>
      </x:c>
      <x:c r="F90" s="76" t="str">
        <x:f>IF('09_Form_Projets_Climat'!$P90="Validé humainement",'09_Form_Projets_Climat'!F90,"")</x:f>
      </x:c>
      <x:c r="G90" s="78" t="str">
        <x:f>IF('09_Form_Projets_Climat'!$P90="Validé humainement",'09_Form_Projets_Climat'!G90,"")</x:f>
      </x:c>
      <x:c r="H90" s="78" t="str">
        <x:f>IF('09_Form_Projets_Climat'!$P90="Validé humainement",'09_Form_Projets_Climat'!H90,"")</x:f>
      </x:c>
      <x:c r="I90" s="81" t="str">
        <x:f>IF('09_Form_Projets_Climat'!$P90="Validé humainement",'09_Form_Projets_Climat'!I90,"")</x:f>
      </x:c>
      <x:c r="J90" s="81" t="str">
        <x:f>IF('09_Form_Projets_Climat'!$P90="Validé humainement",'09_Form_Projets_Climat'!J90,"")</x:f>
      </x:c>
      <x:c r="K90" s="81" t="str">
        <x:f>IF('09_Form_Projets_Climat'!$P90="Validé humainement",'09_Form_Projets_Climat'!K90,"")</x:f>
      </x:c>
      <x:c r="L90" s="84" t="str">
        <x:f>IF('09_Form_Projets_Climat'!$P90="Validé humainement",'09_Form_Projets_Climat'!L90,"")</x:f>
      </x:c>
      <x:c r="M90" s="76" t="str">
        <x:f>IF('09_Form_Projets_Climat'!$P90="Validé humainement",'09_Form_Projets_Climat'!M90,"")</x:f>
      </x:c>
      <x:c r="N90" s="76" t="str">
        <x:f>IF('09_Form_Projets_Climat'!$P90="Validé humainement",'09_Form_Projets_Climat'!N90,"")</x:f>
      </x:c>
      <x:c r="O90" s="76" t="str">
        <x:f>IF('09_Form_Projets_Climat'!$P90="Validé humainement",'09_Form_Projets_Climat'!O90,"")</x:f>
      </x:c>
      <x:c r="P90" s="76" t="str">
        <x:f>IF('09_Form_Projets_Climat'!$P90="Validé humainement",'09_Form_Projets_Climat'!P90,"")</x:f>
      </x:c>
      <x:c r="Q90" s="76" t="str">
        <x:f>IF('09_Form_Projets_Climat'!$P90="Validé humainement",'09_Form_Projets_Climat'!Q90,"")</x:f>
      </x:c>
      <x:c r="R90" s="78" t="str">
        <x:f>IF('09_Form_Projets_Climat'!$P90="Validé humainement",'09_Form_Projets_Climat'!R90,"")</x:f>
      </x:c>
      <x:c r="S90" s="76" t="str">
        <x:f>IF('09_Form_Projets_Climat'!$P90="Validé humainement",'09_Form_Projets_Climat'!S90,"")</x:f>
      </x:c>
      <x:c r="T90" s="76" t="str">
        <x:f>IF('09_Form_Projets_Climat'!$P90="Validé humainement",'09_Form_Projets_Climat'!T90,"")</x:f>
      </x:c>
      <x:c r="U90" s="76" t="str">
        <x:f>IF('09_Form_Projets_Climat'!$P90="Validé humainement",'09_Form_Projets_Climat'!U90,"")</x:f>
      </x:c>
    </x:row>
    <x:row r="91">
      <x:c r="A91" s="76" t="str">
        <x:f>IF('09_Form_Projets_Climat'!$P91="Validé humainement",'09_Form_Projets_Climat'!A91,"")</x:f>
      </x:c>
      <x:c r="B91" s="76" t="str">
        <x:f>IF('09_Form_Projets_Climat'!$P91="Validé humainement",'09_Form_Projets_Climat'!B91,"")</x:f>
      </x:c>
      <x:c r="C91" s="76" t="str">
        <x:f>IF('09_Form_Projets_Climat'!$P91="Validé humainement",'09_Form_Projets_Climat'!C91,"")</x:f>
      </x:c>
      <x:c r="D91" s="76" t="str">
        <x:f>IF('09_Form_Projets_Climat'!$P91="Validé humainement",'09_Form_Projets_Climat'!D91,"")</x:f>
      </x:c>
      <x:c r="E91" s="76" t="str">
        <x:f>IF('09_Form_Projets_Climat'!$P91="Validé humainement",'09_Form_Projets_Climat'!E91,"")</x:f>
      </x:c>
      <x:c r="F91" s="76" t="str">
        <x:f>IF('09_Form_Projets_Climat'!$P91="Validé humainement",'09_Form_Projets_Climat'!F91,"")</x:f>
      </x:c>
      <x:c r="G91" s="78" t="str">
        <x:f>IF('09_Form_Projets_Climat'!$P91="Validé humainement",'09_Form_Projets_Climat'!G91,"")</x:f>
      </x:c>
      <x:c r="H91" s="78" t="str">
        <x:f>IF('09_Form_Projets_Climat'!$P91="Validé humainement",'09_Form_Projets_Climat'!H91,"")</x:f>
      </x:c>
      <x:c r="I91" s="81" t="str">
        <x:f>IF('09_Form_Projets_Climat'!$P91="Validé humainement",'09_Form_Projets_Climat'!I91,"")</x:f>
      </x:c>
      <x:c r="J91" s="81" t="str">
        <x:f>IF('09_Form_Projets_Climat'!$P91="Validé humainement",'09_Form_Projets_Climat'!J91,"")</x:f>
      </x:c>
      <x:c r="K91" s="81" t="str">
        <x:f>IF('09_Form_Projets_Climat'!$P91="Validé humainement",'09_Form_Projets_Climat'!K91,"")</x:f>
      </x:c>
      <x:c r="L91" s="84" t="str">
        <x:f>IF('09_Form_Projets_Climat'!$P91="Validé humainement",'09_Form_Projets_Climat'!L91,"")</x:f>
      </x:c>
      <x:c r="M91" s="76" t="str">
        <x:f>IF('09_Form_Projets_Climat'!$P91="Validé humainement",'09_Form_Projets_Climat'!M91,"")</x:f>
      </x:c>
      <x:c r="N91" s="76" t="str">
        <x:f>IF('09_Form_Projets_Climat'!$P91="Validé humainement",'09_Form_Projets_Climat'!N91,"")</x:f>
      </x:c>
      <x:c r="O91" s="76" t="str">
        <x:f>IF('09_Form_Projets_Climat'!$P91="Validé humainement",'09_Form_Projets_Climat'!O91,"")</x:f>
      </x:c>
      <x:c r="P91" s="76" t="str">
        <x:f>IF('09_Form_Projets_Climat'!$P91="Validé humainement",'09_Form_Projets_Climat'!P91,"")</x:f>
      </x:c>
      <x:c r="Q91" s="76" t="str">
        <x:f>IF('09_Form_Projets_Climat'!$P91="Validé humainement",'09_Form_Projets_Climat'!Q91,"")</x:f>
      </x:c>
      <x:c r="R91" s="78" t="str">
        <x:f>IF('09_Form_Projets_Climat'!$P91="Validé humainement",'09_Form_Projets_Climat'!R91,"")</x:f>
      </x:c>
      <x:c r="S91" s="76" t="str">
        <x:f>IF('09_Form_Projets_Climat'!$P91="Validé humainement",'09_Form_Projets_Climat'!S91,"")</x:f>
      </x:c>
      <x:c r="T91" s="76" t="str">
        <x:f>IF('09_Form_Projets_Climat'!$P91="Validé humainement",'09_Form_Projets_Climat'!T91,"")</x:f>
      </x:c>
      <x:c r="U91" s="76" t="str">
        <x:f>IF('09_Form_Projets_Climat'!$P91="Validé humainement",'09_Form_Projets_Climat'!U91,"")</x:f>
      </x:c>
    </x:row>
    <x:row r="92">
      <x:c r="A92" s="76" t="str">
        <x:f>IF('09_Form_Projets_Climat'!$P92="Validé humainement",'09_Form_Projets_Climat'!A92,"")</x:f>
      </x:c>
      <x:c r="B92" s="76" t="str">
        <x:f>IF('09_Form_Projets_Climat'!$P92="Validé humainement",'09_Form_Projets_Climat'!B92,"")</x:f>
      </x:c>
      <x:c r="C92" s="76" t="str">
        <x:f>IF('09_Form_Projets_Climat'!$P92="Validé humainement",'09_Form_Projets_Climat'!C92,"")</x:f>
      </x:c>
      <x:c r="D92" s="76" t="str">
        <x:f>IF('09_Form_Projets_Climat'!$P92="Validé humainement",'09_Form_Projets_Climat'!D92,"")</x:f>
      </x:c>
      <x:c r="E92" s="76" t="str">
        <x:f>IF('09_Form_Projets_Climat'!$P92="Validé humainement",'09_Form_Projets_Climat'!E92,"")</x:f>
      </x:c>
      <x:c r="F92" s="76" t="str">
        <x:f>IF('09_Form_Projets_Climat'!$P92="Validé humainement",'09_Form_Projets_Climat'!F92,"")</x:f>
      </x:c>
      <x:c r="G92" s="78" t="str">
        <x:f>IF('09_Form_Projets_Climat'!$P92="Validé humainement",'09_Form_Projets_Climat'!G92,"")</x:f>
      </x:c>
      <x:c r="H92" s="78" t="str">
        <x:f>IF('09_Form_Projets_Climat'!$P92="Validé humainement",'09_Form_Projets_Climat'!H92,"")</x:f>
      </x:c>
      <x:c r="I92" s="81" t="str">
        <x:f>IF('09_Form_Projets_Climat'!$P92="Validé humainement",'09_Form_Projets_Climat'!I92,"")</x:f>
      </x:c>
      <x:c r="J92" s="81" t="str">
        <x:f>IF('09_Form_Projets_Climat'!$P92="Validé humainement",'09_Form_Projets_Climat'!J92,"")</x:f>
      </x:c>
      <x:c r="K92" s="81" t="str">
        <x:f>IF('09_Form_Projets_Climat'!$P92="Validé humainement",'09_Form_Projets_Climat'!K92,"")</x:f>
      </x:c>
      <x:c r="L92" s="84" t="str">
        <x:f>IF('09_Form_Projets_Climat'!$P92="Validé humainement",'09_Form_Projets_Climat'!L92,"")</x:f>
      </x:c>
      <x:c r="M92" s="76" t="str">
        <x:f>IF('09_Form_Projets_Climat'!$P92="Validé humainement",'09_Form_Projets_Climat'!M92,"")</x:f>
      </x:c>
      <x:c r="N92" s="76" t="str">
        <x:f>IF('09_Form_Projets_Climat'!$P92="Validé humainement",'09_Form_Projets_Climat'!N92,"")</x:f>
      </x:c>
      <x:c r="O92" s="76" t="str">
        <x:f>IF('09_Form_Projets_Climat'!$P92="Validé humainement",'09_Form_Projets_Climat'!O92,"")</x:f>
      </x:c>
      <x:c r="P92" s="76" t="str">
        <x:f>IF('09_Form_Projets_Climat'!$P92="Validé humainement",'09_Form_Projets_Climat'!P92,"")</x:f>
      </x:c>
      <x:c r="Q92" s="76" t="str">
        <x:f>IF('09_Form_Projets_Climat'!$P92="Validé humainement",'09_Form_Projets_Climat'!Q92,"")</x:f>
      </x:c>
      <x:c r="R92" s="78" t="str">
        <x:f>IF('09_Form_Projets_Climat'!$P92="Validé humainement",'09_Form_Projets_Climat'!R92,"")</x:f>
      </x:c>
      <x:c r="S92" s="76" t="str">
        <x:f>IF('09_Form_Projets_Climat'!$P92="Validé humainement",'09_Form_Projets_Climat'!S92,"")</x:f>
      </x:c>
      <x:c r="T92" s="76" t="str">
        <x:f>IF('09_Form_Projets_Climat'!$P92="Validé humainement",'09_Form_Projets_Climat'!T92,"")</x:f>
      </x:c>
      <x:c r="U92" s="76" t="str">
        <x:f>IF('09_Form_Projets_Climat'!$P92="Validé humainement",'09_Form_Projets_Climat'!U92,"")</x:f>
      </x:c>
    </x:row>
    <x:row r="93">
      <x:c r="A93" s="76" t="str">
        <x:f>IF('09_Form_Projets_Climat'!$P93="Validé humainement",'09_Form_Projets_Climat'!A93,"")</x:f>
      </x:c>
      <x:c r="B93" s="76" t="str">
        <x:f>IF('09_Form_Projets_Climat'!$P93="Validé humainement",'09_Form_Projets_Climat'!B93,"")</x:f>
      </x:c>
      <x:c r="C93" s="76" t="str">
        <x:f>IF('09_Form_Projets_Climat'!$P93="Validé humainement",'09_Form_Projets_Climat'!C93,"")</x:f>
      </x:c>
      <x:c r="D93" s="76" t="str">
        <x:f>IF('09_Form_Projets_Climat'!$P93="Validé humainement",'09_Form_Projets_Climat'!D93,"")</x:f>
      </x:c>
      <x:c r="E93" s="76" t="str">
        <x:f>IF('09_Form_Projets_Climat'!$P93="Validé humainement",'09_Form_Projets_Climat'!E93,"")</x:f>
      </x:c>
      <x:c r="F93" s="76" t="str">
        <x:f>IF('09_Form_Projets_Climat'!$P93="Validé humainement",'09_Form_Projets_Climat'!F93,"")</x:f>
      </x:c>
      <x:c r="G93" s="78" t="str">
        <x:f>IF('09_Form_Projets_Climat'!$P93="Validé humainement",'09_Form_Projets_Climat'!G93,"")</x:f>
      </x:c>
      <x:c r="H93" s="78" t="str">
        <x:f>IF('09_Form_Projets_Climat'!$P93="Validé humainement",'09_Form_Projets_Climat'!H93,"")</x:f>
      </x:c>
      <x:c r="I93" s="81" t="str">
        <x:f>IF('09_Form_Projets_Climat'!$P93="Validé humainement",'09_Form_Projets_Climat'!I93,"")</x:f>
      </x:c>
      <x:c r="J93" s="81" t="str">
        <x:f>IF('09_Form_Projets_Climat'!$P93="Validé humainement",'09_Form_Projets_Climat'!J93,"")</x:f>
      </x:c>
      <x:c r="K93" s="81" t="str">
        <x:f>IF('09_Form_Projets_Climat'!$P93="Validé humainement",'09_Form_Projets_Climat'!K93,"")</x:f>
      </x:c>
      <x:c r="L93" s="84" t="str">
        <x:f>IF('09_Form_Projets_Climat'!$P93="Validé humainement",'09_Form_Projets_Climat'!L93,"")</x:f>
      </x:c>
      <x:c r="M93" s="76" t="str">
        <x:f>IF('09_Form_Projets_Climat'!$P93="Validé humainement",'09_Form_Projets_Climat'!M93,"")</x:f>
      </x:c>
      <x:c r="N93" s="76" t="str">
        <x:f>IF('09_Form_Projets_Climat'!$P93="Validé humainement",'09_Form_Projets_Climat'!N93,"")</x:f>
      </x:c>
      <x:c r="O93" s="76" t="str">
        <x:f>IF('09_Form_Projets_Climat'!$P93="Validé humainement",'09_Form_Projets_Climat'!O93,"")</x:f>
      </x:c>
      <x:c r="P93" s="76" t="str">
        <x:f>IF('09_Form_Projets_Climat'!$P93="Validé humainement",'09_Form_Projets_Climat'!P93,"")</x:f>
      </x:c>
      <x:c r="Q93" s="76" t="str">
        <x:f>IF('09_Form_Projets_Climat'!$P93="Validé humainement",'09_Form_Projets_Climat'!Q93,"")</x:f>
      </x:c>
      <x:c r="R93" s="78" t="str">
        <x:f>IF('09_Form_Projets_Climat'!$P93="Validé humainement",'09_Form_Projets_Climat'!R93,"")</x:f>
      </x:c>
      <x:c r="S93" s="76" t="str">
        <x:f>IF('09_Form_Projets_Climat'!$P93="Validé humainement",'09_Form_Projets_Climat'!S93,"")</x:f>
      </x:c>
      <x:c r="T93" s="76" t="str">
        <x:f>IF('09_Form_Projets_Climat'!$P93="Validé humainement",'09_Form_Projets_Climat'!T93,"")</x:f>
      </x:c>
      <x:c r="U93" s="76" t="str">
        <x:f>IF('09_Form_Projets_Climat'!$P93="Validé humainement",'09_Form_Projets_Climat'!U93,"")</x:f>
      </x:c>
    </x:row>
    <x:row r="94">
      <x:c r="A94" s="76" t="str">
        <x:f>IF('09_Form_Projets_Climat'!$P94="Validé humainement",'09_Form_Projets_Climat'!A94,"")</x:f>
      </x:c>
      <x:c r="B94" s="76" t="str">
        <x:f>IF('09_Form_Projets_Climat'!$P94="Validé humainement",'09_Form_Projets_Climat'!B94,"")</x:f>
      </x:c>
      <x:c r="C94" s="76" t="str">
        <x:f>IF('09_Form_Projets_Climat'!$P94="Validé humainement",'09_Form_Projets_Climat'!C94,"")</x:f>
      </x:c>
      <x:c r="D94" s="76" t="str">
        <x:f>IF('09_Form_Projets_Climat'!$P94="Validé humainement",'09_Form_Projets_Climat'!D94,"")</x:f>
      </x:c>
      <x:c r="E94" s="76" t="str">
        <x:f>IF('09_Form_Projets_Climat'!$P94="Validé humainement",'09_Form_Projets_Climat'!E94,"")</x:f>
      </x:c>
      <x:c r="F94" s="76" t="str">
        <x:f>IF('09_Form_Projets_Climat'!$P94="Validé humainement",'09_Form_Projets_Climat'!F94,"")</x:f>
      </x:c>
      <x:c r="G94" s="78" t="str">
        <x:f>IF('09_Form_Projets_Climat'!$P94="Validé humainement",'09_Form_Projets_Climat'!G94,"")</x:f>
      </x:c>
      <x:c r="H94" s="78" t="str">
        <x:f>IF('09_Form_Projets_Climat'!$P94="Validé humainement",'09_Form_Projets_Climat'!H94,"")</x:f>
      </x:c>
      <x:c r="I94" s="81" t="str">
        <x:f>IF('09_Form_Projets_Climat'!$P94="Validé humainement",'09_Form_Projets_Climat'!I94,"")</x:f>
      </x:c>
      <x:c r="J94" s="81" t="str">
        <x:f>IF('09_Form_Projets_Climat'!$P94="Validé humainement",'09_Form_Projets_Climat'!J94,"")</x:f>
      </x:c>
      <x:c r="K94" s="81" t="str">
        <x:f>IF('09_Form_Projets_Climat'!$P94="Validé humainement",'09_Form_Projets_Climat'!K94,"")</x:f>
      </x:c>
      <x:c r="L94" s="84" t="str">
        <x:f>IF('09_Form_Projets_Climat'!$P94="Validé humainement",'09_Form_Projets_Climat'!L94,"")</x:f>
      </x:c>
      <x:c r="M94" s="76" t="str">
        <x:f>IF('09_Form_Projets_Climat'!$P94="Validé humainement",'09_Form_Projets_Climat'!M94,"")</x:f>
      </x:c>
      <x:c r="N94" s="76" t="str">
        <x:f>IF('09_Form_Projets_Climat'!$P94="Validé humainement",'09_Form_Projets_Climat'!N94,"")</x:f>
      </x:c>
      <x:c r="O94" s="76" t="str">
        <x:f>IF('09_Form_Projets_Climat'!$P94="Validé humainement",'09_Form_Projets_Climat'!O94,"")</x:f>
      </x:c>
      <x:c r="P94" s="76" t="str">
        <x:f>IF('09_Form_Projets_Climat'!$P94="Validé humainement",'09_Form_Projets_Climat'!P94,"")</x:f>
      </x:c>
      <x:c r="Q94" s="76" t="str">
        <x:f>IF('09_Form_Projets_Climat'!$P94="Validé humainement",'09_Form_Projets_Climat'!Q94,"")</x:f>
      </x:c>
      <x:c r="R94" s="78" t="str">
        <x:f>IF('09_Form_Projets_Climat'!$P94="Validé humainement",'09_Form_Projets_Climat'!R94,"")</x:f>
      </x:c>
      <x:c r="S94" s="76" t="str">
        <x:f>IF('09_Form_Projets_Climat'!$P94="Validé humainement",'09_Form_Projets_Climat'!S94,"")</x:f>
      </x:c>
      <x:c r="T94" s="76" t="str">
        <x:f>IF('09_Form_Projets_Climat'!$P94="Validé humainement",'09_Form_Projets_Climat'!T94,"")</x:f>
      </x:c>
      <x:c r="U94" s="76" t="str">
        <x:f>IF('09_Form_Projets_Climat'!$P94="Validé humainement",'09_Form_Projets_Climat'!U94,"")</x:f>
      </x:c>
    </x:row>
    <x:row r="95">
      <x:c r="A95" s="76" t="str">
        <x:f>IF('09_Form_Projets_Climat'!$P95="Validé humainement",'09_Form_Projets_Climat'!A95,"")</x:f>
      </x:c>
      <x:c r="B95" s="76" t="str">
        <x:f>IF('09_Form_Projets_Climat'!$P95="Validé humainement",'09_Form_Projets_Climat'!B95,"")</x:f>
      </x:c>
      <x:c r="C95" s="76" t="str">
        <x:f>IF('09_Form_Projets_Climat'!$P95="Validé humainement",'09_Form_Projets_Climat'!C95,"")</x:f>
      </x:c>
      <x:c r="D95" s="76" t="str">
        <x:f>IF('09_Form_Projets_Climat'!$P95="Validé humainement",'09_Form_Projets_Climat'!D95,"")</x:f>
      </x:c>
      <x:c r="E95" s="76" t="str">
        <x:f>IF('09_Form_Projets_Climat'!$P95="Validé humainement",'09_Form_Projets_Climat'!E95,"")</x:f>
      </x:c>
      <x:c r="F95" s="76" t="str">
        <x:f>IF('09_Form_Projets_Climat'!$P95="Validé humainement",'09_Form_Projets_Climat'!F95,"")</x:f>
      </x:c>
      <x:c r="G95" s="78" t="str">
        <x:f>IF('09_Form_Projets_Climat'!$P95="Validé humainement",'09_Form_Projets_Climat'!G95,"")</x:f>
      </x:c>
      <x:c r="H95" s="78" t="str">
        <x:f>IF('09_Form_Projets_Climat'!$P95="Validé humainement",'09_Form_Projets_Climat'!H95,"")</x:f>
      </x:c>
      <x:c r="I95" s="81" t="str">
        <x:f>IF('09_Form_Projets_Climat'!$P95="Validé humainement",'09_Form_Projets_Climat'!I95,"")</x:f>
      </x:c>
      <x:c r="J95" s="81" t="str">
        <x:f>IF('09_Form_Projets_Climat'!$P95="Validé humainement",'09_Form_Projets_Climat'!J95,"")</x:f>
      </x:c>
      <x:c r="K95" s="81" t="str">
        <x:f>IF('09_Form_Projets_Climat'!$P95="Validé humainement",'09_Form_Projets_Climat'!K95,"")</x:f>
      </x:c>
      <x:c r="L95" s="84" t="str">
        <x:f>IF('09_Form_Projets_Climat'!$P95="Validé humainement",'09_Form_Projets_Climat'!L95,"")</x:f>
      </x:c>
      <x:c r="M95" s="76" t="str">
        <x:f>IF('09_Form_Projets_Climat'!$P95="Validé humainement",'09_Form_Projets_Climat'!M95,"")</x:f>
      </x:c>
      <x:c r="N95" s="76" t="str">
        <x:f>IF('09_Form_Projets_Climat'!$P95="Validé humainement",'09_Form_Projets_Climat'!N95,"")</x:f>
      </x:c>
      <x:c r="O95" s="76" t="str">
        <x:f>IF('09_Form_Projets_Climat'!$P95="Validé humainement",'09_Form_Projets_Climat'!O95,"")</x:f>
      </x:c>
      <x:c r="P95" s="76" t="str">
        <x:f>IF('09_Form_Projets_Climat'!$P95="Validé humainement",'09_Form_Projets_Climat'!P95,"")</x:f>
      </x:c>
      <x:c r="Q95" s="76" t="str">
        <x:f>IF('09_Form_Projets_Climat'!$P95="Validé humainement",'09_Form_Projets_Climat'!Q95,"")</x:f>
      </x:c>
      <x:c r="R95" s="78" t="str">
        <x:f>IF('09_Form_Projets_Climat'!$P95="Validé humainement",'09_Form_Projets_Climat'!R95,"")</x:f>
      </x:c>
      <x:c r="S95" s="76" t="str">
        <x:f>IF('09_Form_Projets_Climat'!$P95="Validé humainement",'09_Form_Projets_Climat'!S95,"")</x:f>
      </x:c>
      <x:c r="T95" s="76" t="str">
        <x:f>IF('09_Form_Projets_Climat'!$P95="Validé humainement",'09_Form_Projets_Climat'!T95,"")</x:f>
      </x:c>
      <x:c r="U95" s="76" t="str">
        <x:f>IF('09_Form_Projets_Climat'!$P95="Validé humainement",'09_Form_Projets_Climat'!U95,"")</x:f>
      </x:c>
    </x:row>
    <x:row r="96">
      <x:c r="A96" s="76" t="str">
        <x:f>IF('09_Form_Projets_Climat'!$P96="Validé humainement",'09_Form_Projets_Climat'!A96,"")</x:f>
      </x:c>
      <x:c r="B96" s="76" t="str">
        <x:f>IF('09_Form_Projets_Climat'!$P96="Validé humainement",'09_Form_Projets_Climat'!B96,"")</x:f>
      </x:c>
      <x:c r="C96" s="76" t="str">
        <x:f>IF('09_Form_Projets_Climat'!$P96="Validé humainement",'09_Form_Projets_Climat'!C96,"")</x:f>
      </x:c>
      <x:c r="D96" s="76" t="str">
        <x:f>IF('09_Form_Projets_Climat'!$P96="Validé humainement",'09_Form_Projets_Climat'!D96,"")</x:f>
      </x:c>
      <x:c r="E96" s="76" t="str">
        <x:f>IF('09_Form_Projets_Climat'!$P96="Validé humainement",'09_Form_Projets_Climat'!E96,"")</x:f>
      </x:c>
      <x:c r="F96" s="76" t="str">
        <x:f>IF('09_Form_Projets_Climat'!$P96="Validé humainement",'09_Form_Projets_Climat'!F96,"")</x:f>
      </x:c>
      <x:c r="G96" s="78" t="str">
        <x:f>IF('09_Form_Projets_Climat'!$P96="Validé humainement",'09_Form_Projets_Climat'!G96,"")</x:f>
      </x:c>
      <x:c r="H96" s="78" t="str">
        <x:f>IF('09_Form_Projets_Climat'!$P96="Validé humainement",'09_Form_Projets_Climat'!H96,"")</x:f>
      </x:c>
      <x:c r="I96" s="81" t="str">
        <x:f>IF('09_Form_Projets_Climat'!$P96="Validé humainement",'09_Form_Projets_Climat'!I96,"")</x:f>
      </x:c>
      <x:c r="J96" s="81" t="str">
        <x:f>IF('09_Form_Projets_Climat'!$P96="Validé humainement",'09_Form_Projets_Climat'!J96,"")</x:f>
      </x:c>
      <x:c r="K96" s="81" t="str">
        <x:f>IF('09_Form_Projets_Climat'!$P96="Validé humainement",'09_Form_Projets_Climat'!K96,"")</x:f>
      </x:c>
      <x:c r="L96" s="84" t="str">
        <x:f>IF('09_Form_Projets_Climat'!$P96="Validé humainement",'09_Form_Projets_Climat'!L96,"")</x:f>
      </x:c>
      <x:c r="M96" s="76" t="str">
        <x:f>IF('09_Form_Projets_Climat'!$P96="Validé humainement",'09_Form_Projets_Climat'!M96,"")</x:f>
      </x:c>
      <x:c r="N96" s="76" t="str">
        <x:f>IF('09_Form_Projets_Climat'!$P96="Validé humainement",'09_Form_Projets_Climat'!N96,"")</x:f>
      </x:c>
      <x:c r="O96" s="76" t="str">
        <x:f>IF('09_Form_Projets_Climat'!$P96="Validé humainement",'09_Form_Projets_Climat'!O96,"")</x:f>
      </x:c>
      <x:c r="P96" s="76" t="str">
        <x:f>IF('09_Form_Projets_Climat'!$P96="Validé humainement",'09_Form_Projets_Climat'!P96,"")</x:f>
      </x:c>
      <x:c r="Q96" s="76" t="str">
        <x:f>IF('09_Form_Projets_Climat'!$P96="Validé humainement",'09_Form_Projets_Climat'!Q96,"")</x:f>
      </x:c>
      <x:c r="R96" s="78" t="str">
        <x:f>IF('09_Form_Projets_Climat'!$P96="Validé humainement",'09_Form_Projets_Climat'!R96,"")</x:f>
      </x:c>
      <x:c r="S96" s="76" t="str">
        <x:f>IF('09_Form_Projets_Climat'!$P96="Validé humainement",'09_Form_Projets_Climat'!S96,"")</x:f>
      </x:c>
      <x:c r="T96" s="76" t="str">
        <x:f>IF('09_Form_Projets_Climat'!$P96="Validé humainement",'09_Form_Projets_Climat'!T96,"")</x:f>
      </x:c>
      <x:c r="U96" s="76" t="str">
        <x:f>IF('09_Form_Projets_Climat'!$P96="Validé humainement",'09_Form_Projets_Climat'!U96,"")</x:f>
      </x:c>
    </x:row>
    <x:row r="97">
      <x:c r="A97" s="76" t="str">
        <x:f>IF('09_Form_Projets_Climat'!$P97="Validé humainement",'09_Form_Projets_Climat'!A97,"")</x:f>
      </x:c>
      <x:c r="B97" s="76" t="str">
        <x:f>IF('09_Form_Projets_Climat'!$P97="Validé humainement",'09_Form_Projets_Climat'!B97,"")</x:f>
      </x:c>
      <x:c r="C97" s="76" t="str">
        <x:f>IF('09_Form_Projets_Climat'!$P97="Validé humainement",'09_Form_Projets_Climat'!C97,"")</x:f>
      </x:c>
      <x:c r="D97" s="76" t="str">
        <x:f>IF('09_Form_Projets_Climat'!$P97="Validé humainement",'09_Form_Projets_Climat'!D97,"")</x:f>
      </x:c>
      <x:c r="E97" s="76" t="str">
        <x:f>IF('09_Form_Projets_Climat'!$P97="Validé humainement",'09_Form_Projets_Climat'!E97,"")</x:f>
      </x:c>
      <x:c r="F97" s="76" t="str">
        <x:f>IF('09_Form_Projets_Climat'!$P97="Validé humainement",'09_Form_Projets_Climat'!F97,"")</x:f>
      </x:c>
      <x:c r="G97" s="78" t="str">
        <x:f>IF('09_Form_Projets_Climat'!$P97="Validé humainement",'09_Form_Projets_Climat'!G97,"")</x:f>
      </x:c>
      <x:c r="H97" s="78" t="str">
        <x:f>IF('09_Form_Projets_Climat'!$P97="Validé humainement",'09_Form_Projets_Climat'!H97,"")</x:f>
      </x:c>
      <x:c r="I97" s="81" t="str">
        <x:f>IF('09_Form_Projets_Climat'!$P97="Validé humainement",'09_Form_Projets_Climat'!I97,"")</x:f>
      </x:c>
      <x:c r="J97" s="81" t="str">
        <x:f>IF('09_Form_Projets_Climat'!$P97="Validé humainement",'09_Form_Projets_Climat'!J97,"")</x:f>
      </x:c>
      <x:c r="K97" s="81" t="str">
        <x:f>IF('09_Form_Projets_Climat'!$P97="Validé humainement",'09_Form_Projets_Climat'!K97,"")</x:f>
      </x:c>
      <x:c r="L97" s="84" t="str">
        <x:f>IF('09_Form_Projets_Climat'!$P97="Validé humainement",'09_Form_Projets_Climat'!L97,"")</x:f>
      </x:c>
      <x:c r="M97" s="76" t="str">
        <x:f>IF('09_Form_Projets_Climat'!$P97="Validé humainement",'09_Form_Projets_Climat'!M97,"")</x:f>
      </x:c>
      <x:c r="N97" s="76" t="str">
        <x:f>IF('09_Form_Projets_Climat'!$P97="Validé humainement",'09_Form_Projets_Climat'!N97,"")</x:f>
      </x:c>
      <x:c r="O97" s="76" t="str">
        <x:f>IF('09_Form_Projets_Climat'!$P97="Validé humainement",'09_Form_Projets_Climat'!O97,"")</x:f>
      </x:c>
      <x:c r="P97" s="76" t="str">
        <x:f>IF('09_Form_Projets_Climat'!$P97="Validé humainement",'09_Form_Projets_Climat'!P97,"")</x:f>
      </x:c>
      <x:c r="Q97" s="76" t="str">
        <x:f>IF('09_Form_Projets_Climat'!$P97="Validé humainement",'09_Form_Projets_Climat'!Q97,"")</x:f>
      </x:c>
      <x:c r="R97" s="78" t="str">
        <x:f>IF('09_Form_Projets_Climat'!$P97="Validé humainement",'09_Form_Projets_Climat'!R97,"")</x:f>
      </x:c>
      <x:c r="S97" s="76" t="str">
        <x:f>IF('09_Form_Projets_Climat'!$P97="Validé humainement",'09_Form_Projets_Climat'!S97,"")</x:f>
      </x:c>
      <x:c r="T97" s="76" t="str">
        <x:f>IF('09_Form_Projets_Climat'!$P97="Validé humainement",'09_Form_Projets_Climat'!T97,"")</x:f>
      </x:c>
      <x:c r="U97" s="76" t="str">
        <x:f>IF('09_Form_Projets_Climat'!$P97="Validé humainement",'09_Form_Projets_Climat'!U97,"")</x:f>
      </x:c>
    </x:row>
    <x:row r="98">
      <x:c r="A98" s="76" t="str">
        <x:f>IF('09_Form_Projets_Climat'!$P98="Validé humainement",'09_Form_Projets_Climat'!A98,"")</x:f>
      </x:c>
      <x:c r="B98" s="76" t="str">
        <x:f>IF('09_Form_Projets_Climat'!$P98="Validé humainement",'09_Form_Projets_Climat'!B98,"")</x:f>
      </x:c>
      <x:c r="C98" s="76" t="str">
        <x:f>IF('09_Form_Projets_Climat'!$P98="Validé humainement",'09_Form_Projets_Climat'!C98,"")</x:f>
      </x:c>
      <x:c r="D98" s="76" t="str">
        <x:f>IF('09_Form_Projets_Climat'!$P98="Validé humainement",'09_Form_Projets_Climat'!D98,"")</x:f>
      </x:c>
      <x:c r="E98" s="76" t="str">
        <x:f>IF('09_Form_Projets_Climat'!$P98="Validé humainement",'09_Form_Projets_Climat'!E98,"")</x:f>
      </x:c>
      <x:c r="F98" s="76" t="str">
        <x:f>IF('09_Form_Projets_Climat'!$P98="Validé humainement",'09_Form_Projets_Climat'!F98,"")</x:f>
      </x:c>
      <x:c r="G98" s="78" t="str">
        <x:f>IF('09_Form_Projets_Climat'!$P98="Validé humainement",'09_Form_Projets_Climat'!G98,"")</x:f>
      </x:c>
      <x:c r="H98" s="78" t="str">
        <x:f>IF('09_Form_Projets_Climat'!$P98="Validé humainement",'09_Form_Projets_Climat'!H98,"")</x:f>
      </x:c>
      <x:c r="I98" s="81" t="str">
        <x:f>IF('09_Form_Projets_Climat'!$P98="Validé humainement",'09_Form_Projets_Climat'!I98,"")</x:f>
      </x:c>
      <x:c r="J98" s="81" t="str">
        <x:f>IF('09_Form_Projets_Climat'!$P98="Validé humainement",'09_Form_Projets_Climat'!J98,"")</x:f>
      </x:c>
      <x:c r="K98" s="81" t="str">
        <x:f>IF('09_Form_Projets_Climat'!$P98="Validé humainement",'09_Form_Projets_Climat'!K98,"")</x:f>
      </x:c>
      <x:c r="L98" s="84" t="str">
        <x:f>IF('09_Form_Projets_Climat'!$P98="Validé humainement",'09_Form_Projets_Climat'!L98,"")</x:f>
      </x:c>
      <x:c r="M98" s="76" t="str">
        <x:f>IF('09_Form_Projets_Climat'!$P98="Validé humainement",'09_Form_Projets_Climat'!M98,"")</x:f>
      </x:c>
      <x:c r="N98" s="76" t="str">
        <x:f>IF('09_Form_Projets_Climat'!$P98="Validé humainement",'09_Form_Projets_Climat'!N98,"")</x:f>
      </x:c>
      <x:c r="O98" s="76" t="str">
        <x:f>IF('09_Form_Projets_Climat'!$P98="Validé humainement",'09_Form_Projets_Climat'!O98,"")</x:f>
      </x:c>
      <x:c r="P98" s="76" t="str">
        <x:f>IF('09_Form_Projets_Climat'!$P98="Validé humainement",'09_Form_Projets_Climat'!P98,"")</x:f>
      </x:c>
      <x:c r="Q98" s="76" t="str">
        <x:f>IF('09_Form_Projets_Climat'!$P98="Validé humainement",'09_Form_Projets_Climat'!Q98,"")</x:f>
      </x:c>
      <x:c r="R98" s="78" t="str">
        <x:f>IF('09_Form_Projets_Climat'!$P98="Validé humainement",'09_Form_Projets_Climat'!R98,"")</x:f>
      </x:c>
      <x:c r="S98" s="76" t="str">
        <x:f>IF('09_Form_Projets_Climat'!$P98="Validé humainement",'09_Form_Projets_Climat'!S98,"")</x:f>
      </x:c>
      <x:c r="T98" s="76" t="str">
        <x:f>IF('09_Form_Projets_Climat'!$P98="Validé humainement",'09_Form_Projets_Climat'!T98,"")</x:f>
      </x:c>
      <x:c r="U98" s="76" t="str">
        <x:f>IF('09_Form_Projets_Climat'!$P98="Validé humainement",'09_Form_Projets_Climat'!U98,"")</x:f>
      </x:c>
    </x:row>
    <x:row r="99">
      <x:c r="A99" s="76" t="str">
        <x:f>IF('09_Form_Projets_Climat'!$P99="Validé humainement",'09_Form_Projets_Climat'!A99,"")</x:f>
      </x:c>
      <x:c r="B99" s="76" t="str">
        <x:f>IF('09_Form_Projets_Climat'!$P99="Validé humainement",'09_Form_Projets_Climat'!B99,"")</x:f>
      </x:c>
      <x:c r="C99" s="76" t="str">
        <x:f>IF('09_Form_Projets_Climat'!$P99="Validé humainement",'09_Form_Projets_Climat'!C99,"")</x:f>
      </x:c>
      <x:c r="D99" s="76" t="str">
        <x:f>IF('09_Form_Projets_Climat'!$P99="Validé humainement",'09_Form_Projets_Climat'!D99,"")</x:f>
      </x:c>
      <x:c r="E99" s="76" t="str">
        <x:f>IF('09_Form_Projets_Climat'!$P99="Validé humainement",'09_Form_Projets_Climat'!E99,"")</x:f>
      </x:c>
      <x:c r="F99" s="76" t="str">
        <x:f>IF('09_Form_Projets_Climat'!$P99="Validé humainement",'09_Form_Projets_Climat'!F99,"")</x:f>
      </x:c>
      <x:c r="G99" s="78" t="str">
        <x:f>IF('09_Form_Projets_Climat'!$P99="Validé humainement",'09_Form_Projets_Climat'!G99,"")</x:f>
      </x:c>
      <x:c r="H99" s="78" t="str">
        <x:f>IF('09_Form_Projets_Climat'!$P99="Validé humainement",'09_Form_Projets_Climat'!H99,"")</x:f>
      </x:c>
      <x:c r="I99" s="81" t="str">
        <x:f>IF('09_Form_Projets_Climat'!$P99="Validé humainement",'09_Form_Projets_Climat'!I99,"")</x:f>
      </x:c>
      <x:c r="J99" s="81" t="str">
        <x:f>IF('09_Form_Projets_Climat'!$P99="Validé humainement",'09_Form_Projets_Climat'!J99,"")</x:f>
      </x:c>
      <x:c r="K99" s="81" t="str">
        <x:f>IF('09_Form_Projets_Climat'!$P99="Validé humainement",'09_Form_Projets_Climat'!K99,"")</x:f>
      </x:c>
      <x:c r="L99" s="84" t="str">
        <x:f>IF('09_Form_Projets_Climat'!$P99="Validé humainement",'09_Form_Projets_Climat'!L99,"")</x:f>
      </x:c>
      <x:c r="M99" s="76" t="str">
        <x:f>IF('09_Form_Projets_Climat'!$P99="Validé humainement",'09_Form_Projets_Climat'!M99,"")</x:f>
      </x:c>
      <x:c r="N99" s="76" t="str">
        <x:f>IF('09_Form_Projets_Climat'!$P99="Validé humainement",'09_Form_Projets_Climat'!N99,"")</x:f>
      </x:c>
      <x:c r="O99" s="76" t="str">
        <x:f>IF('09_Form_Projets_Climat'!$P99="Validé humainement",'09_Form_Projets_Climat'!O99,"")</x:f>
      </x:c>
      <x:c r="P99" s="76" t="str">
        <x:f>IF('09_Form_Projets_Climat'!$P99="Validé humainement",'09_Form_Projets_Climat'!P99,"")</x:f>
      </x:c>
      <x:c r="Q99" s="76" t="str">
        <x:f>IF('09_Form_Projets_Climat'!$P99="Validé humainement",'09_Form_Projets_Climat'!Q99,"")</x:f>
      </x:c>
      <x:c r="R99" s="78" t="str">
        <x:f>IF('09_Form_Projets_Climat'!$P99="Validé humainement",'09_Form_Projets_Climat'!R99,"")</x:f>
      </x:c>
      <x:c r="S99" s="76" t="str">
        <x:f>IF('09_Form_Projets_Climat'!$P99="Validé humainement",'09_Form_Projets_Climat'!S99,"")</x:f>
      </x:c>
      <x:c r="T99" s="76" t="str">
        <x:f>IF('09_Form_Projets_Climat'!$P99="Validé humainement",'09_Form_Projets_Climat'!T99,"")</x:f>
      </x:c>
      <x:c r="U99" s="76" t="str">
        <x:f>IF('09_Form_Projets_Climat'!$P99="Validé humainement",'09_Form_Projets_Climat'!U99,"")</x:f>
      </x:c>
    </x:row>
    <x:row r="100">
      <x:c r="A100" s="76" t="str">
        <x:f>IF('09_Form_Projets_Climat'!$P100="Validé humainement",'09_Form_Projets_Climat'!A100,"")</x:f>
      </x:c>
      <x:c r="B100" s="76" t="str">
        <x:f>IF('09_Form_Projets_Climat'!$P100="Validé humainement",'09_Form_Projets_Climat'!B100,"")</x:f>
      </x:c>
      <x:c r="C100" s="76" t="str">
        <x:f>IF('09_Form_Projets_Climat'!$P100="Validé humainement",'09_Form_Projets_Climat'!C100,"")</x:f>
      </x:c>
      <x:c r="D100" s="76" t="str">
        <x:f>IF('09_Form_Projets_Climat'!$P100="Validé humainement",'09_Form_Projets_Climat'!D100,"")</x:f>
      </x:c>
      <x:c r="E100" s="76" t="str">
        <x:f>IF('09_Form_Projets_Climat'!$P100="Validé humainement",'09_Form_Projets_Climat'!E100,"")</x:f>
      </x:c>
      <x:c r="F100" s="76" t="str">
        <x:f>IF('09_Form_Projets_Climat'!$P100="Validé humainement",'09_Form_Projets_Climat'!F100,"")</x:f>
      </x:c>
      <x:c r="G100" s="78" t="str">
        <x:f>IF('09_Form_Projets_Climat'!$P100="Validé humainement",'09_Form_Projets_Climat'!G100,"")</x:f>
      </x:c>
      <x:c r="H100" s="78" t="str">
        <x:f>IF('09_Form_Projets_Climat'!$P100="Validé humainement",'09_Form_Projets_Climat'!H100,"")</x:f>
      </x:c>
      <x:c r="I100" s="81" t="str">
        <x:f>IF('09_Form_Projets_Climat'!$P100="Validé humainement",'09_Form_Projets_Climat'!I100,"")</x:f>
      </x:c>
      <x:c r="J100" s="81" t="str">
        <x:f>IF('09_Form_Projets_Climat'!$P100="Validé humainement",'09_Form_Projets_Climat'!J100,"")</x:f>
      </x:c>
      <x:c r="K100" s="81" t="str">
        <x:f>IF('09_Form_Projets_Climat'!$P100="Validé humainement",'09_Form_Projets_Climat'!K100,"")</x:f>
      </x:c>
      <x:c r="L100" s="84" t="str">
        <x:f>IF('09_Form_Projets_Climat'!$P100="Validé humainement",'09_Form_Projets_Climat'!L100,"")</x:f>
      </x:c>
      <x:c r="M100" s="76" t="str">
        <x:f>IF('09_Form_Projets_Climat'!$P100="Validé humainement",'09_Form_Projets_Climat'!M100,"")</x:f>
      </x:c>
      <x:c r="N100" s="76" t="str">
        <x:f>IF('09_Form_Projets_Climat'!$P100="Validé humainement",'09_Form_Projets_Climat'!N100,"")</x:f>
      </x:c>
      <x:c r="O100" s="76" t="str">
        <x:f>IF('09_Form_Projets_Climat'!$P100="Validé humainement",'09_Form_Projets_Climat'!O100,"")</x:f>
      </x:c>
      <x:c r="P100" s="76" t="str">
        <x:f>IF('09_Form_Projets_Climat'!$P100="Validé humainement",'09_Form_Projets_Climat'!P100,"")</x:f>
      </x:c>
      <x:c r="Q100" s="76" t="str">
        <x:f>IF('09_Form_Projets_Climat'!$P100="Validé humainement",'09_Form_Projets_Climat'!Q100,"")</x:f>
      </x:c>
      <x:c r="R100" s="78" t="str">
        <x:f>IF('09_Form_Projets_Climat'!$P100="Validé humainement",'09_Form_Projets_Climat'!R100,"")</x:f>
      </x:c>
      <x:c r="S100" s="76" t="str">
        <x:f>IF('09_Form_Projets_Climat'!$P100="Validé humainement",'09_Form_Projets_Climat'!S100,"")</x:f>
      </x:c>
      <x:c r="T100" s="76" t="str">
        <x:f>IF('09_Form_Projets_Climat'!$P100="Validé humainement",'09_Form_Projets_Climat'!T100,"")</x:f>
      </x:c>
      <x:c r="U100" s="76" t="str">
        <x:f>IF('09_Form_Projets_Climat'!$P100="Validé humainement",'09_Form_Projets_Climat'!U100,"")</x:f>
      </x:c>
    </x:row>
    <x:row r="101">
      <x:c r="A101" s="76" t="str">
        <x:f>IF('09_Form_Projets_Climat'!$P101="Validé humainement",'09_Form_Projets_Climat'!A101,"")</x:f>
      </x:c>
      <x:c r="B101" s="76" t="str">
        <x:f>IF('09_Form_Projets_Climat'!$P101="Validé humainement",'09_Form_Projets_Climat'!B101,"")</x:f>
      </x:c>
      <x:c r="C101" s="76" t="str">
        <x:f>IF('09_Form_Projets_Climat'!$P101="Validé humainement",'09_Form_Projets_Climat'!C101,"")</x:f>
      </x:c>
      <x:c r="D101" s="76" t="str">
        <x:f>IF('09_Form_Projets_Climat'!$P101="Validé humainement",'09_Form_Projets_Climat'!D101,"")</x:f>
      </x:c>
      <x:c r="E101" s="76" t="str">
        <x:f>IF('09_Form_Projets_Climat'!$P101="Validé humainement",'09_Form_Projets_Climat'!E101,"")</x:f>
      </x:c>
      <x:c r="F101" s="76" t="str">
        <x:f>IF('09_Form_Projets_Climat'!$P101="Validé humainement",'09_Form_Projets_Climat'!F101,"")</x:f>
      </x:c>
      <x:c r="G101" s="78" t="str">
        <x:f>IF('09_Form_Projets_Climat'!$P101="Validé humainement",'09_Form_Projets_Climat'!G101,"")</x:f>
      </x:c>
      <x:c r="H101" s="78" t="str">
        <x:f>IF('09_Form_Projets_Climat'!$P101="Validé humainement",'09_Form_Projets_Climat'!H101,"")</x:f>
      </x:c>
      <x:c r="I101" s="81" t="str">
        <x:f>IF('09_Form_Projets_Climat'!$P101="Validé humainement",'09_Form_Projets_Climat'!I101,"")</x:f>
      </x:c>
      <x:c r="J101" s="81" t="str">
        <x:f>IF('09_Form_Projets_Climat'!$P101="Validé humainement",'09_Form_Projets_Climat'!J101,"")</x:f>
      </x:c>
      <x:c r="K101" s="81" t="str">
        <x:f>IF('09_Form_Projets_Climat'!$P101="Validé humainement",'09_Form_Projets_Climat'!K101,"")</x:f>
      </x:c>
      <x:c r="L101" s="84" t="str">
        <x:f>IF('09_Form_Projets_Climat'!$P101="Validé humainement",'09_Form_Projets_Climat'!L101,"")</x:f>
      </x:c>
      <x:c r="M101" s="76" t="str">
        <x:f>IF('09_Form_Projets_Climat'!$P101="Validé humainement",'09_Form_Projets_Climat'!M101,"")</x:f>
      </x:c>
      <x:c r="N101" s="76" t="str">
        <x:f>IF('09_Form_Projets_Climat'!$P101="Validé humainement",'09_Form_Projets_Climat'!N101,"")</x:f>
      </x:c>
      <x:c r="O101" s="76" t="str">
        <x:f>IF('09_Form_Projets_Climat'!$P101="Validé humainement",'09_Form_Projets_Climat'!O101,"")</x:f>
      </x:c>
      <x:c r="P101" s="76" t="str">
        <x:f>IF('09_Form_Projets_Climat'!$P101="Validé humainement",'09_Form_Projets_Climat'!P101,"")</x:f>
      </x:c>
      <x:c r="Q101" s="76" t="str">
        <x:f>IF('09_Form_Projets_Climat'!$P101="Validé humainement",'09_Form_Projets_Climat'!Q101,"")</x:f>
      </x:c>
      <x:c r="R101" s="78" t="str">
        <x:f>IF('09_Form_Projets_Climat'!$P101="Validé humainement",'09_Form_Projets_Climat'!R101,"")</x:f>
      </x:c>
      <x:c r="S101" s="76" t="str">
        <x:f>IF('09_Form_Projets_Climat'!$P101="Validé humainement",'09_Form_Projets_Climat'!S101,"")</x:f>
      </x:c>
      <x:c r="T101" s="76" t="str">
        <x:f>IF('09_Form_Projets_Climat'!$P101="Validé humainement",'09_Form_Projets_Climat'!T101,"")</x:f>
      </x:c>
      <x:c r="U101" s="76" t="str">
        <x:f>IF('09_Form_Projets_Climat'!$P101="Validé humainement",'09_Form_Projets_Climat'!U101,"")</x:f>
      </x:c>
    </x:row>
    <x:row r="102">
      <x:c r="A102" s="76" t="str">
        <x:f>IF('09_Form_Projets_Climat'!$P102="Validé humainement",'09_Form_Projets_Climat'!A102,"")</x:f>
      </x:c>
      <x:c r="B102" s="76" t="str">
        <x:f>IF('09_Form_Projets_Climat'!$P102="Validé humainement",'09_Form_Projets_Climat'!B102,"")</x:f>
      </x:c>
      <x:c r="C102" s="76" t="str">
        <x:f>IF('09_Form_Projets_Climat'!$P102="Validé humainement",'09_Form_Projets_Climat'!C102,"")</x:f>
      </x:c>
      <x:c r="D102" s="76" t="str">
        <x:f>IF('09_Form_Projets_Climat'!$P102="Validé humainement",'09_Form_Projets_Climat'!D102,"")</x:f>
      </x:c>
      <x:c r="E102" s="76" t="str">
        <x:f>IF('09_Form_Projets_Climat'!$P102="Validé humainement",'09_Form_Projets_Climat'!E102,"")</x:f>
      </x:c>
      <x:c r="F102" s="76" t="str">
        <x:f>IF('09_Form_Projets_Climat'!$P102="Validé humainement",'09_Form_Projets_Climat'!F102,"")</x:f>
      </x:c>
      <x:c r="G102" s="78" t="str">
        <x:f>IF('09_Form_Projets_Climat'!$P102="Validé humainement",'09_Form_Projets_Climat'!G102,"")</x:f>
      </x:c>
      <x:c r="H102" s="78" t="str">
        <x:f>IF('09_Form_Projets_Climat'!$P102="Validé humainement",'09_Form_Projets_Climat'!H102,"")</x:f>
      </x:c>
      <x:c r="I102" s="81" t="str">
        <x:f>IF('09_Form_Projets_Climat'!$P102="Validé humainement",'09_Form_Projets_Climat'!I102,"")</x:f>
      </x:c>
      <x:c r="J102" s="81" t="str">
        <x:f>IF('09_Form_Projets_Climat'!$P102="Validé humainement",'09_Form_Projets_Climat'!J102,"")</x:f>
      </x:c>
      <x:c r="K102" s="81" t="str">
        <x:f>IF('09_Form_Projets_Climat'!$P102="Validé humainement",'09_Form_Projets_Climat'!K102,"")</x:f>
      </x:c>
      <x:c r="L102" s="84" t="str">
        <x:f>IF('09_Form_Projets_Climat'!$P102="Validé humainement",'09_Form_Projets_Climat'!L102,"")</x:f>
      </x:c>
      <x:c r="M102" s="76" t="str">
        <x:f>IF('09_Form_Projets_Climat'!$P102="Validé humainement",'09_Form_Projets_Climat'!M102,"")</x:f>
      </x:c>
      <x:c r="N102" s="76" t="str">
        <x:f>IF('09_Form_Projets_Climat'!$P102="Validé humainement",'09_Form_Projets_Climat'!N102,"")</x:f>
      </x:c>
      <x:c r="O102" s="76" t="str">
        <x:f>IF('09_Form_Projets_Climat'!$P102="Validé humainement",'09_Form_Projets_Climat'!O102,"")</x:f>
      </x:c>
      <x:c r="P102" s="76" t="str">
        <x:f>IF('09_Form_Projets_Climat'!$P102="Validé humainement",'09_Form_Projets_Climat'!P102,"")</x:f>
      </x:c>
      <x:c r="Q102" s="76" t="str">
        <x:f>IF('09_Form_Projets_Climat'!$P102="Validé humainement",'09_Form_Projets_Climat'!Q102,"")</x:f>
      </x:c>
      <x:c r="R102" s="78" t="str">
        <x:f>IF('09_Form_Projets_Climat'!$P102="Validé humainement",'09_Form_Projets_Climat'!R102,"")</x:f>
      </x:c>
      <x:c r="S102" s="76" t="str">
        <x:f>IF('09_Form_Projets_Climat'!$P102="Validé humainement",'09_Form_Projets_Climat'!S102,"")</x:f>
      </x:c>
      <x:c r="T102" s="76" t="str">
        <x:f>IF('09_Form_Projets_Climat'!$P102="Validé humainement",'09_Form_Projets_Climat'!T102,"")</x:f>
      </x:c>
      <x:c r="U102" s="76" t="str">
        <x:f>IF('09_Form_Projets_Climat'!$P102="Validé humainement",'09_Form_Projets_Climat'!U102,"")</x:f>
      </x:c>
    </x:row>
    <x:row r="103">
      <x:c r="A103" s="76" t="str">
        <x:f>IF('09_Form_Projets_Climat'!$P103="Validé humainement",'09_Form_Projets_Climat'!A103,"")</x:f>
      </x:c>
      <x:c r="B103" s="76" t="str">
        <x:f>IF('09_Form_Projets_Climat'!$P103="Validé humainement",'09_Form_Projets_Climat'!B103,"")</x:f>
      </x:c>
      <x:c r="C103" s="76" t="str">
        <x:f>IF('09_Form_Projets_Climat'!$P103="Validé humainement",'09_Form_Projets_Climat'!C103,"")</x:f>
      </x:c>
      <x:c r="D103" s="76" t="str">
        <x:f>IF('09_Form_Projets_Climat'!$P103="Validé humainement",'09_Form_Projets_Climat'!D103,"")</x:f>
      </x:c>
      <x:c r="E103" s="76" t="str">
        <x:f>IF('09_Form_Projets_Climat'!$P103="Validé humainement",'09_Form_Projets_Climat'!E103,"")</x:f>
      </x:c>
      <x:c r="F103" s="76" t="str">
        <x:f>IF('09_Form_Projets_Climat'!$P103="Validé humainement",'09_Form_Projets_Climat'!F103,"")</x:f>
      </x:c>
      <x:c r="G103" s="78" t="str">
        <x:f>IF('09_Form_Projets_Climat'!$P103="Validé humainement",'09_Form_Projets_Climat'!G103,"")</x:f>
      </x:c>
      <x:c r="H103" s="78" t="str">
        <x:f>IF('09_Form_Projets_Climat'!$P103="Validé humainement",'09_Form_Projets_Climat'!H103,"")</x:f>
      </x:c>
      <x:c r="I103" s="81" t="str">
        <x:f>IF('09_Form_Projets_Climat'!$P103="Validé humainement",'09_Form_Projets_Climat'!I103,"")</x:f>
      </x:c>
      <x:c r="J103" s="81" t="str">
        <x:f>IF('09_Form_Projets_Climat'!$P103="Validé humainement",'09_Form_Projets_Climat'!J103,"")</x:f>
      </x:c>
      <x:c r="K103" s="81" t="str">
        <x:f>IF('09_Form_Projets_Climat'!$P103="Validé humainement",'09_Form_Projets_Climat'!K103,"")</x:f>
      </x:c>
      <x:c r="L103" s="84" t="str">
        <x:f>IF('09_Form_Projets_Climat'!$P103="Validé humainement",'09_Form_Projets_Climat'!L103,"")</x:f>
      </x:c>
      <x:c r="M103" s="76" t="str">
        <x:f>IF('09_Form_Projets_Climat'!$P103="Validé humainement",'09_Form_Projets_Climat'!M103,"")</x:f>
      </x:c>
      <x:c r="N103" s="76" t="str">
        <x:f>IF('09_Form_Projets_Climat'!$P103="Validé humainement",'09_Form_Projets_Climat'!N103,"")</x:f>
      </x:c>
      <x:c r="O103" s="76" t="str">
        <x:f>IF('09_Form_Projets_Climat'!$P103="Validé humainement",'09_Form_Projets_Climat'!O103,"")</x:f>
      </x:c>
      <x:c r="P103" s="76" t="str">
        <x:f>IF('09_Form_Projets_Climat'!$P103="Validé humainement",'09_Form_Projets_Climat'!P103,"")</x:f>
      </x:c>
      <x:c r="Q103" s="76" t="str">
        <x:f>IF('09_Form_Projets_Climat'!$P103="Validé humainement",'09_Form_Projets_Climat'!Q103,"")</x:f>
      </x:c>
      <x:c r="R103" s="78" t="str">
        <x:f>IF('09_Form_Projets_Climat'!$P103="Validé humainement",'09_Form_Projets_Climat'!R103,"")</x:f>
      </x:c>
      <x:c r="S103" s="76" t="str">
        <x:f>IF('09_Form_Projets_Climat'!$P103="Validé humainement",'09_Form_Projets_Climat'!S103,"")</x:f>
      </x:c>
      <x:c r="T103" s="76" t="str">
        <x:f>IF('09_Form_Projets_Climat'!$P103="Validé humainement",'09_Form_Projets_Climat'!T103,"")</x:f>
      </x:c>
      <x:c r="U103" s="76" t="str">
        <x:f>IF('09_Form_Projets_Climat'!$P103="Validé humainement",'09_Form_Projets_Climat'!U103,"")</x:f>
      </x:c>
    </x:row>
    <x:row r="104">
      <x:c r="A104" s="76" t="str">
        <x:f>IF('09_Form_Projets_Climat'!$P104="Validé humainement",'09_Form_Projets_Climat'!A104,"")</x:f>
      </x:c>
      <x:c r="B104" s="76" t="str">
        <x:f>IF('09_Form_Projets_Climat'!$P104="Validé humainement",'09_Form_Projets_Climat'!B104,"")</x:f>
      </x:c>
      <x:c r="C104" s="76" t="str">
        <x:f>IF('09_Form_Projets_Climat'!$P104="Validé humainement",'09_Form_Projets_Climat'!C104,"")</x:f>
      </x:c>
      <x:c r="D104" s="76" t="str">
        <x:f>IF('09_Form_Projets_Climat'!$P104="Validé humainement",'09_Form_Projets_Climat'!D104,"")</x:f>
      </x:c>
      <x:c r="E104" s="76" t="str">
        <x:f>IF('09_Form_Projets_Climat'!$P104="Validé humainement",'09_Form_Projets_Climat'!E104,"")</x:f>
      </x:c>
      <x:c r="F104" s="76" t="str">
        <x:f>IF('09_Form_Projets_Climat'!$P104="Validé humainement",'09_Form_Projets_Climat'!F104,"")</x:f>
      </x:c>
      <x:c r="G104" s="78" t="str">
        <x:f>IF('09_Form_Projets_Climat'!$P104="Validé humainement",'09_Form_Projets_Climat'!G104,"")</x:f>
      </x:c>
      <x:c r="H104" s="78" t="str">
        <x:f>IF('09_Form_Projets_Climat'!$P104="Validé humainement",'09_Form_Projets_Climat'!H104,"")</x:f>
      </x:c>
      <x:c r="I104" s="81" t="str">
        <x:f>IF('09_Form_Projets_Climat'!$P104="Validé humainement",'09_Form_Projets_Climat'!I104,"")</x:f>
      </x:c>
      <x:c r="J104" s="81" t="str">
        <x:f>IF('09_Form_Projets_Climat'!$P104="Validé humainement",'09_Form_Projets_Climat'!J104,"")</x:f>
      </x:c>
      <x:c r="K104" s="81" t="str">
        <x:f>IF('09_Form_Projets_Climat'!$P104="Validé humainement",'09_Form_Projets_Climat'!K104,"")</x:f>
      </x:c>
      <x:c r="L104" s="84" t="str">
        <x:f>IF('09_Form_Projets_Climat'!$P104="Validé humainement",'09_Form_Projets_Climat'!L104,"")</x:f>
      </x:c>
      <x:c r="M104" s="76" t="str">
        <x:f>IF('09_Form_Projets_Climat'!$P104="Validé humainement",'09_Form_Projets_Climat'!M104,"")</x:f>
      </x:c>
      <x:c r="N104" s="76" t="str">
        <x:f>IF('09_Form_Projets_Climat'!$P104="Validé humainement",'09_Form_Projets_Climat'!N104,"")</x:f>
      </x:c>
      <x:c r="O104" s="76" t="str">
        <x:f>IF('09_Form_Projets_Climat'!$P104="Validé humainement",'09_Form_Projets_Climat'!O104,"")</x:f>
      </x:c>
      <x:c r="P104" s="76" t="str">
        <x:f>IF('09_Form_Projets_Climat'!$P104="Validé humainement",'09_Form_Projets_Climat'!P104,"")</x:f>
      </x:c>
      <x:c r="Q104" s="76" t="str">
        <x:f>IF('09_Form_Projets_Climat'!$P104="Validé humainement",'09_Form_Projets_Climat'!Q104,"")</x:f>
      </x:c>
      <x:c r="R104" s="78" t="str">
        <x:f>IF('09_Form_Projets_Climat'!$P104="Validé humainement",'09_Form_Projets_Climat'!R104,"")</x:f>
      </x:c>
      <x:c r="S104" s="76" t="str">
        <x:f>IF('09_Form_Projets_Climat'!$P104="Validé humainement",'09_Form_Projets_Climat'!S104,"")</x:f>
      </x:c>
      <x:c r="T104" s="76" t="str">
        <x:f>IF('09_Form_Projets_Climat'!$P104="Validé humainement",'09_Form_Projets_Climat'!T104,"")</x:f>
      </x:c>
      <x:c r="U104" s="76" t="str">
        <x:f>IF('09_Form_Projets_Climat'!$P104="Validé humainement",'09_Form_Projets_Climat'!U104,"")</x:f>
      </x:c>
    </x:row>
  </x:sheetData>
  <x:mergeCells>
    <x:mergeCell ref="A1:U1"/>
    <x:mergeCell ref="A2:U2"/>
  </x:mergeCells>
  <x:pageMargins left="0.7" right="0.7" top="0.75" bottom="0.75" header="0.3" footer="0.3"/>
  <x:tableParts count="1">
    <x:tablePart xmlns:r="http://schemas.openxmlformats.org/officeDocument/2006/relationships" r:id="R83d1f44ff7c34ae3"/>
  </x:tableParts>
</x:worksheet>
</file>

<file path=xl/worksheets/sheet63.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4.380000114440918" hidden="0" customWidth="1"/>
    <x:col min="4" max="4" width="13.75" hidden="0" customWidth="1"/>
    <x:col min="5" max="5" width="22.5" hidden="0" customWidth="1"/>
    <x:col min="6" max="6" width="18.75" hidden="0" customWidth="1"/>
    <x:col min="7" max="7" width="20" hidden="0" customWidth="1"/>
    <x:col min="8" max="8" width="20" hidden="0" customWidth="1"/>
    <x:col min="9" max="9" width="20" hidden="0" customWidth="1"/>
    <x:col min="10" max="10" width="18.75" hidden="0" customWidth="1"/>
    <x:col min="11" max="11" width="11.880000114440918" hidden="0" customWidth="1"/>
    <x:col min="12" max="12" width="18.75" hidden="0" customWidth="1"/>
    <x:col min="13" max="13" width="15" hidden="0" customWidth="1"/>
    <x:col min="14" max="14" width="26.25" hidden="0" customWidth="1"/>
    <x:col min="15" max="15" width="20" hidden="0" customWidth="1"/>
    <x:col min="16" max="16" width="31.25" hidden="0" customWidth="1"/>
    <x:col min="17" max="17" width="15" hidden="0" customWidth="1"/>
    <x:col min="18" max="18" width="18.75" hidden="0" customWidth="1"/>
    <x:col min="19" max="19" width="23.75" hidden="0" customWidth="1"/>
    <x:col min="20" max="20" width="15" hidden="0" customWidth="1"/>
  </x:cols>
  <x:sheetData>
    <x:row r="1" ht="25.5" customHeight="1">
      <x:c r="A1" s="68" t="str">
        <x:v>Base validée - finance climat</x:v>
      </x:c>
      <x:c r="B1" s="68"/>
      <x:c r="C1" s="68"/>
      <x:c r="D1" s="68"/>
      <x:c r="E1" s="68"/>
      <x:c r="F1" s="68"/>
      <x:c r="G1" s="68"/>
      <x:c r="H1" s="68"/>
      <x:c r="I1" s="68"/>
      <x:c r="J1" s="68"/>
      <x:c r="K1" s="68"/>
      <x:c r="L1" s="68"/>
      <x:c r="M1" s="68"/>
      <x:c r="N1" s="68"/>
      <x:c r="O1" s="68"/>
      <x:c r="P1" s="68"/>
      <x:c r="Q1" s="68"/>
      <x:c r="R1" s="68"/>
      <x:c r="S1" s="68"/>
      <x:c r="T1" s="68"/>
    </x:row>
    <x:row r="2" ht="33" customHeight="1">
      <x:c r="A2" s="71" t="str">
        <x:v>Cette base est alimentée automatiquement depuis 10_Form_Finance_Climat. Seules les lignes avec le statut "Validé humainement" sont reprises.</x:v>
      </x:c>
      <x:c r="B2" s="71"/>
      <x:c r="C2" s="71"/>
      <x:c r="D2" s="71"/>
      <x:c r="E2" s="71"/>
      <x:c r="F2" s="71"/>
      <x:c r="G2" s="71"/>
      <x:c r="H2" s="71"/>
      <x:c r="I2" s="71"/>
      <x:c r="J2" s="71"/>
      <x:c r="K2" s="71"/>
      <x:c r="L2" s="71"/>
      <x:c r="M2" s="71"/>
      <x:c r="N2" s="71"/>
      <x:c r="O2" s="71"/>
      <x:c r="P2" s="71"/>
      <x:c r="Q2" s="71"/>
      <x:c r="R2" s="71"/>
      <x:c r="S2" s="71"/>
      <x:c r="T2" s="71"/>
    </x:row>
    <x:row r="4">
      <x:c r="A4" s="87" t="str">
        <x:v>ID_Saisie</x:v>
      </x:c>
      <x:c r="B4" s="87" t="str">
        <x:v>Année</x:v>
      </x:c>
      <x:c r="C4" s="87" t="str">
        <x:v>Mois</x:v>
      </x:c>
      <x:c r="D4" s="87" t="str">
        <x:v>Projet_ID</x:v>
      </x:c>
      <x:c r="E4" s="87" t="str">
        <x:v>Bailleur</x:v>
      </x:c>
      <x:c r="F4" s="87" t="str">
        <x:v>Instrument</x:v>
      </x:c>
      <x:c r="G4" s="87" t="str">
        <x:v>Montant demandé FCFA</x:v>
      </x:c>
      <x:c r="H4" s="87" t="str">
        <x:v>Montant approuvé FCFA</x:v>
      </x:c>
      <x:c r="I4" s="87" t="str">
        <x:v>Montant décaissé FCFA</x:v>
      </x:c>
      <x:c r="J4" s="87" t="str">
        <x:v>Cofinancement FCFA</x:v>
      </x:c>
      <x:c r="K4" s="87" t="str">
        <x:v>Devise</x:v>
      </x:c>
      <x:c r="L4" s="87" t="str">
        <x:v>Statut financement</x:v>
      </x:c>
      <x:c r="M4" s="87" t="str">
        <x:v>Date décision</x:v>
      </x:c>
      <x:c r="N4" s="87" t="str">
        <x:v>Document source</x:v>
      </x:c>
      <x:c r="O4" s="87" t="str">
        <x:v>Statut validation</x:v>
      </x:c>
      <x:c r="P4" s="87" t="str">
        <x:v>Observations</x:v>
      </x:c>
      <x:c r="Q4" s="87" t="str">
        <x:v>Date de saisie</x:v>
      </x:c>
      <x:c r="R4" s="87" t="str">
        <x:v>Responsable</x:v>
      </x:c>
      <x:c r="S4" s="87" t="str">
        <x:v>Alerte_QC</x:v>
      </x:c>
      <x:c r="T4" s="87" t="str">
        <x:v>Alimente_Rapports</x:v>
      </x:c>
    </x:row>
    <x:row r="5">
      <x:c r="A5" s="76" t="str">
        <x:f>IF('10_Form_Finance_Climat'!$O5="Validé humainement",'10_Form_Finance_Climat'!A5,"")</x:f>
      </x:c>
      <x:c r="B5" s="76" t="str">
        <x:f>IF('10_Form_Finance_Climat'!$O5="Validé humainement",'10_Form_Finance_Climat'!B5,"")</x:f>
      </x:c>
      <x:c r="C5" s="76" t="str">
        <x:f>IF('10_Form_Finance_Climat'!$O5="Validé humainement",'10_Form_Finance_Climat'!C5,"")</x:f>
      </x:c>
      <x:c r="D5" s="76" t="str">
        <x:f>IF('10_Form_Finance_Climat'!$O5="Validé humainement",'10_Form_Finance_Climat'!D5,"")</x:f>
      </x:c>
      <x:c r="E5" s="76" t="str">
        <x:f>IF('10_Form_Finance_Climat'!$O5="Validé humainement",'10_Form_Finance_Climat'!E5,"")</x:f>
      </x:c>
      <x:c r="F5" s="76" t="str">
        <x:f>IF('10_Form_Finance_Climat'!$O5="Validé humainement",'10_Form_Finance_Climat'!F5,"")</x:f>
      </x:c>
      <x:c r="G5" s="81" t="str">
        <x:f>IF('10_Form_Finance_Climat'!$O5="Validé humainement",'10_Form_Finance_Climat'!G5,"")</x:f>
      </x:c>
      <x:c r="H5" s="81" t="str">
        <x:f>IF('10_Form_Finance_Climat'!$O5="Validé humainement",'10_Form_Finance_Climat'!H5,"")</x:f>
      </x:c>
      <x:c r="I5" s="81" t="str">
        <x:f>IF('10_Form_Finance_Climat'!$O5="Validé humainement",'10_Form_Finance_Climat'!I5,"")</x:f>
      </x:c>
      <x:c r="J5" s="81" t="str">
        <x:f>IF('10_Form_Finance_Climat'!$O5="Validé humainement",'10_Form_Finance_Climat'!J5,"")</x:f>
      </x:c>
      <x:c r="K5" s="76" t="str">
        <x:f>IF('10_Form_Finance_Climat'!$O5="Validé humainement",'10_Form_Finance_Climat'!K5,"")</x:f>
      </x:c>
      <x:c r="L5" s="76" t="str">
        <x:f>IF('10_Form_Finance_Climat'!$O5="Validé humainement",'10_Form_Finance_Climat'!L5,"")</x:f>
      </x:c>
      <x:c r="M5" s="78" t="str">
        <x:f>IF('10_Form_Finance_Climat'!$O5="Validé humainement",'10_Form_Finance_Climat'!M5,"")</x:f>
      </x:c>
      <x:c r="N5" s="76" t="str">
        <x:f>IF('10_Form_Finance_Climat'!$O5="Validé humainement",'10_Form_Finance_Climat'!N5,"")</x:f>
      </x:c>
      <x:c r="O5" s="76" t="str">
        <x:f>IF('10_Form_Finance_Climat'!$O5="Validé humainement",'10_Form_Finance_Climat'!O5,"")</x:f>
      </x:c>
      <x:c r="P5" s="76" t="str">
        <x:f>IF('10_Form_Finance_Climat'!$O5="Validé humainement",'10_Form_Finance_Climat'!P5,"")</x:f>
      </x:c>
      <x:c r="Q5" s="78" t="str">
        <x:f>IF('10_Form_Finance_Climat'!$O5="Validé humainement",'10_Form_Finance_Climat'!Q5,"")</x:f>
      </x:c>
      <x:c r="R5" s="76" t="str">
        <x:f>IF('10_Form_Finance_Climat'!$O5="Validé humainement",'10_Form_Finance_Climat'!R5,"")</x:f>
      </x:c>
      <x:c r="S5" s="76" t="str">
        <x:f>IF('10_Form_Finance_Climat'!$O5="Validé humainement",'10_Form_Finance_Climat'!S5,"")</x:f>
      </x:c>
      <x:c r="T5" s="76" t="str">
        <x:f>IF('10_Form_Finance_Climat'!$O5="Validé humainement",'10_Form_Finance_Climat'!T5,"")</x:f>
      </x:c>
    </x:row>
    <x:row r="6">
      <x:c r="A6" s="76" t="str">
        <x:f>IF('10_Form_Finance_Climat'!$O6="Validé humainement",'10_Form_Finance_Climat'!A6,"")</x:f>
      </x:c>
      <x:c r="B6" s="76" t="str">
        <x:f>IF('10_Form_Finance_Climat'!$O6="Validé humainement",'10_Form_Finance_Climat'!B6,"")</x:f>
      </x:c>
      <x:c r="C6" s="76" t="str">
        <x:f>IF('10_Form_Finance_Climat'!$O6="Validé humainement",'10_Form_Finance_Climat'!C6,"")</x:f>
      </x:c>
      <x:c r="D6" s="76" t="str">
        <x:f>IF('10_Form_Finance_Climat'!$O6="Validé humainement",'10_Form_Finance_Climat'!D6,"")</x:f>
      </x:c>
      <x:c r="E6" s="76" t="str">
        <x:f>IF('10_Form_Finance_Climat'!$O6="Validé humainement",'10_Form_Finance_Climat'!E6,"")</x:f>
      </x:c>
      <x:c r="F6" s="76" t="str">
        <x:f>IF('10_Form_Finance_Climat'!$O6="Validé humainement",'10_Form_Finance_Climat'!F6,"")</x:f>
      </x:c>
      <x:c r="G6" s="81" t="str">
        <x:f>IF('10_Form_Finance_Climat'!$O6="Validé humainement",'10_Form_Finance_Climat'!G6,"")</x:f>
      </x:c>
      <x:c r="H6" s="81" t="str">
        <x:f>IF('10_Form_Finance_Climat'!$O6="Validé humainement",'10_Form_Finance_Climat'!H6,"")</x:f>
      </x:c>
      <x:c r="I6" s="81" t="str">
        <x:f>IF('10_Form_Finance_Climat'!$O6="Validé humainement",'10_Form_Finance_Climat'!I6,"")</x:f>
      </x:c>
      <x:c r="J6" s="81" t="str">
        <x:f>IF('10_Form_Finance_Climat'!$O6="Validé humainement",'10_Form_Finance_Climat'!J6,"")</x:f>
      </x:c>
      <x:c r="K6" s="76" t="str">
        <x:f>IF('10_Form_Finance_Climat'!$O6="Validé humainement",'10_Form_Finance_Climat'!K6,"")</x:f>
      </x:c>
      <x:c r="L6" s="76" t="str">
        <x:f>IF('10_Form_Finance_Climat'!$O6="Validé humainement",'10_Form_Finance_Climat'!L6,"")</x:f>
      </x:c>
      <x:c r="M6" s="78" t="str">
        <x:f>IF('10_Form_Finance_Climat'!$O6="Validé humainement",'10_Form_Finance_Climat'!M6,"")</x:f>
      </x:c>
      <x:c r="N6" s="76" t="str">
        <x:f>IF('10_Form_Finance_Climat'!$O6="Validé humainement",'10_Form_Finance_Climat'!N6,"")</x:f>
      </x:c>
      <x:c r="O6" s="76" t="str">
        <x:f>IF('10_Form_Finance_Climat'!$O6="Validé humainement",'10_Form_Finance_Climat'!O6,"")</x:f>
      </x:c>
      <x:c r="P6" s="76" t="str">
        <x:f>IF('10_Form_Finance_Climat'!$O6="Validé humainement",'10_Form_Finance_Climat'!P6,"")</x:f>
      </x:c>
      <x:c r="Q6" s="78" t="str">
        <x:f>IF('10_Form_Finance_Climat'!$O6="Validé humainement",'10_Form_Finance_Climat'!Q6,"")</x:f>
      </x:c>
      <x:c r="R6" s="76" t="str">
        <x:f>IF('10_Form_Finance_Climat'!$O6="Validé humainement",'10_Form_Finance_Climat'!R6,"")</x:f>
      </x:c>
      <x:c r="S6" s="76" t="str">
        <x:f>IF('10_Form_Finance_Climat'!$O6="Validé humainement",'10_Form_Finance_Climat'!S6,"")</x:f>
      </x:c>
      <x:c r="T6" s="76" t="str">
        <x:f>IF('10_Form_Finance_Climat'!$O6="Validé humainement",'10_Form_Finance_Climat'!T6,"")</x:f>
      </x:c>
    </x:row>
    <x:row r="7">
      <x:c r="A7" s="76" t="str">
        <x:f>IF('10_Form_Finance_Climat'!$O7="Validé humainement",'10_Form_Finance_Climat'!A7,"")</x:f>
      </x:c>
      <x:c r="B7" s="76" t="str">
        <x:f>IF('10_Form_Finance_Climat'!$O7="Validé humainement",'10_Form_Finance_Climat'!B7,"")</x:f>
      </x:c>
      <x:c r="C7" s="76" t="str">
        <x:f>IF('10_Form_Finance_Climat'!$O7="Validé humainement",'10_Form_Finance_Climat'!C7,"")</x:f>
      </x:c>
      <x:c r="D7" s="76" t="str">
        <x:f>IF('10_Form_Finance_Climat'!$O7="Validé humainement",'10_Form_Finance_Climat'!D7,"")</x:f>
      </x:c>
      <x:c r="E7" s="76" t="str">
        <x:f>IF('10_Form_Finance_Climat'!$O7="Validé humainement",'10_Form_Finance_Climat'!E7,"")</x:f>
      </x:c>
      <x:c r="F7" s="76" t="str">
        <x:f>IF('10_Form_Finance_Climat'!$O7="Validé humainement",'10_Form_Finance_Climat'!F7,"")</x:f>
      </x:c>
      <x:c r="G7" s="81" t="str">
        <x:f>IF('10_Form_Finance_Climat'!$O7="Validé humainement",'10_Form_Finance_Climat'!G7,"")</x:f>
      </x:c>
      <x:c r="H7" s="81" t="str">
        <x:f>IF('10_Form_Finance_Climat'!$O7="Validé humainement",'10_Form_Finance_Climat'!H7,"")</x:f>
      </x:c>
      <x:c r="I7" s="81" t="str">
        <x:f>IF('10_Form_Finance_Climat'!$O7="Validé humainement",'10_Form_Finance_Climat'!I7,"")</x:f>
      </x:c>
      <x:c r="J7" s="81" t="str">
        <x:f>IF('10_Form_Finance_Climat'!$O7="Validé humainement",'10_Form_Finance_Climat'!J7,"")</x:f>
      </x:c>
      <x:c r="K7" s="76" t="str">
        <x:f>IF('10_Form_Finance_Climat'!$O7="Validé humainement",'10_Form_Finance_Climat'!K7,"")</x:f>
      </x:c>
      <x:c r="L7" s="76" t="str">
        <x:f>IF('10_Form_Finance_Climat'!$O7="Validé humainement",'10_Form_Finance_Climat'!L7,"")</x:f>
      </x:c>
      <x:c r="M7" s="78" t="str">
        <x:f>IF('10_Form_Finance_Climat'!$O7="Validé humainement",'10_Form_Finance_Climat'!M7,"")</x:f>
      </x:c>
      <x:c r="N7" s="76" t="str">
        <x:f>IF('10_Form_Finance_Climat'!$O7="Validé humainement",'10_Form_Finance_Climat'!N7,"")</x:f>
      </x:c>
      <x:c r="O7" s="76" t="str">
        <x:f>IF('10_Form_Finance_Climat'!$O7="Validé humainement",'10_Form_Finance_Climat'!O7,"")</x:f>
      </x:c>
      <x:c r="P7" s="76" t="str">
        <x:f>IF('10_Form_Finance_Climat'!$O7="Validé humainement",'10_Form_Finance_Climat'!P7,"")</x:f>
      </x:c>
      <x:c r="Q7" s="78" t="str">
        <x:f>IF('10_Form_Finance_Climat'!$O7="Validé humainement",'10_Form_Finance_Climat'!Q7,"")</x:f>
      </x:c>
      <x:c r="R7" s="76" t="str">
        <x:f>IF('10_Form_Finance_Climat'!$O7="Validé humainement",'10_Form_Finance_Climat'!R7,"")</x:f>
      </x:c>
      <x:c r="S7" s="76" t="str">
        <x:f>IF('10_Form_Finance_Climat'!$O7="Validé humainement",'10_Form_Finance_Climat'!S7,"")</x:f>
      </x:c>
      <x:c r="T7" s="76" t="str">
        <x:f>IF('10_Form_Finance_Climat'!$O7="Validé humainement",'10_Form_Finance_Climat'!T7,"")</x:f>
      </x:c>
    </x:row>
    <x:row r="8">
      <x:c r="A8" s="76" t="str">
        <x:f>IF('10_Form_Finance_Climat'!$O8="Validé humainement",'10_Form_Finance_Climat'!A8,"")</x:f>
      </x:c>
      <x:c r="B8" s="76" t="str">
        <x:f>IF('10_Form_Finance_Climat'!$O8="Validé humainement",'10_Form_Finance_Climat'!B8,"")</x:f>
      </x:c>
      <x:c r="C8" s="76" t="str">
        <x:f>IF('10_Form_Finance_Climat'!$O8="Validé humainement",'10_Form_Finance_Climat'!C8,"")</x:f>
      </x:c>
      <x:c r="D8" s="76" t="str">
        <x:f>IF('10_Form_Finance_Climat'!$O8="Validé humainement",'10_Form_Finance_Climat'!D8,"")</x:f>
      </x:c>
      <x:c r="E8" s="76" t="str">
        <x:f>IF('10_Form_Finance_Climat'!$O8="Validé humainement",'10_Form_Finance_Climat'!E8,"")</x:f>
      </x:c>
      <x:c r="F8" s="76" t="str">
        <x:f>IF('10_Form_Finance_Climat'!$O8="Validé humainement",'10_Form_Finance_Climat'!F8,"")</x:f>
      </x:c>
      <x:c r="G8" s="81" t="str">
        <x:f>IF('10_Form_Finance_Climat'!$O8="Validé humainement",'10_Form_Finance_Climat'!G8,"")</x:f>
      </x:c>
      <x:c r="H8" s="81" t="str">
        <x:f>IF('10_Form_Finance_Climat'!$O8="Validé humainement",'10_Form_Finance_Climat'!H8,"")</x:f>
      </x:c>
      <x:c r="I8" s="81" t="str">
        <x:f>IF('10_Form_Finance_Climat'!$O8="Validé humainement",'10_Form_Finance_Climat'!I8,"")</x:f>
      </x:c>
      <x:c r="J8" s="81" t="str">
        <x:f>IF('10_Form_Finance_Climat'!$O8="Validé humainement",'10_Form_Finance_Climat'!J8,"")</x:f>
      </x:c>
      <x:c r="K8" s="76" t="str">
        <x:f>IF('10_Form_Finance_Climat'!$O8="Validé humainement",'10_Form_Finance_Climat'!K8,"")</x:f>
      </x:c>
      <x:c r="L8" s="76" t="str">
        <x:f>IF('10_Form_Finance_Climat'!$O8="Validé humainement",'10_Form_Finance_Climat'!L8,"")</x:f>
      </x:c>
      <x:c r="M8" s="78" t="str">
        <x:f>IF('10_Form_Finance_Climat'!$O8="Validé humainement",'10_Form_Finance_Climat'!M8,"")</x:f>
      </x:c>
      <x:c r="N8" s="76" t="str">
        <x:f>IF('10_Form_Finance_Climat'!$O8="Validé humainement",'10_Form_Finance_Climat'!N8,"")</x:f>
      </x:c>
      <x:c r="O8" s="76" t="str">
        <x:f>IF('10_Form_Finance_Climat'!$O8="Validé humainement",'10_Form_Finance_Climat'!O8,"")</x:f>
      </x:c>
      <x:c r="P8" s="76" t="str">
        <x:f>IF('10_Form_Finance_Climat'!$O8="Validé humainement",'10_Form_Finance_Climat'!P8,"")</x:f>
      </x:c>
      <x:c r="Q8" s="78" t="str">
        <x:f>IF('10_Form_Finance_Climat'!$O8="Validé humainement",'10_Form_Finance_Climat'!Q8,"")</x:f>
      </x:c>
      <x:c r="R8" s="76" t="str">
        <x:f>IF('10_Form_Finance_Climat'!$O8="Validé humainement",'10_Form_Finance_Climat'!R8,"")</x:f>
      </x:c>
      <x:c r="S8" s="76" t="str">
        <x:f>IF('10_Form_Finance_Climat'!$O8="Validé humainement",'10_Form_Finance_Climat'!S8,"")</x:f>
      </x:c>
      <x:c r="T8" s="76" t="str">
        <x:f>IF('10_Form_Finance_Climat'!$O8="Validé humainement",'10_Form_Finance_Climat'!T8,"")</x:f>
      </x:c>
    </x:row>
    <x:row r="9">
      <x:c r="A9" s="76" t="str">
        <x:f>IF('10_Form_Finance_Climat'!$O9="Validé humainement",'10_Form_Finance_Climat'!A9,"")</x:f>
      </x:c>
      <x:c r="B9" s="76" t="str">
        <x:f>IF('10_Form_Finance_Climat'!$O9="Validé humainement",'10_Form_Finance_Climat'!B9,"")</x:f>
      </x:c>
      <x:c r="C9" s="76" t="str">
        <x:f>IF('10_Form_Finance_Climat'!$O9="Validé humainement",'10_Form_Finance_Climat'!C9,"")</x:f>
      </x:c>
      <x:c r="D9" s="76" t="str">
        <x:f>IF('10_Form_Finance_Climat'!$O9="Validé humainement",'10_Form_Finance_Climat'!D9,"")</x:f>
      </x:c>
      <x:c r="E9" s="76" t="str">
        <x:f>IF('10_Form_Finance_Climat'!$O9="Validé humainement",'10_Form_Finance_Climat'!E9,"")</x:f>
      </x:c>
      <x:c r="F9" s="76" t="str">
        <x:f>IF('10_Form_Finance_Climat'!$O9="Validé humainement",'10_Form_Finance_Climat'!F9,"")</x:f>
      </x:c>
      <x:c r="G9" s="81" t="str">
        <x:f>IF('10_Form_Finance_Climat'!$O9="Validé humainement",'10_Form_Finance_Climat'!G9,"")</x:f>
      </x:c>
      <x:c r="H9" s="81" t="str">
        <x:f>IF('10_Form_Finance_Climat'!$O9="Validé humainement",'10_Form_Finance_Climat'!H9,"")</x:f>
      </x:c>
      <x:c r="I9" s="81" t="str">
        <x:f>IF('10_Form_Finance_Climat'!$O9="Validé humainement",'10_Form_Finance_Climat'!I9,"")</x:f>
      </x:c>
      <x:c r="J9" s="81" t="str">
        <x:f>IF('10_Form_Finance_Climat'!$O9="Validé humainement",'10_Form_Finance_Climat'!J9,"")</x:f>
      </x:c>
      <x:c r="K9" s="76" t="str">
        <x:f>IF('10_Form_Finance_Climat'!$O9="Validé humainement",'10_Form_Finance_Climat'!K9,"")</x:f>
      </x:c>
      <x:c r="L9" s="76" t="str">
        <x:f>IF('10_Form_Finance_Climat'!$O9="Validé humainement",'10_Form_Finance_Climat'!L9,"")</x:f>
      </x:c>
      <x:c r="M9" s="78" t="str">
        <x:f>IF('10_Form_Finance_Climat'!$O9="Validé humainement",'10_Form_Finance_Climat'!M9,"")</x:f>
      </x:c>
      <x:c r="N9" s="76" t="str">
        <x:f>IF('10_Form_Finance_Climat'!$O9="Validé humainement",'10_Form_Finance_Climat'!N9,"")</x:f>
      </x:c>
      <x:c r="O9" s="76" t="str">
        <x:f>IF('10_Form_Finance_Climat'!$O9="Validé humainement",'10_Form_Finance_Climat'!O9,"")</x:f>
      </x:c>
      <x:c r="P9" s="76" t="str">
        <x:f>IF('10_Form_Finance_Climat'!$O9="Validé humainement",'10_Form_Finance_Climat'!P9,"")</x:f>
      </x:c>
      <x:c r="Q9" s="78" t="str">
        <x:f>IF('10_Form_Finance_Climat'!$O9="Validé humainement",'10_Form_Finance_Climat'!Q9,"")</x:f>
      </x:c>
      <x:c r="R9" s="76" t="str">
        <x:f>IF('10_Form_Finance_Climat'!$O9="Validé humainement",'10_Form_Finance_Climat'!R9,"")</x:f>
      </x:c>
      <x:c r="S9" s="76" t="str">
        <x:f>IF('10_Form_Finance_Climat'!$O9="Validé humainement",'10_Form_Finance_Climat'!S9,"")</x:f>
      </x:c>
      <x:c r="T9" s="76" t="str">
        <x:f>IF('10_Form_Finance_Climat'!$O9="Validé humainement",'10_Form_Finance_Climat'!T9,"")</x:f>
      </x:c>
    </x:row>
    <x:row r="10">
      <x:c r="A10" s="76" t="str">
        <x:f>IF('10_Form_Finance_Climat'!$O10="Validé humainement",'10_Form_Finance_Climat'!A10,"")</x:f>
      </x:c>
      <x:c r="B10" s="76" t="str">
        <x:f>IF('10_Form_Finance_Climat'!$O10="Validé humainement",'10_Form_Finance_Climat'!B10,"")</x:f>
      </x:c>
      <x:c r="C10" s="76" t="str">
        <x:f>IF('10_Form_Finance_Climat'!$O10="Validé humainement",'10_Form_Finance_Climat'!C10,"")</x:f>
      </x:c>
      <x:c r="D10" s="76" t="str">
        <x:f>IF('10_Form_Finance_Climat'!$O10="Validé humainement",'10_Form_Finance_Climat'!D10,"")</x:f>
      </x:c>
      <x:c r="E10" s="76" t="str">
        <x:f>IF('10_Form_Finance_Climat'!$O10="Validé humainement",'10_Form_Finance_Climat'!E10,"")</x:f>
      </x:c>
      <x:c r="F10" s="76" t="str">
        <x:f>IF('10_Form_Finance_Climat'!$O10="Validé humainement",'10_Form_Finance_Climat'!F10,"")</x:f>
      </x:c>
      <x:c r="G10" s="81" t="str">
        <x:f>IF('10_Form_Finance_Climat'!$O10="Validé humainement",'10_Form_Finance_Climat'!G10,"")</x:f>
      </x:c>
      <x:c r="H10" s="81" t="str">
        <x:f>IF('10_Form_Finance_Climat'!$O10="Validé humainement",'10_Form_Finance_Climat'!H10,"")</x:f>
      </x:c>
      <x:c r="I10" s="81" t="str">
        <x:f>IF('10_Form_Finance_Climat'!$O10="Validé humainement",'10_Form_Finance_Climat'!I10,"")</x:f>
      </x:c>
      <x:c r="J10" s="81" t="str">
        <x:f>IF('10_Form_Finance_Climat'!$O10="Validé humainement",'10_Form_Finance_Climat'!J10,"")</x:f>
      </x:c>
      <x:c r="K10" s="76" t="str">
        <x:f>IF('10_Form_Finance_Climat'!$O10="Validé humainement",'10_Form_Finance_Climat'!K10,"")</x:f>
      </x:c>
      <x:c r="L10" s="76" t="str">
        <x:f>IF('10_Form_Finance_Climat'!$O10="Validé humainement",'10_Form_Finance_Climat'!L10,"")</x:f>
      </x:c>
      <x:c r="M10" s="78" t="str">
        <x:f>IF('10_Form_Finance_Climat'!$O10="Validé humainement",'10_Form_Finance_Climat'!M10,"")</x:f>
      </x:c>
      <x:c r="N10" s="76" t="str">
        <x:f>IF('10_Form_Finance_Climat'!$O10="Validé humainement",'10_Form_Finance_Climat'!N10,"")</x:f>
      </x:c>
      <x:c r="O10" s="76" t="str">
        <x:f>IF('10_Form_Finance_Climat'!$O10="Validé humainement",'10_Form_Finance_Climat'!O10,"")</x:f>
      </x:c>
      <x:c r="P10" s="76" t="str">
        <x:f>IF('10_Form_Finance_Climat'!$O10="Validé humainement",'10_Form_Finance_Climat'!P10,"")</x:f>
      </x:c>
      <x:c r="Q10" s="78" t="str">
        <x:f>IF('10_Form_Finance_Climat'!$O10="Validé humainement",'10_Form_Finance_Climat'!Q10,"")</x:f>
      </x:c>
      <x:c r="R10" s="76" t="str">
        <x:f>IF('10_Form_Finance_Climat'!$O10="Validé humainement",'10_Form_Finance_Climat'!R10,"")</x:f>
      </x:c>
      <x:c r="S10" s="76" t="str">
        <x:f>IF('10_Form_Finance_Climat'!$O10="Validé humainement",'10_Form_Finance_Climat'!S10,"")</x:f>
      </x:c>
      <x:c r="T10" s="76" t="str">
        <x:f>IF('10_Form_Finance_Climat'!$O10="Validé humainement",'10_Form_Finance_Climat'!T10,"")</x:f>
      </x:c>
    </x:row>
    <x:row r="11">
      <x:c r="A11" s="76" t="str">
        <x:f>IF('10_Form_Finance_Climat'!$O11="Validé humainement",'10_Form_Finance_Climat'!A11,"")</x:f>
      </x:c>
      <x:c r="B11" s="76" t="str">
        <x:f>IF('10_Form_Finance_Climat'!$O11="Validé humainement",'10_Form_Finance_Climat'!B11,"")</x:f>
      </x:c>
      <x:c r="C11" s="76" t="str">
        <x:f>IF('10_Form_Finance_Climat'!$O11="Validé humainement",'10_Form_Finance_Climat'!C11,"")</x:f>
      </x:c>
      <x:c r="D11" s="76" t="str">
        <x:f>IF('10_Form_Finance_Climat'!$O11="Validé humainement",'10_Form_Finance_Climat'!D11,"")</x:f>
      </x:c>
      <x:c r="E11" s="76" t="str">
        <x:f>IF('10_Form_Finance_Climat'!$O11="Validé humainement",'10_Form_Finance_Climat'!E11,"")</x:f>
      </x:c>
      <x:c r="F11" s="76" t="str">
        <x:f>IF('10_Form_Finance_Climat'!$O11="Validé humainement",'10_Form_Finance_Climat'!F11,"")</x:f>
      </x:c>
      <x:c r="G11" s="81" t="str">
        <x:f>IF('10_Form_Finance_Climat'!$O11="Validé humainement",'10_Form_Finance_Climat'!G11,"")</x:f>
      </x:c>
      <x:c r="H11" s="81" t="str">
        <x:f>IF('10_Form_Finance_Climat'!$O11="Validé humainement",'10_Form_Finance_Climat'!H11,"")</x:f>
      </x:c>
      <x:c r="I11" s="81" t="str">
        <x:f>IF('10_Form_Finance_Climat'!$O11="Validé humainement",'10_Form_Finance_Climat'!I11,"")</x:f>
      </x:c>
      <x:c r="J11" s="81" t="str">
        <x:f>IF('10_Form_Finance_Climat'!$O11="Validé humainement",'10_Form_Finance_Climat'!J11,"")</x:f>
      </x:c>
      <x:c r="K11" s="76" t="str">
        <x:f>IF('10_Form_Finance_Climat'!$O11="Validé humainement",'10_Form_Finance_Climat'!K11,"")</x:f>
      </x:c>
      <x:c r="L11" s="76" t="str">
        <x:f>IF('10_Form_Finance_Climat'!$O11="Validé humainement",'10_Form_Finance_Climat'!L11,"")</x:f>
      </x:c>
      <x:c r="M11" s="78" t="str">
        <x:f>IF('10_Form_Finance_Climat'!$O11="Validé humainement",'10_Form_Finance_Climat'!M11,"")</x:f>
      </x:c>
      <x:c r="N11" s="76" t="str">
        <x:f>IF('10_Form_Finance_Climat'!$O11="Validé humainement",'10_Form_Finance_Climat'!N11,"")</x:f>
      </x:c>
      <x:c r="O11" s="76" t="str">
        <x:f>IF('10_Form_Finance_Climat'!$O11="Validé humainement",'10_Form_Finance_Climat'!O11,"")</x:f>
      </x:c>
      <x:c r="P11" s="76" t="str">
        <x:f>IF('10_Form_Finance_Climat'!$O11="Validé humainement",'10_Form_Finance_Climat'!P11,"")</x:f>
      </x:c>
      <x:c r="Q11" s="78" t="str">
        <x:f>IF('10_Form_Finance_Climat'!$O11="Validé humainement",'10_Form_Finance_Climat'!Q11,"")</x:f>
      </x:c>
      <x:c r="R11" s="76" t="str">
        <x:f>IF('10_Form_Finance_Climat'!$O11="Validé humainement",'10_Form_Finance_Climat'!R11,"")</x:f>
      </x:c>
      <x:c r="S11" s="76" t="str">
        <x:f>IF('10_Form_Finance_Climat'!$O11="Validé humainement",'10_Form_Finance_Climat'!S11,"")</x:f>
      </x:c>
      <x:c r="T11" s="76" t="str">
        <x:f>IF('10_Form_Finance_Climat'!$O11="Validé humainement",'10_Form_Finance_Climat'!T11,"")</x:f>
      </x:c>
    </x:row>
    <x:row r="12">
      <x:c r="A12" s="76" t="str">
        <x:f>IF('10_Form_Finance_Climat'!$O12="Validé humainement",'10_Form_Finance_Climat'!A12,"")</x:f>
      </x:c>
      <x:c r="B12" s="76" t="str">
        <x:f>IF('10_Form_Finance_Climat'!$O12="Validé humainement",'10_Form_Finance_Climat'!B12,"")</x:f>
      </x:c>
      <x:c r="C12" s="76" t="str">
        <x:f>IF('10_Form_Finance_Climat'!$O12="Validé humainement",'10_Form_Finance_Climat'!C12,"")</x:f>
      </x:c>
      <x:c r="D12" s="76" t="str">
        <x:f>IF('10_Form_Finance_Climat'!$O12="Validé humainement",'10_Form_Finance_Climat'!D12,"")</x:f>
      </x:c>
      <x:c r="E12" s="76" t="str">
        <x:f>IF('10_Form_Finance_Climat'!$O12="Validé humainement",'10_Form_Finance_Climat'!E12,"")</x:f>
      </x:c>
      <x:c r="F12" s="76" t="str">
        <x:f>IF('10_Form_Finance_Climat'!$O12="Validé humainement",'10_Form_Finance_Climat'!F12,"")</x:f>
      </x:c>
      <x:c r="G12" s="81" t="str">
        <x:f>IF('10_Form_Finance_Climat'!$O12="Validé humainement",'10_Form_Finance_Climat'!G12,"")</x:f>
      </x:c>
      <x:c r="H12" s="81" t="str">
        <x:f>IF('10_Form_Finance_Climat'!$O12="Validé humainement",'10_Form_Finance_Climat'!H12,"")</x:f>
      </x:c>
      <x:c r="I12" s="81" t="str">
        <x:f>IF('10_Form_Finance_Climat'!$O12="Validé humainement",'10_Form_Finance_Climat'!I12,"")</x:f>
      </x:c>
      <x:c r="J12" s="81" t="str">
        <x:f>IF('10_Form_Finance_Climat'!$O12="Validé humainement",'10_Form_Finance_Climat'!J12,"")</x:f>
      </x:c>
      <x:c r="K12" s="76" t="str">
        <x:f>IF('10_Form_Finance_Climat'!$O12="Validé humainement",'10_Form_Finance_Climat'!K12,"")</x:f>
      </x:c>
      <x:c r="L12" s="76" t="str">
        <x:f>IF('10_Form_Finance_Climat'!$O12="Validé humainement",'10_Form_Finance_Climat'!L12,"")</x:f>
      </x:c>
      <x:c r="M12" s="78" t="str">
        <x:f>IF('10_Form_Finance_Climat'!$O12="Validé humainement",'10_Form_Finance_Climat'!M12,"")</x:f>
      </x:c>
      <x:c r="N12" s="76" t="str">
        <x:f>IF('10_Form_Finance_Climat'!$O12="Validé humainement",'10_Form_Finance_Climat'!N12,"")</x:f>
      </x:c>
      <x:c r="O12" s="76" t="str">
        <x:f>IF('10_Form_Finance_Climat'!$O12="Validé humainement",'10_Form_Finance_Climat'!O12,"")</x:f>
      </x:c>
      <x:c r="P12" s="76" t="str">
        <x:f>IF('10_Form_Finance_Climat'!$O12="Validé humainement",'10_Form_Finance_Climat'!P12,"")</x:f>
      </x:c>
      <x:c r="Q12" s="78" t="str">
        <x:f>IF('10_Form_Finance_Climat'!$O12="Validé humainement",'10_Form_Finance_Climat'!Q12,"")</x:f>
      </x:c>
      <x:c r="R12" s="76" t="str">
        <x:f>IF('10_Form_Finance_Climat'!$O12="Validé humainement",'10_Form_Finance_Climat'!R12,"")</x:f>
      </x:c>
      <x:c r="S12" s="76" t="str">
        <x:f>IF('10_Form_Finance_Climat'!$O12="Validé humainement",'10_Form_Finance_Climat'!S12,"")</x:f>
      </x:c>
      <x:c r="T12" s="76" t="str">
        <x:f>IF('10_Form_Finance_Climat'!$O12="Validé humainement",'10_Form_Finance_Climat'!T12,"")</x:f>
      </x:c>
    </x:row>
    <x:row r="13">
      <x:c r="A13" s="76" t="str">
        <x:f>IF('10_Form_Finance_Climat'!$O13="Validé humainement",'10_Form_Finance_Climat'!A13,"")</x:f>
      </x:c>
      <x:c r="B13" s="76" t="str">
        <x:f>IF('10_Form_Finance_Climat'!$O13="Validé humainement",'10_Form_Finance_Climat'!B13,"")</x:f>
      </x:c>
      <x:c r="C13" s="76" t="str">
        <x:f>IF('10_Form_Finance_Climat'!$O13="Validé humainement",'10_Form_Finance_Climat'!C13,"")</x:f>
      </x:c>
      <x:c r="D13" s="76" t="str">
        <x:f>IF('10_Form_Finance_Climat'!$O13="Validé humainement",'10_Form_Finance_Climat'!D13,"")</x:f>
      </x:c>
      <x:c r="E13" s="76" t="str">
        <x:f>IF('10_Form_Finance_Climat'!$O13="Validé humainement",'10_Form_Finance_Climat'!E13,"")</x:f>
      </x:c>
      <x:c r="F13" s="76" t="str">
        <x:f>IF('10_Form_Finance_Climat'!$O13="Validé humainement",'10_Form_Finance_Climat'!F13,"")</x:f>
      </x:c>
      <x:c r="G13" s="81" t="str">
        <x:f>IF('10_Form_Finance_Climat'!$O13="Validé humainement",'10_Form_Finance_Climat'!G13,"")</x:f>
      </x:c>
      <x:c r="H13" s="81" t="str">
        <x:f>IF('10_Form_Finance_Climat'!$O13="Validé humainement",'10_Form_Finance_Climat'!H13,"")</x:f>
      </x:c>
      <x:c r="I13" s="81" t="str">
        <x:f>IF('10_Form_Finance_Climat'!$O13="Validé humainement",'10_Form_Finance_Climat'!I13,"")</x:f>
      </x:c>
      <x:c r="J13" s="81" t="str">
        <x:f>IF('10_Form_Finance_Climat'!$O13="Validé humainement",'10_Form_Finance_Climat'!J13,"")</x:f>
      </x:c>
      <x:c r="K13" s="76" t="str">
        <x:f>IF('10_Form_Finance_Climat'!$O13="Validé humainement",'10_Form_Finance_Climat'!K13,"")</x:f>
      </x:c>
      <x:c r="L13" s="76" t="str">
        <x:f>IF('10_Form_Finance_Climat'!$O13="Validé humainement",'10_Form_Finance_Climat'!L13,"")</x:f>
      </x:c>
      <x:c r="M13" s="78" t="str">
        <x:f>IF('10_Form_Finance_Climat'!$O13="Validé humainement",'10_Form_Finance_Climat'!M13,"")</x:f>
      </x:c>
      <x:c r="N13" s="76" t="str">
        <x:f>IF('10_Form_Finance_Climat'!$O13="Validé humainement",'10_Form_Finance_Climat'!N13,"")</x:f>
      </x:c>
      <x:c r="O13" s="76" t="str">
        <x:f>IF('10_Form_Finance_Climat'!$O13="Validé humainement",'10_Form_Finance_Climat'!O13,"")</x:f>
      </x:c>
      <x:c r="P13" s="76" t="str">
        <x:f>IF('10_Form_Finance_Climat'!$O13="Validé humainement",'10_Form_Finance_Climat'!P13,"")</x:f>
      </x:c>
      <x:c r="Q13" s="78" t="str">
        <x:f>IF('10_Form_Finance_Climat'!$O13="Validé humainement",'10_Form_Finance_Climat'!Q13,"")</x:f>
      </x:c>
      <x:c r="R13" s="76" t="str">
        <x:f>IF('10_Form_Finance_Climat'!$O13="Validé humainement",'10_Form_Finance_Climat'!R13,"")</x:f>
      </x:c>
      <x:c r="S13" s="76" t="str">
        <x:f>IF('10_Form_Finance_Climat'!$O13="Validé humainement",'10_Form_Finance_Climat'!S13,"")</x:f>
      </x:c>
      <x:c r="T13" s="76" t="str">
        <x:f>IF('10_Form_Finance_Climat'!$O13="Validé humainement",'10_Form_Finance_Climat'!T13,"")</x:f>
      </x:c>
    </x:row>
    <x:row r="14">
      <x:c r="A14" s="76" t="str">
        <x:f>IF('10_Form_Finance_Climat'!$O14="Validé humainement",'10_Form_Finance_Climat'!A14,"")</x:f>
      </x:c>
      <x:c r="B14" s="76" t="str">
        <x:f>IF('10_Form_Finance_Climat'!$O14="Validé humainement",'10_Form_Finance_Climat'!B14,"")</x:f>
      </x:c>
      <x:c r="C14" s="76" t="str">
        <x:f>IF('10_Form_Finance_Climat'!$O14="Validé humainement",'10_Form_Finance_Climat'!C14,"")</x:f>
      </x:c>
      <x:c r="D14" s="76" t="str">
        <x:f>IF('10_Form_Finance_Climat'!$O14="Validé humainement",'10_Form_Finance_Climat'!D14,"")</x:f>
      </x:c>
      <x:c r="E14" s="76" t="str">
        <x:f>IF('10_Form_Finance_Climat'!$O14="Validé humainement",'10_Form_Finance_Climat'!E14,"")</x:f>
      </x:c>
      <x:c r="F14" s="76" t="str">
        <x:f>IF('10_Form_Finance_Climat'!$O14="Validé humainement",'10_Form_Finance_Climat'!F14,"")</x:f>
      </x:c>
      <x:c r="G14" s="81" t="str">
        <x:f>IF('10_Form_Finance_Climat'!$O14="Validé humainement",'10_Form_Finance_Climat'!G14,"")</x:f>
      </x:c>
      <x:c r="H14" s="81" t="str">
        <x:f>IF('10_Form_Finance_Climat'!$O14="Validé humainement",'10_Form_Finance_Climat'!H14,"")</x:f>
      </x:c>
      <x:c r="I14" s="81" t="str">
        <x:f>IF('10_Form_Finance_Climat'!$O14="Validé humainement",'10_Form_Finance_Climat'!I14,"")</x:f>
      </x:c>
      <x:c r="J14" s="81" t="str">
        <x:f>IF('10_Form_Finance_Climat'!$O14="Validé humainement",'10_Form_Finance_Climat'!J14,"")</x:f>
      </x:c>
      <x:c r="K14" s="76" t="str">
        <x:f>IF('10_Form_Finance_Climat'!$O14="Validé humainement",'10_Form_Finance_Climat'!K14,"")</x:f>
      </x:c>
      <x:c r="L14" s="76" t="str">
        <x:f>IF('10_Form_Finance_Climat'!$O14="Validé humainement",'10_Form_Finance_Climat'!L14,"")</x:f>
      </x:c>
      <x:c r="M14" s="78" t="str">
        <x:f>IF('10_Form_Finance_Climat'!$O14="Validé humainement",'10_Form_Finance_Climat'!M14,"")</x:f>
      </x:c>
      <x:c r="N14" s="76" t="str">
        <x:f>IF('10_Form_Finance_Climat'!$O14="Validé humainement",'10_Form_Finance_Climat'!N14,"")</x:f>
      </x:c>
      <x:c r="O14" s="76" t="str">
        <x:f>IF('10_Form_Finance_Climat'!$O14="Validé humainement",'10_Form_Finance_Climat'!O14,"")</x:f>
      </x:c>
      <x:c r="P14" s="76" t="str">
        <x:f>IF('10_Form_Finance_Climat'!$O14="Validé humainement",'10_Form_Finance_Climat'!P14,"")</x:f>
      </x:c>
      <x:c r="Q14" s="78" t="str">
        <x:f>IF('10_Form_Finance_Climat'!$O14="Validé humainement",'10_Form_Finance_Climat'!Q14,"")</x:f>
      </x:c>
      <x:c r="R14" s="76" t="str">
        <x:f>IF('10_Form_Finance_Climat'!$O14="Validé humainement",'10_Form_Finance_Climat'!R14,"")</x:f>
      </x:c>
      <x:c r="S14" s="76" t="str">
        <x:f>IF('10_Form_Finance_Climat'!$O14="Validé humainement",'10_Form_Finance_Climat'!S14,"")</x:f>
      </x:c>
      <x:c r="T14" s="76" t="str">
        <x:f>IF('10_Form_Finance_Climat'!$O14="Validé humainement",'10_Form_Finance_Climat'!T14,"")</x:f>
      </x:c>
    </x:row>
    <x:row r="15">
      <x:c r="A15" s="76" t="str">
        <x:f>IF('10_Form_Finance_Climat'!$O15="Validé humainement",'10_Form_Finance_Climat'!A15,"")</x:f>
      </x:c>
      <x:c r="B15" s="76" t="str">
        <x:f>IF('10_Form_Finance_Climat'!$O15="Validé humainement",'10_Form_Finance_Climat'!B15,"")</x:f>
      </x:c>
      <x:c r="C15" s="76" t="str">
        <x:f>IF('10_Form_Finance_Climat'!$O15="Validé humainement",'10_Form_Finance_Climat'!C15,"")</x:f>
      </x:c>
      <x:c r="D15" s="76" t="str">
        <x:f>IF('10_Form_Finance_Climat'!$O15="Validé humainement",'10_Form_Finance_Climat'!D15,"")</x:f>
      </x:c>
      <x:c r="E15" s="76" t="str">
        <x:f>IF('10_Form_Finance_Climat'!$O15="Validé humainement",'10_Form_Finance_Climat'!E15,"")</x:f>
      </x:c>
      <x:c r="F15" s="76" t="str">
        <x:f>IF('10_Form_Finance_Climat'!$O15="Validé humainement",'10_Form_Finance_Climat'!F15,"")</x:f>
      </x:c>
      <x:c r="G15" s="81" t="str">
        <x:f>IF('10_Form_Finance_Climat'!$O15="Validé humainement",'10_Form_Finance_Climat'!G15,"")</x:f>
      </x:c>
      <x:c r="H15" s="81" t="str">
        <x:f>IF('10_Form_Finance_Climat'!$O15="Validé humainement",'10_Form_Finance_Climat'!H15,"")</x:f>
      </x:c>
      <x:c r="I15" s="81" t="str">
        <x:f>IF('10_Form_Finance_Climat'!$O15="Validé humainement",'10_Form_Finance_Climat'!I15,"")</x:f>
      </x:c>
      <x:c r="J15" s="81" t="str">
        <x:f>IF('10_Form_Finance_Climat'!$O15="Validé humainement",'10_Form_Finance_Climat'!J15,"")</x:f>
      </x:c>
      <x:c r="K15" s="76" t="str">
        <x:f>IF('10_Form_Finance_Climat'!$O15="Validé humainement",'10_Form_Finance_Climat'!K15,"")</x:f>
      </x:c>
      <x:c r="L15" s="76" t="str">
        <x:f>IF('10_Form_Finance_Climat'!$O15="Validé humainement",'10_Form_Finance_Climat'!L15,"")</x:f>
      </x:c>
      <x:c r="M15" s="78" t="str">
        <x:f>IF('10_Form_Finance_Climat'!$O15="Validé humainement",'10_Form_Finance_Climat'!M15,"")</x:f>
      </x:c>
      <x:c r="N15" s="76" t="str">
        <x:f>IF('10_Form_Finance_Climat'!$O15="Validé humainement",'10_Form_Finance_Climat'!N15,"")</x:f>
      </x:c>
      <x:c r="O15" s="76" t="str">
        <x:f>IF('10_Form_Finance_Climat'!$O15="Validé humainement",'10_Form_Finance_Climat'!O15,"")</x:f>
      </x:c>
      <x:c r="P15" s="76" t="str">
        <x:f>IF('10_Form_Finance_Climat'!$O15="Validé humainement",'10_Form_Finance_Climat'!P15,"")</x:f>
      </x:c>
      <x:c r="Q15" s="78" t="str">
        <x:f>IF('10_Form_Finance_Climat'!$O15="Validé humainement",'10_Form_Finance_Climat'!Q15,"")</x:f>
      </x:c>
      <x:c r="R15" s="76" t="str">
        <x:f>IF('10_Form_Finance_Climat'!$O15="Validé humainement",'10_Form_Finance_Climat'!R15,"")</x:f>
      </x:c>
      <x:c r="S15" s="76" t="str">
        <x:f>IF('10_Form_Finance_Climat'!$O15="Validé humainement",'10_Form_Finance_Climat'!S15,"")</x:f>
      </x:c>
      <x:c r="T15" s="76" t="str">
        <x:f>IF('10_Form_Finance_Climat'!$O15="Validé humainement",'10_Form_Finance_Climat'!T15,"")</x:f>
      </x:c>
    </x:row>
    <x:row r="16">
      <x:c r="A16" s="76" t="str">
        <x:f>IF('10_Form_Finance_Climat'!$O16="Validé humainement",'10_Form_Finance_Climat'!A16,"")</x:f>
      </x:c>
      <x:c r="B16" s="76" t="str">
        <x:f>IF('10_Form_Finance_Climat'!$O16="Validé humainement",'10_Form_Finance_Climat'!B16,"")</x:f>
      </x:c>
      <x:c r="C16" s="76" t="str">
        <x:f>IF('10_Form_Finance_Climat'!$O16="Validé humainement",'10_Form_Finance_Climat'!C16,"")</x:f>
      </x:c>
      <x:c r="D16" s="76" t="str">
        <x:f>IF('10_Form_Finance_Climat'!$O16="Validé humainement",'10_Form_Finance_Climat'!D16,"")</x:f>
      </x:c>
      <x:c r="E16" s="76" t="str">
        <x:f>IF('10_Form_Finance_Climat'!$O16="Validé humainement",'10_Form_Finance_Climat'!E16,"")</x:f>
      </x:c>
      <x:c r="F16" s="76" t="str">
        <x:f>IF('10_Form_Finance_Climat'!$O16="Validé humainement",'10_Form_Finance_Climat'!F16,"")</x:f>
      </x:c>
      <x:c r="G16" s="81" t="str">
        <x:f>IF('10_Form_Finance_Climat'!$O16="Validé humainement",'10_Form_Finance_Climat'!G16,"")</x:f>
      </x:c>
      <x:c r="H16" s="81" t="str">
        <x:f>IF('10_Form_Finance_Climat'!$O16="Validé humainement",'10_Form_Finance_Climat'!H16,"")</x:f>
      </x:c>
      <x:c r="I16" s="81" t="str">
        <x:f>IF('10_Form_Finance_Climat'!$O16="Validé humainement",'10_Form_Finance_Climat'!I16,"")</x:f>
      </x:c>
      <x:c r="J16" s="81" t="str">
        <x:f>IF('10_Form_Finance_Climat'!$O16="Validé humainement",'10_Form_Finance_Climat'!J16,"")</x:f>
      </x:c>
      <x:c r="K16" s="76" t="str">
        <x:f>IF('10_Form_Finance_Climat'!$O16="Validé humainement",'10_Form_Finance_Climat'!K16,"")</x:f>
      </x:c>
      <x:c r="L16" s="76" t="str">
        <x:f>IF('10_Form_Finance_Climat'!$O16="Validé humainement",'10_Form_Finance_Climat'!L16,"")</x:f>
      </x:c>
      <x:c r="M16" s="78" t="str">
        <x:f>IF('10_Form_Finance_Climat'!$O16="Validé humainement",'10_Form_Finance_Climat'!M16,"")</x:f>
      </x:c>
      <x:c r="N16" s="76" t="str">
        <x:f>IF('10_Form_Finance_Climat'!$O16="Validé humainement",'10_Form_Finance_Climat'!N16,"")</x:f>
      </x:c>
      <x:c r="O16" s="76" t="str">
        <x:f>IF('10_Form_Finance_Climat'!$O16="Validé humainement",'10_Form_Finance_Climat'!O16,"")</x:f>
      </x:c>
      <x:c r="P16" s="76" t="str">
        <x:f>IF('10_Form_Finance_Climat'!$O16="Validé humainement",'10_Form_Finance_Climat'!P16,"")</x:f>
      </x:c>
      <x:c r="Q16" s="78" t="str">
        <x:f>IF('10_Form_Finance_Climat'!$O16="Validé humainement",'10_Form_Finance_Climat'!Q16,"")</x:f>
      </x:c>
      <x:c r="R16" s="76" t="str">
        <x:f>IF('10_Form_Finance_Climat'!$O16="Validé humainement",'10_Form_Finance_Climat'!R16,"")</x:f>
      </x:c>
      <x:c r="S16" s="76" t="str">
        <x:f>IF('10_Form_Finance_Climat'!$O16="Validé humainement",'10_Form_Finance_Climat'!S16,"")</x:f>
      </x:c>
      <x:c r="T16" s="76" t="str">
        <x:f>IF('10_Form_Finance_Climat'!$O16="Validé humainement",'10_Form_Finance_Climat'!T16,"")</x:f>
      </x:c>
    </x:row>
    <x:row r="17">
      <x:c r="A17" s="76" t="str">
        <x:f>IF('10_Form_Finance_Climat'!$O17="Validé humainement",'10_Form_Finance_Climat'!A17,"")</x:f>
      </x:c>
      <x:c r="B17" s="76" t="str">
        <x:f>IF('10_Form_Finance_Climat'!$O17="Validé humainement",'10_Form_Finance_Climat'!B17,"")</x:f>
      </x:c>
      <x:c r="C17" s="76" t="str">
        <x:f>IF('10_Form_Finance_Climat'!$O17="Validé humainement",'10_Form_Finance_Climat'!C17,"")</x:f>
      </x:c>
      <x:c r="D17" s="76" t="str">
        <x:f>IF('10_Form_Finance_Climat'!$O17="Validé humainement",'10_Form_Finance_Climat'!D17,"")</x:f>
      </x:c>
      <x:c r="E17" s="76" t="str">
        <x:f>IF('10_Form_Finance_Climat'!$O17="Validé humainement",'10_Form_Finance_Climat'!E17,"")</x:f>
      </x:c>
      <x:c r="F17" s="76" t="str">
        <x:f>IF('10_Form_Finance_Climat'!$O17="Validé humainement",'10_Form_Finance_Climat'!F17,"")</x:f>
      </x:c>
      <x:c r="G17" s="81" t="str">
        <x:f>IF('10_Form_Finance_Climat'!$O17="Validé humainement",'10_Form_Finance_Climat'!G17,"")</x:f>
      </x:c>
      <x:c r="H17" s="81" t="str">
        <x:f>IF('10_Form_Finance_Climat'!$O17="Validé humainement",'10_Form_Finance_Climat'!H17,"")</x:f>
      </x:c>
      <x:c r="I17" s="81" t="str">
        <x:f>IF('10_Form_Finance_Climat'!$O17="Validé humainement",'10_Form_Finance_Climat'!I17,"")</x:f>
      </x:c>
      <x:c r="J17" s="81" t="str">
        <x:f>IF('10_Form_Finance_Climat'!$O17="Validé humainement",'10_Form_Finance_Climat'!J17,"")</x:f>
      </x:c>
      <x:c r="K17" s="76" t="str">
        <x:f>IF('10_Form_Finance_Climat'!$O17="Validé humainement",'10_Form_Finance_Climat'!K17,"")</x:f>
      </x:c>
      <x:c r="L17" s="76" t="str">
        <x:f>IF('10_Form_Finance_Climat'!$O17="Validé humainement",'10_Form_Finance_Climat'!L17,"")</x:f>
      </x:c>
      <x:c r="M17" s="78" t="str">
        <x:f>IF('10_Form_Finance_Climat'!$O17="Validé humainement",'10_Form_Finance_Climat'!M17,"")</x:f>
      </x:c>
      <x:c r="N17" s="76" t="str">
        <x:f>IF('10_Form_Finance_Climat'!$O17="Validé humainement",'10_Form_Finance_Climat'!N17,"")</x:f>
      </x:c>
      <x:c r="O17" s="76" t="str">
        <x:f>IF('10_Form_Finance_Climat'!$O17="Validé humainement",'10_Form_Finance_Climat'!O17,"")</x:f>
      </x:c>
      <x:c r="P17" s="76" t="str">
        <x:f>IF('10_Form_Finance_Climat'!$O17="Validé humainement",'10_Form_Finance_Climat'!P17,"")</x:f>
      </x:c>
      <x:c r="Q17" s="78" t="str">
        <x:f>IF('10_Form_Finance_Climat'!$O17="Validé humainement",'10_Form_Finance_Climat'!Q17,"")</x:f>
      </x:c>
      <x:c r="R17" s="76" t="str">
        <x:f>IF('10_Form_Finance_Climat'!$O17="Validé humainement",'10_Form_Finance_Climat'!R17,"")</x:f>
      </x:c>
      <x:c r="S17" s="76" t="str">
        <x:f>IF('10_Form_Finance_Climat'!$O17="Validé humainement",'10_Form_Finance_Climat'!S17,"")</x:f>
      </x:c>
      <x:c r="T17" s="76" t="str">
        <x:f>IF('10_Form_Finance_Climat'!$O17="Validé humainement",'10_Form_Finance_Climat'!T17,"")</x:f>
      </x:c>
    </x:row>
    <x:row r="18">
      <x:c r="A18" s="76" t="str">
        <x:f>IF('10_Form_Finance_Climat'!$O18="Validé humainement",'10_Form_Finance_Climat'!A18,"")</x:f>
      </x:c>
      <x:c r="B18" s="76" t="str">
        <x:f>IF('10_Form_Finance_Climat'!$O18="Validé humainement",'10_Form_Finance_Climat'!B18,"")</x:f>
      </x:c>
      <x:c r="C18" s="76" t="str">
        <x:f>IF('10_Form_Finance_Climat'!$O18="Validé humainement",'10_Form_Finance_Climat'!C18,"")</x:f>
      </x:c>
      <x:c r="D18" s="76" t="str">
        <x:f>IF('10_Form_Finance_Climat'!$O18="Validé humainement",'10_Form_Finance_Climat'!D18,"")</x:f>
      </x:c>
      <x:c r="E18" s="76" t="str">
        <x:f>IF('10_Form_Finance_Climat'!$O18="Validé humainement",'10_Form_Finance_Climat'!E18,"")</x:f>
      </x:c>
      <x:c r="F18" s="76" t="str">
        <x:f>IF('10_Form_Finance_Climat'!$O18="Validé humainement",'10_Form_Finance_Climat'!F18,"")</x:f>
      </x:c>
      <x:c r="G18" s="81" t="str">
        <x:f>IF('10_Form_Finance_Climat'!$O18="Validé humainement",'10_Form_Finance_Climat'!G18,"")</x:f>
      </x:c>
      <x:c r="H18" s="81" t="str">
        <x:f>IF('10_Form_Finance_Climat'!$O18="Validé humainement",'10_Form_Finance_Climat'!H18,"")</x:f>
      </x:c>
      <x:c r="I18" s="81" t="str">
        <x:f>IF('10_Form_Finance_Climat'!$O18="Validé humainement",'10_Form_Finance_Climat'!I18,"")</x:f>
      </x:c>
      <x:c r="J18" s="81" t="str">
        <x:f>IF('10_Form_Finance_Climat'!$O18="Validé humainement",'10_Form_Finance_Climat'!J18,"")</x:f>
      </x:c>
      <x:c r="K18" s="76" t="str">
        <x:f>IF('10_Form_Finance_Climat'!$O18="Validé humainement",'10_Form_Finance_Climat'!K18,"")</x:f>
      </x:c>
      <x:c r="L18" s="76" t="str">
        <x:f>IF('10_Form_Finance_Climat'!$O18="Validé humainement",'10_Form_Finance_Climat'!L18,"")</x:f>
      </x:c>
      <x:c r="M18" s="78" t="str">
        <x:f>IF('10_Form_Finance_Climat'!$O18="Validé humainement",'10_Form_Finance_Climat'!M18,"")</x:f>
      </x:c>
      <x:c r="N18" s="76" t="str">
        <x:f>IF('10_Form_Finance_Climat'!$O18="Validé humainement",'10_Form_Finance_Climat'!N18,"")</x:f>
      </x:c>
      <x:c r="O18" s="76" t="str">
        <x:f>IF('10_Form_Finance_Climat'!$O18="Validé humainement",'10_Form_Finance_Climat'!O18,"")</x:f>
      </x:c>
      <x:c r="P18" s="76" t="str">
        <x:f>IF('10_Form_Finance_Climat'!$O18="Validé humainement",'10_Form_Finance_Climat'!P18,"")</x:f>
      </x:c>
      <x:c r="Q18" s="78" t="str">
        <x:f>IF('10_Form_Finance_Climat'!$O18="Validé humainement",'10_Form_Finance_Climat'!Q18,"")</x:f>
      </x:c>
      <x:c r="R18" s="76" t="str">
        <x:f>IF('10_Form_Finance_Climat'!$O18="Validé humainement",'10_Form_Finance_Climat'!R18,"")</x:f>
      </x:c>
      <x:c r="S18" s="76" t="str">
        <x:f>IF('10_Form_Finance_Climat'!$O18="Validé humainement",'10_Form_Finance_Climat'!S18,"")</x:f>
      </x:c>
      <x:c r="T18" s="76" t="str">
        <x:f>IF('10_Form_Finance_Climat'!$O18="Validé humainement",'10_Form_Finance_Climat'!T18,"")</x:f>
      </x:c>
    </x:row>
    <x:row r="19">
      <x:c r="A19" s="76" t="str">
        <x:f>IF('10_Form_Finance_Climat'!$O19="Validé humainement",'10_Form_Finance_Climat'!A19,"")</x:f>
      </x:c>
      <x:c r="B19" s="76" t="str">
        <x:f>IF('10_Form_Finance_Climat'!$O19="Validé humainement",'10_Form_Finance_Climat'!B19,"")</x:f>
      </x:c>
      <x:c r="C19" s="76" t="str">
        <x:f>IF('10_Form_Finance_Climat'!$O19="Validé humainement",'10_Form_Finance_Climat'!C19,"")</x:f>
      </x:c>
      <x:c r="D19" s="76" t="str">
        <x:f>IF('10_Form_Finance_Climat'!$O19="Validé humainement",'10_Form_Finance_Climat'!D19,"")</x:f>
      </x:c>
      <x:c r="E19" s="76" t="str">
        <x:f>IF('10_Form_Finance_Climat'!$O19="Validé humainement",'10_Form_Finance_Climat'!E19,"")</x:f>
      </x:c>
      <x:c r="F19" s="76" t="str">
        <x:f>IF('10_Form_Finance_Climat'!$O19="Validé humainement",'10_Form_Finance_Climat'!F19,"")</x:f>
      </x:c>
      <x:c r="G19" s="81" t="str">
        <x:f>IF('10_Form_Finance_Climat'!$O19="Validé humainement",'10_Form_Finance_Climat'!G19,"")</x:f>
      </x:c>
      <x:c r="H19" s="81" t="str">
        <x:f>IF('10_Form_Finance_Climat'!$O19="Validé humainement",'10_Form_Finance_Climat'!H19,"")</x:f>
      </x:c>
      <x:c r="I19" s="81" t="str">
        <x:f>IF('10_Form_Finance_Climat'!$O19="Validé humainement",'10_Form_Finance_Climat'!I19,"")</x:f>
      </x:c>
      <x:c r="J19" s="81" t="str">
        <x:f>IF('10_Form_Finance_Climat'!$O19="Validé humainement",'10_Form_Finance_Climat'!J19,"")</x:f>
      </x:c>
      <x:c r="K19" s="76" t="str">
        <x:f>IF('10_Form_Finance_Climat'!$O19="Validé humainement",'10_Form_Finance_Climat'!K19,"")</x:f>
      </x:c>
      <x:c r="L19" s="76" t="str">
        <x:f>IF('10_Form_Finance_Climat'!$O19="Validé humainement",'10_Form_Finance_Climat'!L19,"")</x:f>
      </x:c>
      <x:c r="M19" s="78" t="str">
        <x:f>IF('10_Form_Finance_Climat'!$O19="Validé humainement",'10_Form_Finance_Climat'!M19,"")</x:f>
      </x:c>
      <x:c r="N19" s="76" t="str">
        <x:f>IF('10_Form_Finance_Climat'!$O19="Validé humainement",'10_Form_Finance_Climat'!N19,"")</x:f>
      </x:c>
      <x:c r="O19" s="76" t="str">
        <x:f>IF('10_Form_Finance_Climat'!$O19="Validé humainement",'10_Form_Finance_Climat'!O19,"")</x:f>
      </x:c>
      <x:c r="P19" s="76" t="str">
        <x:f>IF('10_Form_Finance_Climat'!$O19="Validé humainement",'10_Form_Finance_Climat'!P19,"")</x:f>
      </x:c>
      <x:c r="Q19" s="78" t="str">
        <x:f>IF('10_Form_Finance_Climat'!$O19="Validé humainement",'10_Form_Finance_Climat'!Q19,"")</x:f>
      </x:c>
      <x:c r="R19" s="76" t="str">
        <x:f>IF('10_Form_Finance_Climat'!$O19="Validé humainement",'10_Form_Finance_Climat'!R19,"")</x:f>
      </x:c>
      <x:c r="S19" s="76" t="str">
        <x:f>IF('10_Form_Finance_Climat'!$O19="Validé humainement",'10_Form_Finance_Climat'!S19,"")</x:f>
      </x:c>
      <x:c r="T19" s="76" t="str">
        <x:f>IF('10_Form_Finance_Climat'!$O19="Validé humainement",'10_Form_Finance_Climat'!T19,"")</x:f>
      </x:c>
    </x:row>
    <x:row r="20">
      <x:c r="A20" s="76" t="str">
        <x:f>IF('10_Form_Finance_Climat'!$O20="Validé humainement",'10_Form_Finance_Climat'!A20,"")</x:f>
      </x:c>
      <x:c r="B20" s="76" t="str">
        <x:f>IF('10_Form_Finance_Climat'!$O20="Validé humainement",'10_Form_Finance_Climat'!B20,"")</x:f>
      </x:c>
      <x:c r="C20" s="76" t="str">
        <x:f>IF('10_Form_Finance_Climat'!$O20="Validé humainement",'10_Form_Finance_Climat'!C20,"")</x:f>
      </x:c>
      <x:c r="D20" s="76" t="str">
        <x:f>IF('10_Form_Finance_Climat'!$O20="Validé humainement",'10_Form_Finance_Climat'!D20,"")</x:f>
      </x:c>
      <x:c r="E20" s="76" t="str">
        <x:f>IF('10_Form_Finance_Climat'!$O20="Validé humainement",'10_Form_Finance_Climat'!E20,"")</x:f>
      </x:c>
      <x:c r="F20" s="76" t="str">
        <x:f>IF('10_Form_Finance_Climat'!$O20="Validé humainement",'10_Form_Finance_Climat'!F20,"")</x:f>
      </x:c>
      <x:c r="G20" s="81" t="str">
        <x:f>IF('10_Form_Finance_Climat'!$O20="Validé humainement",'10_Form_Finance_Climat'!G20,"")</x:f>
      </x:c>
      <x:c r="H20" s="81" t="str">
        <x:f>IF('10_Form_Finance_Climat'!$O20="Validé humainement",'10_Form_Finance_Climat'!H20,"")</x:f>
      </x:c>
      <x:c r="I20" s="81" t="str">
        <x:f>IF('10_Form_Finance_Climat'!$O20="Validé humainement",'10_Form_Finance_Climat'!I20,"")</x:f>
      </x:c>
      <x:c r="J20" s="81" t="str">
        <x:f>IF('10_Form_Finance_Climat'!$O20="Validé humainement",'10_Form_Finance_Climat'!J20,"")</x:f>
      </x:c>
      <x:c r="K20" s="76" t="str">
        <x:f>IF('10_Form_Finance_Climat'!$O20="Validé humainement",'10_Form_Finance_Climat'!K20,"")</x:f>
      </x:c>
      <x:c r="L20" s="76" t="str">
        <x:f>IF('10_Form_Finance_Climat'!$O20="Validé humainement",'10_Form_Finance_Climat'!L20,"")</x:f>
      </x:c>
      <x:c r="M20" s="78" t="str">
        <x:f>IF('10_Form_Finance_Climat'!$O20="Validé humainement",'10_Form_Finance_Climat'!M20,"")</x:f>
      </x:c>
      <x:c r="N20" s="76" t="str">
        <x:f>IF('10_Form_Finance_Climat'!$O20="Validé humainement",'10_Form_Finance_Climat'!N20,"")</x:f>
      </x:c>
      <x:c r="O20" s="76" t="str">
        <x:f>IF('10_Form_Finance_Climat'!$O20="Validé humainement",'10_Form_Finance_Climat'!O20,"")</x:f>
      </x:c>
      <x:c r="P20" s="76" t="str">
        <x:f>IF('10_Form_Finance_Climat'!$O20="Validé humainement",'10_Form_Finance_Climat'!P20,"")</x:f>
      </x:c>
      <x:c r="Q20" s="78" t="str">
        <x:f>IF('10_Form_Finance_Climat'!$O20="Validé humainement",'10_Form_Finance_Climat'!Q20,"")</x:f>
      </x:c>
      <x:c r="R20" s="76" t="str">
        <x:f>IF('10_Form_Finance_Climat'!$O20="Validé humainement",'10_Form_Finance_Climat'!R20,"")</x:f>
      </x:c>
      <x:c r="S20" s="76" t="str">
        <x:f>IF('10_Form_Finance_Climat'!$O20="Validé humainement",'10_Form_Finance_Climat'!S20,"")</x:f>
      </x:c>
      <x:c r="T20" s="76" t="str">
        <x:f>IF('10_Form_Finance_Climat'!$O20="Validé humainement",'10_Form_Finance_Climat'!T20,"")</x:f>
      </x:c>
    </x:row>
    <x:row r="21">
      <x:c r="A21" s="76" t="str">
        <x:f>IF('10_Form_Finance_Climat'!$O21="Validé humainement",'10_Form_Finance_Climat'!A21,"")</x:f>
      </x:c>
      <x:c r="B21" s="76" t="str">
        <x:f>IF('10_Form_Finance_Climat'!$O21="Validé humainement",'10_Form_Finance_Climat'!B21,"")</x:f>
      </x:c>
      <x:c r="C21" s="76" t="str">
        <x:f>IF('10_Form_Finance_Climat'!$O21="Validé humainement",'10_Form_Finance_Climat'!C21,"")</x:f>
      </x:c>
      <x:c r="D21" s="76" t="str">
        <x:f>IF('10_Form_Finance_Climat'!$O21="Validé humainement",'10_Form_Finance_Climat'!D21,"")</x:f>
      </x:c>
      <x:c r="E21" s="76" t="str">
        <x:f>IF('10_Form_Finance_Climat'!$O21="Validé humainement",'10_Form_Finance_Climat'!E21,"")</x:f>
      </x:c>
      <x:c r="F21" s="76" t="str">
        <x:f>IF('10_Form_Finance_Climat'!$O21="Validé humainement",'10_Form_Finance_Climat'!F21,"")</x:f>
      </x:c>
      <x:c r="G21" s="81" t="str">
        <x:f>IF('10_Form_Finance_Climat'!$O21="Validé humainement",'10_Form_Finance_Climat'!G21,"")</x:f>
      </x:c>
      <x:c r="H21" s="81" t="str">
        <x:f>IF('10_Form_Finance_Climat'!$O21="Validé humainement",'10_Form_Finance_Climat'!H21,"")</x:f>
      </x:c>
      <x:c r="I21" s="81" t="str">
        <x:f>IF('10_Form_Finance_Climat'!$O21="Validé humainement",'10_Form_Finance_Climat'!I21,"")</x:f>
      </x:c>
      <x:c r="J21" s="81" t="str">
        <x:f>IF('10_Form_Finance_Climat'!$O21="Validé humainement",'10_Form_Finance_Climat'!J21,"")</x:f>
      </x:c>
      <x:c r="K21" s="76" t="str">
        <x:f>IF('10_Form_Finance_Climat'!$O21="Validé humainement",'10_Form_Finance_Climat'!K21,"")</x:f>
      </x:c>
      <x:c r="L21" s="76" t="str">
        <x:f>IF('10_Form_Finance_Climat'!$O21="Validé humainement",'10_Form_Finance_Climat'!L21,"")</x:f>
      </x:c>
      <x:c r="M21" s="78" t="str">
        <x:f>IF('10_Form_Finance_Climat'!$O21="Validé humainement",'10_Form_Finance_Climat'!M21,"")</x:f>
      </x:c>
      <x:c r="N21" s="76" t="str">
        <x:f>IF('10_Form_Finance_Climat'!$O21="Validé humainement",'10_Form_Finance_Climat'!N21,"")</x:f>
      </x:c>
      <x:c r="O21" s="76" t="str">
        <x:f>IF('10_Form_Finance_Climat'!$O21="Validé humainement",'10_Form_Finance_Climat'!O21,"")</x:f>
      </x:c>
      <x:c r="P21" s="76" t="str">
        <x:f>IF('10_Form_Finance_Climat'!$O21="Validé humainement",'10_Form_Finance_Climat'!P21,"")</x:f>
      </x:c>
      <x:c r="Q21" s="78" t="str">
        <x:f>IF('10_Form_Finance_Climat'!$O21="Validé humainement",'10_Form_Finance_Climat'!Q21,"")</x:f>
      </x:c>
      <x:c r="R21" s="76" t="str">
        <x:f>IF('10_Form_Finance_Climat'!$O21="Validé humainement",'10_Form_Finance_Climat'!R21,"")</x:f>
      </x:c>
      <x:c r="S21" s="76" t="str">
        <x:f>IF('10_Form_Finance_Climat'!$O21="Validé humainement",'10_Form_Finance_Climat'!S21,"")</x:f>
      </x:c>
      <x:c r="T21" s="76" t="str">
        <x:f>IF('10_Form_Finance_Climat'!$O21="Validé humainement",'10_Form_Finance_Climat'!T21,"")</x:f>
      </x:c>
    </x:row>
    <x:row r="22">
      <x:c r="A22" s="76" t="str">
        <x:f>IF('10_Form_Finance_Climat'!$O22="Validé humainement",'10_Form_Finance_Climat'!A22,"")</x:f>
      </x:c>
      <x:c r="B22" s="76" t="str">
        <x:f>IF('10_Form_Finance_Climat'!$O22="Validé humainement",'10_Form_Finance_Climat'!B22,"")</x:f>
      </x:c>
      <x:c r="C22" s="76" t="str">
        <x:f>IF('10_Form_Finance_Climat'!$O22="Validé humainement",'10_Form_Finance_Climat'!C22,"")</x:f>
      </x:c>
      <x:c r="D22" s="76" t="str">
        <x:f>IF('10_Form_Finance_Climat'!$O22="Validé humainement",'10_Form_Finance_Climat'!D22,"")</x:f>
      </x:c>
      <x:c r="E22" s="76" t="str">
        <x:f>IF('10_Form_Finance_Climat'!$O22="Validé humainement",'10_Form_Finance_Climat'!E22,"")</x:f>
      </x:c>
      <x:c r="F22" s="76" t="str">
        <x:f>IF('10_Form_Finance_Climat'!$O22="Validé humainement",'10_Form_Finance_Climat'!F22,"")</x:f>
      </x:c>
      <x:c r="G22" s="81" t="str">
        <x:f>IF('10_Form_Finance_Climat'!$O22="Validé humainement",'10_Form_Finance_Climat'!G22,"")</x:f>
      </x:c>
      <x:c r="H22" s="81" t="str">
        <x:f>IF('10_Form_Finance_Climat'!$O22="Validé humainement",'10_Form_Finance_Climat'!H22,"")</x:f>
      </x:c>
      <x:c r="I22" s="81" t="str">
        <x:f>IF('10_Form_Finance_Climat'!$O22="Validé humainement",'10_Form_Finance_Climat'!I22,"")</x:f>
      </x:c>
      <x:c r="J22" s="81" t="str">
        <x:f>IF('10_Form_Finance_Climat'!$O22="Validé humainement",'10_Form_Finance_Climat'!J22,"")</x:f>
      </x:c>
      <x:c r="K22" s="76" t="str">
        <x:f>IF('10_Form_Finance_Climat'!$O22="Validé humainement",'10_Form_Finance_Climat'!K22,"")</x:f>
      </x:c>
      <x:c r="L22" s="76" t="str">
        <x:f>IF('10_Form_Finance_Climat'!$O22="Validé humainement",'10_Form_Finance_Climat'!L22,"")</x:f>
      </x:c>
      <x:c r="M22" s="78" t="str">
        <x:f>IF('10_Form_Finance_Climat'!$O22="Validé humainement",'10_Form_Finance_Climat'!M22,"")</x:f>
      </x:c>
      <x:c r="N22" s="76" t="str">
        <x:f>IF('10_Form_Finance_Climat'!$O22="Validé humainement",'10_Form_Finance_Climat'!N22,"")</x:f>
      </x:c>
      <x:c r="O22" s="76" t="str">
        <x:f>IF('10_Form_Finance_Climat'!$O22="Validé humainement",'10_Form_Finance_Climat'!O22,"")</x:f>
      </x:c>
      <x:c r="P22" s="76" t="str">
        <x:f>IF('10_Form_Finance_Climat'!$O22="Validé humainement",'10_Form_Finance_Climat'!P22,"")</x:f>
      </x:c>
      <x:c r="Q22" s="78" t="str">
        <x:f>IF('10_Form_Finance_Climat'!$O22="Validé humainement",'10_Form_Finance_Climat'!Q22,"")</x:f>
      </x:c>
      <x:c r="R22" s="76" t="str">
        <x:f>IF('10_Form_Finance_Climat'!$O22="Validé humainement",'10_Form_Finance_Climat'!R22,"")</x:f>
      </x:c>
      <x:c r="S22" s="76" t="str">
        <x:f>IF('10_Form_Finance_Climat'!$O22="Validé humainement",'10_Form_Finance_Climat'!S22,"")</x:f>
      </x:c>
      <x:c r="T22" s="76" t="str">
        <x:f>IF('10_Form_Finance_Climat'!$O22="Validé humainement",'10_Form_Finance_Climat'!T22,"")</x:f>
      </x:c>
    </x:row>
    <x:row r="23">
      <x:c r="A23" s="76" t="str">
        <x:f>IF('10_Form_Finance_Climat'!$O23="Validé humainement",'10_Form_Finance_Climat'!A23,"")</x:f>
      </x:c>
      <x:c r="B23" s="76" t="str">
        <x:f>IF('10_Form_Finance_Climat'!$O23="Validé humainement",'10_Form_Finance_Climat'!B23,"")</x:f>
      </x:c>
      <x:c r="C23" s="76" t="str">
        <x:f>IF('10_Form_Finance_Climat'!$O23="Validé humainement",'10_Form_Finance_Climat'!C23,"")</x:f>
      </x:c>
      <x:c r="D23" s="76" t="str">
        <x:f>IF('10_Form_Finance_Climat'!$O23="Validé humainement",'10_Form_Finance_Climat'!D23,"")</x:f>
      </x:c>
      <x:c r="E23" s="76" t="str">
        <x:f>IF('10_Form_Finance_Climat'!$O23="Validé humainement",'10_Form_Finance_Climat'!E23,"")</x:f>
      </x:c>
      <x:c r="F23" s="76" t="str">
        <x:f>IF('10_Form_Finance_Climat'!$O23="Validé humainement",'10_Form_Finance_Climat'!F23,"")</x:f>
      </x:c>
      <x:c r="G23" s="81" t="str">
        <x:f>IF('10_Form_Finance_Climat'!$O23="Validé humainement",'10_Form_Finance_Climat'!G23,"")</x:f>
      </x:c>
      <x:c r="H23" s="81" t="str">
        <x:f>IF('10_Form_Finance_Climat'!$O23="Validé humainement",'10_Form_Finance_Climat'!H23,"")</x:f>
      </x:c>
      <x:c r="I23" s="81" t="str">
        <x:f>IF('10_Form_Finance_Climat'!$O23="Validé humainement",'10_Form_Finance_Climat'!I23,"")</x:f>
      </x:c>
      <x:c r="J23" s="81" t="str">
        <x:f>IF('10_Form_Finance_Climat'!$O23="Validé humainement",'10_Form_Finance_Climat'!J23,"")</x:f>
      </x:c>
      <x:c r="K23" s="76" t="str">
        <x:f>IF('10_Form_Finance_Climat'!$O23="Validé humainement",'10_Form_Finance_Climat'!K23,"")</x:f>
      </x:c>
      <x:c r="L23" s="76" t="str">
        <x:f>IF('10_Form_Finance_Climat'!$O23="Validé humainement",'10_Form_Finance_Climat'!L23,"")</x:f>
      </x:c>
      <x:c r="M23" s="78" t="str">
        <x:f>IF('10_Form_Finance_Climat'!$O23="Validé humainement",'10_Form_Finance_Climat'!M23,"")</x:f>
      </x:c>
      <x:c r="N23" s="76" t="str">
        <x:f>IF('10_Form_Finance_Climat'!$O23="Validé humainement",'10_Form_Finance_Climat'!N23,"")</x:f>
      </x:c>
      <x:c r="O23" s="76" t="str">
        <x:f>IF('10_Form_Finance_Climat'!$O23="Validé humainement",'10_Form_Finance_Climat'!O23,"")</x:f>
      </x:c>
      <x:c r="P23" s="76" t="str">
        <x:f>IF('10_Form_Finance_Climat'!$O23="Validé humainement",'10_Form_Finance_Climat'!P23,"")</x:f>
      </x:c>
      <x:c r="Q23" s="78" t="str">
        <x:f>IF('10_Form_Finance_Climat'!$O23="Validé humainement",'10_Form_Finance_Climat'!Q23,"")</x:f>
      </x:c>
      <x:c r="R23" s="76" t="str">
        <x:f>IF('10_Form_Finance_Climat'!$O23="Validé humainement",'10_Form_Finance_Climat'!R23,"")</x:f>
      </x:c>
      <x:c r="S23" s="76" t="str">
        <x:f>IF('10_Form_Finance_Climat'!$O23="Validé humainement",'10_Form_Finance_Climat'!S23,"")</x:f>
      </x:c>
      <x:c r="T23" s="76" t="str">
        <x:f>IF('10_Form_Finance_Climat'!$O23="Validé humainement",'10_Form_Finance_Climat'!T23,"")</x:f>
      </x:c>
    </x:row>
    <x:row r="24">
      <x:c r="A24" s="76" t="str">
        <x:f>IF('10_Form_Finance_Climat'!$O24="Validé humainement",'10_Form_Finance_Climat'!A24,"")</x:f>
      </x:c>
      <x:c r="B24" s="76" t="str">
        <x:f>IF('10_Form_Finance_Climat'!$O24="Validé humainement",'10_Form_Finance_Climat'!B24,"")</x:f>
      </x:c>
      <x:c r="C24" s="76" t="str">
        <x:f>IF('10_Form_Finance_Climat'!$O24="Validé humainement",'10_Form_Finance_Climat'!C24,"")</x:f>
      </x:c>
      <x:c r="D24" s="76" t="str">
        <x:f>IF('10_Form_Finance_Climat'!$O24="Validé humainement",'10_Form_Finance_Climat'!D24,"")</x:f>
      </x:c>
      <x:c r="E24" s="76" t="str">
        <x:f>IF('10_Form_Finance_Climat'!$O24="Validé humainement",'10_Form_Finance_Climat'!E24,"")</x:f>
      </x:c>
      <x:c r="F24" s="76" t="str">
        <x:f>IF('10_Form_Finance_Climat'!$O24="Validé humainement",'10_Form_Finance_Climat'!F24,"")</x:f>
      </x:c>
      <x:c r="G24" s="81" t="str">
        <x:f>IF('10_Form_Finance_Climat'!$O24="Validé humainement",'10_Form_Finance_Climat'!G24,"")</x:f>
      </x:c>
      <x:c r="H24" s="81" t="str">
        <x:f>IF('10_Form_Finance_Climat'!$O24="Validé humainement",'10_Form_Finance_Climat'!H24,"")</x:f>
      </x:c>
      <x:c r="I24" s="81" t="str">
        <x:f>IF('10_Form_Finance_Climat'!$O24="Validé humainement",'10_Form_Finance_Climat'!I24,"")</x:f>
      </x:c>
      <x:c r="J24" s="81" t="str">
        <x:f>IF('10_Form_Finance_Climat'!$O24="Validé humainement",'10_Form_Finance_Climat'!J24,"")</x:f>
      </x:c>
      <x:c r="K24" s="76" t="str">
        <x:f>IF('10_Form_Finance_Climat'!$O24="Validé humainement",'10_Form_Finance_Climat'!K24,"")</x:f>
      </x:c>
      <x:c r="L24" s="76" t="str">
        <x:f>IF('10_Form_Finance_Climat'!$O24="Validé humainement",'10_Form_Finance_Climat'!L24,"")</x:f>
      </x:c>
      <x:c r="M24" s="78" t="str">
        <x:f>IF('10_Form_Finance_Climat'!$O24="Validé humainement",'10_Form_Finance_Climat'!M24,"")</x:f>
      </x:c>
      <x:c r="N24" s="76" t="str">
        <x:f>IF('10_Form_Finance_Climat'!$O24="Validé humainement",'10_Form_Finance_Climat'!N24,"")</x:f>
      </x:c>
      <x:c r="O24" s="76" t="str">
        <x:f>IF('10_Form_Finance_Climat'!$O24="Validé humainement",'10_Form_Finance_Climat'!O24,"")</x:f>
      </x:c>
      <x:c r="P24" s="76" t="str">
        <x:f>IF('10_Form_Finance_Climat'!$O24="Validé humainement",'10_Form_Finance_Climat'!P24,"")</x:f>
      </x:c>
      <x:c r="Q24" s="78" t="str">
        <x:f>IF('10_Form_Finance_Climat'!$O24="Validé humainement",'10_Form_Finance_Climat'!Q24,"")</x:f>
      </x:c>
      <x:c r="R24" s="76" t="str">
        <x:f>IF('10_Form_Finance_Climat'!$O24="Validé humainement",'10_Form_Finance_Climat'!R24,"")</x:f>
      </x:c>
      <x:c r="S24" s="76" t="str">
        <x:f>IF('10_Form_Finance_Climat'!$O24="Validé humainement",'10_Form_Finance_Climat'!S24,"")</x:f>
      </x:c>
      <x:c r="T24" s="76" t="str">
        <x:f>IF('10_Form_Finance_Climat'!$O24="Validé humainement",'10_Form_Finance_Climat'!T24,"")</x:f>
      </x:c>
    </x:row>
    <x:row r="25">
      <x:c r="A25" s="76" t="str">
        <x:f>IF('10_Form_Finance_Climat'!$O25="Validé humainement",'10_Form_Finance_Climat'!A25,"")</x:f>
      </x:c>
      <x:c r="B25" s="76" t="str">
        <x:f>IF('10_Form_Finance_Climat'!$O25="Validé humainement",'10_Form_Finance_Climat'!B25,"")</x:f>
      </x:c>
      <x:c r="C25" s="76" t="str">
        <x:f>IF('10_Form_Finance_Climat'!$O25="Validé humainement",'10_Form_Finance_Climat'!C25,"")</x:f>
      </x:c>
      <x:c r="D25" s="76" t="str">
        <x:f>IF('10_Form_Finance_Climat'!$O25="Validé humainement",'10_Form_Finance_Climat'!D25,"")</x:f>
      </x:c>
      <x:c r="E25" s="76" t="str">
        <x:f>IF('10_Form_Finance_Climat'!$O25="Validé humainement",'10_Form_Finance_Climat'!E25,"")</x:f>
      </x:c>
      <x:c r="F25" s="76" t="str">
        <x:f>IF('10_Form_Finance_Climat'!$O25="Validé humainement",'10_Form_Finance_Climat'!F25,"")</x:f>
      </x:c>
      <x:c r="G25" s="81" t="str">
        <x:f>IF('10_Form_Finance_Climat'!$O25="Validé humainement",'10_Form_Finance_Climat'!G25,"")</x:f>
      </x:c>
      <x:c r="H25" s="81" t="str">
        <x:f>IF('10_Form_Finance_Climat'!$O25="Validé humainement",'10_Form_Finance_Climat'!H25,"")</x:f>
      </x:c>
      <x:c r="I25" s="81" t="str">
        <x:f>IF('10_Form_Finance_Climat'!$O25="Validé humainement",'10_Form_Finance_Climat'!I25,"")</x:f>
      </x:c>
      <x:c r="J25" s="81" t="str">
        <x:f>IF('10_Form_Finance_Climat'!$O25="Validé humainement",'10_Form_Finance_Climat'!J25,"")</x:f>
      </x:c>
      <x:c r="K25" s="76" t="str">
        <x:f>IF('10_Form_Finance_Climat'!$O25="Validé humainement",'10_Form_Finance_Climat'!K25,"")</x:f>
      </x:c>
      <x:c r="L25" s="76" t="str">
        <x:f>IF('10_Form_Finance_Climat'!$O25="Validé humainement",'10_Form_Finance_Climat'!L25,"")</x:f>
      </x:c>
      <x:c r="M25" s="78" t="str">
        <x:f>IF('10_Form_Finance_Climat'!$O25="Validé humainement",'10_Form_Finance_Climat'!M25,"")</x:f>
      </x:c>
      <x:c r="N25" s="76" t="str">
        <x:f>IF('10_Form_Finance_Climat'!$O25="Validé humainement",'10_Form_Finance_Climat'!N25,"")</x:f>
      </x:c>
      <x:c r="O25" s="76" t="str">
        <x:f>IF('10_Form_Finance_Climat'!$O25="Validé humainement",'10_Form_Finance_Climat'!O25,"")</x:f>
      </x:c>
      <x:c r="P25" s="76" t="str">
        <x:f>IF('10_Form_Finance_Climat'!$O25="Validé humainement",'10_Form_Finance_Climat'!P25,"")</x:f>
      </x:c>
      <x:c r="Q25" s="78" t="str">
        <x:f>IF('10_Form_Finance_Climat'!$O25="Validé humainement",'10_Form_Finance_Climat'!Q25,"")</x:f>
      </x:c>
      <x:c r="R25" s="76" t="str">
        <x:f>IF('10_Form_Finance_Climat'!$O25="Validé humainement",'10_Form_Finance_Climat'!R25,"")</x:f>
      </x:c>
      <x:c r="S25" s="76" t="str">
        <x:f>IF('10_Form_Finance_Climat'!$O25="Validé humainement",'10_Form_Finance_Climat'!S25,"")</x:f>
      </x:c>
      <x:c r="T25" s="76" t="str">
        <x:f>IF('10_Form_Finance_Climat'!$O25="Validé humainement",'10_Form_Finance_Climat'!T25,"")</x:f>
      </x:c>
    </x:row>
    <x:row r="26">
      <x:c r="A26" s="76" t="str">
        <x:f>IF('10_Form_Finance_Climat'!$O26="Validé humainement",'10_Form_Finance_Climat'!A26,"")</x:f>
      </x:c>
      <x:c r="B26" s="76" t="str">
        <x:f>IF('10_Form_Finance_Climat'!$O26="Validé humainement",'10_Form_Finance_Climat'!B26,"")</x:f>
      </x:c>
      <x:c r="C26" s="76" t="str">
        <x:f>IF('10_Form_Finance_Climat'!$O26="Validé humainement",'10_Form_Finance_Climat'!C26,"")</x:f>
      </x:c>
      <x:c r="D26" s="76" t="str">
        <x:f>IF('10_Form_Finance_Climat'!$O26="Validé humainement",'10_Form_Finance_Climat'!D26,"")</x:f>
      </x:c>
      <x:c r="E26" s="76" t="str">
        <x:f>IF('10_Form_Finance_Climat'!$O26="Validé humainement",'10_Form_Finance_Climat'!E26,"")</x:f>
      </x:c>
      <x:c r="F26" s="76" t="str">
        <x:f>IF('10_Form_Finance_Climat'!$O26="Validé humainement",'10_Form_Finance_Climat'!F26,"")</x:f>
      </x:c>
      <x:c r="G26" s="81" t="str">
        <x:f>IF('10_Form_Finance_Climat'!$O26="Validé humainement",'10_Form_Finance_Climat'!G26,"")</x:f>
      </x:c>
      <x:c r="H26" s="81" t="str">
        <x:f>IF('10_Form_Finance_Climat'!$O26="Validé humainement",'10_Form_Finance_Climat'!H26,"")</x:f>
      </x:c>
      <x:c r="I26" s="81" t="str">
        <x:f>IF('10_Form_Finance_Climat'!$O26="Validé humainement",'10_Form_Finance_Climat'!I26,"")</x:f>
      </x:c>
      <x:c r="J26" s="81" t="str">
        <x:f>IF('10_Form_Finance_Climat'!$O26="Validé humainement",'10_Form_Finance_Climat'!J26,"")</x:f>
      </x:c>
      <x:c r="K26" s="76" t="str">
        <x:f>IF('10_Form_Finance_Climat'!$O26="Validé humainement",'10_Form_Finance_Climat'!K26,"")</x:f>
      </x:c>
      <x:c r="L26" s="76" t="str">
        <x:f>IF('10_Form_Finance_Climat'!$O26="Validé humainement",'10_Form_Finance_Climat'!L26,"")</x:f>
      </x:c>
      <x:c r="M26" s="78" t="str">
        <x:f>IF('10_Form_Finance_Climat'!$O26="Validé humainement",'10_Form_Finance_Climat'!M26,"")</x:f>
      </x:c>
      <x:c r="N26" s="76" t="str">
        <x:f>IF('10_Form_Finance_Climat'!$O26="Validé humainement",'10_Form_Finance_Climat'!N26,"")</x:f>
      </x:c>
      <x:c r="O26" s="76" t="str">
        <x:f>IF('10_Form_Finance_Climat'!$O26="Validé humainement",'10_Form_Finance_Climat'!O26,"")</x:f>
      </x:c>
      <x:c r="P26" s="76" t="str">
        <x:f>IF('10_Form_Finance_Climat'!$O26="Validé humainement",'10_Form_Finance_Climat'!P26,"")</x:f>
      </x:c>
      <x:c r="Q26" s="78" t="str">
        <x:f>IF('10_Form_Finance_Climat'!$O26="Validé humainement",'10_Form_Finance_Climat'!Q26,"")</x:f>
      </x:c>
      <x:c r="R26" s="76" t="str">
        <x:f>IF('10_Form_Finance_Climat'!$O26="Validé humainement",'10_Form_Finance_Climat'!R26,"")</x:f>
      </x:c>
      <x:c r="S26" s="76" t="str">
        <x:f>IF('10_Form_Finance_Climat'!$O26="Validé humainement",'10_Form_Finance_Climat'!S26,"")</x:f>
      </x:c>
      <x:c r="T26" s="76" t="str">
        <x:f>IF('10_Form_Finance_Climat'!$O26="Validé humainement",'10_Form_Finance_Climat'!T26,"")</x:f>
      </x:c>
    </x:row>
    <x:row r="27">
      <x:c r="A27" s="76" t="str">
        <x:f>IF('10_Form_Finance_Climat'!$O27="Validé humainement",'10_Form_Finance_Climat'!A27,"")</x:f>
      </x:c>
      <x:c r="B27" s="76" t="str">
        <x:f>IF('10_Form_Finance_Climat'!$O27="Validé humainement",'10_Form_Finance_Climat'!B27,"")</x:f>
      </x:c>
      <x:c r="C27" s="76" t="str">
        <x:f>IF('10_Form_Finance_Climat'!$O27="Validé humainement",'10_Form_Finance_Climat'!C27,"")</x:f>
      </x:c>
      <x:c r="D27" s="76" t="str">
        <x:f>IF('10_Form_Finance_Climat'!$O27="Validé humainement",'10_Form_Finance_Climat'!D27,"")</x:f>
      </x:c>
      <x:c r="E27" s="76" t="str">
        <x:f>IF('10_Form_Finance_Climat'!$O27="Validé humainement",'10_Form_Finance_Climat'!E27,"")</x:f>
      </x:c>
      <x:c r="F27" s="76" t="str">
        <x:f>IF('10_Form_Finance_Climat'!$O27="Validé humainement",'10_Form_Finance_Climat'!F27,"")</x:f>
      </x:c>
      <x:c r="G27" s="81" t="str">
        <x:f>IF('10_Form_Finance_Climat'!$O27="Validé humainement",'10_Form_Finance_Climat'!G27,"")</x:f>
      </x:c>
      <x:c r="H27" s="81" t="str">
        <x:f>IF('10_Form_Finance_Climat'!$O27="Validé humainement",'10_Form_Finance_Climat'!H27,"")</x:f>
      </x:c>
      <x:c r="I27" s="81" t="str">
        <x:f>IF('10_Form_Finance_Climat'!$O27="Validé humainement",'10_Form_Finance_Climat'!I27,"")</x:f>
      </x:c>
      <x:c r="J27" s="81" t="str">
        <x:f>IF('10_Form_Finance_Climat'!$O27="Validé humainement",'10_Form_Finance_Climat'!J27,"")</x:f>
      </x:c>
      <x:c r="K27" s="76" t="str">
        <x:f>IF('10_Form_Finance_Climat'!$O27="Validé humainement",'10_Form_Finance_Climat'!K27,"")</x:f>
      </x:c>
      <x:c r="L27" s="76" t="str">
        <x:f>IF('10_Form_Finance_Climat'!$O27="Validé humainement",'10_Form_Finance_Climat'!L27,"")</x:f>
      </x:c>
      <x:c r="M27" s="78" t="str">
        <x:f>IF('10_Form_Finance_Climat'!$O27="Validé humainement",'10_Form_Finance_Climat'!M27,"")</x:f>
      </x:c>
      <x:c r="N27" s="76" t="str">
        <x:f>IF('10_Form_Finance_Climat'!$O27="Validé humainement",'10_Form_Finance_Climat'!N27,"")</x:f>
      </x:c>
      <x:c r="O27" s="76" t="str">
        <x:f>IF('10_Form_Finance_Climat'!$O27="Validé humainement",'10_Form_Finance_Climat'!O27,"")</x:f>
      </x:c>
      <x:c r="P27" s="76" t="str">
        <x:f>IF('10_Form_Finance_Climat'!$O27="Validé humainement",'10_Form_Finance_Climat'!P27,"")</x:f>
      </x:c>
      <x:c r="Q27" s="78" t="str">
        <x:f>IF('10_Form_Finance_Climat'!$O27="Validé humainement",'10_Form_Finance_Climat'!Q27,"")</x:f>
      </x:c>
      <x:c r="R27" s="76" t="str">
        <x:f>IF('10_Form_Finance_Climat'!$O27="Validé humainement",'10_Form_Finance_Climat'!R27,"")</x:f>
      </x:c>
      <x:c r="S27" s="76" t="str">
        <x:f>IF('10_Form_Finance_Climat'!$O27="Validé humainement",'10_Form_Finance_Climat'!S27,"")</x:f>
      </x:c>
      <x:c r="T27" s="76" t="str">
        <x:f>IF('10_Form_Finance_Climat'!$O27="Validé humainement",'10_Form_Finance_Climat'!T27,"")</x:f>
      </x:c>
    </x:row>
    <x:row r="28">
      <x:c r="A28" s="76" t="str">
        <x:f>IF('10_Form_Finance_Climat'!$O28="Validé humainement",'10_Form_Finance_Climat'!A28,"")</x:f>
      </x:c>
      <x:c r="B28" s="76" t="str">
        <x:f>IF('10_Form_Finance_Climat'!$O28="Validé humainement",'10_Form_Finance_Climat'!B28,"")</x:f>
      </x:c>
      <x:c r="C28" s="76" t="str">
        <x:f>IF('10_Form_Finance_Climat'!$O28="Validé humainement",'10_Form_Finance_Climat'!C28,"")</x:f>
      </x:c>
      <x:c r="D28" s="76" t="str">
        <x:f>IF('10_Form_Finance_Climat'!$O28="Validé humainement",'10_Form_Finance_Climat'!D28,"")</x:f>
      </x:c>
      <x:c r="E28" s="76" t="str">
        <x:f>IF('10_Form_Finance_Climat'!$O28="Validé humainement",'10_Form_Finance_Climat'!E28,"")</x:f>
      </x:c>
      <x:c r="F28" s="76" t="str">
        <x:f>IF('10_Form_Finance_Climat'!$O28="Validé humainement",'10_Form_Finance_Climat'!F28,"")</x:f>
      </x:c>
      <x:c r="G28" s="81" t="str">
        <x:f>IF('10_Form_Finance_Climat'!$O28="Validé humainement",'10_Form_Finance_Climat'!G28,"")</x:f>
      </x:c>
      <x:c r="H28" s="81" t="str">
        <x:f>IF('10_Form_Finance_Climat'!$O28="Validé humainement",'10_Form_Finance_Climat'!H28,"")</x:f>
      </x:c>
      <x:c r="I28" s="81" t="str">
        <x:f>IF('10_Form_Finance_Climat'!$O28="Validé humainement",'10_Form_Finance_Climat'!I28,"")</x:f>
      </x:c>
      <x:c r="J28" s="81" t="str">
        <x:f>IF('10_Form_Finance_Climat'!$O28="Validé humainement",'10_Form_Finance_Climat'!J28,"")</x:f>
      </x:c>
      <x:c r="K28" s="76" t="str">
        <x:f>IF('10_Form_Finance_Climat'!$O28="Validé humainement",'10_Form_Finance_Climat'!K28,"")</x:f>
      </x:c>
      <x:c r="L28" s="76" t="str">
        <x:f>IF('10_Form_Finance_Climat'!$O28="Validé humainement",'10_Form_Finance_Climat'!L28,"")</x:f>
      </x:c>
      <x:c r="M28" s="78" t="str">
        <x:f>IF('10_Form_Finance_Climat'!$O28="Validé humainement",'10_Form_Finance_Climat'!M28,"")</x:f>
      </x:c>
      <x:c r="N28" s="76" t="str">
        <x:f>IF('10_Form_Finance_Climat'!$O28="Validé humainement",'10_Form_Finance_Climat'!N28,"")</x:f>
      </x:c>
      <x:c r="O28" s="76" t="str">
        <x:f>IF('10_Form_Finance_Climat'!$O28="Validé humainement",'10_Form_Finance_Climat'!O28,"")</x:f>
      </x:c>
      <x:c r="P28" s="76" t="str">
        <x:f>IF('10_Form_Finance_Climat'!$O28="Validé humainement",'10_Form_Finance_Climat'!P28,"")</x:f>
      </x:c>
      <x:c r="Q28" s="78" t="str">
        <x:f>IF('10_Form_Finance_Climat'!$O28="Validé humainement",'10_Form_Finance_Climat'!Q28,"")</x:f>
      </x:c>
      <x:c r="R28" s="76" t="str">
        <x:f>IF('10_Form_Finance_Climat'!$O28="Validé humainement",'10_Form_Finance_Climat'!R28,"")</x:f>
      </x:c>
      <x:c r="S28" s="76" t="str">
        <x:f>IF('10_Form_Finance_Climat'!$O28="Validé humainement",'10_Form_Finance_Climat'!S28,"")</x:f>
      </x:c>
      <x:c r="T28" s="76" t="str">
        <x:f>IF('10_Form_Finance_Climat'!$O28="Validé humainement",'10_Form_Finance_Climat'!T28,"")</x:f>
      </x:c>
    </x:row>
    <x:row r="29">
      <x:c r="A29" s="76" t="str">
        <x:f>IF('10_Form_Finance_Climat'!$O29="Validé humainement",'10_Form_Finance_Climat'!A29,"")</x:f>
      </x:c>
      <x:c r="B29" s="76" t="str">
        <x:f>IF('10_Form_Finance_Climat'!$O29="Validé humainement",'10_Form_Finance_Climat'!B29,"")</x:f>
      </x:c>
      <x:c r="C29" s="76" t="str">
        <x:f>IF('10_Form_Finance_Climat'!$O29="Validé humainement",'10_Form_Finance_Climat'!C29,"")</x:f>
      </x:c>
      <x:c r="D29" s="76" t="str">
        <x:f>IF('10_Form_Finance_Climat'!$O29="Validé humainement",'10_Form_Finance_Climat'!D29,"")</x:f>
      </x:c>
      <x:c r="E29" s="76" t="str">
        <x:f>IF('10_Form_Finance_Climat'!$O29="Validé humainement",'10_Form_Finance_Climat'!E29,"")</x:f>
      </x:c>
      <x:c r="F29" s="76" t="str">
        <x:f>IF('10_Form_Finance_Climat'!$O29="Validé humainement",'10_Form_Finance_Climat'!F29,"")</x:f>
      </x:c>
      <x:c r="G29" s="81" t="str">
        <x:f>IF('10_Form_Finance_Climat'!$O29="Validé humainement",'10_Form_Finance_Climat'!G29,"")</x:f>
      </x:c>
      <x:c r="H29" s="81" t="str">
        <x:f>IF('10_Form_Finance_Climat'!$O29="Validé humainement",'10_Form_Finance_Climat'!H29,"")</x:f>
      </x:c>
      <x:c r="I29" s="81" t="str">
        <x:f>IF('10_Form_Finance_Climat'!$O29="Validé humainement",'10_Form_Finance_Climat'!I29,"")</x:f>
      </x:c>
      <x:c r="J29" s="81" t="str">
        <x:f>IF('10_Form_Finance_Climat'!$O29="Validé humainement",'10_Form_Finance_Climat'!J29,"")</x:f>
      </x:c>
      <x:c r="K29" s="76" t="str">
        <x:f>IF('10_Form_Finance_Climat'!$O29="Validé humainement",'10_Form_Finance_Climat'!K29,"")</x:f>
      </x:c>
      <x:c r="L29" s="76" t="str">
        <x:f>IF('10_Form_Finance_Climat'!$O29="Validé humainement",'10_Form_Finance_Climat'!L29,"")</x:f>
      </x:c>
      <x:c r="M29" s="78" t="str">
        <x:f>IF('10_Form_Finance_Climat'!$O29="Validé humainement",'10_Form_Finance_Climat'!M29,"")</x:f>
      </x:c>
      <x:c r="N29" s="76" t="str">
        <x:f>IF('10_Form_Finance_Climat'!$O29="Validé humainement",'10_Form_Finance_Climat'!N29,"")</x:f>
      </x:c>
      <x:c r="O29" s="76" t="str">
        <x:f>IF('10_Form_Finance_Climat'!$O29="Validé humainement",'10_Form_Finance_Climat'!O29,"")</x:f>
      </x:c>
      <x:c r="P29" s="76" t="str">
        <x:f>IF('10_Form_Finance_Climat'!$O29="Validé humainement",'10_Form_Finance_Climat'!P29,"")</x:f>
      </x:c>
      <x:c r="Q29" s="78" t="str">
        <x:f>IF('10_Form_Finance_Climat'!$O29="Validé humainement",'10_Form_Finance_Climat'!Q29,"")</x:f>
      </x:c>
      <x:c r="R29" s="76" t="str">
        <x:f>IF('10_Form_Finance_Climat'!$O29="Validé humainement",'10_Form_Finance_Climat'!R29,"")</x:f>
      </x:c>
      <x:c r="S29" s="76" t="str">
        <x:f>IF('10_Form_Finance_Climat'!$O29="Validé humainement",'10_Form_Finance_Climat'!S29,"")</x:f>
      </x:c>
      <x:c r="T29" s="76" t="str">
        <x:f>IF('10_Form_Finance_Climat'!$O29="Validé humainement",'10_Form_Finance_Climat'!T29,"")</x:f>
      </x:c>
    </x:row>
    <x:row r="30">
      <x:c r="A30" s="76" t="str">
        <x:f>IF('10_Form_Finance_Climat'!$O30="Validé humainement",'10_Form_Finance_Climat'!A30,"")</x:f>
      </x:c>
      <x:c r="B30" s="76" t="str">
        <x:f>IF('10_Form_Finance_Climat'!$O30="Validé humainement",'10_Form_Finance_Climat'!B30,"")</x:f>
      </x:c>
      <x:c r="C30" s="76" t="str">
        <x:f>IF('10_Form_Finance_Climat'!$O30="Validé humainement",'10_Form_Finance_Climat'!C30,"")</x:f>
      </x:c>
      <x:c r="D30" s="76" t="str">
        <x:f>IF('10_Form_Finance_Climat'!$O30="Validé humainement",'10_Form_Finance_Climat'!D30,"")</x:f>
      </x:c>
      <x:c r="E30" s="76" t="str">
        <x:f>IF('10_Form_Finance_Climat'!$O30="Validé humainement",'10_Form_Finance_Climat'!E30,"")</x:f>
      </x:c>
      <x:c r="F30" s="76" t="str">
        <x:f>IF('10_Form_Finance_Climat'!$O30="Validé humainement",'10_Form_Finance_Climat'!F30,"")</x:f>
      </x:c>
      <x:c r="G30" s="81" t="str">
        <x:f>IF('10_Form_Finance_Climat'!$O30="Validé humainement",'10_Form_Finance_Climat'!G30,"")</x:f>
      </x:c>
      <x:c r="H30" s="81" t="str">
        <x:f>IF('10_Form_Finance_Climat'!$O30="Validé humainement",'10_Form_Finance_Climat'!H30,"")</x:f>
      </x:c>
      <x:c r="I30" s="81" t="str">
        <x:f>IF('10_Form_Finance_Climat'!$O30="Validé humainement",'10_Form_Finance_Climat'!I30,"")</x:f>
      </x:c>
      <x:c r="J30" s="81" t="str">
        <x:f>IF('10_Form_Finance_Climat'!$O30="Validé humainement",'10_Form_Finance_Climat'!J30,"")</x:f>
      </x:c>
      <x:c r="K30" s="76" t="str">
        <x:f>IF('10_Form_Finance_Climat'!$O30="Validé humainement",'10_Form_Finance_Climat'!K30,"")</x:f>
      </x:c>
      <x:c r="L30" s="76" t="str">
        <x:f>IF('10_Form_Finance_Climat'!$O30="Validé humainement",'10_Form_Finance_Climat'!L30,"")</x:f>
      </x:c>
      <x:c r="M30" s="78" t="str">
        <x:f>IF('10_Form_Finance_Climat'!$O30="Validé humainement",'10_Form_Finance_Climat'!M30,"")</x:f>
      </x:c>
      <x:c r="N30" s="76" t="str">
        <x:f>IF('10_Form_Finance_Climat'!$O30="Validé humainement",'10_Form_Finance_Climat'!N30,"")</x:f>
      </x:c>
      <x:c r="O30" s="76" t="str">
        <x:f>IF('10_Form_Finance_Climat'!$O30="Validé humainement",'10_Form_Finance_Climat'!O30,"")</x:f>
      </x:c>
      <x:c r="P30" s="76" t="str">
        <x:f>IF('10_Form_Finance_Climat'!$O30="Validé humainement",'10_Form_Finance_Climat'!P30,"")</x:f>
      </x:c>
      <x:c r="Q30" s="78" t="str">
        <x:f>IF('10_Form_Finance_Climat'!$O30="Validé humainement",'10_Form_Finance_Climat'!Q30,"")</x:f>
      </x:c>
      <x:c r="R30" s="76" t="str">
        <x:f>IF('10_Form_Finance_Climat'!$O30="Validé humainement",'10_Form_Finance_Climat'!R30,"")</x:f>
      </x:c>
      <x:c r="S30" s="76" t="str">
        <x:f>IF('10_Form_Finance_Climat'!$O30="Validé humainement",'10_Form_Finance_Climat'!S30,"")</x:f>
      </x:c>
      <x:c r="T30" s="76" t="str">
        <x:f>IF('10_Form_Finance_Climat'!$O30="Validé humainement",'10_Form_Finance_Climat'!T30,"")</x:f>
      </x:c>
    </x:row>
    <x:row r="31">
      <x:c r="A31" s="76" t="str">
        <x:f>IF('10_Form_Finance_Climat'!$O31="Validé humainement",'10_Form_Finance_Climat'!A31,"")</x:f>
      </x:c>
      <x:c r="B31" s="76" t="str">
        <x:f>IF('10_Form_Finance_Climat'!$O31="Validé humainement",'10_Form_Finance_Climat'!B31,"")</x:f>
      </x:c>
      <x:c r="C31" s="76" t="str">
        <x:f>IF('10_Form_Finance_Climat'!$O31="Validé humainement",'10_Form_Finance_Climat'!C31,"")</x:f>
      </x:c>
      <x:c r="D31" s="76" t="str">
        <x:f>IF('10_Form_Finance_Climat'!$O31="Validé humainement",'10_Form_Finance_Climat'!D31,"")</x:f>
      </x:c>
      <x:c r="E31" s="76" t="str">
        <x:f>IF('10_Form_Finance_Climat'!$O31="Validé humainement",'10_Form_Finance_Climat'!E31,"")</x:f>
      </x:c>
      <x:c r="F31" s="76" t="str">
        <x:f>IF('10_Form_Finance_Climat'!$O31="Validé humainement",'10_Form_Finance_Climat'!F31,"")</x:f>
      </x:c>
      <x:c r="G31" s="81" t="str">
        <x:f>IF('10_Form_Finance_Climat'!$O31="Validé humainement",'10_Form_Finance_Climat'!G31,"")</x:f>
      </x:c>
      <x:c r="H31" s="81" t="str">
        <x:f>IF('10_Form_Finance_Climat'!$O31="Validé humainement",'10_Form_Finance_Climat'!H31,"")</x:f>
      </x:c>
      <x:c r="I31" s="81" t="str">
        <x:f>IF('10_Form_Finance_Climat'!$O31="Validé humainement",'10_Form_Finance_Climat'!I31,"")</x:f>
      </x:c>
      <x:c r="J31" s="81" t="str">
        <x:f>IF('10_Form_Finance_Climat'!$O31="Validé humainement",'10_Form_Finance_Climat'!J31,"")</x:f>
      </x:c>
      <x:c r="K31" s="76" t="str">
        <x:f>IF('10_Form_Finance_Climat'!$O31="Validé humainement",'10_Form_Finance_Climat'!K31,"")</x:f>
      </x:c>
      <x:c r="L31" s="76" t="str">
        <x:f>IF('10_Form_Finance_Climat'!$O31="Validé humainement",'10_Form_Finance_Climat'!L31,"")</x:f>
      </x:c>
      <x:c r="M31" s="78" t="str">
        <x:f>IF('10_Form_Finance_Climat'!$O31="Validé humainement",'10_Form_Finance_Climat'!M31,"")</x:f>
      </x:c>
      <x:c r="N31" s="76" t="str">
        <x:f>IF('10_Form_Finance_Climat'!$O31="Validé humainement",'10_Form_Finance_Climat'!N31,"")</x:f>
      </x:c>
      <x:c r="O31" s="76" t="str">
        <x:f>IF('10_Form_Finance_Climat'!$O31="Validé humainement",'10_Form_Finance_Climat'!O31,"")</x:f>
      </x:c>
      <x:c r="P31" s="76" t="str">
        <x:f>IF('10_Form_Finance_Climat'!$O31="Validé humainement",'10_Form_Finance_Climat'!P31,"")</x:f>
      </x:c>
      <x:c r="Q31" s="78" t="str">
        <x:f>IF('10_Form_Finance_Climat'!$O31="Validé humainement",'10_Form_Finance_Climat'!Q31,"")</x:f>
      </x:c>
      <x:c r="R31" s="76" t="str">
        <x:f>IF('10_Form_Finance_Climat'!$O31="Validé humainement",'10_Form_Finance_Climat'!R31,"")</x:f>
      </x:c>
      <x:c r="S31" s="76" t="str">
        <x:f>IF('10_Form_Finance_Climat'!$O31="Validé humainement",'10_Form_Finance_Climat'!S31,"")</x:f>
      </x:c>
      <x:c r="T31" s="76" t="str">
        <x:f>IF('10_Form_Finance_Climat'!$O31="Validé humainement",'10_Form_Finance_Climat'!T31,"")</x:f>
      </x:c>
    </x:row>
    <x:row r="32">
      <x:c r="A32" s="76" t="str">
        <x:f>IF('10_Form_Finance_Climat'!$O32="Validé humainement",'10_Form_Finance_Climat'!A32,"")</x:f>
      </x:c>
      <x:c r="B32" s="76" t="str">
        <x:f>IF('10_Form_Finance_Climat'!$O32="Validé humainement",'10_Form_Finance_Climat'!B32,"")</x:f>
      </x:c>
      <x:c r="C32" s="76" t="str">
        <x:f>IF('10_Form_Finance_Climat'!$O32="Validé humainement",'10_Form_Finance_Climat'!C32,"")</x:f>
      </x:c>
      <x:c r="D32" s="76" t="str">
        <x:f>IF('10_Form_Finance_Climat'!$O32="Validé humainement",'10_Form_Finance_Climat'!D32,"")</x:f>
      </x:c>
      <x:c r="E32" s="76" t="str">
        <x:f>IF('10_Form_Finance_Climat'!$O32="Validé humainement",'10_Form_Finance_Climat'!E32,"")</x:f>
      </x:c>
      <x:c r="F32" s="76" t="str">
        <x:f>IF('10_Form_Finance_Climat'!$O32="Validé humainement",'10_Form_Finance_Climat'!F32,"")</x:f>
      </x:c>
      <x:c r="G32" s="81" t="str">
        <x:f>IF('10_Form_Finance_Climat'!$O32="Validé humainement",'10_Form_Finance_Climat'!G32,"")</x:f>
      </x:c>
      <x:c r="H32" s="81" t="str">
        <x:f>IF('10_Form_Finance_Climat'!$O32="Validé humainement",'10_Form_Finance_Climat'!H32,"")</x:f>
      </x:c>
      <x:c r="I32" s="81" t="str">
        <x:f>IF('10_Form_Finance_Climat'!$O32="Validé humainement",'10_Form_Finance_Climat'!I32,"")</x:f>
      </x:c>
      <x:c r="J32" s="81" t="str">
        <x:f>IF('10_Form_Finance_Climat'!$O32="Validé humainement",'10_Form_Finance_Climat'!J32,"")</x:f>
      </x:c>
      <x:c r="K32" s="76" t="str">
        <x:f>IF('10_Form_Finance_Climat'!$O32="Validé humainement",'10_Form_Finance_Climat'!K32,"")</x:f>
      </x:c>
      <x:c r="L32" s="76" t="str">
        <x:f>IF('10_Form_Finance_Climat'!$O32="Validé humainement",'10_Form_Finance_Climat'!L32,"")</x:f>
      </x:c>
      <x:c r="M32" s="78" t="str">
        <x:f>IF('10_Form_Finance_Climat'!$O32="Validé humainement",'10_Form_Finance_Climat'!M32,"")</x:f>
      </x:c>
      <x:c r="N32" s="76" t="str">
        <x:f>IF('10_Form_Finance_Climat'!$O32="Validé humainement",'10_Form_Finance_Climat'!N32,"")</x:f>
      </x:c>
      <x:c r="O32" s="76" t="str">
        <x:f>IF('10_Form_Finance_Climat'!$O32="Validé humainement",'10_Form_Finance_Climat'!O32,"")</x:f>
      </x:c>
      <x:c r="P32" s="76" t="str">
        <x:f>IF('10_Form_Finance_Climat'!$O32="Validé humainement",'10_Form_Finance_Climat'!P32,"")</x:f>
      </x:c>
      <x:c r="Q32" s="78" t="str">
        <x:f>IF('10_Form_Finance_Climat'!$O32="Validé humainement",'10_Form_Finance_Climat'!Q32,"")</x:f>
      </x:c>
      <x:c r="R32" s="76" t="str">
        <x:f>IF('10_Form_Finance_Climat'!$O32="Validé humainement",'10_Form_Finance_Climat'!R32,"")</x:f>
      </x:c>
      <x:c r="S32" s="76" t="str">
        <x:f>IF('10_Form_Finance_Climat'!$O32="Validé humainement",'10_Form_Finance_Climat'!S32,"")</x:f>
      </x:c>
      <x:c r="T32" s="76" t="str">
        <x:f>IF('10_Form_Finance_Climat'!$O32="Validé humainement",'10_Form_Finance_Climat'!T32,"")</x:f>
      </x:c>
    </x:row>
    <x:row r="33">
      <x:c r="A33" s="76" t="str">
        <x:f>IF('10_Form_Finance_Climat'!$O33="Validé humainement",'10_Form_Finance_Climat'!A33,"")</x:f>
      </x:c>
      <x:c r="B33" s="76" t="str">
        <x:f>IF('10_Form_Finance_Climat'!$O33="Validé humainement",'10_Form_Finance_Climat'!B33,"")</x:f>
      </x:c>
      <x:c r="C33" s="76" t="str">
        <x:f>IF('10_Form_Finance_Climat'!$O33="Validé humainement",'10_Form_Finance_Climat'!C33,"")</x:f>
      </x:c>
      <x:c r="D33" s="76" t="str">
        <x:f>IF('10_Form_Finance_Climat'!$O33="Validé humainement",'10_Form_Finance_Climat'!D33,"")</x:f>
      </x:c>
      <x:c r="E33" s="76" t="str">
        <x:f>IF('10_Form_Finance_Climat'!$O33="Validé humainement",'10_Form_Finance_Climat'!E33,"")</x:f>
      </x:c>
      <x:c r="F33" s="76" t="str">
        <x:f>IF('10_Form_Finance_Climat'!$O33="Validé humainement",'10_Form_Finance_Climat'!F33,"")</x:f>
      </x:c>
      <x:c r="G33" s="81" t="str">
        <x:f>IF('10_Form_Finance_Climat'!$O33="Validé humainement",'10_Form_Finance_Climat'!G33,"")</x:f>
      </x:c>
      <x:c r="H33" s="81" t="str">
        <x:f>IF('10_Form_Finance_Climat'!$O33="Validé humainement",'10_Form_Finance_Climat'!H33,"")</x:f>
      </x:c>
      <x:c r="I33" s="81" t="str">
        <x:f>IF('10_Form_Finance_Climat'!$O33="Validé humainement",'10_Form_Finance_Climat'!I33,"")</x:f>
      </x:c>
      <x:c r="J33" s="81" t="str">
        <x:f>IF('10_Form_Finance_Climat'!$O33="Validé humainement",'10_Form_Finance_Climat'!J33,"")</x:f>
      </x:c>
      <x:c r="K33" s="76" t="str">
        <x:f>IF('10_Form_Finance_Climat'!$O33="Validé humainement",'10_Form_Finance_Climat'!K33,"")</x:f>
      </x:c>
      <x:c r="L33" s="76" t="str">
        <x:f>IF('10_Form_Finance_Climat'!$O33="Validé humainement",'10_Form_Finance_Climat'!L33,"")</x:f>
      </x:c>
      <x:c r="M33" s="78" t="str">
        <x:f>IF('10_Form_Finance_Climat'!$O33="Validé humainement",'10_Form_Finance_Climat'!M33,"")</x:f>
      </x:c>
      <x:c r="N33" s="76" t="str">
        <x:f>IF('10_Form_Finance_Climat'!$O33="Validé humainement",'10_Form_Finance_Climat'!N33,"")</x:f>
      </x:c>
      <x:c r="O33" s="76" t="str">
        <x:f>IF('10_Form_Finance_Climat'!$O33="Validé humainement",'10_Form_Finance_Climat'!O33,"")</x:f>
      </x:c>
      <x:c r="P33" s="76" t="str">
        <x:f>IF('10_Form_Finance_Climat'!$O33="Validé humainement",'10_Form_Finance_Climat'!P33,"")</x:f>
      </x:c>
      <x:c r="Q33" s="78" t="str">
        <x:f>IF('10_Form_Finance_Climat'!$O33="Validé humainement",'10_Form_Finance_Climat'!Q33,"")</x:f>
      </x:c>
      <x:c r="R33" s="76" t="str">
        <x:f>IF('10_Form_Finance_Climat'!$O33="Validé humainement",'10_Form_Finance_Climat'!R33,"")</x:f>
      </x:c>
      <x:c r="S33" s="76" t="str">
        <x:f>IF('10_Form_Finance_Climat'!$O33="Validé humainement",'10_Form_Finance_Climat'!S33,"")</x:f>
      </x:c>
      <x:c r="T33" s="76" t="str">
        <x:f>IF('10_Form_Finance_Climat'!$O33="Validé humainement",'10_Form_Finance_Climat'!T33,"")</x:f>
      </x:c>
    </x:row>
    <x:row r="34">
      <x:c r="A34" s="76" t="str">
        <x:f>IF('10_Form_Finance_Climat'!$O34="Validé humainement",'10_Form_Finance_Climat'!A34,"")</x:f>
      </x:c>
      <x:c r="B34" s="76" t="str">
        <x:f>IF('10_Form_Finance_Climat'!$O34="Validé humainement",'10_Form_Finance_Climat'!B34,"")</x:f>
      </x:c>
      <x:c r="C34" s="76" t="str">
        <x:f>IF('10_Form_Finance_Climat'!$O34="Validé humainement",'10_Form_Finance_Climat'!C34,"")</x:f>
      </x:c>
      <x:c r="D34" s="76" t="str">
        <x:f>IF('10_Form_Finance_Climat'!$O34="Validé humainement",'10_Form_Finance_Climat'!D34,"")</x:f>
      </x:c>
      <x:c r="E34" s="76" t="str">
        <x:f>IF('10_Form_Finance_Climat'!$O34="Validé humainement",'10_Form_Finance_Climat'!E34,"")</x:f>
      </x:c>
      <x:c r="F34" s="76" t="str">
        <x:f>IF('10_Form_Finance_Climat'!$O34="Validé humainement",'10_Form_Finance_Climat'!F34,"")</x:f>
      </x:c>
      <x:c r="G34" s="81" t="str">
        <x:f>IF('10_Form_Finance_Climat'!$O34="Validé humainement",'10_Form_Finance_Climat'!G34,"")</x:f>
      </x:c>
      <x:c r="H34" s="81" t="str">
        <x:f>IF('10_Form_Finance_Climat'!$O34="Validé humainement",'10_Form_Finance_Climat'!H34,"")</x:f>
      </x:c>
      <x:c r="I34" s="81" t="str">
        <x:f>IF('10_Form_Finance_Climat'!$O34="Validé humainement",'10_Form_Finance_Climat'!I34,"")</x:f>
      </x:c>
      <x:c r="J34" s="81" t="str">
        <x:f>IF('10_Form_Finance_Climat'!$O34="Validé humainement",'10_Form_Finance_Climat'!J34,"")</x:f>
      </x:c>
      <x:c r="K34" s="76" t="str">
        <x:f>IF('10_Form_Finance_Climat'!$O34="Validé humainement",'10_Form_Finance_Climat'!K34,"")</x:f>
      </x:c>
      <x:c r="L34" s="76" t="str">
        <x:f>IF('10_Form_Finance_Climat'!$O34="Validé humainement",'10_Form_Finance_Climat'!L34,"")</x:f>
      </x:c>
      <x:c r="M34" s="78" t="str">
        <x:f>IF('10_Form_Finance_Climat'!$O34="Validé humainement",'10_Form_Finance_Climat'!M34,"")</x:f>
      </x:c>
      <x:c r="N34" s="76" t="str">
        <x:f>IF('10_Form_Finance_Climat'!$O34="Validé humainement",'10_Form_Finance_Climat'!N34,"")</x:f>
      </x:c>
      <x:c r="O34" s="76" t="str">
        <x:f>IF('10_Form_Finance_Climat'!$O34="Validé humainement",'10_Form_Finance_Climat'!O34,"")</x:f>
      </x:c>
      <x:c r="P34" s="76" t="str">
        <x:f>IF('10_Form_Finance_Climat'!$O34="Validé humainement",'10_Form_Finance_Climat'!P34,"")</x:f>
      </x:c>
      <x:c r="Q34" s="78" t="str">
        <x:f>IF('10_Form_Finance_Climat'!$O34="Validé humainement",'10_Form_Finance_Climat'!Q34,"")</x:f>
      </x:c>
      <x:c r="R34" s="76" t="str">
        <x:f>IF('10_Form_Finance_Climat'!$O34="Validé humainement",'10_Form_Finance_Climat'!R34,"")</x:f>
      </x:c>
      <x:c r="S34" s="76" t="str">
        <x:f>IF('10_Form_Finance_Climat'!$O34="Validé humainement",'10_Form_Finance_Climat'!S34,"")</x:f>
      </x:c>
      <x:c r="T34" s="76" t="str">
        <x:f>IF('10_Form_Finance_Climat'!$O34="Validé humainement",'10_Form_Finance_Climat'!T34,"")</x:f>
      </x:c>
    </x:row>
    <x:row r="35">
      <x:c r="A35" s="76" t="str">
        <x:f>IF('10_Form_Finance_Climat'!$O35="Validé humainement",'10_Form_Finance_Climat'!A35,"")</x:f>
      </x:c>
      <x:c r="B35" s="76" t="str">
        <x:f>IF('10_Form_Finance_Climat'!$O35="Validé humainement",'10_Form_Finance_Climat'!B35,"")</x:f>
      </x:c>
      <x:c r="C35" s="76" t="str">
        <x:f>IF('10_Form_Finance_Climat'!$O35="Validé humainement",'10_Form_Finance_Climat'!C35,"")</x:f>
      </x:c>
      <x:c r="D35" s="76" t="str">
        <x:f>IF('10_Form_Finance_Climat'!$O35="Validé humainement",'10_Form_Finance_Climat'!D35,"")</x:f>
      </x:c>
      <x:c r="E35" s="76" t="str">
        <x:f>IF('10_Form_Finance_Climat'!$O35="Validé humainement",'10_Form_Finance_Climat'!E35,"")</x:f>
      </x:c>
      <x:c r="F35" s="76" t="str">
        <x:f>IF('10_Form_Finance_Climat'!$O35="Validé humainement",'10_Form_Finance_Climat'!F35,"")</x:f>
      </x:c>
      <x:c r="G35" s="81" t="str">
        <x:f>IF('10_Form_Finance_Climat'!$O35="Validé humainement",'10_Form_Finance_Climat'!G35,"")</x:f>
      </x:c>
      <x:c r="H35" s="81" t="str">
        <x:f>IF('10_Form_Finance_Climat'!$O35="Validé humainement",'10_Form_Finance_Climat'!H35,"")</x:f>
      </x:c>
      <x:c r="I35" s="81" t="str">
        <x:f>IF('10_Form_Finance_Climat'!$O35="Validé humainement",'10_Form_Finance_Climat'!I35,"")</x:f>
      </x:c>
      <x:c r="J35" s="81" t="str">
        <x:f>IF('10_Form_Finance_Climat'!$O35="Validé humainement",'10_Form_Finance_Climat'!J35,"")</x:f>
      </x:c>
      <x:c r="K35" s="76" t="str">
        <x:f>IF('10_Form_Finance_Climat'!$O35="Validé humainement",'10_Form_Finance_Climat'!K35,"")</x:f>
      </x:c>
      <x:c r="L35" s="76" t="str">
        <x:f>IF('10_Form_Finance_Climat'!$O35="Validé humainement",'10_Form_Finance_Climat'!L35,"")</x:f>
      </x:c>
      <x:c r="M35" s="78" t="str">
        <x:f>IF('10_Form_Finance_Climat'!$O35="Validé humainement",'10_Form_Finance_Climat'!M35,"")</x:f>
      </x:c>
      <x:c r="N35" s="76" t="str">
        <x:f>IF('10_Form_Finance_Climat'!$O35="Validé humainement",'10_Form_Finance_Climat'!N35,"")</x:f>
      </x:c>
      <x:c r="O35" s="76" t="str">
        <x:f>IF('10_Form_Finance_Climat'!$O35="Validé humainement",'10_Form_Finance_Climat'!O35,"")</x:f>
      </x:c>
      <x:c r="P35" s="76" t="str">
        <x:f>IF('10_Form_Finance_Climat'!$O35="Validé humainement",'10_Form_Finance_Climat'!P35,"")</x:f>
      </x:c>
      <x:c r="Q35" s="78" t="str">
        <x:f>IF('10_Form_Finance_Climat'!$O35="Validé humainement",'10_Form_Finance_Climat'!Q35,"")</x:f>
      </x:c>
      <x:c r="R35" s="76" t="str">
        <x:f>IF('10_Form_Finance_Climat'!$O35="Validé humainement",'10_Form_Finance_Climat'!R35,"")</x:f>
      </x:c>
      <x:c r="S35" s="76" t="str">
        <x:f>IF('10_Form_Finance_Climat'!$O35="Validé humainement",'10_Form_Finance_Climat'!S35,"")</x:f>
      </x:c>
      <x:c r="T35" s="76" t="str">
        <x:f>IF('10_Form_Finance_Climat'!$O35="Validé humainement",'10_Form_Finance_Climat'!T35,"")</x:f>
      </x:c>
    </x:row>
    <x:row r="36">
      <x:c r="A36" s="76" t="str">
        <x:f>IF('10_Form_Finance_Climat'!$O36="Validé humainement",'10_Form_Finance_Climat'!A36,"")</x:f>
      </x:c>
      <x:c r="B36" s="76" t="str">
        <x:f>IF('10_Form_Finance_Climat'!$O36="Validé humainement",'10_Form_Finance_Climat'!B36,"")</x:f>
      </x:c>
      <x:c r="C36" s="76" t="str">
        <x:f>IF('10_Form_Finance_Climat'!$O36="Validé humainement",'10_Form_Finance_Climat'!C36,"")</x:f>
      </x:c>
      <x:c r="D36" s="76" t="str">
        <x:f>IF('10_Form_Finance_Climat'!$O36="Validé humainement",'10_Form_Finance_Climat'!D36,"")</x:f>
      </x:c>
      <x:c r="E36" s="76" t="str">
        <x:f>IF('10_Form_Finance_Climat'!$O36="Validé humainement",'10_Form_Finance_Climat'!E36,"")</x:f>
      </x:c>
      <x:c r="F36" s="76" t="str">
        <x:f>IF('10_Form_Finance_Climat'!$O36="Validé humainement",'10_Form_Finance_Climat'!F36,"")</x:f>
      </x:c>
      <x:c r="G36" s="81" t="str">
        <x:f>IF('10_Form_Finance_Climat'!$O36="Validé humainement",'10_Form_Finance_Climat'!G36,"")</x:f>
      </x:c>
      <x:c r="H36" s="81" t="str">
        <x:f>IF('10_Form_Finance_Climat'!$O36="Validé humainement",'10_Form_Finance_Climat'!H36,"")</x:f>
      </x:c>
      <x:c r="I36" s="81" t="str">
        <x:f>IF('10_Form_Finance_Climat'!$O36="Validé humainement",'10_Form_Finance_Climat'!I36,"")</x:f>
      </x:c>
      <x:c r="J36" s="81" t="str">
        <x:f>IF('10_Form_Finance_Climat'!$O36="Validé humainement",'10_Form_Finance_Climat'!J36,"")</x:f>
      </x:c>
      <x:c r="K36" s="76" t="str">
        <x:f>IF('10_Form_Finance_Climat'!$O36="Validé humainement",'10_Form_Finance_Climat'!K36,"")</x:f>
      </x:c>
      <x:c r="L36" s="76" t="str">
        <x:f>IF('10_Form_Finance_Climat'!$O36="Validé humainement",'10_Form_Finance_Climat'!L36,"")</x:f>
      </x:c>
      <x:c r="M36" s="78" t="str">
        <x:f>IF('10_Form_Finance_Climat'!$O36="Validé humainement",'10_Form_Finance_Climat'!M36,"")</x:f>
      </x:c>
      <x:c r="N36" s="76" t="str">
        <x:f>IF('10_Form_Finance_Climat'!$O36="Validé humainement",'10_Form_Finance_Climat'!N36,"")</x:f>
      </x:c>
      <x:c r="O36" s="76" t="str">
        <x:f>IF('10_Form_Finance_Climat'!$O36="Validé humainement",'10_Form_Finance_Climat'!O36,"")</x:f>
      </x:c>
      <x:c r="P36" s="76" t="str">
        <x:f>IF('10_Form_Finance_Climat'!$O36="Validé humainement",'10_Form_Finance_Climat'!P36,"")</x:f>
      </x:c>
      <x:c r="Q36" s="78" t="str">
        <x:f>IF('10_Form_Finance_Climat'!$O36="Validé humainement",'10_Form_Finance_Climat'!Q36,"")</x:f>
      </x:c>
      <x:c r="R36" s="76" t="str">
        <x:f>IF('10_Form_Finance_Climat'!$O36="Validé humainement",'10_Form_Finance_Climat'!R36,"")</x:f>
      </x:c>
      <x:c r="S36" s="76" t="str">
        <x:f>IF('10_Form_Finance_Climat'!$O36="Validé humainement",'10_Form_Finance_Climat'!S36,"")</x:f>
      </x:c>
      <x:c r="T36" s="76" t="str">
        <x:f>IF('10_Form_Finance_Climat'!$O36="Validé humainement",'10_Form_Finance_Climat'!T36,"")</x:f>
      </x:c>
    </x:row>
    <x:row r="37">
      <x:c r="A37" s="76" t="str">
        <x:f>IF('10_Form_Finance_Climat'!$O37="Validé humainement",'10_Form_Finance_Climat'!A37,"")</x:f>
      </x:c>
      <x:c r="B37" s="76" t="str">
        <x:f>IF('10_Form_Finance_Climat'!$O37="Validé humainement",'10_Form_Finance_Climat'!B37,"")</x:f>
      </x:c>
      <x:c r="C37" s="76" t="str">
        <x:f>IF('10_Form_Finance_Climat'!$O37="Validé humainement",'10_Form_Finance_Climat'!C37,"")</x:f>
      </x:c>
      <x:c r="D37" s="76" t="str">
        <x:f>IF('10_Form_Finance_Climat'!$O37="Validé humainement",'10_Form_Finance_Climat'!D37,"")</x:f>
      </x:c>
      <x:c r="E37" s="76" t="str">
        <x:f>IF('10_Form_Finance_Climat'!$O37="Validé humainement",'10_Form_Finance_Climat'!E37,"")</x:f>
      </x:c>
      <x:c r="F37" s="76" t="str">
        <x:f>IF('10_Form_Finance_Climat'!$O37="Validé humainement",'10_Form_Finance_Climat'!F37,"")</x:f>
      </x:c>
      <x:c r="G37" s="81" t="str">
        <x:f>IF('10_Form_Finance_Climat'!$O37="Validé humainement",'10_Form_Finance_Climat'!G37,"")</x:f>
      </x:c>
      <x:c r="H37" s="81" t="str">
        <x:f>IF('10_Form_Finance_Climat'!$O37="Validé humainement",'10_Form_Finance_Climat'!H37,"")</x:f>
      </x:c>
      <x:c r="I37" s="81" t="str">
        <x:f>IF('10_Form_Finance_Climat'!$O37="Validé humainement",'10_Form_Finance_Climat'!I37,"")</x:f>
      </x:c>
      <x:c r="J37" s="81" t="str">
        <x:f>IF('10_Form_Finance_Climat'!$O37="Validé humainement",'10_Form_Finance_Climat'!J37,"")</x:f>
      </x:c>
      <x:c r="K37" s="76" t="str">
        <x:f>IF('10_Form_Finance_Climat'!$O37="Validé humainement",'10_Form_Finance_Climat'!K37,"")</x:f>
      </x:c>
      <x:c r="L37" s="76" t="str">
        <x:f>IF('10_Form_Finance_Climat'!$O37="Validé humainement",'10_Form_Finance_Climat'!L37,"")</x:f>
      </x:c>
      <x:c r="M37" s="78" t="str">
        <x:f>IF('10_Form_Finance_Climat'!$O37="Validé humainement",'10_Form_Finance_Climat'!M37,"")</x:f>
      </x:c>
      <x:c r="N37" s="76" t="str">
        <x:f>IF('10_Form_Finance_Climat'!$O37="Validé humainement",'10_Form_Finance_Climat'!N37,"")</x:f>
      </x:c>
      <x:c r="O37" s="76" t="str">
        <x:f>IF('10_Form_Finance_Climat'!$O37="Validé humainement",'10_Form_Finance_Climat'!O37,"")</x:f>
      </x:c>
      <x:c r="P37" s="76" t="str">
        <x:f>IF('10_Form_Finance_Climat'!$O37="Validé humainement",'10_Form_Finance_Climat'!P37,"")</x:f>
      </x:c>
      <x:c r="Q37" s="78" t="str">
        <x:f>IF('10_Form_Finance_Climat'!$O37="Validé humainement",'10_Form_Finance_Climat'!Q37,"")</x:f>
      </x:c>
      <x:c r="R37" s="76" t="str">
        <x:f>IF('10_Form_Finance_Climat'!$O37="Validé humainement",'10_Form_Finance_Climat'!R37,"")</x:f>
      </x:c>
      <x:c r="S37" s="76" t="str">
        <x:f>IF('10_Form_Finance_Climat'!$O37="Validé humainement",'10_Form_Finance_Climat'!S37,"")</x:f>
      </x:c>
      <x:c r="T37" s="76" t="str">
        <x:f>IF('10_Form_Finance_Climat'!$O37="Validé humainement",'10_Form_Finance_Climat'!T37,"")</x:f>
      </x:c>
    </x:row>
    <x:row r="38">
      <x:c r="A38" s="76" t="str">
        <x:f>IF('10_Form_Finance_Climat'!$O38="Validé humainement",'10_Form_Finance_Climat'!A38,"")</x:f>
      </x:c>
      <x:c r="B38" s="76" t="str">
        <x:f>IF('10_Form_Finance_Climat'!$O38="Validé humainement",'10_Form_Finance_Climat'!B38,"")</x:f>
      </x:c>
      <x:c r="C38" s="76" t="str">
        <x:f>IF('10_Form_Finance_Climat'!$O38="Validé humainement",'10_Form_Finance_Climat'!C38,"")</x:f>
      </x:c>
      <x:c r="D38" s="76" t="str">
        <x:f>IF('10_Form_Finance_Climat'!$O38="Validé humainement",'10_Form_Finance_Climat'!D38,"")</x:f>
      </x:c>
      <x:c r="E38" s="76" t="str">
        <x:f>IF('10_Form_Finance_Climat'!$O38="Validé humainement",'10_Form_Finance_Climat'!E38,"")</x:f>
      </x:c>
      <x:c r="F38" s="76" t="str">
        <x:f>IF('10_Form_Finance_Climat'!$O38="Validé humainement",'10_Form_Finance_Climat'!F38,"")</x:f>
      </x:c>
      <x:c r="G38" s="81" t="str">
        <x:f>IF('10_Form_Finance_Climat'!$O38="Validé humainement",'10_Form_Finance_Climat'!G38,"")</x:f>
      </x:c>
      <x:c r="H38" s="81" t="str">
        <x:f>IF('10_Form_Finance_Climat'!$O38="Validé humainement",'10_Form_Finance_Climat'!H38,"")</x:f>
      </x:c>
      <x:c r="I38" s="81" t="str">
        <x:f>IF('10_Form_Finance_Climat'!$O38="Validé humainement",'10_Form_Finance_Climat'!I38,"")</x:f>
      </x:c>
      <x:c r="J38" s="81" t="str">
        <x:f>IF('10_Form_Finance_Climat'!$O38="Validé humainement",'10_Form_Finance_Climat'!J38,"")</x:f>
      </x:c>
      <x:c r="K38" s="76" t="str">
        <x:f>IF('10_Form_Finance_Climat'!$O38="Validé humainement",'10_Form_Finance_Climat'!K38,"")</x:f>
      </x:c>
      <x:c r="L38" s="76" t="str">
        <x:f>IF('10_Form_Finance_Climat'!$O38="Validé humainement",'10_Form_Finance_Climat'!L38,"")</x:f>
      </x:c>
      <x:c r="M38" s="78" t="str">
        <x:f>IF('10_Form_Finance_Climat'!$O38="Validé humainement",'10_Form_Finance_Climat'!M38,"")</x:f>
      </x:c>
      <x:c r="N38" s="76" t="str">
        <x:f>IF('10_Form_Finance_Climat'!$O38="Validé humainement",'10_Form_Finance_Climat'!N38,"")</x:f>
      </x:c>
      <x:c r="O38" s="76" t="str">
        <x:f>IF('10_Form_Finance_Climat'!$O38="Validé humainement",'10_Form_Finance_Climat'!O38,"")</x:f>
      </x:c>
      <x:c r="P38" s="76" t="str">
        <x:f>IF('10_Form_Finance_Climat'!$O38="Validé humainement",'10_Form_Finance_Climat'!P38,"")</x:f>
      </x:c>
      <x:c r="Q38" s="78" t="str">
        <x:f>IF('10_Form_Finance_Climat'!$O38="Validé humainement",'10_Form_Finance_Climat'!Q38,"")</x:f>
      </x:c>
      <x:c r="R38" s="76" t="str">
        <x:f>IF('10_Form_Finance_Climat'!$O38="Validé humainement",'10_Form_Finance_Climat'!R38,"")</x:f>
      </x:c>
      <x:c r="S38" s="76" t="str">
        <x:f>IF('10_Form_Finance_Climat'!$O38="Validé humainement",'10_Form_Finance_Climat'!S38,"")</x:f>
      </x:c>
      <x:c r="T38" s="76" t="str">
        <x:f>IF('10_Form_Finance_Climat'!$O38="Validé humainement",'10_Form_Finance_Climat'!T38,"")</x:f>
      </x:c>
    </x:row>
    <x:row r="39">
      <x:c r="A39" s="76" t="str">
        <x:f>IF('10_Form_Finance_Climat'!$O39="Validé humainement",'10_Form_Finance_Climat'!A39,"")</x:f>
      </x:c>
      <x:c r="B39" s="76" t="str">
        <x:f>IF('10_Form_Finance_Climat'!$O39="Validé humainement",'10_Form_Finance_Climat'!B39,"")</x:f>
      </x:c>
      <x:c r="C39" s="76" t="str">
        <x:f>IF('10_Form_Finance_Climat'!$O39="Validé humainement",'10_Form_Finance_Climat'!C39,"")</x:f>
      </x:c>
      <x:c r="D39" s="76" t="str">
        <x:f>IF('10_Form_Finance_Climat'!$O39="Validé humainement",'10_Form_Finance_Climat'!D39,"")</x:f>
      </x:c>
      <x:c r="E39" s="76" t="str">
        <x:f>IF('10_Form_Finance_Climat'!$O39="Validé humainement",'10_Form_Finance_Climat'!E39,"")</x:f>
      </x:c>
      <x:c r="F39" s="76" t="str">
        <x:f>IF('10_Form_Finance_Climat'!$O39="Validé humainement",'10_Form_Finance_Climat'!F39,"")</x:f>
      </x:c>
      <x:c r="G39" s="81" t="str">
        <x:f>IF('10_Form_Finance_Climat'!$O39="Validé humainement",'10_Form_Finance_Climat'!G39,"")</x:f>
      </x:c>
      <x:c r="H39" s="81" t="str">
        <x:f>IF('10_Form_Finance_Climat'!$O39="Validé humainement",'10_Form_Finance_Climat'!H39,"")</x:f>
      </x:c>
      <x:c r="I39" s="81" t="str">
        <x:f>IF('10_Form_Finance_Climat'!$O39="Validé humainement",'10_Form_Finance_Climat'!I39,"")</x:f>
      </x:c>
      <x:c r="J39" s="81" t="str">
        <x:f>IF('10_Form_Finance_Climat'!$O39="Validé humainement",'10_Form_Finance_Climat'!J39,"")</x:f>
      </x:c>
      <x:c r="K39" s="76" t="str">
        <x:f>IF('10_Form_Finance_Climat'!$O39="Validé humainement",'10_Form_Finance_Climat'!K39,"")</x:f>
      </x:c>
      <x:c r="L39" s="76" t="str">
        <x:f>IF('10_Form_Finance_Climat'!$O39="Validé humainement",'10_Form_Finance_Climat'!L39,"")</x:f>
      </x:c>
      <x:c r="M39" s="78" t="str">
        <x:f>IF('10_Form_Finance_Climat'!$O39="Validé humainement",'10_Form_Finance_Climat'!M39,"")</x:f>
      </x:c>
      <x:c r="N39" s="76" t="str">
        <x:f>IF('10_Form_Finance_Climat'!$O39="Validé humainement",'10_Form_Finance_Climat'!N39,"")</x:f>
      </x:c>
      <x:c r="O39" s="76" t="str">
        <x:f>IF('10_Form_Finance_Climat'!$O39="Validé humainement",'10_Form_Finance_Climat'!O39,"")</x:f>
      </x:c>
      <x:c r="P39" s="76" t="str">
        <x:f>IF('10_Form_Finance_Climat'!$O39="Validé humainement",'10_Form_Finance_Climat'!P39,"")</x:f>
      </x:c>
      <x:c r="Q39" s="78" t="str">
        <x:f>IF('10_Form_Finance_Climat'!$O39="Validé humainement",'10_Form_Finance_Climat'!Q39,"")</x:f>
      </x:c>
      <x:c r="R39" s="76" t="str">
        <x:f>IF('10_Form_Finance_Climat'!$O39="Validé humainement",'10_Form_Finance_Climat'!R39,"")</x:f>
      </x:c>
      <x:c r="S39" s="76" t="str">
        <x:f>IF('10_Form_Finance_Climat'!$O39="Validé humainement",'10_Form_Finance_Climat'!S39,"")</x:f>
      </x:c>
      <x:c r="T39" s="76" t="str">
        <x:f>IF('10_Form_Finance_Climat'!$O39="Validé humainement",'10_Form_Finance_Climat'!T39,"")</x:f>
      </x:c>
    </x:row>
    <x:row r="40">
      <x:c r="A40" s="76" t="str">
        <x:f>IF('10_Form_Finance_Climat'!$O40="Validé humainement",'10_Form_Finance_Climat'!A40,"")</x:f>
      </x:c>
      <x:c r="B40" s="76" t="str">
        <x:f>IF('10_Form_Finance_Climat'!$O40="Validé humainement",'10_Form_Finance_Climat'!B40,"")</x:f>
      </x:c>
      <x:c r="C40" s="76" t="str">
        <x:f>IF('10_Form_Finance_Climat'!$O40="Validé humainement",'10_Form_Finance_Climat'!C40,"")</x:f>
      </x:c>
      <x:c r="D40" s="76" t="str">
        <x:f>IF('10_Form_Finance_Climat'!$O40="Validé humainement",'10_Form_Finance_Climat'!D40,"")</x:f>
      </x:c>
      <x:c r="E40" s="76" t="str">
        <x:f>IF('10_Form_Finance_Climat'!$O40="Validé humainement",'10_Form_Finance_Climat'!E40,"")</x:f>
      </x:c>
      <x:c r="F40" s="76" t="str">
        <x:f>IF('10_Form_Finance_Climat'!$O40="Validé humainement",'10_Form_Finance_Climat'!F40,"")</x:f>
      </x:c>
      <x:c r="G40" s="81" t="str">
        <x:f>IF('10_Form_Finance_Climat'!$O40="Validé humainement",'10_Form_Finance_Climat'!G40,"")</x:f>
      </x:c>
      <x:c r="H40" s="81" t="str">
        <x:f>IF('10_Form_Finance_Climat'!$O40="Validé humainement",'10_Form_Finance_Climat'!H40,"")</x:f>
      </x:c>
      <x:c r="I40" s="81" t="str">
        <x:f>IF('10_Form_Finance_Climat'!$O40="Validé humainement",'10_Form_Finance_Climat'!I40,"")</x:f>
      </x:c>
      <x:c r="J40" s="81" t="str">
        <x:f>IF('10_Form_Finance_Climat'!$O40="Validé humainement",'10_Form_Finance_Climat'!J40,"")</x:f>
      </x:c>
      <x:c r="K40" s="76" t="str">
        <x:f>IF('10_Form_Finance_Climat'!$O40="Validé humainement",'10_Form_Finance_Climat'!K40,"")</x:f>
      </x:c>
      <x:c r="L40" s="76" t="str">
        <x:f>IF('10_Form_Finance_Climat'!$O40="Validé humainement",'10_Form_Finance_Climat'!L40,"")</x:f>
      </x:c>
      <x:c r="M40" s="78" t="str">
        <x:f>IF('10_Form_Finance_Climat'!$O40="Validé humainement",'10_Form_Finance_Climat'!M40,"")</x:f>
      </x:c>
      <x:c r="N40" s="76" t="str">
        <x:f>IF('10_Form_Finance_Climat'!$O40="Validé humainement",'10_Form_Finance_Climat'!N40,"")</x:f>
      </x:c>
      <x:c r="O40" s="76" t="str">
        <x:f>IF('10_Form_Finance_Climat'!$O40="Validé humainement",'10_Form_Finance_Climat'!O40,"")</x:f>
      </x:c>
      <x:c r="P40" s="76" t="str">
        <x:f>IF('10_Form_Finance_Climat'!$O40="Validé humainement",'10_Form_Finance_Climat'!P40,"")</x:f>
      </x:c>
      <x:c r="Q40" s="78" t="str">
        <x:f>IF('10_Form_Finance_Climat'!$O40="Validé humainement",'10_Form_Finance_Climat'!Q40,"")</x:f>
      </x:c>
      <x:c r="R40" s="76" t="str">
        <x:f>IF('10_Form_Finance_Climat'!$O40="Validé humainement",'10_Form_Finance_Climat'!R40,"")</x:f>
      </x:c>
      <x:c r="S40" s="76" t="str">
        <x:f>IF('10_Form_Finance_Climat'!$O40="Validé humainement",'10_Form_Finance_Climat'!S40,"")</x:f>
      </x:c>
      <x:c r="T40" s="76" t="str">
        <x:f>IF('10_Form_Finance_Climat'!$O40="Validé humainement",'10_Form_Finance_Climat'!T40,"")</x:f>
      </x:c>
    </x:row>
    <x:row r="41">
      <x:c r="A41" s="76" t="str">
        <x:f>IF('10_Form_Finance_Climat'!$O41="Validé humainement",'10_Form_Finance_Climat'!A41,"")</x:f>
      </x:c>
      <x:c r="B41" s="76" t="str">
        <x:f>IF('10_Form_Finance_Climat'!$O41="Validé humainement",'10_Form_Finance_Climat'!B41,"")</x:f>
      </x:c>
      <x:c r="C41" s="76" t="str">
        <x:f>IF('10_Form_Finance_Climat'!$O41="Validé humainement",'10_Form_Finance_Climat'!C41,"")</x:f>
      </x:c>
      <x:c r="D41" s="76" t="str">
        <x:f>IF('10_Form_Finance_Climat'!$O41="Validé humainement",'10_Form_Finance_Climat'!D41,"")</x:f>
      </x:c>
      <x:c r="E41" s="76" t="str">
        <x:f>IF('10_Form_Finance_Climat'!$O41="Validé humainement",'10_Form_Finance_Climat'!E41,"")</x:f>
      </x:c>
      <x:c r="F41" s="76" t="str">
        <x:f>IF('10_Form_Finance_Climat'!$O41="Validé humainement",'10_Form_Finance_Climat'!F41,"")</x:f>
      </x:c>
      <x:c r="G41" s="81" t="str">
        <x:f>IF('10_Form_Finance_Climat'!$O41="Validé humainement",'10_Form_Finance_Climat'!G41,"")</x:f>
      </x:c>
      <x:c r="H41" s="81" t="str">
        <x:f>IF('10_Form_Finance_Climat'!$O41="Validé humainement",'10_Form_Finance_Climat'!H41,"")</x:f>
      </x:c>
      <x:c r="I41" s="81" t="str">
        <x:f>IF('10_Form_Finance_Climat'!$O41="Validé humainement",'10_Form_Finance_Climat'!I41,"")</x:f>
      </x:c>
      <x:c r="J41" s="81" t="str">
        <x:f>IF('10_Form_Finance_Climat'!$O41="Validé humainement",'10_Form_Finance_Climat'!J41,"")</x:f>
      </x:c>
      <x:c r="K41" s="76" t="str">
        <x:f>IF('10_Form_Finance_Climat'!$O41="Validé humainement",'10_Form_Finance_Climat'!K41,"")</x:f>
      </x:c>
      <x:c r="L41" s="76" t="str">
        <x:f>IF('10_Form_Finance_Climat'!$O41="Validé humainement",'10_Form_Finance_Climat'!L41,"")</x:f>
      </x:c>
      <x:c r="M41" s="78" t="str">
        <x:f>IF('10_Form_Finance_Climat'!$O41="Validé humainement",'10_Form_Finance_Climat'!M41,"")</x:f>
      </x:c>
      <x:c r="N41" s="76" t="str">
        <x:f>IF('10_Form_Finance_Climat'!$O41="Validé humainement",'10_Form_Finance_Climat'!N41,"")</x:f>
      </x:c>
      <x:c r="O41" s="76" t="str">
        <x:f>IF('10_Form_Finance_Climat'!$O41="Validé humainement",'10_Form_Finance_Climat'!O41,"")</x:f>
      </x:c>
      <x:c r="P41" s="76" t="str">
        <x:f>IF('10_Form_Finance_Climat'!$O41="Validé humainement",'10_Form_Finance_Climat'!P41,"")</x:f>
      </x:c>
      <x:c r="Q41" s="78" t="str">
        <x:f>IF('10_Form_Finance_Climat'!$O41="Validé humainement",'10_Form_Finance_Climat'!Q41,"")</x:f>
      </x:c>
      <x:c r="R41" s="76" t="str">
        <x:f>IF('10_Form_Finance_Climat'!$O41="Validé humainement",'10_Form_Finance_Climat'!R41,"")</x:f>
      </x:c>
      <x:c r="S41" s="76" t="str">
        <x:f>IF('10_Form_Finance_Climat'!$O41="Validé humainement",'10_Form_Finance_Climat'!S41,"")</x:f>
      </x:c>
      <x:c r="T41" s="76" t="str">
        <x:f>IF('10_Form_Finance_Climat'!$O41="Validé humainement",'10_Form_Finance_Climat'!T41,"")</x:f>
      </x:c>
    </x:row>
    <x:row r="42">
      <x:c r="A42" s="76" t="str">
        <x:f>IF('10_Form_Finance_Climat'!$O42="Validé humainement",'10_Form_Finance_Climat'!A42,"")</x:f>
      </x:c>
      <x:c r="B42" s="76" t="str">
        <x:f>IF('10_Form_Finance_Climat'!$O42="Validé humainement",'10_Form_Finance_Climat'!B42,"")</x:f>
      </x:c>
      <x:c r="C42" s="76" t="str">
        <x:f>IF('10_Form_Finance_Climat'!$O42="Validé humainement",'10_Form_Finance_Climat'!C42,"")</x:f>
      </x:c>
      <x:c r="D42" s="76" t="str">
        <x:f>IF('10_Form_Finance_Climat'!$O42="Validé humainement",'10_Form_Finance_Climat'!D42,"")</x:f>
      </x:c>
      <x:c r="E42" s="76" t="str">
        <x:f>IF('10_Form_Finance_Climat'!$O42="Validé humainement",'10_Form_Finance_Climat'!E42,"")</x:f>
      </x:c>
      <x:c r="F42" s="76" t="str">
        <x:f>IF('10_Form_Finance_Climat'!$O42="Validé humainement",'10_Form_Finance_Climat'!F42,"")</x:f>
      </x:c>
      <x:c r="G42" s="81" t="str">
        <x:f>IF('10_Form_Finance_Climat'!$O42="Validé humainement",'10_Form_Finance_Climat'!G42,"")</x:f>
      </x:c>
      <x:c r="H42" s="81" t="str">
        <x:f>IF('10_Form_Finance_Climat'!$O42="Validé humainement",'10_Form_Finance_Climat'!H42,"")</x:f>
      </x:c>
      <x:c r="I42" s="81" t="str">
        <x:f>IF('10_Form_Finance_Climat'!$O42="Validé humainement",'10_Form_Finance_Climat'!I42,"")</x:f>
      </x:c>
      <x:c r="J42" s="81" t="str">
        <x:f>IF('10_Form_Finance_Climat'!$O42="Validé humainement",'10_Form_Finance_Climat'!J42,"")</x:f>
      </x:c>
      <x:c r="K42" s="76" t="str">
        <x:f>IF('10_Form_Finance_Climat'!$O42="Validé humainement",'10_Form_Finance_Climat'!K42,"")</x:f>
      </x:c>
      <x:c r="L42" s="76" t="str">
        <x:f>IF('10_Form_Finance_Climat'!$O42="Validé humainement",'10_Form_Finance_Climat'!L42,"")</x:f>
      </x:c>
      <x:c r="M42" s="78" t="str">
        <x:f>IF('10_Form_Finance_Climat'!$O42="Validé humainement",'10_Form_Finance_Climat'!M42,"")</x:f>
      </x:c>
      <x:c r="N42" s="76" t="str">
        <x:f>IF('10_Form_Finance_Climat'!$O42="Validé humainement",'10_Form_Finance_Climat'!N42,"")</x:f>
      </x:c>
      <x:c r="O42" s="76" t="str">
        <x:f>IF('10_Form_Finance_Climat'!$O42="Validé humainement",'10_Form_Finance_Climat'!O42,"")</x:f>
      </x:c>
      <x:c r="P42" s="76" t="str">
        <x:f>IF('10_Form_Finance_Climat'!$O42="Validé humainement",'10_Form_Finance_Climat'!P42,"")</x:f>
      </x:c>
      <x:c r="Q42" s="78" t="str">
        <x:f>IF('10_Form_Finance_Climat'!$O42="Validé humainement",'10_Form_Finance_Climat'!Q42,"")</x:f>
      </x:c>
      <x:c r="R42" s="76" t="str">
        <x:f>IF('10_Form_Finance_Climat'!$O42="Validé humainement",'10_Form_Finance_Climat'!R42,"")</x:f>
      </x:c>
      <x:c r="S42" s="76" t="str">
        <x:f>IF('10_Form_Finance_Climat'!$O42="Validé humainement",'10_Form_Finance_Climat'!S42,"")</x:f>
      </x:c>
      <x:c r="T42" s="76" t="str">
        <x:f>IF('10_Form_Finance_Climat'!$O42="Validé humainement",'10_Form_Finance_Climat'!T42,"")</x:f>
      </x:c>
    </x:row>
    <x:row r="43">
      <x:c r="A43" s="76" t="str">
        <x:f>IF('10_Form_Finance_Climat'!$O43="Validé humainement",'10_Form_Finance_Climat'!A43,"")</x:f>
      </x:c>
      <x:c r="B43" s="76" t="str">
        <x:f>IF('10_Form_Finance_Climat'!$O43="Validé humainement",'10_Form_Finance_Climat'!B43,"")</x:f>
      </x:c>
      <x:c r="C43" s="76" t="str">
        <x:f>IF('10_Form_Finance_Climat'!$O43="Validé humainement",'10_Form_Finance_Climat'!C43,"")</x:f>
      </x:c>
      <x:c r="D43" s="76" t="str">
        <x:f>IF('10_Form_Finance_Climat'!$O43="Validé humainement",'10_Form_Finance_Climat'!D43,"")</x:f>
      </x:c>
      <x:c r="E43" s="76" t="str">
        <x:f>IF('10_Form_Finance_Climat'!$O43="Validé humainement",'10_Form_Finance_Climat'!E43,"")</x:f>
      </x:c>
      <x:c r="F43" s="76" t="str">
        <x:f>IF('10_Form_Finance_Climat'!$O43="Validé humainement",'10_Form_Finance_Climat'!F43,"")</x:f>
      </x:c>
      <x:c r="G43" s="81" t="str">
        <x:f>IF('10_Form_Finance_Climat'!$O43="Validé humainement",'10_Form_Finance_Climat'!G43,"")</x:f>
      </x:c>
      <x:c r="H43" s="81" t="str">
        <x:f>IF('10_Form_Finance_Climat'!$O43="Validé humainement",'10_Form_Finance_Climat'!H43,"")</x:f>
      </x:c>
      <x:c r="I43" s="81" t="str">
        <x:f>IF('10_Form_Finance_Climat'!$O43="Validé humainement",'10_Form_Finance_Climat'!I43,"")</x:f>
      </x:c>
      <x:c r="J43" s="81" t="str">
        <x:f>IF('10_Form_Finance_Climat'!$O43="Validé humainement",'10_Form_Finance_Climat'!J43,"")</x:f>
      </x:c>
      <x:c r="K43" s="76" t="str">
        <x:f>IF('10_Form_Finance_Climat'!$O43="Validé humainement",'10_Form_Finance_Climat'!K43,"")</x:f>
      </x:c>
      <x:c r="L43" s="76" t="str">
        <x:f>IF('10_Form_Finance_Climat'!$O43="Validé humainement",'10_Form_Finance_Climat'!L43,"")</x:f>
      </x:c>
      <x:c r="M43" s="78" t="str">
        <x:f>IF('10_Form_Finance_Climat'!$O43="Validé humainement",'10_Form_Finance_Climat'!M43,"")</x:f>
      </x:c>
      <x:c r="N43" s="76" t="str">
        <x:f>IF('10_Form_Finance_Climat'!$O43="Validé humainement",'10_Form_Finance_Climat'!N43,"")</x:f>
      </x:c>
      <x:c r="O43" s="76" t="str">
        <x:f>IF('10_Form_Finance_Climat'!$O43="Validé humainement",'10_Form_Finance_Climat'!O43,"")</x:f>
      </x:c>
      <x:c r="P43" s="76" t="str">
        <x:f>IF('10_Form_Finance_Climat'!$O43="Validé humainement",'10_Form_Finance_Climat'!P43,"")</x:f>
      </x:c>
      <x:c r="Q43" s="78" t="str">
        <x:f>IF('10_Form_Finance_Climat'!$O43="Validé humainement",'10_Form_Finance_Climat'!Q43,"")</x:f>
      </x:c>
      <x:c r="R43" s="76" t="str">
        <x:f>IF('10_Form_Finance_Climat'!$O43="Validé humainement",'10_Form_Finance_Climat'!R43,"")</x:f>
      </x:c>
      <x:c r="S43" s="76" t="str">
        <x:f>IF('10_Form_Finance_Climat'!$O43="Validé humainement",'10_Form_Finance_Climat'!S43,"")</x:f>
      </x:c>
      <x:c r="T43" s="76" t="str">
        <x:f>IF('10_Form_Finance_Climat'!$O43="Validé humainement",'10_Form_Finance_Climat'!T43,"")</x:f>
      </x:c>
    </x:row>
    <x:row r="44">
      <x:c r="A44" s="76" t="str">
        <x:f>IF('10_Form_Finance_Climat'!$O44="Validé humainement",'10_Form_Finance_Climat'!A44,"")</x:f>
      </x:c>
      <x:c r="B44" s="76" t="str">
        <x:f>IF('10_Form_Finance_Climat'!$O44="Validé humainement",'10_Form_Finance_Climat'!B44,"")</x:f>
      </x:c>
      <x:c r="C44" s="76" t="str">
        <x:f>IF('10_Form_Finance_Climat'!$O44="Validé humainement",'10_Form_Finance_Climat'!C44,"")</x:f>
      </x:c>
      <x:c r="D44" s="76" t="str">
        <x:f>IF('10_Form_Finance_Climat'!$O44="Validé humainement",'10_Form_Finance_Climat'!D44,"")</x:f>
      </x:c>
      <x:c r="E44" s="76" t="str">
        <x:f>IF('10_Form_Finance_Climat'!$O44="Validé humainement",'10_Form_Finance_Climat'!E44,"")</x:f>
      </x:c>
      <x:c r="F44" s="76" t="str">
        <x:f>IF('10_Form_Finance_Climat'!$O44="Validé humainement",'10_Form_Finance_Climat'!F44,"")</x:f>
      </x:c>
      <x:c r="G44" s="81" t="str">
        <x:f>IF('10_Form_Finance_Climat'!$O44="Validé humainement",'10_Form_Finance_Climat'!G44,"")</x:f>
      </x:c>
      <x:c r="H44" s="81" t="str">
        <x:f>IF('10_Form_Finance_Climat'!$O44="Validé humainement",'10_Form_Finance_Climat'!H44,"")</x:f>
      </x:c>
      <x:c r="I44" s="81" t="str">
        <x:f>IF('10_Form_Finance_Climat'!$O44="Validé humainement",'10_Form_Finance_Climat'!I44,"")</x:f>
      </x:c>
      <x:c r="J44" s="81" t="str">
        <x:f>IF('10_Form_Finance_Climat'!$O44="Validé humainement",'10_Form_Finance_Climat'!J44,"")</x:f>
      </x:c>
      <x:c r="K44" s="76" t="str">
        <x:f>IF('10_Form_Finance_Climat'!$O44="Validé humainement",'10_Form_Finance_Climat'!K44,"")</x:f>
      </x:c>
      <x:c r="L44" s="76" t="str">
        <x:f>IF('10_Form_Finance_Climat'!$O44="Validé humainement",'10_Form_Finance_Climat'!L44,"")</x:f>
      </x:c>
      <x:c r="M44" s="78" t="str">
        <x:f>IF('10_Form_Finance_Climat'!$O44="Validé humainement",'10_Form_Finance_Climat'!M44,"")</x:f>
      </x:c>
      <x:c r="N44" s="76" t="str">
        <x:f>IF('10_Form_Finance_Climat'!$O44="Validé humainement",'10_Form_Finance_Climat'!N44,"")</x:f>
      </x:c>
      <x:c r="O44" s="76" t="str">
        <x:f>IF('10_Form_Finance_Climat'!$O44="Validé humainement",'10_Form_Finance_Climat'!O44,"")</x:f>
      </x:c>
      <x:c r="P44" s="76" t="str">
        <x:f>IF('10_Form_Finance_Climat'!$O44="Validé humainement",'10_Form_Finance_Climat'!P44,"")</x:f>
      </x:c>
      <x:c r="Q44" s="78" t="str">
        <x:f>IF('10_Form_Finance_Climat'!$O44="Validé humainement",'10_Form_Finance_Climat'!Q44,"")</x:f>
      </x:c>
      <x:c r="R44" s="76" t="str">
        <x:f>IF('10_Form_Finance_Climat'!$O44="Validé humainement",'10_Form_Finance_Climat'!R44,"")</x:f>
      </x:c>
      <x:c r="S44" s="76" t="str">
        <x:f>IF('10_Form_Finance_Climat'!$O44="Validé humainement",'10_Form_Finance_Climat'!S44,"")</x:f>
      </x:c>
      <x:c r="T44" s="76" t="str">
        <x:f>IF('10_Form_Finance_Climat'!$O44="Validé humainement",'10_Form_Finance_Climat'!T44,"")</x:f>
      </x:c>
    </x:row>
    <x:row r="45">
      <x:c r="A45" s="76" t="str">
        <x:f>IF('10_Form_Finance_Climat'!$O45="Validé humainement",'10_Form_Finance_Climat'!A45,"")</x:f>
      </x:c>
      <x:c r="B45" s="76" t="str">
        <x:f>IF('10_Form_Finance_Climat'!$O45="Validé humainement",'10_Form_Finance_Climat'!B45,"")</x:f>
      </x:c>
      <x:c r="C45" s="76" t="str">
        <x:f>IF('10_Form_Finance_Climat'!$O45="Validé humainement",'10_Form_Finance_Climat'!C45,"")</x:f>
      </x:c>
      <x:c r="D45" s="76" t="str">
        <x:f>IF('10_Form_Finance_Climat'!$O45="Validé humainement",'10_Form_Finance_Climat'!D45,"")</x:f>
      </x:c>
      <x:c r="E45" s="76" t="str">
        <x:f>IF('10_Form_Finance_Climat'!$O45="Validé humainement",'10_Form_Finance_Climat'!E45,"")</x:f>
      </x:c>
      <x:c r="F45" s="76" t="str">
        <x:f>IF('10_Form_Finance_Climat'!$O45="Validé humainement",'10_Form_Finance_Climat'!F45,"")</x:f>
      </x:c>
      <x:c r="G45" s="81" t="str">
        <x:f>IF('10_Form_Finance_Climat'!$O45="Validé humainement",'10_Form_Finance_Climat'!G45,"")</x:f>
      </x:c>
      <x:c r="H45" s="81" t="str">
        <x:f>IF('10_Form_Finance_Climat'!$O45="Validé humainement",'10_Form_Finance_Climat'!H45,"")</x:f>
      </x:c>
      <x:c r="I45" s="81" t="str">
        <x:f>IF('10_Form_Finance_Climat'!$O45="Validé humainement",'10_Form_Finance_Climat'!I45,"")</x:f>
      </x:c>
      <x:c r="J45" s="81" t="str">
        <x:f>IF('10_Form_Finance_Climat'!$O45="Validé humainement",'10_Form_Finance_Climat'!J45,"")</x:f>
      </x:c>
      <x:c r="K45" s="76" t="str">
        <x:f>IF('10_Form_Finance_Climat'!$O45="Validé humainement",'10_Form_Finance_Climat'!K45,"")</x:f>
      </x:c>
      <x:c r="L45" s="76" t="str">
        <x:f>IF('10_Form_Finance_Climat'!$O45="Validé humainement",'10_Form_Finance_Climat'!L45,"")</x:f>
      </x:c>
      <x:c r="M45" s="78" t="str">
        <x:f>IF('10_Form_Finance_Climat'!$O45="Validé humainement",'10_Form_Finance_Climat'!M45,"")</x:f>
      </x:c>
      <x:c r="N45" s="76" t="str">
        <x:f>IF('10_Form_Finance_Climat'!$O45="Validé humainement",'10_Form_Finance_Climat'!N45,"")</x:f>
      </x:c>
      <x:c r="O45" s="76" t="str">
        <x:f>IF('10_Form_Finance_Climat'!$O45="Validé humainement",'10_Form_Finance_Climat'!O45,"")</x:f>
      </x:c>
      <x:c r="P45" s="76" t="str">
        <x:f>IF('10_Form_Finance_Climat'!$O45="Validé humainement",'10_Form_Finance_Climat'!P45,"")</x:f>
      </x:c>
      <x:c r="Q45" s="78" t="str">
        <x:f>IF('10_Form_Finance_Climat'!$O45="Validé humainement",'10_Form_Finance_Climat'!Q45,"")</x:f>
      </x:c>
      <x:c r="R45" s="76" t="str">
        <x:f>IF('10_Form_Finance_Climat'!$O45="Validé humainement",'10_Form_Finance_Climat'!R45,"")</x:f>
      </x:c>
      <x:c r="S45" s="76" t="str">
        <x:f>IF('10_Form_Finance_Climat'!$O45="Validé humainement",'10_Form_Finance_Climat'!S45,"")</x:f>
      </x:c>
      <x:c r="T45" s="76" t="str">
        <x:f>IF('10_Form_Finance_Climat'!$O45="Validé humainement",'10_Form_Finance_Climat'!T45,"")</x:f>
      </x:c>
    </x:row>
    <x:row r="46">
      <x:c r="A46" s="76" t="str">
        <x:f>IF('10_Form_Finance_Climat'!$O46="Validé humainement",'10_Form_Finance_Climat'!A46,"")</x:f>
      </x:c>
      <x:c r="B46" s="76" t="str">
        <x:f>IF('10_Form_Finance_Climat'!$O46="Validé humainement",'10_Form_Finance_Climat'!B46,"")</x:f>
      </x:c>
      <x:c r="C46" s="76" t="str">
        <x:f>IF('10_Form_Finance_Climat'!$O46="Validé humainement",'10_Form_Finance_Climat'!C46,"")</x:f>
      </x:c>
      <x:c r="D46" s="76" t="str">
        <x:f>IF('10_Form_Finance_Climat'!$O46="Validé humainement",'10_Form_Finance_Climat'!D46,"")</x:f>
      </x:c>
      <x:c r="E46" s="76" t="str">
        <x:f>IF('10_Form_Finance_Climat'!$O46="Validé humainement",'10_Form_Finance_Climat'!E46,"")</x:f>
      </x:c>
      <x:c r="F46" s="76" t="str">
        <x:f>IF('10_Form_Finance_Climat'!$O46="Validé humainement",'10_Form_Finance_Climat'!F46,"")</x:f>
      </x:c>
      <x:c r="G46" s="81" t="str">
        <x:f>IF('10_Form_Finance_Climat'!$O46="Validé humainement",'10_Form_Finance_Climat'!G46,"")</x:f>
      </x:c>
      <x:c r="H46" s="81" t="str">
        <x:f>IF('10_Form_Finance_Climat'!$O46="Validé humainement",'10_Form_Finance_Climat'!H46,"")</x:f>
      </x:c>
      <x:c r="I46" s="81" t="str">
        <x:f>IF('10_Form_Finance_Climat'!$O46="Validé humainement",'10_Form_Finance_Climat'!I46,"")</x:f>
      </x:c>
      <x:c r="J46" s="81" t="str">
        <x:f>IF('10_Form_Finance_Climat'!$O46="Validé humainement",'10_Form_Finance_Climat'!J46,"")</x:f>
      </x:c>
      <x:c r="K46" s="76" t="str">
        <x:f>IF('10_Form_Finance_Climat'!$O46="Validé humainement",'10_Form_Finance_Climat'!K46,"")</x:f>
      </x:c>
      <x:c r="L46" s="76" t="str">
        <x:f>IF('10_Form_Finance_Climat'!$O46="Validé humainement",'10_Form_Finance_Climat'!L46,"")</x:f>
      </x:c>
      <x:c r="M46" s="78" t="str">
        <x:f>IF('10_Form_Finance_Climat'!$O46="Validé humainement",'10_Form_Finance_Climat'!M46,"")</x:f>
      </x:c>
      <x:c r="N46" s="76" t="str">
        <x:f>IF('10_Form_Finance_Climat'!$O46="Validé humainement",'10_Form_Finance_Climat'!N46,"")</x:f>
      </x:c>
      <x:c r="O46" s="76" t="str">
        <x:f>IF('10_Form_Finance_Climat'!$O46="Validé humainement",'10_Form_Finance_Climat'!O46,"")</x:f>
      </x:c>
      <x:c r="P46" s="76" t="str">
        <x:f>IF('10_Form_Finance_Climat'!$O46="Validé humainement",'10_Form_Finance_Climat'!P46,"")</x:f>
      </x:c>
      <x:c r="Q46" s="78" t="str">
        <x:f>IF('10_Form_Finance_Climat'!$O46="Validé humainement",'10_Form_Finance_Climat'!Q46,"")</x:f>
      </x:c>
      <x:c r="R46" s="76" t="str">
        <x:f>IF('10_Form_Finance_Climat'!$O46="Validé humainement",'10_Form_Finance_Climat'!R46,"")</x:f>
      </x:c>
      <x:c r="S46" s="76" t="str">
        <x:f>IF('10_Form_Finance_Climat'!$O46="Validé humainement",'10_Form_Finance_Climat'!S46,"")</x:f>
      </x:c>
      <x:c r="T46" s="76" t="str">
        <x:f>IF('10_Form_Finance_Climat'!$O46="Validé humainement",'10_Form_Finance_Climat'!T46,"")</x:f>
      </x:c>
    </x:row>
    <x:row r="47">
      <x:c r="A47" s="76" t="str">
        <x:f>IF('10_Form_Finance_Climat'!$O47="Validé humainement",'10_Form_Finance_Climat'!A47,"")</x:f>
      </x:c>
      <x:c r="B47" s="76" t="str">
        <x:f>IF('10_Form_Finance_Climat'!$O47="Validé humainement",'10_Form_Finance_Climat'!B47,"")</x:f>
      </x:c>
      <x:c r="C47" s="76" t="str">
        <x:f>IF('10_Form_Finance_Climat'!$O47="Validé humainement",'10_Form_Finance_Climat'!C47,"")</x:f>
      </x:c>
      <x:c r="D47" s="76" t="str">
        <x:f>IF('10_Form_Finance_Climat'!$O47="Validé humainement",'10_Form_Finance_Climat'!D47,"")</x:f>
      </x:c>
      <x:c r="E47" s="76" t="str">
        <x:f>IF('10_Form_Finance_Climat'!$O47="Validé humainement",'10_Form_Finance_Climat'!E47,"")</x:f>
      </x:c>
      <x:c r="F47" s="76" t="str">
        <x:f>IF('10_Form_Finance_Climat'!$O47="Validé humainement",'10_Form_Finance_Climat'!F47,"")</x:f>
      </x:c>
      <x:c r="G47" s="81" t="str">
        <x:f>IF('10_Form_Finance_Climat'!$O47="Validé humainement",'10_Form_Finance_Climat'!G47,"")</x:f>
      </x:c>
      <x:c r="H47" s="81" t="str">
        <x:f>IF('10_Form_Finance_Climat'!$O47="Validé humainement",'10_Form_Finance_Climat'!H47,"")</x:f>
      </x:c>
      <x:c r="I47" s="81" t="str">
        <x:f>IF('10_Form_Finance_Climat'!$O47="Validé humainement",'10_Form_Finance_Climat'!I47,"")</x:f>
      </x:c>
      <x:c r="J47" s="81" t="str">
        <x:f>IF('10_Form_Finance_Climat'!$O47="Validé humainement",'10_Form_Finance_Climat'!J47,"")</x:f>
      </x:c>
      <x:c r="K47" s="76" t="str">
        <x:f>IF('10_Form_Finance_Climat'!$O47="Validé humainement",'10_Form_Finance_Climat'!K47,"")</x:f>
      </x:c>
      <x:c r="L47" s="76" t="str">
        <x:f>IF('10_Form_Finance_Climat'!$O47="Validé humainement",'10_Form_Finance_Climat'!L47,"")</x:f>
      </x:c>
      <x:c r="M47" s="78" t="str">
        <x:f>IF('10_Form_Finance_Climat'!$O47="Validé humainement",'10_Form_Finance_Climat'!M47,"")</x:f>
      </x:c>
      <x:c r="N47" s="76" t="str">
        <x:f>IF('10_Form_Finance_Climat'!$O47="Validé humainement",'10_Form_Finance_Climat'!N47,"")</x:f>
      </x:c>
      <x:c r="O47" s="76" t="str">
        <x:f>IF('10_Form_Finance_Climat'!$O47="Validé humainement",'10_Form_Finance_Climat'!O47,"")</x:f>
      </x:c>
      <x:c r="P47" s="76" t="str">
        <x:f>IF('10_Form_Finance_Climat'!$O47="Validé humainement",'10_Form_Finance_Climat'!P47,"")</x:f>
      </x:c>
      <x:c r="Q47" s="78" t="str">
        <x:f>IF('10_Form_Finance_Climat'!$O47="Validé humainement",'10_Form_Finance_Climat'!Q47,"")</x:f>
      </x:c>
      <x:c r="R47" s="76" t="str">
        <x:f>IF('10_Form_Finance_Climat'!$O47="Validé humainement",'10_Form_Finance_Climat'!R47,"")</x:f>
      </x:c>
      <x:c r="S47" s="76" t="str">
        <x:f>IF('10_Form_Finance_Climat'!$O47="Validé humainement",'10_Form_Finance_Climat'!S47,"")</x:f>
      </x:c>
      <x:c r="T47" s="76" t="str">
        <x:f>IF('10_Form_Finance_Climat'!$O47="Validé humainement",'10_Form_Finance_Climat'!T47,"")</x:f>
      </x:c>
    </x:row>
    <x:row r="48">
      <x:c r="A48" s="76" t="str">
        <x:f>IF('10_Form_Finance_Climat'!$O48="Validé humainement",'10_Form_Finance_Climat'!A48,"")</x:f>
      </x:c>
      <x:c r="B48" s="76" t="str">
        <x:f>IF('10_Form_Finance_Climat'!$O48="Validé humainement",'10_Form_Finance_Climat'!B48,"")</x:f>
      </x:c>
      <x:c r="C48" s="76" t="str">
        <x:f>IF('10_Form_Finance_Climat'!$O48="Validé humainement",'10_Form_Finance_Climat'!C48,"")</x:f>
      </x:c>
      <x:c r="D48" s="76" t="str">
        <x:f>IF('10_Form_Finance_Climat'!$O48="Validé humainement",'10_Form_Finance_Climat'!D48,"")</x:f>
      </x:c>
      <x:c r="E48" s="76" t="str">
        <x:f>IF('10_Form_Finance_Climat'!$O48="Validé humainement",'10_Form_Finance_Climat'!E48,"")</x:f>
      </x:c>
      <x:c r="F48" s="76" t="str">
        <x:f>IF('10_Form_Finance_Climat'!$O48="Validé humainement",'10_Form_Finance_Climat'!F48,"")</x:f>
      </x:c>
      <x:c r="G48" s="81" t="str">
        <x:f>IF('10_Form_Finance_Climat'!$O48="Validé humainement",'10_Form_Finance_Climat'!G48,"")</x:f>
      </x:c>
      <x:c r="H48" s="81" t="str">
        <x:f>IF('10_Form_Finance_Climat'!$O48="Validé humainement",'10_Form_Finance_Climat'!H48,"")</x:f>
      </x:c>
      <x:c r="I48" s="81" t="str">
        <x:f>IF('10_Form_Finance_Climat'!$O48="Validé humainement",'10_Form_Finance_Climat'!I48,"")</x:f>
      </x:c>
      <x:c r="J48" s="81" t="str">
        <x:f>IF('10_Form_Finance_Climat'!$O48="Validé humainement",'10_Form_Finance_Climat'!J48,"")</x:f>
      </x:c>
      <x:c r="K48" s="76" t="str">
        <x:f>IF('10_Form_Finance_Climat'!$O48="Validé humainement",'10_Form_Finance_Climat'!K48,"")</x:f>
      </x:c>
      <x:c r="L48" s="76" t="str">
        <x:f>IF('10_Form_Finance_Climat'!$O48="Validé humainement",'10_Form_Finance_Climat'!L48,"")</x:f>
      </x:c>
      <x:c r="M48" s="78" t="str">
        <x:f>IF('10_Form_Finance_Climat'!$O48="Validé humainement",'10_Form_Finance_Climat'!M48,"")</x:f>
      </x:c>
      <x:c r="N48" s="76" t="str">
        <x:f>IF('10_Form_Finance_Climat'!$O48="Validé humainement",'10_Form_Finance_Climat'!N48,"")</x:f>
      </x:c>
      <x:c r="O48" s="76" t="str">
        <x:f>IF('10_Form_Finance_Climat'!$O48="Validé humainement",'10_Form_Finance_Climat'!O48,"")</x:f>
      </x:c>
      <x:c r="P48" s="76" t="str">
        <x:f>IF('10_Form_Finance_Climat'!$O48="Validé humainement",'10_Form_Finance_Climat'!P48,"")</x:f>
      </x:c>
      <x:c r="Q48" s="78" t="str">
        <x:f>IF('10_Form_Finance_Climat'!$O48="Validé humainement",'10_Form_Finance_Climat'!Q48,"")</x:f>
      </x:c>
      <x:c r="R48" s="76" t="str">
        <x:f>IF('10_Form_Finance_Climat'!$O48="Validé humainement",'10_Form_Finance_Climat'!R48,"")</x:f>
      </x:c>
      <x:c r="S48" s="76" t="str">
        <x:f>IF('10_Form_Finance_Climat'!$O48="Validé humainement",'10_Form_Finance_Climat'!S48,"")</x:f>
      </x:c>
      <x:c r="T48" s="76" t="str">
        <x:f>IF('10_Form_Finance_Climat'!$O48="Validé humainement",'10_Form_Finance_Climat'!T48,"")</x:f>
      </x:c>
    </x:row>
    <x:row r="49">
      <x:c r="A49" s="76" t="str">
        <x:f>IF('10_Form_Finance_Climat'!$O49="Validé humainement",'10_Form_Finance_Climat'!A49,"")</x:f>
      </x:c>
      <x:c r="B49" s="76" t="str">
        <x:f>IF('10_Form_Finance_Climat'!$O49="Validé humainement",'10_Form_Finance_Climat'!B49,"")</x:f>
      </x:c>
      <x:c r="C49" s="76" t="str">
        <x:f>IF('10_Form_Finance_Climat'!$O49="Validé humainement",'10_Form_Finance_Climat'!C49,"")</x:f>
      </x:c>
      <x:c r="D49" s="76" t="str">
        <x:f>IF('10_Form_Finance_Climat'!$O49="Validé humainement",'10_Form_Finance_Climat'!D49,"")</x:f>
      </x:c>
      <x:c r="E49" s="76" t="str">
        <x:f>IF('10_Form_Finance_Climat'!$O49="Validé humainement",'10_Form_Finance_Climat'!E49,"")</x:f>
      </x:c>
      <x:c r="F49" s="76" t="str">
        <x:f>IF('10_Form_Finance_Climat'!$O49="Validé humainement",'10_Form_Finance_Climat'!F49,"")</x:f>
      </x:c>
      <x:c r="G49" s="81" t="str">
        <x:f>IF('10_Form_Finance_Climat'!$O49="Validé humainement",'10_Form_Finance_Climat'!G49,"")</x:f>
      </x:c>
      <x:c r="H49" s="81" t="str">
        <x:f>IF('10_Form_Finance_Climat'!$O49="Validé humainement",'10_Form_Finance_Climat'!H49,"")</x:f>
      </x:c>
      <x:c r="I49" s="81" t="str">
        <x:f>IF('10_Form_Finance_Climat'!$O49="Validé humainement",'10_Form_Finance_Climat'!I49,"")</x:f>
      </x:c>
      <x:c r="J49" s="81" t="str">
        <x:f>IF('10_Form_Finance_Climat'!$O49="Validé humainement",'10_Form_Finance_Climat'!J49,"")</x:f>
      </x:c>
      <x:c r="K49" s="76" t="str">
        <x:f>IF('10_Form_Finance_Climat'!$O49="Validé humainement",'10_Form_Finance_Climat'!K49,"")</x:f>
      </x:c>
      <x:c r="L49" s="76" t="str">
        <x:f>IF('10_Form_Finance_Climat'!$O49="Validé humainement",'10_Form_Finance_Climat'!L49,"")</x:f>
      </x:c>
      <x:c r="M49" s="78" t="str">
        <x:f>IF('10_Form_Finance_Climat'!$O49="Validé humainement",'10_Form_Finance_Climat'!M49,"")</x:f>
      </x:c>
      <x:c r="N49" s="76" t="str">
        <x:f>IF('10_Form_Finance_Climat'!$O49="Validé humainement",'10_Form_Finance_Climat'!N49,"")</x:f>
      </x:c>
      <x:c r="O49" s="76" t="str">
        <x:f>IF('10_Form_Finance_Climat'!$O49="Validé humainement",'10_Form_Finance_Climat'!O49,"")</x:f>
      </x:c>
      <x:c r="P49" s="76" t="str">
        <x:f>IF('10_Form_Finance_Climat'!$O49="Validé humainement",'10_Form_Finance_Climat'!P49,"")</x:f>
      </x:c>
      <x:c r="Q49" s="78" t="str">
        <x:f>IF('10_Form_Finance_Climat'!$O49="Validé humainement",'10_Form_Finance_Climat'!Q49,"")</x:f>
      </x:c>
      <x:c r="R49" s="76" t="str">
        <x:f>IF('10_Form_Finance_Climat'!$O49="Validé humainement",'10_Form_Finance_Climat'!R49,"")</x:f>
      </x:c>
      <x:c r="S49" s="76" t="str">
        <x:f>IF('10_Form_Finance_Climat'!$O49="Validé humainement",'10_Form_Finance_Climat'!S49,"")</x:f>
      </x:c>
      <x:c r="T49" s="76" t="str">
        <x:f>IF('10_Form_Finance_Climat'!$O49="Validé humainement",'10_Form_Finance_Climat'!T49,"")</x:f>
      </x:c>
    </x:row>
    <x:row r="50">
      <x:c r="A50" s="76" t="str">
        <x:f>IF('10_Form_Finance_Climat'!$O50="Validé humainement",'10_Form_Finance_Climat'!A50,"")</x:f>
      </x:c>
      <x:c r="B50" s="76" t="str">
        <x:f>IF('10_Form_Finance_Climat'!$O50="Validé humainement",'10_Form_Finance_Climat'!B50,"")</x:f>
      </x:c>
      <x:c r="C50" s="76" t="str">
        <x:f>IF('10_Form_Finance_Climat'!$O50="Validé humainement",'10_Form_Finance_Climat'!C50,"")</x:f>
      </x:c>
      <x:c r="D50" s="76" t="str">
        <x:f>IF('10_Form_Finance_Climat'!$O50="Validé humainement",'10_Form_Finance_Climat'!D50,"")</x:f>
      </x:c>
      <x:c r="E50" s="76" t="str">
        <x:f>IF('10_Form_Finance_Climat'!$O50="Validé humainement",'10_Form_Finance_Climat'!E50,"")</x:f>
      </x:c>
      <x:c r="F50" s="76" t="str">
        <x:f>IF('10_Form_Finance_Climat'!$O50="Validé humainement",'10_Form_Finance_Climat'!F50,"")</x:f>
      </x:c>
      <x:c r="G50" s="81" t="str">
        <x:f>IF('10_Form_Finance_Climat'!$O50="Validé humainement",'10_Form_Finance_Climat'!G50,"")</x:f>
      </x:c>
      <x:c r="H50" s="81" t="str">
        <x:f>IF('10_Form_Finance_Climat'!$O50="Validé humainement",'10_Form_Finance_Climat'!H50,"")</x:f>
      </x:c>
      <x:c r="I50" s="81" t="str">
        <x:f>IF('10_Form_Finance_Climat'!$O50="Validé humainement",'10_Form_Finance_Climat'!I50,"")</x:f>
      </x:c>
      <x:c r="J50" s="81" t="str">
        <x:f>IF('10_Form_Finance_Climat'!$O50="Validé humainement",'10_Form_Finance_Climat'!J50,"")</x:f>
      </x:c>
      <x:c r="K50" s="76" t="str">
        <x:f>IF('10_Form_Finance_Climat'!$O50="Validé humainement",'10_Form_Finance_Climat'!K50,"")</x:f>
      </x:c>
      <x:c r="L50" s="76" t="str">
        <x:f>IF('10_Form_Finance_Climat'!$O50="Validé humainement",'10_Form_Finance_Climat'!L50,"")</x:f>
      </x:c>
      <x:c r="M50" s="78" t="str">
        <x:f>IF('10_Form_Finance_Climat'!$O50="Validé humainement",'10_Form_Finance_Climat'!M50,"")</x:f>
      </x:c>
      <x:c r="N50" s="76" t="str">
        <x:f>IF('10_Form_Finance_Climat'!$O50="Validé humainement",'10_Form_Finance_Climat'!N50,"")</x:f>
      </x:c>
      <x:c r="O50" s="76" t="str">
        <x:f>IF('10_Form_Finance_Climat'!$O50="Validé humainement",'10_Form_Finance_Climat'!O50,"")</x:f>
      </x:c>
      <x:c r="P50" s="76" t="str">
        <x:f>IF('10_Form_Finance_Climat'!$O50="Validé humainement",'10_Form_Finance_Climat'!P50,"")</x:f>
      </x:c>
      <x:c r="Q50" s="78" t="str">
        <x:f>IF('10_Form_Finance_Climat'!$O50="Validé humainement",'10_Form_Finance_Climat'!Q50,"")</x:f>
      </x:c>
      <x:c r="R50" s="76" t="str">
        <x:f>IF('10_Form_Finance_Climat'!$O50="Validé humainement",'10_Form_Finance_Climat'!R50,"")</x:f>
      </x:c>
      <x:c r="S50" s="76" t="str">
        <x:f>IF('10_Form_Finance_Climat'!$O50="Validé humainement",'10_Form_Finance_Climat'!S50,"")</x:f>
      </x:c>
      <x:c r="T50" s="76" t="str">
        <x:f>IF('10_Form_Finance_Climat'!$O50="Validé humainement",'10_Form_Finance_Climat'!T50,"")</x:f>
      </x:c>
    </x:row>
    <x:row r="51">
      <x:c r="A51" s="76" t="str">
        <x:f>IF('10_Form_Finance_Climat'!$O51="Validé humainement",'10_Form_Finance_Climat'!A51,"")</x:f>
      </x:c>
      <x:c r="B51" s="76" t="str">
        <x:f>IF('10_Form_Finance_Climat'!$O51="Validé humainement",'10_Form_Finance_Climat'!B51,"")</x:f>
      </x:c>
      <x:c r="C51" s="76" t="str">
        <x:f>IF('10_Form_Finance_Climat'!$O51="Validé humainement",'10_Form_Finance_Climat'!C51,"")</x:f>
      </x:c>
      <x:c r="D51" s="76" t="str">
        <x:f>IF('10_Form_Finance_Climat'!$O51="Validé humainement",'10_Form_Finance_Climat'!D51,"")</x:f>
      </x:c>
      <x:c r="E51" s="76" t="str">
        <x:f>IF('10_Form_Finance_Climat'!$O51="Validé humainement",'10_Form_Finance_Climat'!E51,"")</x:f>
      </x:c>
      <x:c r="F51" s="76" t="str">
        <x:f>IF('10_Form_Finance_Climat'!$O51="Validé humainement",'10_Form_Finance_Climat'!F51,"")</x:f>
      </x:c>
      <x:c r="G51" s="81" t="str">
        <x:f>IF('10_Form_Finance_Climat'!$O51="Validé humainement",'10_Form_Finance_Climat'!G51,"")</x:f>
      </x:c>
      <x:c r="H51" s="81" t="str">
        <x:f>IF('10_Form_Finance_Climat'!$O51="Validé humainement",'10_Form_Finance_Climat'!H51,"")</x:f>
      </x:c>
      <x:c r="I51" s="81" t="str">
        <x:f>IF('10_Form_Finance_Climat'!$O51="Validé humainement",'10_Form_Finance_Climat'!I51,"")</x:f>
      </x:c>
      <x:c r="J51" s="81" t="str">
        <x:f>IF('10_Form_Finance_Climat'!$O51="Validé humainement",'10_Form_Finance_Climat'!J51,"")</x:f>
      </x:c>
      <x:c r="K51" s="76" t="str">
        <x:f>IF('10_Form_Finance_Climat'!$O51="Validé humainement",'10_Form_Finance_Climat'!K51,"")</x:f>
      </x:c>
      <x:c r="L51" s="76" t="str">
        <x:f>IF('10_Form_Finance_Climat'!$O51="Validé humainement",'10_Form_Finance_Climat'!L51,"")</x:f>
      </x:c>
      <x:c r="M51" s="78" t="str">
        <x:f>IF('10_Form_Finance_Climat'!$O51="Validé humainement",'10_Form_Finance_Climat'!M51,"")</x:f>
      </x:c>
      <x:c r="N51" s="76" t="str">
        <x:f>IF('10_Form_Finance_Climat'!$O51="Validé humainement",'10_Form_Finance_Climat'!N51,"")</x:f>
      </x:c>
      <x:c r="O51" s="76" t="str">
        <x:f>IF('10_Form_Finance_Climat'!$O51="Validé humainement",'10_Form_Finance_Climat'!O51,"")</x:f>
      </x:c>
      <x:c r="P51" s="76" t="str">
        <x:f>IF('10_Form_Finance_Climat'!$O51="Validé humainement",'10_Form_Finance_Climat'!P51,"")</x:f>
      </x:c>
      <x:c r="Q51" s="78" t="str">
        <x:f>IF('10_Form_Finance_Climat'!$O51="Validé humainement",'10_Form_Finance_Climat'!Q51,"")</x:f>
      </x:c>
      <x:c r="R51" s="76" t="str">
        <x:f>IF('10_Form_Finance_Climat'!$O51="Validé humainement",'10_Form_Finance_Climat'!R51,"")</x:f>
      </x:c>
      <x:c r="S51" s="76" t="str">
        <x:f>IF('10_Form_Finance_Climat'!$O51="Validé humainement",'10_Form_Finance_Climat'!S51,"")</x:f>
      </x:c>
      <x:c r="T51" s="76" t="str">
        <x:f>IF('10_Form_Finance_Climat'!$O51="Validé humainement",'10_Form_Finance_Climat'!T51,"")</x:f>
      </x:c>
    </x:row>
    <x:row r="52">
      <x:c r="A52" s="76" t="str">
        <x:f>IF('10_Form_Finance_Climat'!$O52="Validé humainement",'10_Form_Finance_Climat'!A52,"")</x:f>
      </x:c>
      <x:c r="B52" s="76" t="str">
        <x:f>IF('10_Form_Finance_Climat'!$O52="Validé humainement",'10_Form_Finance_Climat'!B52,"")</x:f>
      </x:c>
      <x:c r="C52" s="76" t="str">
        <x:f>IF('10_Form_Finance_Climat'!$O52="Validé humainement",'10_Form_Finance_Climat'!C52,"")</x:f>
      </x:c>
      <x:c r="D52" s="76" t="str">
        <x:f>IF('10_Form_Finance_Climat'!$O52="Validé humainement",'10_Form_Finance_Climat'!D52,"")</x:f>
      </x:c>
      <x:c r="E52" s="76" t="str">
        <x:f>IF('10_Form_Finance_Climat'!$O52="Validé humainement",'10_Form_Finance_Climat'!E52,"")</x:f>
      </x:c>
      <x:c r="F52" s="76" t="str">
        <x:f>IF('10_Form_Finance_Climat'!$O52="Validé humainement",'10_Form_Finance_Climat'!F52,"")</x:f>
      </x:c>
      <x:c r="G52" s="81" t="str">
        <x:f>IF('10_Form_Finance_Climat'!$O52="Validé humainement",'10_Form_Finance_Climat'!G52,"")</x:f>
      </x:c>
      <x:c r="H52" s="81" t="str">
        <x:f>IF('10_Form_Finance_Climat'!$O52="Validé humainement",'10_Form_Finance_Climat'!H52,"")</x:f>
      </x:c>
      <x:c r="I52" s="81" t="str">
        <x:f>IF('10_Form_Finance_Climat'!$O52="Validé humainement",'10_Form_Finance_Climat'!I52,"")</x:f>
      </x:c>
      <x:c r="J52" s="81" t="str">
        <x:f>IF('10_Form_Finance_Climat'!$O52="Validé humainement",'10_Form_Finance_Climat'!J52,"")</x:f>
      </x:c>
      <x:c r="K52" s="76" t="str">
        <x:f>IF('10_Form_Finance_Climat'!$O52="Validé humainement",'10_Form_Finance_Climat'!K52,"")</x:f>
      </x:c>
      <x:c r="L52" s="76" t="str">
        <x:f>IF('10_Form_Finance_Climat'!$O52="Validé humainement",'10_Form_Finance_Climat'!L52,"")</x:f>
      </x:c>
      <x:c r="M52" s="78" t="str">
        <x:f>IF('10_Form_Finance_Climat'!$O52="Validé humainement",'10_Form_Finance_Climat'!M52,"")</x:f>
      </x:c>
      <x:c r="N52" s="76" t="str">
        <x:f>IF('10_Form_Finance_Climat'!$O52="Validé humainement",'10_Form_Finance_Climat'!N52,"")</x:f>
      </x:c>
      <x:c r="O52" s="76" t="str">
        <x:f>IF('10_Form_Finance_Climat'!$O52="Validé humainement",'10_Form_Finance_Climat'!O52,"")</x:f>
      </x:c>
      <x:c r="P52" s="76" t="str">
        <x:f>IF('10_Form_Finance_Climat'!$O52="Validé humainement",'10_Form_Finance_Climat'!P52,"")</x:f>
      </x:c>
      <x:c r="Q52" s="78" t="str">
        <x:f>IF('10_Form_Finance_Climat'!$O52="Validé humainement",'10_Form_Finance_Climat'!Q52,"")</x:f>
      </x:c>
      <x:c r="R52" s="76" t="str">
        <x:f>IF('10_Form_Finance_Climat'!$O52="Validé humainement",'10_Form_Finance_Climat'!R52,"")</x:f>
      </x:c>
      <x:c r="S52" s="76" t="str">
        <x:f>IF('10_Form_Finance_Climat'!$O52="Validé humainement",'10_Form_Finance_Climat'!S52,"")</x:f>
      </x:c>
      <x:c r="T52" s="76" t="str">
        <x:f>IF('10_Form_Finance_Climat'!$O52="Validé humainement",'10_Form_Finance_Climat'!T52,"")</x:f>
      </x:c>
    </x:row>
    <x:row r="53">
      <x:c r="A53" s="76" t="str">
        <x:f>IF('10_Form_Finance_Climat'!$O53="Validé humainement",'10_Form_Finance_Climat'!A53,"")</x:f>
      </x:c>
      <x:c r="B53" s="76" t="str">
        <x:f>IF('10_Form_Finance_Climat'!$O53="Validé humainement",'10_Form_Finance_Climat'!B53,"")</x:f>
      </x:c>
      <x:c r="C53" s="76" t="str">
        <x:f>IF('10_Form_Finance_Climat'!$O53="Validé humainement",'10_Form_Finance_Climat'!C53,"")</x:f>
      </x:c>
      <x:c r="D53" s="76" t="str">
        <x:f>IF('10_Form_Finance_Climat'!$O53="Validé humainement",'10_Form_Finance_Climat'!D53,"")</x:f>
      </x:c>
      <x:c r="E53" s="76" t="str">
        <x:f>IF('10_Form_Finance_Climat'!$O53="Validé humainement",'10_Form_Finance_Climat'!E53,"")</x:f>
      </x:c>
      <x:c r="F53" s="76" t="str">
        <x:f>IF('10_Form_Finance_Climat'!$O53="Validé humainement",'10_Form_Finance_Climat'!F53,"")</x:f>
      </x:c>
      <x:c r="G53" s="81" t="str">
        <x:f>IF('10_Form_Finance_Climat'!$O53="Validé humainement",'10_Form_Finance_Climat'!G53,"")</x:f>
      </x:c>
      <x:c r="H53" s="81" t="str">
        <x:f>IF('10_Form_Finance_Climat'!$O53="Validé humainement",'10_Form_Finance_Climat'!H53,"")</x:f>
      </x:c>
      <x:c r="I53" s="81" t="str">
        <x:f>IF('10_Form_Finance_Climat'!$O53="Validé humainement",'10_Form_Finance_Climat'!I53,"")</x:f>
      </x:c>
      <x:c r="J53" s="81" t="str">
        <x:f>IF('10_Form_Finance_Climat'!$O53="Validé humainement",'10_Form_Finance_Climat'!J53,"")</x:f>
      </x:c>
      <x:c r="K53" s="76" t="str">
        <x:f>IF('10_Form_Finance_Climat'!$O53="Validé humainement",'10_Form_Finance_Climat'!K53,"")</x:f>
      </x:c>
      <x:c r="L53" s="76" t="str">
        <x:f>IF('10_Form_Finance_Climat'!$O53="Validé humainement",'10_Form_Finance_Climat'!L53,"")</x:f>
      </x:c>
      <x:c r="M53" s="78" t="str">
        <x:f>IF('10_Form_Finance_Climat'!$O53="Validé humainement",'10_Form_Finance_Climat'!M53,"")</x:f>
      </x:c>
      <x:c r="N53" s="76" t="str">
        <x:f>IF('10_Form_Finance_Climat'!$O53="Validé humainement",'10_Form_Finance_Climat'!N53,"")</x:f>
      </x:c>
      <x:c r="O53" s="76" t="str">
        <x:f>IF('10_Form_Finance_Climat'!$O53="Validé humainement",'10_Form_Finance_Climat'!O53,"")</x:f>
      </x:c>
      <x:c r="P53" s="76" t="str">
        <x:f>IF('10_Form_Finance_Climat'!$O53="Validé humainement",'10_Form_Finance_Climat'!P53,"")</x:f>
      </x:c>
      <x:c r="Q53" s="78" t="str">
        <x:f>IF('10_Form_Finance_Climat'!$O53="Validé humainement",'10_Form_Finance_Climat'!Q53,"")</x:f>
      </x:c>
      <x:c r="R53" s="76" t="str">
        <x:f>IF('10_Form_Finance_Climat'!$O53="Validé humainement",'10_Form_Finance_Climat'!R53,"")</x:f>
      </x:c>
      <x:c r="S53" s="76" t="str">
        <x:f>IF('10_Form_Finance_Climat'!$O53="Validé humainement",'10_Form_Finance_Climat'!S53,"")</x:f>
      </x:c>
      <x:c r="T53" s="76" t="str">
        <x:f>IF('10_Form_Finance_Climat'!$O53="Validé humainement",'10_Form_Finance_Climat'!T53,"")</x:f>
      </x:c>
    </x:row>
    <x:row r="54">
      <x:c r="A54" s="76" t="str">
        <x:f>IF('10_Form_Finance_Climat'!$O54="Validé humainement",'10_Form_Finance_Climat'!A54,"")</x:f>
      </x:c>
      <x:c r="B54" s="76" t="str">
        <x:f>IF('10_Form_Finance_Climat'!$O54="Validé humainement",'10_Form_Finance_Climat'!B54,"")</x:f>
      </x:c>
      <x:c r="C54" s="76" t="str">
        <x:f>IF('10_Form_Finance_Climat'!$O54="Validé humainement",'10_Form_Finance_Climat'!C54,"")</x:f>
      </x:c>
      <x:c r="D54" s="76" t="str">
        <x:f>IF('10_Form_Finance_Climat'!$O54="Validé humainement",'10_Form_Finance_Climat'!D54,"")</x:f>
      </x:c>
      <x:c r="E54" s="76" t="str">
        <x:f>IF('10_Form_Finance_Climat'!$O54="Validé humainement",'10_Form_Finance_Climat'!E54,"")</x:f>
      </x:c>
      <x:c r="F54" s="76" t="str">
        <x:f>IF('10_Form_Finance_Climat'!$O54="Validé humainement",'10_Form_Finance_Climat'!F54,"")</x:f>
      </x:c>
      <x:c r="G54" s="81" t="str">
        <x:f>IF('10_Form_Finance_Climat'!$O54="Validé humainement",'10_Form_Finance_Climat'!G54,"")</x:f>
      </x:c>
      <x:c r="H54" s="81" t="str">
        <x:f>IF('10_Form_Finance_Climat'!$O54="Validé humainement",'10_Form_Finance_Climat'!H54,"")</x:f>
      </x:c>
      <x:c r="I54" s="81" t="str">
        <x:f>IF('10_Form_Finance_Climat'!$O54="Validé humainement",'10_Form_Finance_Climat'!I54,"")</x:f>
      </x:c>
      <x:c r="J54" s="81" t="str">
        <x:f>IF('10_Form_Finance_Climat'!$O54="Validé humainement",'10_Form_Finance_Climat'!J54,"")</x:f>
      </x:c>
      <x:c r="K54" s="76" t="str">
        <x:f>IF('10_Form_Finance_Climat'!$O54="Validé humainement",'10_Form_Finance_Climat'!K54,"")</x:f>
      </x:c>
      <x:c r="L54" s="76" t="str">
        <x:f>IF('10_Form_Finance_Climat'!$O54="Validé humainement",'10_Form_Finance_Climat'!L54,"")</x:f>
      </x:c>
      <x:c r="M54" s="78" t="str">
        <x:f>IF('10_Form_Finance_Climat'!$O54="Validé humainement",'10_Form_Finance_Climat'!M54,"")</x:f>
      </x:c>
      <x:c r="N54" s="76" t="str">
        <x:f>IF('10_Form_Finance_Climat'!$O54="Validé humainement",'10_Form_Finance_Climat'!N54,"")</x:f>
      </x:c>
      <x:c r="O54" s="76" t="str">
        <x:f>IF('10_Form_Finance_Climat'!$O54="Validé humainement",'10_Form_Finance_Climat'!O54,"")</x:f>
      </x:c>
      <x:c r="P54" s="76" t="str">
        <x:f>IF('10_Form_Finance_Climat'!$O54="Validé humainement",'10_Form_Finance_Climat'!P54,"")</x:f>
      </x:c>
      <x:c r="Q54" s="78" t="str">
        <x:f>IF('10_Form_Finance_Climat'!$O54="Validé humainement",'10_Form_Finance_Climat'!Q54,"")</x:f>
      </x:c>
      <x:c r="R54" s="76" t="str">
        <x:f>IF('10_Form_Finance_Climat'!$O54="Validé humainement",'10_Form_Finance_Climat'!R54,"")</x:f>
      </x:c>
      <x:c r="S54" s="76" t="str">
        <x:f>IF('10_Form_Finance_Climat'!$O54="Validé humainement",'10_Form_Finance_Climat'!S54,"")</x:f>
      </x:c>
      <x:c r="T54" s="76" t="str">
        <x:f>IF('10_Form_Finance_Climat'!$O54="Validé humainement",'10_Form_Finance_Climat'!T54,"")</x:f>
      </x:c>
    </x:row>
    <x:row r="55">
      <x:c r="A55" s="76" t="str">
        <x:f>IF('10_Form_Finance_Climat'!$O55="Validé humainement",'10_Form_Finance_Climat'!A55,"")</x:f>
      </x:c>
      <x:c r="B55" s="76" t="str">
        <x:f>IF('10_Form_Finance_Climat'!$O55="Validé humainement",'10_Form_Finance_Climat'!B55,"")</x:f>
      </x:c>
      <x:c r="C55" s="76" t="str">
        <x:f>IF('10_Form_Finance_Climat'!$O55="Validé humainement",'10_Form_Finance_Climat'!C55,"")</x:f>
      </x:c>
      <x:c r="D55" s="76" t="str">
        <x:f>IF('10_Form_Finance_Climat'!$O55="Validé humainement",'10_Form_Finance_Climat'!D55,"")</x:f>
      </x:c>
      <x:c r="E55" s="76" t="str">
        <x:f>IF('10_Form_Finance_Climat'!$O55="Validé humainement",'10_Form_Finance_Climat'!E55,"")</x:f>
      </x:c>
      <x:c r="F55" s="76" t="str">
        <x:f>IF('10_Form_Finance_Climat'!$O55="Validé humainement",'10_Form_Finance_Climat'!F55,"")</x:f>
      </x:c>
      <x:c r="G55" s="81" t="str">
        <x:f>IF('10_Form_Finance_Climat'!$O55="Validé humainement",'10_Form_Finance_Climat'!G55,"")</x:f>
      </x:c>
      <x:c r="H55" s="81" t="str">
        <x:f>IF('10_Form_Finance_Climat'!$O55="Validé humainement",'10_Form_Finance_Climat'!H55,"")</x:f>
      </x:c>
      <x:c r="I55" s="81" t="str">
        <x:f>IF('10_Form_Finance_Climat'!$O55="Validé humainement",'10_Form_Finance_Climat'!I55,"")</x:f>
      </x:c>
      <x:c r="J55" s="81" t="str">
        <x:f>IF('10_Form_Finance_Climat'!$O55="Validé humainement",'10_Form_Finance_Climat'!J55,"")</x:f>
      </x:c>
      <x:c r="K55" s="76" t="str">
        <x:f>IF('10_Form_Finance_Climat'!$O55="Validé humainement",'10_Form_Finance_Climat'!K55,"")</x:f>
      </x:c>
      <x:c r="L55" s="76" t="str">
        <x:f>IF('10_Form_Finance_Climat'!$O55="Validé humainement",'10_Form_Finance_Climat'!L55,"")</x:f>
      </x:c>
      <x:c r="M55" s="78" t="str">
        <x:f>IF('10_Form_Finance_Climat'!$O55="Validé humainement",'10_Form_Finance_Climat'!M55,"")</x:f>
      </x:c>
      <x:c r="N55" s="76" t="str">
        <x:f>IF('10_Form_Finance_Climat'!$O55="Validé humainement",'10_Form_Finance_Climat'!N55,"")</x:f>
      </x:c>
      <x:c r="O55" s="76" t="str">
        <x:f>IF('10_Form_Finance_Climat'!$O55="Validé humainement",'10_Form_Finance_Climat'!O55,"")</x:f>
      </x:c>
      <x:c r="P55" s="76" t="str">
        <x:f>IF('10_Form_Finance_Climat'!$O55="Validé humainement",'10_Form_Finance_Climat'!P55,"")</x:f>
      </x:c>
      <x:c r="Q55" s="78" t="str">
        <x:f>IF('10_Form_Finance_Climat'!$O55="Validé humainement",'10_Form_Finance_Climat'!Q55,"")</x:f>
      </x:c>
      <x:c r="R55" s="76" t="str">
        <x:f>IF('10_Form_Finance_Climat'!$O55="Validé humainement",'10_Form_Finance_Climat'!R55,"")</x:f>
      </x:c>
      <x:c r="S55" s="76" t="str">
        <x:f>IF('10_Form_Finance_Climat'!$O55="Validé humainement",'10_Form_Finance_Climat'!S55,"")</x:f>
      </x:c>
      <x:c r="T55" s="76" t="str">
        <x:f>IF('10_Form_Finance_Climat'!$O55="Validé humainement",'10_Form_Finance_Climat'!T55,"")</x:f>
      </x:c>
    </x:row>
    <x:row r="56">
      <x:c r="A56" s="76" t="str">
        <x:f>IF('10_Form_Finance_Climat'!$O56="Validé humainement",'10_Form_Finance_Climat'!A56,"")</x:f>
      </x:c>
      <x:c r="B56" s="76" t="str">
        <x:f>IF('10_Form_Finance_Climat'!$O56="Validé humainement",'10_Form_Finance_Climat'!B56,"")</x:f>
      </x:c>
      <x:c r="C56" s="76" t="str">
        <x:f>IF('10_Form_Finance_Climat'!$O56="Validé humainement",'10_Form_Finance_Climat'!C56,"")</x:f>
      </x:c>
      <x:c r="D56" s="76" t="str">
        <x:f>IF('10_Form_Finance_Climat'!$O56="Validé humainement",'10_Form_Finance_Climat'!D56,"")</x:f>
      </x:c>
      <x:c r="E56" s="76" t="str">
        <x:f>IF('10_Form_Finance_Climat'!$O56="Validé humainement",'10_Form_Finance_Climat'!E56,"")</x:f>
      </x:c>
      <x:c r="F56" s="76" t="str">
        <x:f>IF('10_Form_Finance_Climat'!$O56="Validé humainement",'10_Form_Finance_Climat'!F56,"")</x:f>
      </x:c>
      <x:c r="G56" s="81" t="str">
        <x:f>IF('10_Form_Finance_Climat'!$O56="Validé humainement",'10_Form_Finance_Climat'!G56,"")</x:f>
      </x:c>
      <x:c r="H56" s="81" t="str">
        <x:f>IF('10_Form_Finance_Climat'!$O56="Validé humainement",'10_Form_Finance_Climat'!H56,"")</x:f>
      </x:c>
      <x:c r="I56" s="81" t="str">
        <x:f>IF('10_Form_Finance_Climat'!$O56="Validé humainement",'10_Form_Finance_Climat'!I56,"")</x:f>
      </x:c>
      <x:c r="J56" s="81" t="str">
        <x:f>IF('10_Form_Finance_Climat'!$O56="Validé humainement",'10_Form_Finance_Climat'!J56,"")</x:f>
      </x:c>
      <x:c r="K56" s="76" t="str">
        <x:f>IF('10_Form_Finance_Climat'!$O56="Validé humainement",'10_Form_Finance_Climat'!K56,"")</x:f>
      </x:c>
      <x:c r="L56" s="76" t="str">
        <x:f>IF('10_Form_Finance_Climat'!$O56="Validé humainement",'10_Form_Finance_Climat'!L56,"")</x:f>
      </x:c>
      <x:c r="M56" s="78" t="str">
        <x:f>IF('10_Form_Finance_Climat'!$O56="Validé humainement",'10_Form_Finance_Climat'!M56,"")</x:f>
      </x:c>
      <x:c r="N56" s="76" t="str">
        <x:f>IF('10_Form_Finance_Climat'!$O56="Validé humainement",'10_Form_Finance_Climat'!N56,"")</x:f>
      </x:c>
      <x:c r="O56" s="76" t="str">
        <x:f>IF('10_Form_Finance_Climat'!$O56="Validé humainement",'10_Form_Finance_Climat'!O56,"")</x:f>
      </x:c>
      <x:c r="P56" s="76" t="str">
        <x:f>IF('10_Form_Finance_Climat'!$O56="Validé humainement",'10_Form_Finance_Climat'!P56,"")</x:f>
      </x:c>
      <x:c r="Q56" s="78" t="str">
        <x:f>IF('10_Form_Finance_Climat'!$O56="Validé humainement",'10_Form_Finance_Climat'!Q56,"")</x:f>
      </x:c>
      <x:c r="R56" s="76" t="str">
        <x:f>IF('10_Form_Finance_Climat'!$O56="Validé humainement",'10_Form_Finance_Climat'!R56,"")</x:f>
      </x:c>
      <x:c r="S56" s="76" t="str">
        <x:f>IF('10_Form_Finance_Climat'!$O56="Validé humainement",'10_Form_Finance_Climat'!S56,"")</x:f>
      </x:c>
      <x:c r="T56" s="76" t="str">
        <x:f>IF('10_Form_Finance_Climat'!$O56="Validé humainement",'10_Form_Finance_Climat'!T56,"")</x:f>
      </x:c>
    </x:row>
    <x:row r="57">
      <x:c r="A57" s="76" t="str">
        <x:f>IF('10_Form_Finance_Climat'!$O57="Validé humainement",'10_Form_Finance_Climat'!A57,"")</x:f>
      </x:c>
      <x:c r="B57" s="76" t="str">
        <x:f>IF('10_Form_Finance_Climat'!$O57="Validé humainement",'10_Form_Finance_Climat'!B57,"")</x:f>
      </x:c>
      <x:c r="C57" s="76" t="str">
        <x:f>IF('10_Form_Finance_Climat'!$O57="Validé humainement",'10_Form_Finance_Climat'!C57,"")</x:f>
      </x:c>
      <x:c r="D57" s="76" t="str">
        <x:f>IF('10_Form_Finance_Climat'!$O57="Validé humainement",'10_Form_Finance_Climat'!D57,"")</x:f>
      </x:c>
      <x:c r="E57" s="76" t="str">
        <x:f>IF('10_Form_Finance_Climat'!$O57="Validé humainement",'10_Form_Finance_Climat'!E57,"")</x:f>
      </x:c>
      <x:c r="F57" s="76" t="str">
        <x:f>IF('10_Form_Finance_Climat'!$O57="Validé humainement",'10_Form_Finance_Climat'!F57,"")</x:f>
      </x:c>
      <x:c r="G57" s="81" t="str">
        <x:f>IF('10_Form_Finance_Climat'!$O57="Validé humainement",'10_Form_Finance_Climat'!G57,"")</x:f>
      </x:c>
      <x:c r="H57" s="81" t="str">
        <x:f>IF('10_Form_Finance_Climat'!$O57="Validé humainement",'10_Form_Finance_Climat'!H57,"")</x:f>
      </x:c>
      <x:c r="I57" s="81" t="str">
        <x:f>IF('10_Form_Finance_Climat'!$O57="Validé humainement",'10_Form_Finance_Climat'!I57,"")</x:f>
      </x:c>
      <x:c r="J57" s="81" t="str">
        <x:f>IF('10_Form_Finance_Climat'!$O57="Validé humainement",'10_Form_Finance_Climat'!J57,"")</x:f>
      </x:c>
      <x:c r="K57" s="76" t="str">
        <x:f>IF('10_Form_Finance_Climat'!$O57="Validé humainement",'10_Form_Finance_Climat'!K57,"")</x:f>
      </x:c>
      <x:c r="L57" s="76" t="str">
        <x:f>IF('10_Form_Finance_Climat'!$O57="Validé humainement",'10_Form_Finance_Climat'!L57,"")</x:f>
      </x:c>
      <x:c r="M57" s="78" t="str">
        <x:f>IF('10_Form_Finance_Climat'!$O57="Validé humainement",'10_Form_Finance_Climat'!M57,"")</x:f>
      </x:c>
      <x:c r="N57" s="76" t="str">
        <x:f>IF('10_Form_Finance_Climat'!$O57="Validé humainement",'10_Form_Finance_Climat'!N57,"")</x:f>
      </x:c>
      <x:c r="O57" s="76" t="str">
        <x:f>IF('10_Form_Finance_Climat'!$O57="Validé humainement",'10_Form_Finance_Climat'!O57,"")</x:f>
      </x:c>
      <x:c r="P57" s="76" t="str">
        <x:f>IF('10_Form_Finance_Climat'!$O57="Validé humainement",'10_Form_Finance_Climat'!P57,"")</x:f>
      </x:c>
      <x:c r="Q57" s="78" t="str">
        <x:f>IF('10_Form_Finance_Climat'!$O57="Validé humainement",'10_Form_Finance_Climat'!Q57,"")</x:f>
      </x:c>
      <x:c r="R57" s="76" t="str">
        <x:f>IF('10_Form_Finance_Climat'!$O57="Validé humainement",'10_Form_Finance_Climat'!R57,"")</x:f>
      </x:c>
      <x:c r="S57" s="76" t="str">
        <x:f>IF('10_Form_Finance_Climat'!$O57="Validé humainement",'10_Form_Finance_Climat'!S57,"")</x:f>
      </x:c>
      <x:c r="T57" s="76" t="str">
        <x:f>IF('10_Form_Finance_Climat'!$O57="Validé humainement",'10_Form_Finance_Climat'!T57,"")</x:f>
      </x:c>
    </x:row>
    <x:row r="58">
      <x:c r="A58" s="76" t="str">
        <x:f>IF('10_Form_Finance_Climat'!$O58="Validé humainement",'10_Form_Finance_Climat'!A58,"")</x:f>
      </x:c>
      <x:c r="B58" s="76" t="str">
        <x:f>IF('10_Form_Finance_Climat'!$O58="Validé humainement",'10_Form_Finance_Climat'!B58,"")</x:f>
      </x:c>
      <x:c r="C58" s="76" t="str">
        <x:f>IF('10_Form_Finance_Climat'!$O58="Validé humainement",'10_Form_Finance_Climat'!C58,"")</x:f>
      </x:c>
      <x:c r="D58" s="76" t="str">
        <x:f>IF('10_Form_Finance_Climat'!$O58="Validé humainement",'10_Form_Finance_Climat'!D58,"")</x:f>
      </x:c>
      <x:c r="E58" s="76" t="str">
        <x:f>IF('10_Form_Finance_Climat'!$O58="Validé humainement",'10_Form_Finance_Climat'!E58,"")</x:f>
      </x:c>
      <x:c r="F58" s="76" t="str">
        <x:f>IF('10_Form_Finance_Climat'!$O58="Validé humainement",'10_Form_Finance_Climat'!F58,"")</x:f>
      </x:c>
      <x:c r="G58" s="81" t="str">
        <x:f>IF('10_Form_Finance_Climat'!$O58="Validé humainement",'10_Form_Finance_Climat'!G58,"")</x:f>
      </x:c>
      <x:c r="H58" s="81" t="str">
        <x:f>IF('10_Form_Finance_Climat'!$O58="Validé humainement",'10_Form_Finance_Climat'!H58,"")</x:f>
      </x:c>
      <x:c r="I58" s="81" t="str">
        <x:f>IF('10_Form_Finance_Climat'!$O58="Validé humainement",'10_Form_Finance_Climat'!I58,"")</x:f>
      </x:c>
      <x:c r="J58" s="81" t="str">
        <x:f>IF('10_Form_Finance_Climat'!$O58="Validé humainement",'10_Form_Finance_Climat'!J58,"")</x:f>
      </x:c>
      <x:c r="K58" s="76" t="str">
        <x:f>IF('10_Form_Finance_Climat'!$O58="Validé humainement",'10_Form_Finance_Climat'!K58,"")</x:f>
      </x:c>
      <x:c r="L58" s="76" t="str">
        <x:f>IF('10_Form_Finance_Climat'!$O58="Validé humainement",'10_Form_Finance_Climat'!L58,"")</x:f>
      </x:c>
      <x:c r="M58" s="78" t="str">
        <x:f>IF('10_Form_Finance_Climat'!$O58="Validé humainement",'10_Form_Finance_Climat'!M58,"")</x:f>
      </x:c>
      <x:c r="N58" s="76" t="str">
        <x:f>IF('10_Form_Finance_Climat'!$O58="Validé humainement",'10_Form_Finance_Climat'!N58,"")</x:f>
      </x:c>
      <x:c r="O58" s="76" t="str">
        <x:f>IF('10_Form_Finance_Climat'!$O58="Validé humainement",'10_Form_Finance_Climat'!O58,"")</x:f>
      </x:c>
      <x:c r="P58" s="76" t="str">
        <x:f>IF('10_Form_Finance_Climat'!$O58="Validé humainement",'10_Form_Finance_Climat'!P58,"")</x:f>
      </x:c>
      <x:c r="Q58" s="78" t="str">
        <x:f>IF('10_Form_Finance_Climat'!$O58="Validé humainement",'10_Form_Finance_Climat'!Q58,"")</x:f>
      </x:c>
      <x:c r="R58" s="76" t="str">
        <x:f>IF('10_Form_Finance_Climat'!$O58="Validé humainement",'10_Form_Finance_Climat'!R58,"")</x:f>
      </x:c>
      <x:c r="S58" s="76" t="str">
        <x:f>IF('10_Form_Finance_Climat'!$O58="Validé humainement",'10_Form_Finance_Climat'!S58,"")</x:f>
      </x:c>
      <x:c r="T58" s="76" t="str">
        <x:f>IF('10_Form_Finance_Climat'!$O58="Validé humainement",'10_Form_Finance_Climat'!T58,"")</x:f>
      </x:c>
    </x:row>
    <x:row r="59">
      <x:c r="A59" s="76" t="str">
        <x:f>IF('10_Form_Finance_Climat'!$O59="Validé humainement",'10_Form_Finance_Climat'!A59,"")</x:f>
      </x:c>
      <x:c r="B59" s="76" t="str">
        <x:f>IF('10_Form_Finance_Climat'!$O59="Validé humainement",'10_Form_Finance_Climat'!B59,"")</x:f>
      </x:c>
      <x:c r="C59" s="76" t="str">
        <x:f>IF('10_Form_Finance_Climat'!$O59="Validé humainement",'10_Form_Finance_Climat'!C59,"")</x:f>
      </x:c>
      <x:c r="D59" s="76" t="str">
        <x:f>IF('10_Form_Finance_Climat'!$O59="Validé humainement",'10_Form_Finance_Climat'!D59,"")</x:f>
      </x:c>
      <x:c r="E59" s="76" t="str">
        <x:f>IF('10_Form_Finance_Climat'!$O59="Validé humainement",'10_Form_Finance_Climat'!E59,"")</x:f>
      </x:c>
      <x:c r="F59" s="76" t="str">
        <x:f>IF('10_Form_Finance_Climat'!$O59="Validé humainement",'10_Form_Finance_Climat'!F59,"")</x:f>
      </x:c>
      <x:c r="G59" s="81" t="str">
        <x:f>IF('10_Form_Finance_Climat'!$O59="Validé humainement",'10_Form_Finance_Climat'!G59,"")</x:f>
      </x:c>
      <x:c r="H59" s="81" t="str">
        <x:f>IF('10_Form_Finance_Climat'!$O59="Validé humainement",'10_Form_Finance_Climat'!H59,"")</x:f>
      </x:c>
      <x:c r="I59" s="81" t="str">
        <x:f>IF('10_Form_Finance_Climat'!$O59="Validé humainement",'10_Form_Finance_Climat'!I59,"")</x:f>
      </x:c>
      <x:c r="J59" s="81" t="str">
        <x:f>IF('10_Form_Finance_Climat'!$O59="Validé humainement",'10_Form_Finance_Climat'!J59,"")</x:f>
      </x:c>
      <x:c r="K59" s="76" t="str">
        <x:f>IF('10_Form_Finance_Climat'!$O59="Validé humainement",'10_Form_Finance_Climat'!K59,"")</x:f>
      </x:c>
      <x:c r="L59" s="76" t="str">
        <x:f>IF('10_Form_Finance_Climat'!$O59="Validé humainement",'10_Form_Finance_Climat'!L59,"")</x:f>
      </x:c>
      <x:c r="M59" s="78" t="str">
        <x:f>IF('10_Form_Finance_Climat'!$O59="Validé humainement",'10_Form_Finance_Climat'!M59,"")</x:f>
      </x:c>
      <x:c r="N59" s="76" t="str">
        <x:f>IF('10_Form_Finance_Climat'!$O59="Validé humainement",'10_Form_Finance_Climat'!N59,"")</x:f>
      </x:c>
      <x:c r="O59" s="76" t="str">
        <x:f>IF('10_Form_Finance_Climat'!$O59="Validé humainement",'10_Form_Finance_Climat'!O59,"")</x:f>
      </x:c>
      <x:c r="P59" s="76" t="str">
        <x:f>IF('10_Form_Finance_Climat'!$O59="Validé humainement",'10_Form_Finance_Climat'!P59,"")</x:f>
      </x:c>
      <x:c r="Q59" s="78" t="str">
        <x:f>IF('10_Form_Finance_Climat'!$O59="Validé humainement",'10_Form_Finance_Climat'!Q59,"")</x:f>
      </x:c>
      <x:c r="R59" s="76" t="str">
        <x:f>IF('10_Form_Finance_Climat'!$O59="Validé humainement",'10_Form_Finance_Climat'!R59,"")</x:f>
      </x:c>
      <x:c r="S59" s="76" t="str">
        <x:f>IF('10_Form_Finance_Climat'!$O59="Validé humainement",'10_Form_Finance_Climat'!S59,"")</x:f>
      </x:c>
      <x:c r="T59" s="76" t="str">
        <x:f>IF('10_Form_Finance_Climat'!$O59="Validé humainement",'10_Form_Finance_Climat'!T59,"")</x:f>
      </x:c>
    </x:row>
    <x:row r="60">
      <x:c r="A60" s="76" t="str">
        <x:f>IF('10_Form_Finance_Climat'!$O60="Validé humainement",'10_Form_Finance_Climat'!A60,"")</x:f>
      </x:c>
      <x:c r="B60" s="76" t="str">
        <x:f>IF('10_Form_Finance_Climat'!$O60="Validé humainement",'10_Form_Finance_Climat'!B60,"")</x:f>
      </x:c>
      <x:c r="C60" s="76" t="str">
        <x:f>IF('10_Form_Finance_Climat'!$O60="Validé humainement",'10_Form_Finance_Climat'!C60,"")</x:f>
      </x:c>
      <x:c r="D60" s="76" t="str">
        <x:f>IF('10_Form_Finance_Climat'!$O60="Validé humainement",'10_Form_Finance_Climat'!D60,"")</x:f>
      </x:c>
      <x:c r="E60" s="76" t="str">
        <x:f>IF('10_Form_Finance_Climat'!$O60="Validé humainement",'10_Form_Finance_Climat'!E60,"")</x:f>
      </x:c>
      <x:c r="F60" s="76" t="str">
        <x:f>IF('10_Form_Finance_Climat'!$O60="Validé humainement",'10_Form_Finance_Climat'!F60,"")</x:f>
      </x:c>
      <x:c r="G60" s="81" t="str">
        <x:f>IF('10_Form_Finance_Climat'!$O60="Validé humainement",'10_Form_Finance_Climat'!G60,"")</x:f>
      </x:c>
      <x:c r="H60" s="81" t="str">
        <x:f>IF('10_Form_Finance_Climat'!$O60="Validé humainement",'10_Form_Finance_Climat'!H60,"")</x:f>
      </x:c>
      <x:c r="I60" s="81" t="str">
        <x:f>IF('10_Form_Finance_Climat'!$O60="Validé humainement",'10_Form_Finance_Climat'!I60,"")</x:f>
      </x:c>
      <x:c r="J60" s="81" t="str">
        <x:f>IF('10_Form_Finance_Climat'!$O60="Validé humainement",'10_Form_Finance_Climat'!J60,"")</x:f>
      </x:c>
      <x:c r="K60" s="76" t="str">
        <x:f>IF('10_Form_Finance_Climat'!$O60="Validé humainement",'10_Form_Finance_Climat'!K60,"")</x:f>
      </x:c>
      <x:c r="L60" s="76" t="str">
        <x:f>IF('10_Form_Finance_Climat'!$O60="Validé humainement",'10_Form_Finance_Climat'!L60,"")</x:f>
      </x:c>
      <x:c r="M60" s="78" t="str">
        <x:f>IF('10_Form_Finance_Climat'!$O60="Validé humainement",'10_Form_Finance_Climat'!M60,"")</x:f>
      </x:c>
      <x:c r="N60" s="76" t="str">
        <x:f>IF('10_Form_Finance_Climat'!$O60="Validé humainement",'10_Form_Finance_Climat'!N60,"")</x:f>
      </x:c>
      <x:c r="O60" s="76" t="str">
        <x:f>IF('10_Form_Finance_Climat'!$O60="Validé humainement",'10_Form_Finance_Climat'!O60,"")</x:f>
      </x:c>
      <x:c r="P60" s="76" t="str">
        <x:f>IF('10_Form_Finance_Climat'!$O60="Validé humainement",'10_Form_Finance_Climat'!P60,"")</x:f>
      </x:c>
      <x:c r="Q60" s="78" t="str">
        <x:f>IF('10_Form_Finance_Climat'!$O60="Validé humainement",'10_Form_Finance_Climat'!Q60,"")</x:f>
      </x:c>
      <x:c r="R60" s="76" t="str">
        <x:f>IF('10_Form_Finance_Climat'!$O60="Validé humainement",'10_Form_Finance_Climat'!R60,"")</x:f>
      </x:c>
      <x:c r="S60" s="76" t="str">
        <x:f>IF('10_Form_Finance_Climat'!$O60="Validé humainement",'10_Form_Finance_Climat'!S60,"")</x:f>
      </x:c>
      <x:c r="T60" s="76" t="str">
        <x:f>IF('10_Form_Finance_Climat'!$O60="Validé humainement",'10_Form_Finance_Climat'!T60,"")</x:f>
      </x:c>
    </x:row>
    <x:row r="61">
      <x:c r="A61" s="76" t="str">
        <x:f>IF('10_Form_Finance_Climat'!$O61="Validé humainement",'10_Form_Finance_Climat'!A61,"")</x:f>
      </x:c>
      <x:c r="B61" s="76" t="str">
        <x:f>IF('10_Form_Finance_Climat'!$O61="Validé humainement",'10_Form_Finance_Climat'!B61,"")</x:f>
      </x:c>
      <x:c r="C61" s="76" t="str">
        <x:f>IF('10_Form_Finance_Climat'!$O61="Validé humainement",'10_Form_Finance_Climat'!C61,"")</x:f>
      </x:c>
      <x:c r="D61" s="76" t="str">
        <x:f>IF('10_Form_Finance_Climat'!$O61="Validé humainement",'10_Form_Finance_Climat'!D61,"")</x:f>
      </x:c>
      <x:c r="E61" s="76" t="str">
        <x:f>IF('10_Form_Finance_Climat'!$O61="Validé humainement",'10_Form_Finance_Climat'!E61,"")</x:f>
      </x:c>
      <x:c r="F61" s="76" t="str">
        <x:f>IF('10_Form_Finance_Climat'!$O61="Validé humainement",'10_Form_Finance_Climat'!F61,"")</x:f>
      </x:c>
      <x:c r="G61" s="81" t="str">
        <x:f>IF('10_Form_Finance_Climat'!$O61="Validé humainement",'10_Form_Finance_Climat'!G61,"")</x:f>
      </x:c>
      <x:c r="H61" s="81" t="str">
        <x:f>IF('10_Form_Finance_Climat'!$O61="Validé humainement",'10_Form_Finance_Climat'!H61,"")</x:f>
      </x:c>
      <x:c r="I61" s="81" t="str">
        <x:f>IF('10_Form_Finance_Climat'!$O61="Validé humainement",'10_Form_Finance_Climat'!I61,"")</x:f>
      </x:c>
      <x:c r="J61" s="81" t="str">
        <x:f>IF('10_Form_Finance_Climat'!$O61="Validé humainement",'10_Form_Finance_Climat'!J61,"")</x:f>
      </x:c>
      <x:c r="K61" s="76" t="str">
        <x:f>IF('10_Form_Finance_Climat'!$O61="Validé humainement",'10_Form_Finance_Climat'!K61,"")</x:f>
      </x:c>
      <x:c r="L61" s="76" t="str">
        <x:f>IF('10_Form_Finance_Climat'!$O61="Validé humainement",'10_Form_Finance_Climat'!L61,"")</x:f>
      </x:c>
      <x:c r="M61" s="78" t="str">
        <x:f>IF('10_Form_Finance_Climat'!$O61="Validé humainement",'10_Form_Finance_Climat'!M61,"")</x:f>
      </x:c>
      <x:c r="N61" s="76" t="str">
        <x:f>IF('10_Form_Finance_Climat'!$O61="Validé humainement",'10_Form_Finance_Climat'!N61,"")</x:f>
      </x:c>
      <x:c r="O61" s="76" t="str">
        <x:f>IF('10_Form_Finance_Climat'!$O61="Validé humainement",'10_Form_Finance_Climat'!O61,"")</x:f>
      </x:c>
      <x:c r="P61" s="76" t="str">
        <x:f>IF('10_Form_Finance_Climat'!$O61="Validé humainement",'10_Form_Finance_Climat'!P61,"")</x:f>
      </x:c>
      <x:c r="Q61" s="78" t="str">
        <x:f>IF('10_Form_Finance_Climat'!$O61="Validé humainement",'10_Form_Finance_Climat'!Q61,"")</x:f>
      </x:c>
      <x:c r="R61" s="76" t="str">
        <x:f>IF('10_Form_Finance_Climat'!$O61="Validé humainement",'10_Form_Finance_Climat'!R61,"")</x:f>
      </x:c>
      <x:c r="S61" s="76" t="str">
        <x:f>IF('10_Form_Finance_Climat'!$O61="Validé humainement",'10_Form_Finance_Climat'!S61,"")</x:f>
      </x:c>
      <x:c r="T61" s="76" t="str">
        <x:f>IF('10_Form_Finance_Climat'!$O61="Validé humainement",'10_Form_Finance_Climat'!T61,"")</x:f>
      </x:c>
    </x:row>
    <x:row r="62">
      <x:c r="A62" s="76" t="str">
        <x:f>IF('10_Form_Finance_Climat'!$O62="Validé humainement",'10_Form_Finance_Climat'!A62,"")</x:f>
      </x:c>
      <x:c r="B62" s="76" t="str">
        <x:f>IF('10_Form_Finance_Climat'!$O62="Validé humainement",'10_Form_Finance_Climat'!B62,"")</x:f>
      </x:c>
      <x:c r="C62" s="76" t="str">
        <x:f>IF('10_Form_Finance_Climat'!$O62="Validé humainement",'10_Form_Finance_Climat'!C62,"")</x:f>
      </x:c>
      <x:c r="D62" s="76" t="str">
        <x:f>IF('10_Form_Finance_Climat'!$O62="Validé humainement",'10_Form_Finance_Climat'!D62,"")</x:f>
      </x:c>
      <x:c r="E62" s="76" t="str">
        <x:f>IF('10_Form_Finance_Climat'!$O62="Validé humainement",'10_Form_Finance_Climat'!E62,"")</x:f>
      </x:c>
      <x:c r="F62" s="76" t="str">
        <x:f>IF('10_Form_Finance_Climat'!$O62="Validé humainement",'10_Form_Finance_Climat'!F62,"")</x:f>
      </x:c>
      <x:c r="G62" s="81" t="str">
        <x:f>IF('10_Form_Finance_Climat'!$O62="Validé humainement",'10_Form_Finance_Climat'!G62,"")</x:f>
      </x:c>
      <x:c r="H62" s="81" t="str">
        <x:f>IF('10_Form_Finance_Climat'!$O62="Validé humainement",'10_Form_Finance_Climat'!H62,"")</x:f>
      </x:c>
      <x:c r="I62" s="81" t="str">
        <x:f>IF('10_Form_Finance_Climat'!$O62="Validé humainement",'10_Form_Finance_Climat'!I62,"")</x:f>
      </x:c>
      <x:c r="J62" s="81" t="str">
        <x:f>IF('10_Form_Finance_Climat'!$O62="Validé humainement",'10_Form_Finance_Climat'!J62,"")</x:f>
      </x:c>
      <x:c r="K62" s="76" t="str">
        <x:f>IF('10_Form_Finance_Climat'!$O62="Validé humainement",'10_Form_Finance_Climat'!K62,"")</x:f>
      </x:c>
      <x:c r="L62" s="76" t="str">
        <x:f>IF('10_Form_Finance_Climat'!$O62="Validé humainement",'10_Form_Finance_Climat'!L62,"")</x:f>
      </x:c>
      <x:c r="M62" s="78" t="str">
        <x:f>IF('10_Form_Finance_Climat'!$O62="Validé humainement",'10_Form_Finance_Climat'!M62,"")</x:f>
      </x:c>
      <x:c r="N62" s="76" t="str">
        <x:f>IF('10_Form_Finance_Climat'!$O62="Validé humainement",'10_Form_Finance_Climat'!N62,"")</x:f>
      </x:c>
      <x:c r="O62" s="76" t="str">
        <x:f>IF('10_Form_Finance_Climat'!$O62="Validé humainement",'10_Form_Finance_Climat'!O62,"")</x:f>
      </x:c>
      <x:c r="P62" s="76" t="str">
        <x:f>IF('10_Form_Finance_Climat'!$O62="Validé humainement",'10_Form_Finance_Climat'!P62,"")</x:f>
      </x:c>
      <x:c r="Q62" s="78" t="str">
        <x:f>IF('10_Form_Finance_Climat'!$O62="Validé humainement",'10_Form_Finance_Climat'!Q62,"")</x:f>
      </x:c>
      <x:c r="R62" s="76" t="str">
        <x:f>IF('10_Form_Finance_Climat'!$O62="Validé humainement",'10_Form_Finance_Climat'!R62,"")</x:f>
      </x:c>
      <x:c r="S62" s="76" t="str">
        <x:f>IF('10_Form_Finance_Climat'!$O62="Validé humainement",'10_Form_Finance_Climat'!S62,"")</x:f>
      </x:c>
      <x:c r="T62" s="76" t="str">
        <x:f>IF('10_Form_Finance_Climat'!$O62="Validé humainement",'10_Form_Finance_Climat'!T62,"")</x:f>
      </x:c>
    </x:row>
    <x:row r="63">
      <x:c r="A63" s="76" t="str">
        <x:f>IF('10_Form_Finance_Climat'!$O63="Validé humainement",'10_Form_Finance_Climat'!A63,"")</x:f>
      </x:c>
      <x:c r="B63" s="76" t="str">
        <x:f>IF('10_Form_Finance_Climat'!$O63="Validé humainement",'10_Form_Finance_Climat'!B63,"")</x:f>
      </x:c>
      <x:c r="C63" s="76" t="str">
        <x:f>IF('10_Form_Finance_Climat'!$O63="Validé humainement",'10_Form_Finance_Climat'!C63,"")</x:f>
      </x:c>
      <x:c r="D63" s="76" t="str">
        <x:f>IF('10_Form_Finance_Climat'!$O63="Validé humainement",'10_Form_Finance_Climat'!D63,"")</x:f>
      </x:c>
      <x:c r="E63" s="76" t="str">
        <x:f>IF('10_Form_Finance_Climat'!$O63="Validé humainement",'10_Form_Finance_Climat'!E63,"")</x:f>
      </x:c>
      <x:c r="F63" s="76" t="str">
        <x:f>IF('10_Form_Finance_Climat'!$O63="Validé humainement",'10_Form_Finance_Climat'!F63,"")</x:f>
      </x:c>
      <x:c r="G63" s="81" t="str">
        <x:f>IF('10_Form_Finance_Climat'!$O63="Validé humainement",'10_Form_Finance_Climat'!G63,"")</x:f>
      </x:c>
      <x:c r="H63" s="81" t="str">
        <x:f>IF('10_Form_Finance_Climat'!$O63="Validé humainement",'10_Form_Finance_Climat'!H63,"")</x:f>
      </x:c>
      <x:c r="I63" s="81" t="str">
        <x:f>IF('10_Form_Finance_Climat'!$O63="Validé humainement",'10_Form_Finance_Climat'!I63,"")</x:f>
      </x:c>
      <x:c r="J63" s="81" t="str">
        <x:f>IF('10_Form_Finance_Climat'!$O63="Validé humainement",'10_Form_Finance_Climat'!J63,"")</x:f>
      </x:c>
      <x:c r="K63" s="76" t="str">
        <x:f>IF('10_Form_Finance_Climat'!$O63="Validé humainement",'10_Form_Finance_Climat'!K63,"")</x:f>
      </x:c>
      <x:c r="L63" s="76" t="str">
        <x:f>IF('10_Form_Finance_Climat'!$O63="Validé humainement",'10_Form_Finance_Climat'!L63,"")</x:f>
      </x:c>
      <x:c r="M63" s="78" t="str">
        <x:f>IF('10_Form_Finance_Climat'!$O63="Validé humainement",'10_Form_Finance_Climat'!M63,"")</x:f>
      </x:c>
      <x:c r="N63" s="76" t="str">
        <x:f>IF('10_Form_Finance_Climat'!$O63="Validé humainement",'10_Form_Finance_Climat'!N63,"")</x:f>
      </x:c>
      <x:c r="O63" s="76" t="str">
        <x:f>IF('10_Form_Finance_Climat'!$O63="Validé humainement",'10_Form_Finance_Climat'!O63,"")</x:f>
      </x:c>
      <x:c r="P63" s="76" t="str">
        <x:f>IF('10_Form_Finance_Climat'!$O63="Validé humainement",'10_Form_Finance_Climat'!P63,"")</x:f>
      </x:c>
      <x:c r="Q63" s="78" t="str">
        <x:f>IF('10_Form_Finance_Climat'!$O63="Validé humainement",'10_Form_Finance_Climat'!Q63,"")</x:f>
      </x:c>
      <x:c r="R63" s="76" t="str">
        <x:f>IF('10_Form_Finance_Climat'!$O63="Validé humainement",'10_Form_Finance_Climat'!R63,"")</x:f>
      </x:c>
      <x:c r="S63" s="76" t="str">
        <x:f>IF('10_Form_Finance_Climat'!$O63="Validé humainement",'10_Form_Finance_Climat'!S63,"")</x:f>
      </x:c>
      <x:c r="T63" s="76" t="str">
        <x:f>IF('10_Form_Finance_Climat'!$O63="Validé humainement",'10_Form_Finance_Climat'!T63,"")</x:f>
      </x:c>
    </x:row>
    <x:row r="64">
      <x:c r="A64" s="76" t="str">
        <x:f>IF('10_Form_Finance_Climat'!$O64="Validé humainement",'10_Form_Finance_Climat'!A64,"")</x:f>
      </x:c>
      <x:c r="B64" s="76" t="str">
        <x:f>IF('10_Form_Finance_Climat'!$O64="Validé humainement",'10_Form_Finance_Climat'!B64,"")</x:f>
      </x:c>
      <x:c r="C64" s="76" t="str">
        <x:f>IF('10_Form_Finance_Climat'!$O64="Validé humainement",'10_Form_Finance_Climat'!C64,"")</x:f>
      </x:c>
      <x:c r="D64" s="76" t="str">
        <x:f>IF('10_Form_Finance_Climat'!$O64="Validé humainement",'10_Form_Finance_Climat'!D64,"")</x:f>
      </x:c>
      <x:c r="E64" s="76" t="str">
        <x:f>IF('10_Form_Finance_Climat'!$O64="Validé humainement",'10_Form_Finance_Climat'!E64,"")</x:f>
      </x:c>
      <x:c r="F64" s="76" t="str">
        <x:f>IF('10_Form_Finance_Climat'!$O64="Validé humainement",'10_Form_Finance_Climat'!F64,"")</x:f>
      </x:c>
      <x:c r="G64" s="81" t="str">
        <x:f>IF('10_Form_Finance_Climat'!$O64="Validé humainement",'10_Form_Finance_Climat'!G64,"")</x:f>
      </x:c>
      <x:c r="H64" s="81" t="str">
        <x:f>IF('10_Form_Finance_Climat'!$O64="Validé humainement",'10_Form_Finance_Climat'!H64,"")</x:f>
      </x:c>
      <x:c r="I64" s="81" t="str">
        <x:f>IF('10_Form_Finance_Climat'!$O64="Validé humainement",'10_Form_Finance_Climat'!I64,"")</x:f>
      </x:c>
      <x:c r="J64" s="81" t="str">
        <x:f>IF('10_Form_Finance_Climat'!$O64="Validé humainement",'10_Form_Finance_Climat'!J64,"")</x:f>
      </x:c>
      <x:c r="K64" s="76" t="str">
        <x:f>IF('10_Form_Finance_Climat'!$O64="Validé humainement",'10_Form_Finance_Climat'!K64,"")</x:f>
      </x:c>
      <x:c r="L64" s="76" t="str">
        <x:f>IF('10_Form_Finance_Climat'!$O64="Validé humainement",'10_Form_Finance_Climat'!L64,"")</x:f>
      </x:c>
      <x:c r="M64" s="78" t="str">
        <x:f>IF('10_Form_Finance_Climat'!$O64="Validé humainement",'10_Form_Finance_Climat'!M64,"")</x:f>
      </x:c>
      <x:c r="N64" s="76" t="str">
        <x:f>IF('10_Form_Finance_Climat'!$O64="Validé humainement",'10_Form_Finance_Climat'!N64,"")</x:f>
      </x:c>
      <x:c r="O64" s="76" t="str">
        <x:f>IF('10_Form_Finance_Climat'!$O64="Validé humainement",'10_Form_Finance_Climat'!O64,"")</x:f>
      </x:c>
      <x:c r="P64" s="76" t="str">
        <x:f>IF('10_Form_Finance_Climat'!$O64="Validé humainement",'10_Form_Finance_Climat'!P64,"")</x:f>
      </x:c>
      <x:c r="Q64" s="78" t="str">
        <x:f>IF('10_Form_Finance_Climat'!$O64="Validé humainement",'10_Form_Finance_Climat'!Q64,"")</x:f>
      </x:c>
      <x:c r="R64" s="76" t="str">
        <x:f>IF('10_Form_Finance_Climat'!$O64="Validé humainement",'10_Form_Finance_Climat'!R64,"")</x:f>
      </x:c>
      <x:c r="S64" s="76" t="str">
        <x:f>IF('10_Form_Finance_Climat'!$O64="Validé humainement",'10_Form_Finance_Climat'!S64,"")</x:f>
      </x:c>
      <x:c r="T64" s="76" t="str">
        <x:f>IF('10_Form_Finance_Climat'!$O64="Validé humainement",'10_Form_Finance_Climat'!T64,"")</x:f>
      </x:c>
    </x:row>
    <x:row r="65">
      <x:c r="A65" s="76" t="str">
        <x:f>IF('10_Form_Finance_Climat'!$O65="Validé humainement",'10_Form_Finance_Climat'!A65,"")</x:f>
      </x:c>
      <x:c r="B65" s="76" t="str">
        <x:f>IF('10_Form_Finance_Climat'!$O65="Validé humainement",'10_Form_Finance_Climat'!B65,"")</x:f>
      </x:c>
      <x:c r="C65" s="76" t="str">
        <x:f>IF('10_Form_Finance_Climat'!$O65="Validé humainement",'10_Form_Finance_Climat'!C65,"")</x:f>
      </x:c>
      <x:c r="D65" s="76" t="str">
        <x:f>IF('10_Form_Finance_Climat'!$O65="Validé humainement",'10_Form_Finance_Climat'!D65,"")</x:f>
      </x:c>
      <x:c r="E65" s="76" t="str">
        <x:f>IF('10_Form_Finance_Climat'!$O65="Validé humainement",'10_Form_Finance_Climat'!E65,"")</x:f>
      </x:c>
      <x:c r="F65" s="76" t="str">
        <x:f>IF('10_Form_Finance_Climat'!$O65="Validé humainement",'10_Form_Finance_Climat'!F65,"")</x:f>
      </x:c>
      <x:c r="G65" s="81" t="str">
        <x:f>IF('10_Form_Finance_Climat'!$O65="Validé humainement",'10_Form_Finance_Climat'!G65,"")</x:f>
      </x:c>
      <x:c r="H65" s="81" t="str">
        <x:f>IF('10_Form_Finance_Climat'!$O65="Validé humainement",'10_Form_Finance_Climat'!H65,"")</x:f>
      </x:c>
      <x:c r="I65" s="81" t="str">
        <x:f>IF('10_Form_Finance_Climat'!$O65="Validé humainement",'10_Form_Finance_Climat'!I65,"")</x:f>
      </x:c>
      <x:c r="J65" s="81" t="str">
        <x:f>IF('10_Form_Finance_Climat'!$O65="Validé humainement",'10_Form_Finance_Climat'!J65,"")</x:f>
      </x:c>
      <x:c r="K65" s="76" t="str">
        <x:f>IF('10_Form_Finance_Climat'!$O65="Validé humainement",'10_Form_Finance_Climat'!K65,"")</x:f>
      </x:c>
      <x:c r="L65" s="76" t="str">
        <x:f>IF('10_Form_Finance_Climat'!$O65="Validé humainement",'10_Form_Finance_Climat'!L65,"")</x:f>
      </x:c>
      <x:c r="M65" s="78" t="str">
        <x:f>IF('10_Form_Finance_Climat'!$O65="Validé humainement",'10_Form_Finance_Climat'!M65,"")</x:f>
      </x:c>
      <x:c r="N65" s="76" t="str">
        <x:f>IF('10_Form_Finance_Climat'!$O65="Validé humainement",'10_Form_Finance_Climat'!N65,"")</x:f>
      </x:c>
      <x:c r="O65" s="76" t="str">
        <x:f>IF('10_Form_Finance_Climat'!$O65="Validé humainement",'10_Form_Finance_Climat'!O65,"")</x:f>
      </x:c>
      <x:c r="P65" s="76" t="str">
        <x:f>IF('10_Form_Finance_Climat'!$O65="Validé humainement",'10_Form_Finance_Climat'!P65,"")</x:f>
      </x:c>
      <x:c r="Q65" s="78" t="str">
        <x:f>IF('10_Form_Finance_Climat'!$O65="Validé humainement",'10_Form_Finance_Climat'!Q65,"")</x:f>
      </x:c>
      <x:c r="R65" s="76" t="str">
        <x:f>IF('10_Form_Finance_Climat'!$O65="Validé humainement",'10_Form_Finance_Climat'!R65,"")</x:f>
      </x:c>
      <x:c r="S65" s="76" t="str">
        <x:f>IF('10_Form_Finance_Climat'!$O65="Validé humainement",'10_Form_Finance_Climat'!S65,"")</x:f>
      </x:c>
      <x:c r="T65" s="76" t="str">
        <x:f>IF('10_Form_Finance_Climat'!$O65="Validé humainement",'10_Form_Finance_Climat'!T65,"")</x:f>
      </x:c>
    </x:row>
    <x:row r="66">
      <x:c r="A66" s="76" t="str">
        <x:f>IF('10_Form_Finance_Climat'!$O66="Validé humainement",'10_Form_Finance_Climat'!A66,"")</x:f>
      </x:c>
      <x:c r="B66" s="76" t="str">
        <x:f>IF('10_Form_Finance_Climat'!$O66="Validé humainement",'10_Form_Finance_Climat'!B66,"")</x:f>
      </x:c>
      <x:c r="C66" s="76" t="str">
        <x:f>IF('10_Form_Finance_Climat'!$O66="Validé humainement",'10_Form_Finance_Climat'!C66,"")</x:f>
      </x:c>
      <x:c r="D66" s="76" t="str">
        <x:f>IF('10_Form_Finance_Climat'!$O66="Validé humainement",'10_Form_Finance_Climat'!D66,"")</x:f>
      </x:c>
      <x:c r="E66" s="76" t="str">
        <x:f>IF('10_Form_Finance_Climat'!$O66="Validé humainement",'10_Form_Finance_Climat'!E66,"")</x:f>
      </x:c>
      <x:c r="F66" s="76" t="str">
        <x:f>IF('10_Form_Finance_Climat'!$O66="Validé humainement",'10_Form_Finance_Climat'!F66,"")</x:f>
      </x:c>
      <x:c r="G66" s="81" t="str">
        <x:f>IF('10_Form_Finance_Climat'!$O66="Validé humainement",'10_Form_Finance_Climat'!G66,"")</x:f>
      </x:c>
      <x:c r="H66" s="81" t="str">
        <x:f>IF('10_Form_Finance_Climat'!$O66="Validé humainement",'10_Form_Finance_Climat'!H66,"")</x:f>
      </x:c>
      <x:c r="I66" s="81" t="str">
        <x:f>IF('10_Form_Finance_Climat'!$O66="Validé humainement",'10_Form_Finance_Climat'!I66,"")</x:f>
      </x:c>
      <x:c r="J66" s="81" t="str">
        <x:f>IF('10_Form_Finance_Climat'!$O66="Validé humainement",'10_Form_Finance_Climat'!J66,"")</x:f>
      </x:c>
      <x:c r="K66" s="76" t="str">
        <x:f>IF('10_Form_Finance_Climat'!$O66="Validé humainement",'10_Form_Finance_Climat'!K66,"")</x:f>
      </x:c>
      <x:c r="L66" s="76" t="str">
        <x:f>IF('10_Form_Finance_Climat'!$O66="Validé humainement",'10_Form_Finance_Climat'!L66,"")</x:f>
      </x:c>
      <x:c r="M66" s="78" t="str">
        <x:f>IF('10_Form_Finance_Climat'!$O66="Validé humainement",'10_Form_Finance_Climat'!M66,"")</x:f>
      </x:c>
      <x:c r="N66" s="76" t="str">
        <x:f>IF('10_Form_Finance_Climat'!$O66="Validé humainement",'10_Form_Finance_Climat'!N66,"")</x:f>
      </x:c>
      <x:c r="O66" s="76" t="str">
        <x:f>IF('10_Form_Finance_Climat'!$O66="Validé humainement",'10_Form_Finance_Climat'!O66,"")</x:f>
      </x:c>
      <x:c r="P66" s="76" t="str">
        <x:f>IF('10_Form_Finance_Climat'!$O66="Validé humainement",'10_Form_Finance_Climat'!P66,"")</x:f>
      </x:c>
      <x:c r="Q66" s="78" t="str">
        <x:f>IF('10_Form_Finance_Climat'!$O66="Validé humainement",'10_Form_Finance_Climat'!Q66,"")</x:f>
      </x:c>
      <x:c r="R66" s="76" t="str">
        <x:f>IF('10_Form_Finance_Climat'!$O66="Validé humainement",'10_Form_Finance_Climat'!R66,"")</x:f>
      </x:c>
      <x:c r="S66" s="76" t="str">
        <x:f>IF('10_Form_Finance_Climat'!$O66="Validé humainement",'10_Form_Finance_Climat'!S66,"")</x:f>
      </x:c>
      <x:c r="T66" s="76" t="str">
        <x:f>IF('10_Form_Finance_Climat'!$O66="Validé humainement",'10_Form_Finance_Climat'!T66,"")</x:f>
      </x:c>
    </x:row>
    <x:row r="67">
      <x:c r="A67" s="76" t="str">
        <x:f>IF('10_Form_Finance_Climat'!$O67="Validé humainement",'10_Form_Finance_Climat'!A67,"")</x:f>
      </x:c>
      <x:c r="B67" s="76" t="str">
        <x:f>IF('10_Form_Finance_Climat'!$O67="Validé humainement",'10_Form_Finance_Climat'!B67,"")</x:f>
      </x:c>
      <x:c r="C67" s="76" t="str">
        <x:f>IF('10_Form_Finance_Climat'!$O67="Validé humainement",'10_Form_Finance_Climat'!C67,"")</x:f>
      </x:c>
      <x:c r="D67" s="76" t="str">
        <x:f>IF('10_Form_Finance_Climat'!$O67="Validé humainement",'10_Form_Finance_Climat'!D67,"")</x:f>
      </x:c>
      <x:c r="E67" s="76" t="str">
        <x:f>IF('10_Form_Finance_Climat'!$O67="Validé humainement",'10_Form_Finance_Climat'!E67,"")</x:f>
      </x:c>
      <x:c r="F67" s="76" t="str">
        <x:f>IF('10_Form_Finance_Climat'!$O67="Validé humainement",'10_Form_Finance_Climat'!F67,"")</x:f>
      </x:c>
      <x:c r="G67" s="81" t="str">
        <x:f>IF('10_Form_Finance_Climat'!$O67="Validé humainement",'10_Form_Finance_Climat'!G67,"")</x:f>
      </x:c>
      <x:c r="H67" s="81" t="str">
        <x:f>IF('10_Form_Finance_Climat'!$O67="Validé humainement",'10_Form_Finance_Climat'!H67,"")</x:f>
      </x:c>
      <x:c r="I67" s="81" t="str">
        <x:f>IF('10_Form_Finance_Climat'!$O67="Validé humainement",'10_Form_Finance_Climat'!I67,"")</x:f>
      </x:c>
      <x:c r="J67" s="81" t="str">
        <x:f>IF('10_Form_Finance_Climat'!$O67="Validé humainement",'10_Form_Finance_Climat'!J67,"")</x:f>
      </x:c>
      <x:c r="K67" s="76" t="str">
        <x:f>IF('10_Form_Finance_Climat'!$O67="Validé humainement",'10_Form_Finance_Climat'!K67,"")</x:f>
      </x:c>
      <x:c r="L67" s="76" t="str">
        <x:f>IF('10_Form_Finance_Climat'!$O67="Validé humainement",'10_Form_Finance_Climat'!L67,"")</x:f>
      </x:c>
      <x:c r="M67" s="78" t="str">
        <x:f>IF('10_Form_Finance_Climat'!$O67="Validé humainement",'10_Form_Finance_Climat'!M67,"")</x:f>
      </x:c>
      <x:c r="N67" s="76" t="str">
        <x:f>IF('10_Form_Finance_Climat'!$O67="Validé humainement",'10_Form_Finance_Climat'!N67,"")</x:f>
      </x:c>
      <x:c r="O67" s="76" t="str">
        <x:f>IF('10_Form_Finance_Climat'!$O67="Validé humainement",'10_Form_Finance_Climat'!O67,"")</x:f>
      </x:c>
      <x:c r="P67" s="76" t="str">
        <x:f>IF('10_Form_Finance_Climat'!$O67="Validé humainement",'10_Form_Finance_Climat'!P67,"")</x:f>
      </x:c>
      <x:c r="Q67" s="78" t="str">
        <x:f>IF('10_Form_Finance_Climat'!$O67="Validé humainement",'10_Form_Finance_Climat'!Q67,"")</x:f>
      </x:c>
      <x:c r="R67" s="76" t="str">
        <x:f>IF('10_Form_Finance_Climat'!$O67="Validé humainement",'10_Form_Finance_Climat'!R67,"")</x:f>
      </x:c>
      <x:c r="S67" s="76" t="str">
        <x:f>IF('10_Form_Finance_Climat'!$O67="Validé humainement",'10_Form_Finance_Climat'!S67,"")</x:f>
      </x:c>
      <x:c r="T67" s="76" t="str">
        <x:f>IF('10_Form_Finance_Climat'!$O67="Validé humainement",'10_Form_Finance_Climat'!T67,"")</x:f>
      </x:c>
    </x:row>
    <x:row r="68">
      <x:c r="A68" s="76" t="str">
        <x:f>IF('10_Form_Finance_Climat'!$O68="Validé humainement",'10_Form_Finance_Climat'!A68,"")</x:f>
      </x:c>
      <x:c r="B68" s="76" t="str">
        <x:f>IF('10_Form_Finance_Climat'!$O68="Validé humainement",'10_Form_Finance_Climat'!B68,"")</x:f>
      </x:c>
      <x:c r="C68" s="76" t="str">
        <x:f>IF('10_Form_Finance_Climat'!$O68="Validé humainement",'10_Form_Finance_Climat'!C68,"")</x:f>
      </x:c>
      <x:c r="D68" s="76" t="str">
        <x:f>IF('10_Form_Finance_Climat'!$O68="Validé humainement",'10_Form_Finance_Climat'!D68,"")</x:f>
      </x:c>
      <x:c r="E68" s="76" t="str">
        <x:f>IF('10_Form_Finance_Climat'!$O68="Validé humainement",'10_Form_Finance_Climat'!E68,"")</x:f>
      </x:c>
      <x:c r="F68" s="76" t="str">
        <x:f>IF('10_Form_Finance_Climat'!$O68="Validé humainement",'10_Form_Finance_Climat'!F68,"")</x:f>
      </x:c>
      <x:c r="G68" s="81" t="str">
        <x:f>IF('10_Form_Finance_Climat'!$O68="Validé humainement",'10_Form_Finance_Climat'!G68,"")</x:f>
      </x:c>
      <x:c r="H68" s="81" t="str">
        <x:f>IF('10_Form_Finance_Climat'!$O68="Validé humainement",'10_Form_Finance_Climat'!H68,"")</x:f>
      </x:c>
      <x:c r="I68" s="81" t="str">
        <x:f>IF('10_Form_Finance_Climat'!$O68="Validé humainement",'10_Form_Finance_Climat'!I68,"")</x:f>
      </x:c>
      <x:c r="J68" s="81" t="str">
        <x:f>IF('10_Form_Finance_Climat'!$O68="Validé humainement",'10_Form_Finance_Climat'!J68,"")</x:f>
      </x:c>
      <x:c r="K68" s="76" t="str">
        <x:f>IF('10_Form_Finance_Climat'!$O68="Validé humainement",'10_Form_Finance_Climat'!K68,"")</x:f>
      </x:c>
      <x:c r="L68" s="76" t="str">
        <x:f>IF('10_Form_Finance_Climat'!$O68="Validé humainement",'10_Form_Finance_Climat'!L68,"")</x:f>
      </x:c>
      <x:c r="M68" s="78" t="str">
        <x:f>IF('10_Form_Finance_Climat'!$O68="Validé humainement",'10_Form_Finance_Climat'!M68,"")</x:f>
      </x:c>
      <x:c r="N68" s="76" t="str">
        <x:f>IF('10_Form_Finance_Climat'!$O68="Validé humainement",'10_Form_Finance_Climat'!N68,"")</x:f>
      </x:c>
      <x:c r="O68" s="76" t="str">
        <x:f>IF('10_Form_Finance_Climat'!$O68="Validé humainement",'10_Form_Finance_Climat'!O68,"")</x:f>
      </x:c>
      <x:c r="P68" s="76" t="str">
        <x:f>IF('10_Form_Finance_Climat'!$O68="Validé humainement",'10_Form_Finance_Climat'!P68,"")</x:f>
      </x:c>
      <x:c r="Q68" s="78" t="str">
        <x:f>IF('10_Form_Finance_Climat'!$O68="Validé humainement",'10_Form_Finance_Climat'!Q68,"")</x:f>
      </x:c>
      <x:c r="R68" s="76" t="str">
        <x:f>IF('10_Form_Finance_Climat'!$O68="Validé humainement",'10_Form_Finance_Climat'!R68,"")</x:f>
      </x:c>
      <x:c r="S68" s="76" t="str">
        <x:f>IF('10_Form_Finance_Climat'!$O68="Validé humainement",'10_Form_Finance_Climat'!S68,"")</x:f>
      </x:c>
      <x:c r="T68" s="76" t="str">
        <x:f>IF('10_Form_Finance_Climat'!$O68="Validé humainement",'10_Form_Finance_Climat'!T68,"")</x:f>
      </x:c>
    </x:row>
    <x:row r="69">
      <x:c r="A69" s="76" t="str">
        <x:f>IF('10_Form_Finance_Climat'!$O69="Validé humainement",'10_Form_Finance_Climat'!A69,"")</x:f>
      </x:c>
      <x:c r="B69" s="76" t="str">
        <x:f>IF('10_Form_Finance_Climat'!$O69="Validé humainement",'10_Form_Finance_Climat'!B69,"")</x:f>
      </x:c>
      <x:c r="C69" s="76" t="str">
        <x:f>IF('10_Form_Finance_Climat'!$O69="Validé humainement",'10_Form_Finance_Climat'!C69,"")</x:f>
      </x:c>
      <x:c r="D69" s="76" t="str">
        <x:f>IF('10_Form_Finance_Climat'!$O69="Validé humainement",'10_Form_Finance_Climat'!D69,"")</x:f>
      </x:c>
      <x:c r="E69" s="76" t="str">
        <x:f>IF('10_Form_Finance_Climat'!$O69="Validé humainement",'10_Form_Finance_Climat'!E69,"")</x:f>
      </x:c>
      <x:c r="F69" s="76" t="str">
        <x:f>IF('10_Form_Finance_Climat'!$O69="Validé humainement",'10_Form_Finance_Climat'!F69,"")</x:f>
      </x:c>
      <x:c r="G69" s="81" t="str">
        <x:f>IF('10_Form_Finance_Climat'!$O69="Validé humainement",'10_Form_Finance_Climat'!G69,"")</x:f>
      </x:c>
      <x:c r="H69" s="81" t="str">
        <x:f>IF('10_Form_Finance_Climat'!$O69="Validé humainement",'10_Form_Finance_Climat'!H69,"")</x:f>
      </x:c>
      <x:c r="I69" s="81" t="str">
        <x:f>IF('10_Form_Finance_Climat'!$O69="Validé humainement",'10_Form_Finance_Climat'!I69,"")</x:f>
      </x:c>
      <x:c r="J69" s="81" t="str">
        <x:f>IF('10_Form_Finance_Climat'!$O69="Validé humainement",'10_Form_Finance_Climat'!J69,"")</x:f>
      </x:c>
      <x:c r="K69" s="76" t="str">
        <x:f>IF('10_Form_Finance_Climat'!$O69="Validé humainement",'10_Form_Finance_Climat'!K69,"")</x:f>
      </x:c>
      <x:c r="L69" s="76" t="str">
        <x:f>IF('10_Form_Finance_Climat'!$O69="Validé humainement",'10_Form_Finance_Climat'!L69,"")</x:f>
      </x:c>
      <x:c r="M69" s="78" t="str">
        <x:f>IF('10_Form_Finance_Climat'!$O69="Validé humainement",'10_Form_Finance_Climat'!M69,"")</x:f>
      </x:c>
      <x:c r="N69" s="76" t="str">
        <x:f>IF('10_Form_Finance_Climat'!$O69="Validé humainement",'10_Form_Finance_Climat'!N69,"")</x:f>
      </x:c>
      <x:c r="O69" s="76" t="str">
        <x:f>IF('10_Form_Finance_Climat'!$O69="Validé humainement",'10_Form_Finance_Climat'!O69,"")</x:f>
      </x:c>
      <x:c r="P69" s="76" t="str">
        <x:f>IF('10_Form_Finance_Climat'!$O69="Validé humainement",'10_Form_Finance_Climat'!P69,"")</x:f>
      </x:c>
      <x:c r="Q69" s="78" t="str">
        <x:f>IF('10_Form_Finance_Climat'!$O69="Validé humainement",'10_Form_Finance_Climat'!Q69,"")</x:f>
      </x:c>
      <x:c r="R69" s="76" t="str">
        <x:f>IF('10_Form_Finance_Climat'!$O69="Validé humainement",'10_Form_Finance_Climat'!R69,"")</x:f>
      </x:c>
      <x:c r="S69" s="76" t="str">
        <x:f>IF('10_Form_Finance_Climat'!$O69="Validé humainement",'10_Form_Finance_Climat'!S69,"")</x:f>
      </x:c>
      <x:c r="T69" s="76" t="str">
        <x:f>IF('10_Form_Finance_Climat'!$O69="Validé humainement",'10_Form_Finance_Climat'!T69,"")</x:f>
      </x:c>
    </x:row>
    <x:row r="70">
      <x:c r="A70" s="76" t="str">
        <x:f>IF('10_Form_Finance_Climat'!$O70="Validé humainement",'10_Form_Finance_Climat'!A70,"")</x:f>
      </x:c>
      <x:c r="B70" s="76" t="str">
        <x:f>IF('10_Form_Finance_Climat'!$O70="Validé humainement",'10_Form_Finance_Climat'!B70,"")</x:f>
      </x:c>
      <x:c r="C70" s="76" t="str">
        <x:f>IF('10_Form_Finance_Climat'!$O70="Validé humainement",'10_Form_Finance_Climat'!C70,"")</x:f>
      </x:c>
      <x:c r="D70" s="76" t="str">
        <x:f>IF('10_Form_Finance_Climat'!$O70="Validé humainement",'10_Form_Finance_Climat'!D70,"")</x:f>
      </x:c>
      <x:c r="E70" s="76" t="str">
        <x:f>IF('10_Form_Finance_Climat'!$O70="Validé humainement",'10_Form_Finance_Climat'!E70,"")</x:f>
      </x:c>
      <x:c r="F70" s="76" t="str">
        <x:f>IF('10_Form_Finance_Climat'!$O70="Validé humainement",'10_Form_Finance_Climat'!F70,"")</x:f>
      </x:c>
      <x:c r="G70" s="81" t="str">
        <x:f>IF('10_Form_Finance_Climat'!$O70="Validé humainement",'10_Form_Finance_Climat'!G70,"")</x:f>
      </x:c>
      <x:c r="H70" s="81" t="str">
        <x:f>IF('10_Form_Finance_Climat'!$O70="Validé humainement",'10_Form_Finance_Climat'!H70,"")</x:f>
      </x:c>
      <x:c r="I70" s="81" t="str">
        <x:f>IF('10_Form_Finance_Climat'!$O70="Validé humainement",'10_Form_Finance_Climat'!I70,"")</x:f>
      </x:c>
      <x:c r="J70" s="81" t="str">
        <x:f>IF('10_Form_Finance_Climat'!$O70="Validé humainement",'10_Form_Finance_Climat'!J70,"")</x:f>
      </x:c>
      <x:c r="K70" s="76" t="str">
        <x:f>IF('10_Form_Finance_Climat'!$O70="Validé humainement",'10_Form_Finance_Climat'!K70,"")</x:f>
      </x:c>
      <x:c r="L70" s="76" t="str">
        <x:f>IF('10_Form_Finance_Climat'!$O70="Validé humainement",'10_Form_Finance_Climat'!L70,"")</x:f>
      </x:c>
      <x:c r="M70" s="78" t="str">
        <x:f>IF('10_Form_Finance_Climat'!$O70="Validé humainement",'10_Form_Finance_Climat'!M70,"")</x:f>
      </x:c>
      <x:c r="N70" s="76" t="str">
        <x:f>IF('10_Form_Finance_Climat'!$O70="Validé humainement",'10_Form_Finance_Climat'!N70,"")</x:f>
      </x:c>
      <x:c r="O70" s="76" t="str">
        <x:f>IF('10_Form_Finance_Climat'!$O70="Validé humainement",'10_Form_Finance_Climat'!O70,"")</x:f>
      </x:c>
      <x:c r="P70" s="76" t="str">
        <x:f>IF('10_Form_Finance_Climat'!$O70="Validé humainement",'10_Form_Finance_Climat'!P70,"")</x:f>
      </x:c>
      <x:c r="Q70" s="78" t="str">
        <x:f>IF('10_Form_Finance_Climat'!$O70="Validé humainement",'10_Form_Finance_Climat'!Q70,"")</x:f>
      </x:c>
      <x:c r="R70" s="76" t="str">
        <x:f>IF('10_Form_Finance_Climat'!$O70="Validé humainement",'10_Form_Finance_Climat'!R70,"")</x:f>
      </x:c>
      <x:c r="S70" s="76" t="str">
        <x:f>IF('10_Form_Finance_Climat'!$O70="Validé humainement",'10_Form_Finance_Climat'!S70,"")</x:f>
      </x:c>
      <x:c r="T70" s="76" t="str">
        <x:f>IF('10_Form_Finance_Climat'!$O70="Validé humainement",'10_Form_Finance_Climat'!T70,"")</x:f>
      </x:c>
    </x:row>
    <x:row r="71">
      <x:c r="A71" s="76" t="str">
        <x:f>IF('10_Form_Finance_Climat'!$O71="Validé humainement",'10_Form_Finance_Climat'!A71,"")</x:f>
      </x:c>
      <x:c r="B71" s="76" t="str">
        <x:f>IF('10_Form_Finance_Climat'!$O71="Validé humainement",'10_Form_Finance_Climat'!B71,"")</x:f>
      </x:c>
      <x:c r="C71" s="76" t="str">
        <x:f>IF('10_Form_Finance_Climat'!$O71="Validé humainement",'10_Form_Finance_Climat'!C71,"")</x:f>
      </x:c>
      <x:c r="D71" s="76" t="str">
        <x:f>IF('10_Form_Finance_Climat'!$O71="Validé humainement",'10_Form_Finance_Climat'!D71,"")</x:f>
      </x:c>
      <x:c r="E71" s="76" t="str">
        <x:f>IF('10_Form_Finance_Climat'!$O71="Validé humainement",'10_Form_Finance_Climat'!E71,"")</x:f>
      </x:c>
      <x:c r="F71" s="76" t="str">
        <x:f>IF('10_Form_Finance_Climat'!$O71="Validé humainement",'10_Form_Finance_Climat'!F71,"")</x:f>
      </x:c>
      <x:c r="G71" s="81" t="str">
        <x:f>IF('10_Form_Finance_Climat'!$O71="Validé humainement",'10_Form_Finance_Climat'!G71,"")</x:f>
      </x:c>
      <x:c r="H71" s="81" t="str">
        <x:f>IF('10_Form_Finance_Climat'!$O71="Validé humainement",'10_Form_Finance_Climat'!H71,"")</x:f>
      </x:c>
      <x:c r="I71" s="81" t="str">
        <x:f>IF('10_Form_Finance_Climat'!$O71="Validé humainement",'10_Form_Finance_Climat'!I71,"")</x:f>
      </x:c>
      <x:c r="J71" s="81" t="str">
        <x:f>IF('10_Form_Finance_Climat'!$O71="Validé humainement",'10_Form_Finance_Climat'!J71,"")</x:f>
      </x:c>
      <x:c r="K71" s="76" t="str">
        <x:f>IF('10_Form_Finance_Climat'!$O71="Validé humainement",'10_Form_Finance_Climat'!K71,"")</x:f>
      </x:c>
      <x:c r="L71" s="76" t="str">
        <x:f>IF('10_Form_Finance_Climat'!$O71="Validé humainement",'10_Form_Finance_Climat'!L71,"")</x:f>
      </x:c>
      <x:c r="M71" s="78" t="str">
        <x:f>IF('10_Form_Finance_Climat'!$O71="Validé humainement",'10_Form_Finance_Climat'!M71,"")</x:f>
      </x:c>
      <x:c r="N71" s="76" t="str">
        <x:f>IF('10_Form_Finance_Climat'!$O71="Validé humainement",'10_Form_Finance_Climat'!N71,"")</x:f>
      </x:c>
      <x:c r="O71" s="76" t="str">
        <x:f>IF('10_Form_Finance_Climat'!$O71="Validé humainement",'10_Form_Finance_Climat'!O71,"")</x:f>
      </x:c>
      <x:c r="P71" s="76" t="str">
        <x:f>IF('10_Form_Finance_Climat'!$O71="Validé humainement",'10_Form_Finance_Climat'!P71,"")</x:f>
      </x:c>
      <x:c r="Q71" s="78" t="str">
        <x:f>IF('10_Form_Finance_Climat'!$O71="Validé humainement",'10_Form_Finance_Climat'!Q71,"")</x:f>
      </x:c>
      <x:c r="R71" s="76" t="str">
        <x:f>IF('10_Form_Finance_Climat'!$O71="Validé humainement",'10_Form_Finance_Climat'!R71,"")</x:f>
      </x:c>
      <x:c r="S71" s="76" t="str">
        <x:f>IF('10_Form_Finance_Climat'!$O71="Validé humainement",'10_Form_Finance_Climat'!S71,"")</x:f>
      </x:c>
      <x:c r="T71" s="76" t="str">
        <x:f>IF('10_Form_Finance_Climat'!$O71="Validé humainement",'10_Form_Finance_Climat'!T71,"")</x:f>
      </x:c>
    </x:row>
    <x:row r="72">
      <x:c r="A72" s="76" t="str">
        <x:f>IF('10_Form_Finance_Climat'!$O72="Validé humainement",'10_Form_Finance_Climat'!A72,"")</x:f>
      </x:c>
      <x:c r="B72" s="76" t="str">
        <x:f>IF('10_Form_Finance_Climat'!$O72="Validé humainement",'10_Form_Finance_Climat'!B72,"")</x:f>
      </x:c>
      <x:c r="C72" s="76" t="str">
        <x:f>IF('10_Form_Finance_Climat'!$O72="Validé humainement",'10_Form_Finance_Climat'!C72,"")</x:f>
      </x:c>
      <x:c r="D72" s="76" t="str">
        <x:f>IF('10_Form_Finance_Climat'!$O72="Validé humainement",'10_Form_Finance_Climat'!D72,"")</x:f>
      </x:c>
      <x:c r="E72" s="76" t="str">
        <x:f>IF('10_Form_Finance_Climat'!$O72="Validé humainement",'10_Form_Finance_Climat'!E72,"")</x:f>
      </x:c>
      <x:c r="F72" s="76" t="str">
        <x:f>IF('10_Form_Finance_Climat'!$O72="Validé humainement",'10_Form_Finance_Climat'!F72,"")</x:f>
      </x:c>
      <x:c r="G72" s="81" t="str">
        <x:f>IF('10_Form_Finance_Climat'!$O72="Validé humainement",'10_Form_Finance_Climat'!G72,"")</x:f>
      </x:c>
      <x:c r="H72" s="81" t="str">
        <x:f>IF('10_Form_Finance_Climat'!$O72="Validé humainement",'10_Form_Finance_Climat'!H72,"")</x:f>
      </x:c>
      <x:c r="I72" s="81" t="str">
        <x:f>IF('10_Form_Finance_Climat'!$O72="Validé humainement",'10_Form_Finance_Climat'!I72,"")</x:f>
      </x:c>
      <x:c r="J72" s="81" t="str">
        <x:f>IF('10_Form_Finance_Climat'!$O72="Validé humainement",'10_Form_Finance_Climat'!J72,"")</x:f>
      </x:c>
      <x:c r="K72" s="76" t="str">
        <x:f>IF('10_Form_Finance_Climat'!$O72="Validé humainement",'10_Form_Finance_Climat'!K72,"")</x:f>
      </x:c>
      <x:c r="L72" s="76" t="str">
        <x:f>IF('10_Form_Finance_Climat'!$O72="Validé humainement",'10_Form_Finance_Climat'!L72,"")</x:f>
      </x:c>
      <x:c r="M72" s="78" t="str">
        <x:f>IF('10_Form_Finance_Climat'!$O72="Validé humainement",'10_Form_Finance_Climat'!M72,"")</x:f>
      </x:c>
      <x:c r="N72" s="76" t="str">
        <x:f>IF('10_Form_Finance_Climat'!$O72="Validé humainement",'10_Form_Finance_Climat'!N72,"")</x:f>
      </x:c>
      <x:c r="O72" s="76" t="str">
        <x:f>IF('10_Form_Finance_Climat'!$O72="Validé humainement",'10_Form_Finance_Climat'!O72,"")</x:f>
      </x:c>
      <x:c r="P72" s="76" t="str">
        <x:f>IF('10_Form_Finance_Climat'!$O72="Validé humainement",'10_Form_Finance_Climat'!P72,"")</x:f>
      </x:c>
      <x:c r="Q72" s="78" t="str">
        <x:f>IF('10_Form_Finance_Climat'!$O72="Validé humainement",'10_Form_Finance_Climat'!Q72,"")</x:f>
      </x:c>
      <x:c r="R72" s="76" t="str">
        <x:f>IF('10_Form_Finance_Climat'!$O72="Validé humainement",'10_Form_Finance_Climat'!R72,"")</x:f>
      </x:c>
      <x:c r="S72" s="76" t="str">
        <x:f>IF('10_Form_Finance_Climat'!$O72="Validé humainement",'10_Form_Finance_Climat'!S72,"")</x:f>
      </x:c>
      <x:c r="T72" s="76" t="str">
        <x:f>IF('10_Form_Finance_Climat'!$O72="Validé humainement",'10_Form_Finance_Climat'!T72,"")</x:f>
      </x:c>
    </x:row>
    <x:row r="73">
      <x:c r="A73" s="76" t="str">
        <x:f>IF('10_Form_Finance_Climat'!$O73="Validé humainement",'10_Form_Finance_Climat'!A73,"")</x:f>
      </x:c>
      <x:c r="B73" s="76" t="str">
        <x:f>IF('10_Form_Finance_Climat'!$O73="Validé humainement",'10_Form_Finance_Climat'!B73,"")</x:f>
      </x:c>
      <x:c r="C73" s="76" t="str">
        <x:f>IF('10_Form_Finance_Climat'!$O73="Validé humainement",'10_Form_Finance_Climat'!C73,"")</x:f>
      </x:c>
      <x:c r="D73" s="76" t="str">
        <x:f>IF('10_Form_Finance_Climat'!$O73="Validé humainement",'10_Form_Finance_Climat'!D73,"")</x:f>
      </x:c>
      <x:c r="E73" s="76" t="str">
        <x:f>IF('10_Form_Finance_Climat'!$O73="Validé humainement",'10_Form_Finance_Climat'!E73,"")</x:f>
      </x:c>
      <x:c r="F73" s="76" t="str">
        <x:f>IF('10_Form_Finance_Climat'!$O73="Validé humainement",'10_Form_Finance_Climat'!F73,"")</x:f>
      </x:c>
      <x:c r="G73" s="81" t="str">
        <x:f>IF('10_Form_Finance_Climat'!$O73="Validé humainement",'10_Form_Finance_Climat'!G73,"")</x:f>
      </x:c>
      <x:c r="H73" s="81" t="str">
        <x:f>IF('10_Form_Finance_Climat'!$O73="Validé humainement",'10_Form_Finance_Climat'!H73,"")</x:f>
      </x:c>
      <x:c r="I73" s="81" t="str">
        <x:f>IF('10_Form_Finance_Climat'!$O73="Validé humainement",'10_Form_Finance_Climat'!I73,"")</x:f>
      </x:c>
      <x:c r="J73" s="81" t="str">
        <x:f>IF('10_Form_Finance_Climat'!$O73="Validé humainement",'10_Form_Finance_Climat'!J73,"")</x:f>
      </x:c>
      <x:c r="K73" s="76" t="str">
        <x:f>IF('10_Form_Finance_Climat'!$O73="Validé humainement",'10_Form_Finance_Climat'!K73,"")</x:f>
      </x:c>
      <x:c r="L73" s="76" t="str">
        <x:f>IF('10_Form_Finance_Climat'!$O73="Validé humainement",'10_Form_Finance_Climat'!L73,"")</x:f>
      </x:c>
      <x:c r="M73" s="78" t="str">
        <x:f>IF('10_Form_Finance_Climat'!$O73="Validé humainement",'10_Form_Finance_Climat'!M73,"")</x:f>
      </x:c>
      <x:c r="N73" s="76" t="str">
        <x:f>IF('10_Form_Finance_Climat'!$O73="Validé humainement",'10_Form_Finance_Climat'!N73,"")</x:f>
      </x:c>
      <x:c r="O73" s="76" t="str">
        <x:f>IF('10_Form_Finance_Climat'!$O73="Validé humainement",'10_Form_Finance_Climat'!O73,"")</x:f>
      </x:c>
      <x:c r="P73" s="76" t="str">
        <x:f>IF('10_Form_Finance_Climat'!$O73="Validé humainement",'10_Form_Finance_Climat'!P73,"")</x:f>
      </x:c>
      <x:c r="Q73" s="78" t="str">
        <x:f>IF('10_Form_Finance_Climat'!$O73="Validé humainement",'10_Form_Finance_Climat'!Q73,"")</x:f>
      </x:c>
      <x:c r="R73" s="76" t="str">
        <x:f>IF('10_Form_Finance_Climat'!$O73="Validé humainement",'10_Form_Finance_Climat'!R73,"")</x:f>
      </x:c>
      <x:c r="S73" s="76" t="str">
        <x:f>IF('10_Form_Finance_Climat'!$O73="Validé humainement",'10_Form_Finance_Climat'!S73,"")</x:f>
      </x:c>
      <x:c r="T73" s="76" t="str">
        <x:f>IF('10_Form_Finance_Climat'!$O73="Validé humainement",'10_Form_Finance_Climat'!T73,"")</x:f>
      </x:c>
    </x:row>
    <x:row r="74">
      <x:c r="A74" s="76" t="str">
        <x:f>IF('10_Form_Finance_Climat'!$O74="Validé humainement",'10_Form_Finance_Climat'!A74,"")</x:f>
      </x:c>
      <x:c r="B74" s="76" t="str">
        <x:f>IF('10_Form_Finance_Climat'!$O74="Validé humainement",'10_Form_Finance_Climat'!B74,"")</x:f>
      </x:c>
      <x:c r="C74" s="76" t="str">
        <x:f>IF('10_Form_Finance_Climat'!$O74="Validé humainement",'10_Form_Finance_Climat'!C74,"")</x:f>
      </x:c>
      <x:c r="D74" s="76" t="str">
        <x:f>IF('10_Form_Finance_Climat'!$O74="Validé humainement",'10_Form_Finance_Climat'!D74,"")</x:f>
      </x:c>
      <x:c r="E74" s="76" t="str">
        <x:f>IF('10_Form_Finance_Climat'!$O74="Validé humainement",'10_Form_Finance_Climat'!E74,"")</x:f>
      </x:c>
      <x:c r="F74" s="76" t="str">
        <x:f>IF('10_Form_Finance_Climat'!$O74="Validé humainement",'10_Form_Finance_Climat'!F74,"")</x:f>
      </x:c>
      <x:c r="G74" s="81" t="str">
        <x:f>IF('10_Form_Finance_Climat'!$O74="Validé humainement",'10_Form_Finance_Climat'!G74,"")</x:f>
      </x:c>
      <x:c r="H74" s="81" t="str">
        <x:f>IF('10_Form_Finance_Climat'!$O74="Validé humainement",'10_Form_Finance_Climat'!H74,"")</x:f>
      </x:c>
      <x:c r="I74" s="81" t="str">
        <x:f>IF('10_Form_Finance_Climat'!$O74="Validé humainement",'10_Form_Finance_Climat'!I74,"")</x:f>
      </x:c>
      <x:c r="J74" s="81" t="str">
        <x:f>IF('10_Form_Finance_Climat'!$O74="Validé humainement",'10_Form_Finance_Climat'!J74,"")</x:f>
      </x:c>
      <x:c r="K74" s="76" t="str">
        <x:f>IF('10_Form_Finance_Climat'!$O74="Validé humainement",'10_Form_Finance_Climat'!K74,"")</x:f>
      </x:c>
      <x:c r="L74" s="76" t="str">
        <x:f>IF('10_Form_Finance_Climat'!$O74="Validé humainement",'10_Form_Finance_Climat'!L74,"")</x:f>
      </x:c>
      <x:c r="M74" s="78" t="str">
        <x:f>IF('10_Form_Finance_Climat'!$O74="Validé humainement",'10_Form_Finance_Climat'!M74,"")</x:f>
      </x:c>
      <x:c r="N74" s="76" t="str">
        <x:f>IF('10_Form_Finance_Climat'!$O74="Validé humainement",'10_Form_Finance_Climat'!N74,"")</x:f>
      </x:c>
      <x:c r="O74" s="76" t="str">
        <x:f>IF('10_Form_Finance_Climat'!$O74="Validé humainement",'10_Form_Finance_Climat'!O74,"")</x:f>
      </x:c>
      <x:c r="P74" s="76" t="str">
        <x:f>IF('10_Form_Finance_Climat'!$O74="Validé humainement",'10_Form_Finance_Climat'!P74,"")</x:f>
      </x:c>
      <x:c r="Q74" s="78" t="str">
        <x:f>IF('10_Form_Finance_Climat'!$O74="Validé humainement",'10_Form_Finance_Climat'!Q74,"")</x:f>
      </x:c>
      <x:c r="R74" s="76" t="str">
        <x:f>IF('10_Form_Finance_Climat'!$O74="Validé humainement",'10_Form_Finance_Climat'!R74,"")</x:f>
      </x:c>
      <x:c r="S74" s="76" t="str">
        <x:f>IF('10_Form_Finance_Climat'!$O74="Validé humainement",'10_Form_Finance_Climat'!S74,"")</x:f>
      </x:c>
      <x:c r="T74" s="76" t="str">
        <x:f>IF('10_Form_Finance_Climat'!$O74="Validé humainement",'10_Form_Finance_Climat'!T74,"")</x:f>
      </x:c>
    </x:row>
    <x:row r="75">
      <x:c r="A75" s="76" t="str">
        <x:f>IF('10_Form_Finance_Climat'!$O75="Validé humainement",'10_Form_Finance_Climat'!A75,"")</x:f>
      </x:c>
      <x:c r="B75" s="76" t="str">
        <x:f>IF('10_Form_Finance_Climat'!$O75="Validé humainement",'10_Form_Finance_Climat'!B75,"")</x:f>
      </x:c>
      <x:c r="C75" s="76" t="str">
        <x:f>IF('10_Form_Finance_Climat'!$O75="Validé humainement",'10_Form_Finance_Climat'!C75,"")</x:f>
      </x:c>
      <x:c r="D75" s="76" t="str">
        <x:f>IF('10_Form_Finance_Climat'!$O75="Validé humainement",'10_Form_Finance_Climat'!D75,"")</x:f>
      </x:c>
      <x:c r="E75" s="76" t="str">
        <x:f>IF('10_Form_Finance_Climat'!$O75="Validé humainement",'10_Form_Finance_Climat'!E75,"")</x:f>
      </x:c>
      <x:c r="F75" s="76" t="str">
        <x:f>IF('10_Form_Finance_Climat'!$O75="Validé humainement",'10_Form_Finance_Climat'!F75,"")</x:f>
      </x:c>
      <x:c r="G75" s="81" t="str">
        <x:f>IF('10_Form_Finance_Climat'!$O75="Validé humainement",'10_Form_Finance_Climat'!G75,"")</x:f>
      </x:c>
      <x:c r="H75" s="81" t="str">
        <x:f>IF('10_Form_Finance_Climat'!$O75="Validé humainement",'10_Form_Finance_Climat'!H75,"")</x:f>
      </x:c>
      <x:c r="I75" s="81" t="str">
        <x:f>IF('10_Form_Finance_Climat'!$O75="Validé humainement",'10_Form_Finance_Climat'!I75,"")</x:f>
      </x:c>
      <x:c r="J75" s="81" t="str">
        <x:f>IF('10_Form_Finance_Climat'!$O75="Validé humainement",'10_Form_Finance_Climat'!J75,"")</x:f>
      </x:c>
      <x:c r="K75" s="76" t="str">
        <x:f>IF('10_Form_Finance_Climat'!$O75="Validé humainement",'10_Form_Finance_Climat'!K75,"")</x:f>
      </x:c>
      <x:c r="L75" s="76" t="str">
        <x:f>IF('10_Form_Finance_Climat'!$O75="Validé humainement",'10_Form_Finance_Climat'!L75,"")</x:f>
      </x:c>
      <x:c r="M75" s="78" t="str">
        <x:f>IF('10_Form_Finance_Climat'!$O75="Validé humainement",'10_Form_Finance_Climat'!M75,"")</x:f>
      </x:c>
      <x:c r="N75" s="76" t="str">
        <x:f>IF('10_Form_Finance_Climat'!$O75="Validé humainement",'10_Form_Finance_Climat'!N75,"")</x:f>
      </x:c>
      <x:c r="O75" s="76" t="str">
        <x:f>IF('10_Form_Finance_Climat'!$O75="Validé humainement",'10_Form_Finance_Climat'!O75,"")</x:f>
      </x:c>
      <x:c r="P75" s="76" t="str">
        <x:f>IF('10_Form_Finance_Climat'!$O75="Validé humainement",'10_Form_Finance_Climat'!P75,"")</x:f>
      </x:c>
      <x:c r="Q75" s="78" t="str">
        <x:f>IF('10_Form_Finance_Climat'!$O75="Validé humainement",'10_Form_Finance_Climat'!Q75,"")</x:f>
      </x:c>
      <x:c r="R75" s="76" t="str">
        <x:f>IF('10_Form_Finance_Climat'!$O75="Validé humainement",'10_Form_Finance_Climat'!R75,"")</x:f>
      </x:c>
      <x:c r="S75" s="76" t="str">
        <x:f>IF('10_Form_Finance_Climat'!$O75="Validé humainement",'10_Form_Finance_Climat'!S75,"")</x:f>
      </x:c>
      <x:c r="T75" s="76" t="str">
        <x:f>IF('10_Form_Finance_Climat'!$O75="Validé humainement",'10_Form_Finance_Climat'!T75,"")</x:f>
      </x:c>
    </x:row>
    <x:row r="76">
      <x:c r="A76" s="76" t="str">
        <x:f>IF('10_Form_Finance_Climat'!$O76="Validé humainement",'10_Form_Finance_Climat'!A76,"")</x:f>
      </x:c>
      <x:c r="B76" s="76" t="str">
        <x:f>IF('10_Form_Finance_Climat'!$O76="Validé humainement",'10_Form_Finance_Climat'!B76,"")</x:f>
      </x:c>
      <x:c r="C76" s="76" t="str">
        <x:f>IF('10_Form_Finance_Climat'!$O76="Validé humainement",'10_Form_Finance_Climat'!C76,"")</x:f>
      </x:c>
      <x:c r="D76" s="76" t="str">
        <x:f>IF('10_Form_Finance_Climat'!$O76="Validé humainement",'10_Form_Finance_Climat'!D76,"")</x:f>
      </x:c>
      <x:c r="E76" s="76" t="str">
        <x:f>IF('10_Form_Finance_Climat'!$O76="Validé humainement",'10_Form_Finance_Climat'!E76,"")</x:f>
      </x:c>
      <x:c r="F76" s="76" t="str">
        <x:f>IF('10_Form_Finance_Climat'!$O76="Validé humainement",'10_Form_Finance_Climat'!F76,"")</x:f>
      </x:c>
      <x:c r="G76" s="81" t="str">
        <x:f>IF('10_Form_Finance_Climat'!$O76="Validé humainement",'10_Form_Finance_Climat'!G76,"")</x:f>
      </x:c>
      <x:c r="H76" s="81" t="str">
        <x:f>IF('10_Form_Finance_Climat'!$O76="Validé humainement",'10_Form_Finance_Climat'!H76,"")</x:f>
      </x:c>
      <x:c r="I76" s="81" t="str">
        <x:f>IF('10_Form_Finance_Climat'!$O76="Validé humainement",'10_Form_Finance_Climat'!I76,"")</x:f>
      </x:c>
      <x:c r="J76" s="81" t="str">
        <x:f>IF('10_Form_Finance_Climat'!$O76="Validé humainement",'10_Form_Finance_Climat'!J76,"")</x:f>
      </x:c>
      <x:c r="K76" s="76" t="str">
        <x:f>IF('10_Form_Finance_Climat'!$O76="Validé humainement",'10_Form_Finance_Climat'!K76,"")</x:f>
      </x:c>
      <x:c r="L76" s="76" t="str">
        <x:f>IF('10_Form_Finance_Climat'!$O76="Validé humainement",'10_Form_Finance_Climat'!L76,"")</x:f>
      </x:c>
      <x:c r="M76" s="78" t="str">
        <x:f>IF('10_Form_Finance_Climat'!$O76="Validé humainement",'10_Form_Finance_Climat'!M76,"")</x:f>
      </x:c>
      <x:c r="N76" s="76" t="str">
        <x:f>IF('10_Form_Finance_Climat'!$O76="Validé humainement",'10_Form_Finance_Climat'!N76,"")</x:f>
      </x:c>
      <x:c r="O76" s="76" t="str">
        <x:f>IF('10_Form_Finance_Climat'!$O76="Validé humainement",'10_Form_Finance_Climat'!O76,"")</x:f>
      </x:c>
      <x:c r="P76" s="76" t="str">
        <x:f>IF('10_Form_Finance_Climat'!$O76="Validé humainement",'10_Form_Finance_Climat'!P76,"")</x:f>
      </x:c>
      <x:c r="Q76" s="78" t="str">
        <x:f>IF('10_Form_Finance_Climat'!$O76="Validé humainement",'10_Form_Finance_Climat'!Q76,"")</x:f>
      </x:c>
      <x:c r="R76" s="76" t="str">
        <x:f>IF('10_Form_Finance_Climat'!$O76="Validé humainement",'10_Form_Finance_Climat'!R76,"")</x:f>
      </x:c>
      <x:c r="S76" s="76" t="str">
        <x:f>IF('10_Form_Finance_Climat'!$O76="Validé humainement",'10_Form_Finance_Climat'!S76,"")</x:f>
      </x:c>
      <x:c r="T76" s="76" t="str">
        <x:f>IF('10_Form_Finance_Climat'!$O76="Validé humainement",'10_Form_Finance_Climat'!T76,"")</x:f>
      </x:c>
    </x:row>
    <x:row r="77">
      <x:c r="A77" s="76" t="str">
        <x:f>IF('10_Form_Finance_Climat'!$O77="Validé humainement",'10_Form_Finance_Climat'!A77,"")</x:f>
      </x:c>
      <x:c r="B77" s="76" t="str">
        <x:f>IF('10_Form_Finance_Climat'!$O77="Validé humainement",'10_Form_Finance_Climat'!B77,"")</x:f>
      </x:c>
      <x:c r="C77" s="76" t="str">
        <x:f>IF('10_Form_Finance_Climat'!$O77="Validé humainement",'10_Form_Finance_Climat'!C77,"")</x:f>
      </x:c>
      <x:c r="D77" s="76" t="str">
        <x:f>IF('10_Form_Finance_Climat'!$O77="Validé humainement",'10_Form_Finance_Climat'!D77,"")</x:f>
      </x:c>
      <x:c r="E77" s="76" t="str">
        <x:f>IF('10_Form_Finance_Climat'!$O77="Validé humainement",'10_Form_Finance_Climat'!E77,"")</x:f>
      </x:c>
      <x:c r="F77" s="76" t="str">
        <x:f>IF('10_Form_Finance_Climat'!$O77="Validé humainement",'10_Form_Finance_Climat'!F77,"")</x:f>
      </x:c>
      <x:c r="G77" s="81" t="str">
        <x:f>IF('10_Form_Finance_Climat'!$O77="Validé humainement",'10_Form_Finance_Climat'!G77,"")</x:f>
      </x:c>
      <x:c r="H77" s="81" t="str">
        <x:f>IF('10_Form_Finance_Climat'!$O77="Validé humainement",'10_Form_Finance_Climat'!H77,"")</x:f>
      </x:c>
      <x:c r="I77" s="81" t="str">
        <x:f>IF('10_Form_Finance_Climat'!$O77="Validé humainement",'10_Form_Finance_Climat'!I77,"")</x:f>
      </x:c>
      <x:c r="J77" s="81" t="str">
        <x:f>IF('10_Form_Finance_Climat'!$O77="Validé humainement",'10_Form_Finance_Climat'!J77,"")</x:f>
      </x:c>
      <x:c r="K77" s="76" t="str">
        <x:f>IF('10_Form_Finance_Climat'!$O77="Validé humainement",'10_Form_Finance_Climat'!K77,"")</x:f>
      </x:c>
      <x:c r="L77" s="76" t="str">
        <x:f>IF('10_Form_Finance_Climat'!$O77="Validé humainement",'10_Form_Finance_Climat'!L77,"")</x:f>
      </x:c>
      <x:c r="M77" s="78" t="str">
        <x:f>IF('10_Form_Finance_Climat'!$O77="Validé humainement",'10_Form_Finance_Climat'!M77,"")</x:f>
      </x:c>
      <x:c r="N77" s="76" t="str">
        <x:f>IF('10_Form_Finance_Climat'!$O77="Validé humainement",'10_Form_Finance_Climat'!N77,"")</x:f>
      </x:c>
      <x:c r="O77" s="76" t="str">
        <x:f>IF('10_Form_Finance_Climat'!$O77="Validé humainement",'10_Form_Finance_Climat'!O77,"")</x:f>
      </x:c>
      <x:c r="P77" s="76" t="str">
        <x:f>IF('10_Form_Finance_Climat'!$O77="Validé humainement",'10_Form_Finance_Climat'!P77,"")</x:f>
      </x:c>
      <x:c r="Q77" s="78" t="str">
        <x:f>IF('10_Form_Finance_Climat'!$O77="Validé humainement",'10_Form_Finance_Climat'!Q77,"")</x:f>
      </x:c>
      <x:c r="R77" s="76" t="str">
        <x:f>IF('10_Form_Finance_Climat'!$O77="Validé humainement",'10_Form_Finance_Climat'!R77,"")</x:f>
      </x:c>
      <x:c r="S77" s="76" t="str">
        <x:f>IF('10_Form_Finance_Climat'!$O77="Validé humainement",'10_Form_Finance_Climat'!S77,"")</x:f>
      </x:c>
      <x:c r="T77" s="76" t="str">
        <x:f>IF('10_Form_Finance_Climat'!$O77="Validé humainement",'10_Form_Finance_Climat'!T77,"")</x:f>
      </x:c>
    </x:row>
    <x:row r="78">
      <x:c r="A78" s="76" t="str">
        <x:f>IF('10_Form_Finance_Climat'!$O78="Validé humainement",'10_Form_Finance_Climat'!A78,"")</x:f>
      </x:c>
      <x:c r="B78" s="76" t="str">
        <x:f>IF('10_Form_Finance_Climat'!$O78="Validé humainement",'10_Form_Finance_Climat'!B78,"")</x:f>
      </x:c>
      <x:c r="C78" s="76" t="str">
        <x:f>IF('10_Form_Finance_Climat'!$O78="Validé humainement",'10_Form_Finance_Climat'!C78,"")</x:f>
      </x:c>
      <x:c r="D78" s="76" t="str">
        <x:f>IF('10_Form_Finance_Climat'!$O78="Validé humainement",'10_Form_Finance_Climat'!D78,"")</x:f>
      </x:c>
      <x:c r="E78" s="76" t="str">
        <x:f>IF('10_Form_Finance_Climat'!$O78="Validé humainement",'10_Form_Finance_Climat'!E78,"")</x:f>
      </x:c>
      <x:c r="F78" s="76" t="str">
        <x:f>IF('10_Form_Finance_Climat'!$O78="Validé humainement",'10_Form_Finance_Climat'!F78,"")</x:f>
      </x:c>
      <x:c r="G78" s="81" t="str">
        <x:f>IF('10_Form_Finance_Climat'!$O78="Validé humainement",'10_Form_Finance_Climat'!G78,"")</x:f>
      </x:c>
      <x:c r="H78" s="81" t="str">
        <x:f>IF('10_Form_Finance_Climat'!$O78="Validé humainement",'10_Form_Finance_Climat'!H78,"")</x:f>
      </x:c>
      <x:c r="I78" s="81" t="str">
        <x:f>IF('10_Form_Finance_Climat'!$O78="Validé humainement",'10_Form_Finance_Climat'!I78,"")</x:f>
      </x:c>
      <x:c r="J78" s="81" t="str">
        <x:f>IF('10_Form_Finance_Climat'!$O78="Validé humainement",'10_Form_Finance_Climat'!J78,"")</x:f>
      </x:c>
      <x:c r="K78" s="76" t="str">
        <x:f>IF('10_Form_Finance_Climat'!$O78="Validé humainement",'10_Form_Finance_Climat'!K78,"")</x:f>
      </x:c>
      <x:c r="L78" s="76" t="str">
        <x:f>IF('10_Form_Finance_Climat'!$O78="Validé humainement",'10_Form_Finance_Climat'!L78,"")</x:f>
      </x:c>
      <x:c r="M78" s="78" t="str">
        <x:f>IF('10_Form_Finance_Climat'!$O78="Validé humainement",'10_Form_Finance_Climat'!M78,"")</x:f>
      </x:c>
      <x:c r="N78" s="76" t="str">
        <x:f>IF('10_Form_Finance_Climat'!$O78="Validé humainement",'10_Form_Finance_Climat'!N78,"")</x:f>
      </x:c>
      <x:c r="O78" s="76" t="str">
        <x:f>IF('10_Form_Finance_Climat'!$O78="Validé humainement",'10_Form_Finance_Climat'!O78,"")</x:f>
      </x:c>
      <x:c r="P78" s="76" t="str">
        <x:f>IF('10_Form_Finance_Climat'!$O78="Validé humainement",'10_Form_Finance_Climat'!P78,"")</x:f>
      </x:c>
      <x:c r="Q78" s="78" t="str">
        <x:f>IF('10_Form_Finance_Climat'!$O78="Validé humainement",'10_Form_Finance_Climat'!Q78,"")</x:f>
      </x:c>
      <x:c r="R78" s="76" t="str">
        <x:f>IF('10_Form_Finance_Climat'!$O78="Validé humainement",'10_Form_Finance_Climat'!R78,"")</x:f>
      </x:c>
      <x:c r="S78" s="76" t="str">
        <x:f>IF('10_Form_Finance_Climat'!$O78="Validé humainement",'10_Form_Finance_Climat'!S78,"")</x:f>
      </x:c>
      <x:c r="T78" s="76" t="str">
        <x:f>IF('10_Form_Finance_Climat'!$O78="Validé humainement",'10_Form_Finance_Climat'!T78,"")</x:f>
      </x:c>
    </x:row>
    <x:row r="79">
      <x:c r="A79" s="76" t="str">
        <x:f>IF('10_Form_Finance_Climat'!$O79="Validé humainement",'10_Form_Finance_Climat'!A79,"")</x:f>
      </x:c>
      <x:c r="B79" s="76" t="str">
        <x:f>IF('10_Form_Finance_Climat'!$O79="Validé humainement",'10_Form_Finance_Climat'!B79,"")</x:f>
      </x:c>
      <x:c r="C79" s="76" t="str">
        <x:f>IF('10_Form_Finance_Climat'!$O79="Validé humainement",'10_Form_Finance_Climat'!C79,"")</x:f>
      </x:c>
      <x:c r="D79" s="76" t="str">
        <x:f>IF('10_Form_Finance_Climat'!$O79="Validé humainement",'10_Form_Finance_Climat'!D79,"")</x:f>
      </x:c>
      <x:c r="E79" s="76" t="str">
        <x:f>IF('10_Form_Finance_Climat'!$O79="Validé humainement",'10_Form_Finance_Climat'!E79,"")</x:f>
      </x:c>
      <x:c r="F79" s="76" t="str">
        <x:f>IF('10_Form_Finance_Climat'!$O79="Validé humainement",'10_Form_Finance_Climat'!F79,"")</x:f>
      </x:c>
      <x:c r="G79" s="81" t="str">
        <x:f>IF('10_Form_Finance_Climat'!$O79="Validé humainement",'10_Form_Finance_Climat'!G79,"")</x:f>
      </x:c>
      <x:c r="H79" s="81" t="str">
        <x:f>IF('10_Form_Finance_Climat'!$O79="Validé humainement",'10_Form_Finance_Climat'!H79,"")</x:f>
      </x:c>
      <x:c r="I79" s="81" t="str">
        <x:f>IF('10_Form_Finance_Climat'!$O79="Validé humainement",'10_Form_Finance_Climat'!I79,"")</x:f>
      </x:c>
      <x:c r="J79" s="81" t="str">
        <x:f>IF('10_Form_Finance_Climat'!$O79="Validé humainement",'10_Form_Finance_Climat'!J79,"")</x:f>
      </x:c>
      <x:c r="K79" s="76" t="str">
        <x:f>IF('10_Form_Finance_Climat'!$O79="Validé humainement",'10_Form_Finance_Climat'!K79,"")</x:f>
      </x:c>
      <x:c r="L79" s="76" t="str">
        <x:f>IF('10_Form_Finance_Climat'!$O79="Validé humainement",'10_Form_Finance_Climat'!L79,"")</x:f>
      </x:c>
      <x:c r="M79" s="78" t="str">
        <x:f>IF('10_Form_Finance_Climat'!$O79="Validé humainement",'10_Form_Finance_Climat'!M79,"")</x:f>
      </x:c>
      <x:c r="N79" s="76" t="str">
        <x:f>IF('10_Form_Finance_Climat'!$O79="Validé humainement",'10_Form_Finance_Climat'!N79,"")</x:f>
      </x:c>
      <x:c r="O79" s="76" t="str">
        <x:f>IF('10_Form_Finance_Climat'!$O79="Validé humainement",'10_Form_Finance_Climat'!O79,"")</x:f>
      </x:c>
      <x:c r="P79" s="76" t="str">
        <x:f>IF('10_Form_Finance_Climat'!$O79="Validé humainement",'10_Form_Finance_Climat'!P79,"")</x:f>
      </x:c>
      <x:c r="Q79" s="78" t="str">
        <x:f>IF('10_Form_Finance_Climat'!$O79="Validé humainement",'10_Form_Finance_Climat'!Q79,"")</x:f>
      </x:c>
      <x:c r="R79" s="76" t="str">
        <x:f>IF('10_Form_Finance_Climat'!$O79="Validé humainement",'10_Form_Finance_Climat'!R79,"")</x:f>
      </x:c>
      <x:c r="S79" s="76" t="str">
        <x:f>IF('10_Form_Finance_Climat'!$O79="Validé humainement",'10_Form_Finance_Climat'!S79,"")</x:f>
      </x:c>
      <x:c r="T79" s="76" t="str">
        <x:f>IF('10_Form_Finance_Climat'!$O79="Validé humainement",'10_Form_Finance_Climat'!T79,"")</x:f>
      </x:c>
    </x:row>
    <x:row r="80">
      <x:c r="A80" s="76" t="str">
        <x:f>IF('10_Form_Finance_Climat'!$O80="Validé humainement",'10_Form_Finance_Climat'!A80,"")</x:f>
      </x:c>
      <x:c r="B80" s="76" t="str">
        <x:f>IF('10_Form_Finance_Climat'!$O80="Validé humainement",'10_Form_Finance_Climat'!B80,"")</x:f>
      </x:c>
      <x:c r="C80" s="76" t="str">
        <x:f>IF('10_Form_Finance_Climat'!$O80="Validé humainement",'10_Form_Finance_Climat'!C80,"")</x:f>
      </x:c>
      <x:c r="D80" s="76" t="str">
        <x:f>IF('10_Form_Finance_Climat'!$O80="Validé humainement",'10_Form_Finance_Climat'!D80,"")</x:f>
      </x:c>
      <x:c r="E80" s="76" t="str">
        <x:f>IF('10_Form_Finance_Climat'!$O80="Validé humainement",'10_Form_Finance_Climat'!E80,"")</x:f>
      </x:c>
      <x:c r="F80" s="76" t="str">
        <x:f>IF('10_Form_Finance_Climat'!$O80="Validé humainement",'10_Form_Finance_Climat'!F80,"")</x:f>
      </x:c>
      <x:c r="G80" s="81" t="str">
        <x:f>IF('10_Form_Finance_Climat'!$O80="Validé humainement",'10_Form_Finance_Climat'!G80,"")</x:f>
      </x:c>
      <x:c r="H80" s="81" t="str">
        <x:f>IF('10_Form_Finance_Climat'!$O80="Validé humainement",'10_Form_Finance_Climat'!H80,"")</x:f>
      </x:c>
      <x:c r="I80" s="81" t="str">
        <x:f>IF('10_Form_Finance_Climat'!$O80="Validé humainement",'10_Form_Finance_Climat'!I80,"")</x:f>
      </x:c>
      <x:c r="J80" s="81" t="str">
        <x:f>IF('10_Form_Finance_Climat'!$O80="Validé humainement",'10_Form_Finance_Climat'!J80,"")</x:f>
      </x:c>
      <x:c r="K80" s="76" t="str">
        <x:f>IF('10_Form_Finance_Climat'!$O80="Validé humainement",'10_Form_Finance_Climat'!K80,"")</x:f>
      </x:c>
      <x:c r="L80" s="76" t="str">
        <x:f>IF('10_Form_Finance_Climat'!$O80="Validé humainement",'10_Form_Finance_Climat'!L80,"")</x:f>
      </x:c>
      <x:c r="M80" s="78" t="str">
        <x:f>IF('10_Form_Finance_Climat'!$O80="Validé humainement",'10_Form_Finance_Climat'!M80,"")</x:f>
      </x:c>
      <x:c r="N80" s="76" t="str">
        <x:f>IF('10_Form_Finance_Climat'!$O80="Validé humainement",'10_Form_Finance_Climat'!N80,"")</x:f>
      </x:c>
      <x:c r="O80" s="76" t="str">
        <x:f>IF('10_Form_Finance_Climat'!$O80="Validé humainement",'10_Form_Finance_Climat'!O80,"")</x:f>
      </x:c>
      <x:c r="P80" s="76" t="str">
        <x:f>IF('10_Form_Finance_Climat'!$O80="Validé humainement",'10_Form_Finance_Climat'!P80,"")</x:f>
      </x:c>
      <x:c r="Q80" s="78" t="str">
        <x:f>IF('10_Form_Finance_Climat'!$O80="Validé humainement",'10_Form_Finance_Climat'!Q80,"")</x:f>
      </x:c>
      <x:c r="R80" s="76" t="str">
        <x:f>IF('10_Form_Finance_Climat'!$O80="Validé humainement",'10_Form_Finance_Climat'!R80,"")</x:f>
      </x:c>
      <x:c r="S80" s="76" t="str">
        <x:f>IF('10_Form_Finance_Climat'!$O80="Validé humainement",'10_Form_Finance_Climat'!S80,"")</x:f>
      </x:c>
      <x:c r="T80" s="76" t="str">
        <x:f>IF('10_Form_Finance_Climat'!$O80="Validé humainement",'10_Form_Finance_Climat'!T80,"")</x:f>
      </x:c>
    </x:row>
    <x:row r="81">
      <x:c r="A81" s="76" t="str">
        <x:f>IF('10_Form_Finance_Climat'!$O81="Validé humainement",'10_Form_Finance_Climat'!A81,"")</x:f>
      </x:c>
      <x:c r="B81" s="76" t="str">
        <x:f>IF('10_Form_Finance_Climat'!$O81="Validé humainement",'10_Form_Finance_Climat'!B81,"")</x:f>
      </x:c>
      <x:c r="C81" s="76" t="str">
        <x:f>IF('10_Form_Finance_Climat'!$O81="Validé humainement",'10_Form_Finance_Climat'!C81,"")</x:f>
      </x:c>
      <x:c r="D81" s="76" t="str">
        <x:f>IF('10_Form_Finance_Climat'!$O81="Validé humainement",'10_Form_Finance_Climat'!D81,"")</x:f>
      </x:c>
      <x:c r="E81" s="76" t="str">
        <x:f>IF('10_Form_Finance_Climat'!$O81="Validé humainement",'10_Form_Finance_Climat'!E81,"")</x:f>
      </x:c>
      <x:c r="F81" s="76" t="str">
        <x:f>IF('10_Form_Finance_Climat'!$O81="Validé humainement",'10_Form_Finance_Climat'!F81,"")</x:f>
      </x:c>
      <x:c r="G81" s="81" t="str">
        <x:f>IF('10_Form_Finance_Climat'!$O81="Validé humainement",'10_Form_Finance_Climat'!G81,"")</x:f>
      </x:c>
      <x:c r="H81" s="81" t="str">
        <x:f>IF('10_Form_Finance_Climat'!$O81="Validé humainement",'10_Form_Finance_Climat'!H81,"")</x:f>
      </x:c>
      <x:c r="I81" s="81" t="str">
        <x:f>IF('10_Form_Finance_Climat'!$O81="Validé humainement",'10_Form_Finance_Climat'!I81,"")</x:f>
      </x:c>
      <x:c r="J81" s="81" t="str">
        <x:f>IF('10_Form_Finance_Climat'!$O81="Validé humainement",'10_Form_Finance_Climat'!J81,"")</x:f>
      </x:c>
      <x:c r="K81" s="76" t="str">
        <x:f>IF('10_Form_Finance_Climat'!$O81="Validé humainement",'10_Form_Finance_Climat'!K81,"")</x:f>
      </x:c>
      <x:c r="L81" s="76" t="str">
        <x:f>IF('10_Form_Finance_Climat'!$O81="Validé humainement",'10_Form_Finance_Climat'!L81,"")</x:f>
      </x:c>
      <x:c r="M81" s="78" t="str">
        <x:f>IF('10_Form_Finance_Climat'!$O81="Validé humainement",'10_Form_Finance_Climat'!M81,"")</x:f>
      </x:c>
      <x:c r="N81" s="76" t="str">
        <x:f>IF('10_Form_Finance_Climat'!$O81="Validé humainement",'10_Form_Finance_Climat'!N81,"")</x:f>
      </x:c>
      <x:c r="O81" s="76" t="str">
        <x:f>IF('10_Form_Finance_Climat'!$O81="Validé humainement",'10_Form_Finance_Climat'!O81,"")</x:f>
      </x:c>
      <x:c r="P81" s="76" t="str">
        <x:f>IF('10_Form_Finance_Climat'!$O81="Validé humainement",'10_Form_Finance_Climat'!P81,"")</x:f>
      </x:c>
      <x:c r="Q81" s="78" t="str">
        <x:f>IF('10_Form_Finance_Climat'!$O81="Validé humainement",'10_Form_Finance_Climat'!Q81,"")</x:f>
      </x:c>
      <x:c r="R81" s="76" t="str">
        <x:f>IF('10_Form_Finance_Climat'!$O81="Validé humainement",'10_Form_Finance_Climat'!R81,"")</x:f>
      </x:c>
      <x:c r="S81" s="76" t="str">
        <x:f>IF('10_Form_Finance_Climat'!$O81="Validé humainement",'10_Form_Finance_Climat'!S81,"")</x:f>
      </x:c>
      <x:c r="T81" s="76" t="str">
        <x:f>IF('10_Form_Finance_Climat'!$O81="Validé humainement",'10_Form_Finance_Climat'!T81,"")</x:f>
      </x:c>
    </x:row>
    <x:row r="82">
      <x:c r="A82" s="76" t="str">
        <x:f>IF('10_Form_Finance_Climat'!$O82="Validé humainement",'10_Form_Finance_Climat'!A82,"")</x:f>
      </x:c>
      <x:c r="B82" s="76" t="str">
        <x:f>IF('10_Form_Finance_Climat'!$O82="Validé humainement",'10_Form_Finance_Climat'!B82,"")</x:f>
      </x:c>
      <x:c r="C82" s="76" t="str">
        <x:f>IF('10_Form_Finance_Climat'!$O82="Validé humainement",'10_Form_Finance_Climat'!C82,"")</x:f>
      </x:c>
      <x:c r="D82" s="76" t="str">
        <x:f>IF('10_Form_Finance_Climat'!$O82="Validé humainement",'10_Form_Finance_Climat'!D82,"")</x:f>
      </x:c>
      <x:c r="E82" s="76" t="str">
        <x:f>IF('10_Form_Finance_Climat'!$O82="Validé humainement",'10_Form_Finance_Climat'!E82,"")</x:f>
      </x:c>
      <x:c r="F82" s="76" t="str">
        <x:f>IF('10_Form_Finance_Climat'!$O82="Validé humainement",'10_Form_Finance_Climat'!F82,"")</x:f>
      </x:c>
      <x:c r="G82" s="81" t="str">
        <x:f>IF('10_Form_Finance_Climat'!$O82="Validé humainement",'10_Form_Finance_Climat'!G82,"")</x:f>
      </x:c>
      <x:c r="H82" s="81" t="str">
        <x:f>IF('10_Form_Finance_Climat'!$O82="Validé humainement",'10_Form_Finance_Climat'!H82,"")</x:f>
      </x:c>
      <x:c r="I82" s="81" t="str">
        <x:f>IF('10_Form_Finance_Climat'!$O82="Validé humainement",'10_Form_Finance_Climat'!I82,"")</x:f>
      </x:c>
      <x:c r="J82" s="81" t="str">
        <x:f>IF('10_Form_Finance_Climat'!$O82="Validé humainement",'10_Form_Finance_Climat'!J82,"")</x:f>
      </x:c>
      <x:c r="K82" s="76" t="str">
        <x:f>IF('10_Form_Finance_Climat'!$O82="Validé humainement",'10_Form_Finance_Climat'!K82,"")</x:f>
      </x:c>
      <x:c r="L82" s="76" t="str">
        <x:f>IF('10_Form_Finance_Climat'!$O82="Validé humainement",'10_Form_Finance_Climat'!L82,"")</x:f>
      </x:c>
      <x:c r="M82" s="78" t="str">
        <x:f>IF('10_Form_Finance_Climat'!$O82="Validé humainement",'10_Form_Finance_Climat'!M82,"")</x:f>
      </x:c>
      <x:c r="N82" s="76" t="str">
        <x:f>IF('10_Form_Finance_Climat'!$O82="Validé humainement",'10_Form_Finance_Climat'!N82,"")</x:f>
      </x:c>
      <x:c r="O82" s="76" t="str">
        <x:f>IF('10_Form_Finance_Climat'!$O82="Validé humainement",'10_Form_Finance_Climat'!O82,"")</x:f>
      </x:c>
      <x:c r="P82" s="76" t="str">
        <x:f>IF('10_Form_Finance_Climat'!$O82="Validé humainement",'10_Form_Finance_Climat'!P82,"")</x:f>
      </x:c>
      <x:c r="Q82" s="78" t="str">
        <x:f>IF('10_Form_Finance_Climat'!$O82="Validé humainement",'10_Form_Finance_Climat'!Q82,"")</x:f>
      </x:c>
      <x:c r="R82" s="76" t="str">
        <x:f>IF('10_Form_Finance_Climat'!$O82="Validé humainement",'10_Form_Finance_Climat'!R82,"")</x:f>
      </x:c>
      <x:c r="S82" s="76" t="str">
        <x:f>IF('10_Form_Finance_Climat'!$O82="Validé humainement",'10_Form_Finance_Climat'!S82,"")</x:f>
      </x:c>
      <x:c r="T82" s="76" t="str">
        <x:f>IF('10_Form_Finance_Climat'!$O82="Validé humainement",'10_Form_Finance_Climat'!T82,"")</x:f>
      </x:c>
    </x:row>
    <x:row r="83">
      <x:c r="A83" s="76" t="str">
        <x:f>IF('10_Form_Finance_Climat'!$O83="Validé humainement",'10_Form_Finance_Climat'!A83,"")</x:f>
      </x:c>
      <x:c r="B83" s="76" t="str">
        <x:f>IF('10_Form_Finance_Climat'!$O83="Validé humainement",'10_Form_Finance_Climat'!B83,"")</x:f>
      </x:c>
      <x:c r="C83" s="76" t="str">
        <x:f>IF('10_Form_Finance_Climat'!$O83="Validé humainement",'10_Form_Finance_Climat'!C83,"")</x:f>
      </x:c>
      <x:c r="D83" s="76" t="str">
        <x:f>IF('10_Form_Finance_Climat'!$O83="Validé humainement",'10_Form_Finance_Climat'!D83,"")</x:f>
      </x:c>
      <x:c r="E83" s="76" t="str">
        <x:f>IF('10_Form_Finance_Climat'!$O83="Validé humainement",'10_Form_Finance_Climat'!E83,"")</x:f>
      </x:c>
      <x:c r="F83" s="76" t="str">
        <x:f>IF('10_Form_Finance_Climat'!$O83="Validé humainement",'10_Form_Finance_Climat'!F83,"")</x:f>
      </x:c>
      <x:c r="G83" s="81" t="str">
        <x:f>IF('10_Form_Finance_Climat'!$O83="Validé humainement",'10_Form_Finance_Climat'!G83,"")</x:f>
      </x:c>
      <x:c r="H83" s="81" t="str">
        <x:f>IF('10_Form_Finance_Climat'!$O83="Validé humainement",'10_Form_Finance_Climat'!H83,"")</x:f>
      </x:c>
      <x:c r="I83" s="81" t="str">
        <x:f>IF('10_Form_Finance_Climat'!$O83="Validé humainement",'10_Form_Finance_Climat'!I83,"")</x:f>
      </x:c>
      <x:c r="J83" s="81" t="str">
        <x:f>IF('10_Form_Finance_Climat'!$O83="Validé humainement",'10_Form_Finance_Climat'!J83,"")</x:f>
      </x:c>
      <x:c r="K83" s="76" t="str">
        <x:f>IF('10_Form_Finance_Climat'!$O83="Validé humainement",'10_Form_Finance_Climat'!K83,"")</x:f>
      </x:c>
      <x:c r="L83" s="76" t="str">
        <x:f>IF('10_Form_Finance_Climat'!$O83="Validé humainement",'10_Form_Finance_Climat'!L83,"")</x:f>
      </x:c>
      <x:c r="M83" s="78" t="str">
        <x:f>IF('10_Form_Finance_Climat'!$O83="Validé humainement",'10_Form_Finance_Climat'!M83,"")</x:f>
      </x:c>
      <x:c r="N83" s="76" t="str">
        <x:f>IF('10_Form_Finance_Climat'!$O83="Validé humainement",'10_Form_Finance_Climat'!N83,"")</x:f>
      </x:c>
      <x:c r="O83" s="76" t="str">
        <x:f>IF('10_Form_Finance_Climat'!$O83="Validé humainement",'10_Form_Finance_Climat'!O83,"")</x:f>
      </x:c>
      <x:c r="P83" s="76" t="str">
        <x:f>IF('10_Form_Finance_Climat'!$O83="Validé humainement",'10_Form_Finance_Climat'!P83,"")</x:f>
      </x:c>
      <x:c r="Q83" s="78" t="str">
        <x:f>IF('10_Form_Finance_Climat'!$O83="Validé humainement",'10_Form_Finance_Climat'!Q83,"")</x:f>
      </x:c>
      <x:c r="R83" s="76" t="str">
        <x:f>IF('10_Form_Finance_Climat'!$O83="Validé humainement",'10_Form_Finance_Climat'!R83,"")</x:f>
      </x:c>
      <x:c r="S83" s="76" t="str">
        <x:f>IF('10_Form_Finance_Climat'!$O83="Validé humainement",'10_Form_Finance_Climat'!S83,"")</x:f>
      </x:c>
      <x:c r="T83" s="76" t="str">
        <x:f>IF('10_Form_Finance_Climat'!$O83="Validé humainement",'10_Form_Finance_Climat'!T83,"")</x:f>
      </x:c>
    </x:row>
    <x:row r="84">
      <x:c r="A84" s="76" t="str">
        <x:f>IF('10_Form_Finance_Climat'!$O84="Validé humainement",'10_Form_Finance_Climat'!A84,"")</x:f>
      </x:c>
      <x:c r="B84" s="76" t="str">
        <x:f>IF('10_Form_Finance_Climat'!$O84="Validé humainement",'10_Form_Finance_Climat'!B84,"")</x:f>
      </x:c>
      <x:c r="C84" s="76" t="str">
        <x:f>IF('10_Form_Finance_Climat'!$O84="Validé humainement",'10_Form_Finance_Climat'!C84,"")</x:f>
      </x:c>
      <x:c r="D84" s="76" t="str">
        <x:f>IF('10_Form_Finance_Climat'!$O84="Validé humainement",'10_Form_Finance_Climat'!D84,"")</x:f>
      </x:c>
      <x:c r="E84" s="76" t="str">
        <x:f>IF('10_Form_Finance_Climat'!$O84="Validé humainement",'10_Form_Finance_Climat'!E84,"")</x:f>
      </x:c>
      <x:c r="F84" s="76" t="str">
        <x:f>IF('10_Form_Finance_Climat'!$O84="Validé humainement",'10_Form_Finance_Climat'!F84,"")</x:f>
      </x:c>
      <x:c r="G84" s="81" t="str">
        <x:f>IF('10_Form_Finance_Climat'!$O84="Validé humainement",'10_Form_Finance_Climat'!G84,"")</x:f>
      </x:c>
      <x:c r="H84" s="81" t="str">
        <x:f>IF('10_Form_Finance_Climat'!$O84="Validé humainement",'10_Form_Finance_Climat'!H84,"")</x:f>
      </x:c>
      <x:c r="I84" s="81" t="str">
        <x:f>IF('10_Form_Finance_Climat'!$O84="Validé humainement",'10_Form_Finance_Climat'!I84,"")</x:f>
      </x:c>
      <x:c r="J84" s="81" t="str">
        <x:f>IF('10_Form_Finance_Climat'!$O84="Validé humainement",'10_Form_Finance_Climat'!J84,"")</x:f>
      </x:c>
      <x:c r="K84" s="76" t="str">
        <x:f>IF('10_Form_Finance_Climat'!$O84="Validé humainement",'10_Form_Finance_Climat'!K84,"")</x:f>
      </x:c>
      <x:c r="L84" s="76" t="str">
        <x:f>IF('10_Form_Finance_Climat'!$O84="Validé humainement",'10_Form_Finance_Climat'!L84,"")</x:f>
      </x:c>
      <x:c r="M84" s="78" t="str">
        <x:f>IF('10_Form_Finance_Climat'!$O84="Validé humainement",'10_Form_Finance_Climat'!M84,"")</x:f>
      </x:c>
      <x:c r="N84" s="76" t="str">
        <x:f>IF('10_Form_Finance_Climat'!$O84="Validé humainement",'10_Form_Finance_Climat'!N84,"")</x:f>
      </x:c>
      <x:c r="O84" s="76" t="str">
        <x:f>IF('10_Form_Finance_Climat'!$O84="Validé humainement",'10_Form_Finance_Climat'!O84,"")</x:f>
      </x:c>
      <x:c r="P84" s="76" t="str">
        <x:f>IF('10_Form_Finance_Climat'!$O84="Validé humainement",'10_Form_Finance_Climat'!P84,"")</x:f>
      </x:c>
      <x:c r="Q84" s="78" t="str">
        <x:f>IF('10_Form_Finance_Climat'!$O84="Validé humainement",'10_Form_Finance_Climat'!Q84,"")</x:f>
      </x:c>
      <x:c r="R84" s="76" t="str">
        <x:f>IF('10_Form_Finance_Climat'!$O84="Validé humainement",'10_Form_Finance_Climat'!R84,"")</x:f>
      </x:c>
      <x:c r="S84" s="76" t="str">
        <x:f>IF('10_Form_Finance_Climat'!$O84="Validé humainement",'10_Form_Finance_Climat'!S84,"")</x:f>
      </x:c>
      <x:c r="T84" s="76" t="str">
        <x:f>IF('10_Form_Finance_Climat'!$O84="Validé humainement",'10_Form_Finance_Climat'!T84,"")</x:f>
      </x:c>
    </x:row>
    <x:row r="85">
      <x:c r="A85" s="76" t="str">
        <x:f>IF('10_Form_Finance_Climat'!$O85="Validé humainement",'10_Form_Finance_Climat'!A85,"")</x:f>
      </x:c>
      <x:c r="B85" s="76" t="str">
        <x:f>IF('10_Form_Finance_Climat'!$O85="Validé humainement",'10_Form_Finance_Climat'!B85,"")</x:f>
      </x:c>
      <x:c r="C85" s="76" t="str">
        <x:f>IF('10_Form_Finance_Climat'!$O85="Validé humainement",'10_Form_Finance_Climat'!C85,"")</x:f>
      </x:c>
      <x:c r="D85" s="76" t="str">
        <x:f>IF('10_Form_Finance_Climat'!$O85="Validé humainement",'10_Form_Finance_Climat'!D85,"")</x:f>
      </x:c>
      <x:c r="E85" s="76" t="str">
        <x:f>IF('10_Form_Finance_Climat'!$O85="Validé humainement",'10_Form_Finance_Climat'!E85,"")</x:f>
      </x:c>
      <x:c r="F85" s="76" t="str">
        <x:f>IF('10_Form_Finance_Climat'!$O85="Validé humainement",'10_Form_Finance_Climat'!F85,"")</x:f>
      </x:c>
      <x:c r="G85" s="81" t="str">
        <x:f>IF('10_Form_Finance_Climat'!$O85="Validé humainement",'10_Form_Finance_Climat'!G85,"")</x:f>
      </x:c>
      <x:c r="H85" s="81" t="str">
        <x:f>IF('10_Form_Finance_Climat'!$O85="Validé humainement",'10_Form_Finance_Climat'!H85,"")</x:f>
      </x:c>
      <x:c r="I85" s="81" t="str">
        <x:f>IF('10_Form_Finance_Climat'!$O85="Validé humainement",'10_Form_Finance_Climat'!I85,"")</x:f>
      </x:c>
      <x:c r="J85" s="81" t="str">
        <x:f>IF('10_Form_Finance_Climat'!$O85="Validé humainement",'10_Form_Finance_Climat'!J85,"")</x:f>
      </x:c>
      <x:c r="K85" s="76" t="str">
        <x:f>IF('10_Form_Finance_Climat'!$O85="Validé humainement",'10_Form_Finance_Climat'!K85,"")</x:f>
      </x:c>
      <x:c r="L85" s="76" t="str">
        <x:f>IF('10_Form_Finance_Climat'!$O85="Validé humainement",'10_Form_Finance_Climat'!L85,"")</x:f>
      </x:c>
      <x:c r="M85" s="78" t="str">
        <x:f>IF('10_Form_Finance_Climat'!$O85="Validé humainement",'10_Form_Finance_Climat'!M85,"")</x:f>
      </x:c>
      <x:c r="N85" s="76" t="str">
        <x:f>IF('10_Form_Finance_Climat'!$O85="Validé humainement",'10_Form_Finance_Climat'!N85,"")</x:f>
      </x:c>
      <x:c r="O85" s="76" t="str">
        <x:f>IF('10_Form_Finance_Climat'!$O85="Validé humainement",'10_Form_Finance_Climat'!O85,"")</x:f>
      </x:c>
      <x:c r="P85" s="76" t="str">
        <x:f>IF('10_Form_Finance_Climat'!$O85="Validé humainement",'10_Form_Finance_Climat'!P85,"")</x:f>
      </x:c>
      <x:c r="Q85" s="78" t="str">
        <x:f>IF('10_Form_Finance_Climat'!$O85="Validé humainement",'10_Form_Finance_Climat'!Q85,"")</x:f>
      </x:c>
      <x:c r="R85" s="76" t="str">
        <x:f>IF('10_Form_Finance_Climat'!$O85="Validé humainement",'10_Form_Finance_Climat'!R85,"")</x:f>
      </x:c>
      <x:c r="S85" s="76" t="str">
        <x:f>IF('10_Form_Finance_Climat'!$O85="Validé humainement",'10_Form_Finance_Climat'!S85,"")</x:f>
      </x:c>
      <x:c r="T85" s="76" t="str">
        <x:f>IF('10_Form_Finance_Climat'!$O85="Validé humainement",'10_Form_Finance_Climat'!T85,"")</x:f>
      </x:c>
    </x:row>
    <x:row r="86">
      <x:c r="A86" s="76" t="str">
        <x:f>IF('10_Form_Finance_Climat'!$O86="Validé humainement",'10_Form_Finance_Climat'!A86,"")</x:f>
      </x:c>
      <x:c r="B86" s="76" t="str">
        <x:f>IF('10_Form_Finance_Climat'!$O86="Validé humainement",'10_Form_Finance_Climat'!B86,"")</x:f>
      </x:c>
      <x:c r="C86" s="76" t="str">
        <x:f>IF('10_Form_Finance_Climat'!$O86="Validé humainement",'10_Form_Finance_Climat'!C86,"")</x:f>
      </x:c>
      <x:c r="D86" s="76" t="str">
        <x:f>IF('10_Form_Finance_Climat'!$O86="Validé humainement",'10_Form_Finance_Climat'!D86,"")</x:f>
      </x:c>
      <x:c r="E86" s="76" t="str">
        <x:f>IF('10_Form_Finance_Climat'!$O86="Validé humainement",'10_Form_Finance_Climat'!E86,"")</x:f>
      </x:c>
      <x:c r="F86" s="76" t="str">
        <x:f>IF('10_Form_Finance_Climat'!$O86="Validé humainement",'10_Form_Finance_Climat'!F86,"")</x:f>
      </x:c>
      <x:c r="G86" s="81" t="str">
        <x:f>IF('10_Form_Finance_Climat'!$O86="Validé humainement",'10_Form_Finance_Climat'!G86,"")</x:f>
      </x:c>
      <x:c r="H86" s="81" t="str">
        <x:f>IF('10_Form_Finance_Climat'!$O86="Validé humainement",'10_Form_Finance_Climat'!H86,"")</x:f>
      </x:c>
      <x:c r="I86" s="81" t="str">
        <x:f>IF('10_Form_Finance_Climat'!$O86="Validé humainement",'10_Form_Finance_Climat'!I86,"")</x:f>
      </x:c>
      <x:c r="J86" s="81" t="str">
        <x:f>IF('10_Form_Finance_Climat'!$O86="Validé humainement",'10_Form_Finance_Climat'!J86,"")</x:f>
      </x:c>
      <x:c r="K86" s="76" t="str">
        <x:f>IF('10_Form_Finance_Climat'!$O86="Validé humainement",'10_Form_Finance_Climat'!K86,"")</x:f>
      </x:c>
      <x:c r="L86" s="76" t="str">
        <x:f>IF('10_Form_Finance_Climat'!$O86="Validé humainement",'10_Form_Finance_Climat'!L86,"")</x:f>
      </x:c>
      <x:c r="M86" s="78" t="str">
        <x:f>IF('10_Form_Finance_Climat'!$O86="Validé humainement",'10_Form_Finance_Climat'!M86,"")</x:f>
      </x:c>
      <x:c r="N86" s="76" t="str">
        <x:f>IF('10_Form_Finance_Climat'!$O86="Validé humainement",'10_Form_Finance_Climat'!N86,"")</x:f>
      </x:c>
      <x:c r="O86" s="76" t="str">
        <x:f>IF('10_Form_Finance_Climat'!$O86="Validé humainement",'10_Form_Finance_Climat'!O86,"")</x:f>
      </x:c>
      <x:c r="P86" s="76" t="str">
        <x:f>IF('10_Form_Finance_Climat'!$O86="Validé humainement",'10_Form_Finance_Climat'!P86,"")</x:f>
      </x:c>
      <x:c r="Q86" s="78" t="str">
        <x:f>IF('10_Form_Finance_Climat'!$O86="Validé humainement",'10_Form_Finance_Climat'!Q86,"")</x:f>
      </x:c>
      <x:c r="R86" s="76" t="str">
        <x:f>IF('10_Form_Finance_Climat'!$O86="Validé humainement",'10_Form_Finance_Climat'!R86,"")</x:f>
      </x:c>
      <x:c r="S86" s="76" t="str">
        <x:f>IF('10_Form_Finance_Climat'!$O86="Validé humainement",'10_Form_Finance_Climat'!S86,"")</x:f>
      </x:c>
      <x:c r="T86" s="76" t="str">
        <x:f>IF('10_Form_Finance_Climat'!$O86="Validé humainement",'10_Form_Finance_Climat'!T86,"")</x:f>
      </x:c>
    </x:row>
    <x:row r="87">
      <x:c r="A87" s="76" t="str">
        <x:f>IF('10_Form_Finance_Climat'!$O87="Validé humainement",'10_Form_Finance_Climat'!A87,"")</x:f>
      </x:c>
      <x:c r="B87" s="76" t="str">
        <x:f>IF('10_Form_Finance_Climat'!$O87="Validé humainement",'10_Form_Finance_Climat'!B87,"")</x:f>
      </x:c>
      <x:c r="C87" s="76" t="str">
        <x:f>IF('10_Form_Finance_Climat'!$O87="Validé humainement",'10_Form_Finance_Climat'!C87,"")</x:f>
      </x:c>
      <x:c r="D87" s="76" t="str">
        <x:f>IF('10_Form_Finance_Climat'!$O87="Validé humainement",'10_Form_Finance_Climat'!D87,"")</x:f>
      </x:c>
      <x:c r="E87" s="76" t="str">
        <x:f>IF('10_Form_Finance_Climat'!$O87="Validé humainement",'10_Form_Finance_Climat'!E87,"")</x:f>
      </x:c>
      <x:c r="F87" s="76" t="str">
        <x:f>IF('10_Form_Finance_Climat'!$O87="Validé humainement",'10_Form_Finance_Climat'!F87,"")</x:f>
      </x:c>
      <x:c r="G87" s="81" t="str">
        <x:f>IF('10_Form_Finance_Climat'!$O87="Validé humainement",'10_Form_Finance_Climat'!G87,"")</x:f>
      </x:c>
      <x:c r="H87" s="81" t="str">
        <x:f>IF('10_Form_Finance_Climat'!$O87="Validé humainement",'10_Form_Finance_Climat'!H87,"")</x:f>
      </x:c>
      <x:c r="I87" s="81" t="str">
        <x:f>IF('10_Form_Finance_Climat'!$O87="Validé humainement",'10_Form_Finance_Climat'!I87,"")</x:f>
      </x:c>
      <x:c r="J87" s="81" t="str">
        <x:f>IF('10_Form_Finance_Climat'!$O87="Validé humainement",'10_Form_Finance_Climat'!J87,"")</x:f>
      </x:c>
      <x:c r="K87" s="76" t="str">
        <x:f>IF('10_Form_Finance_Climat'!$O87="Validé humainement",'10_Form_Finance_Climat'!K87,"")</x:f>
      </x:c>
      <x:c r="L87" s="76" t="str">
        <x:f>IF('10_Form_Finance_Climat'!$O87="Validé humainement",'10_Form_Finance_Climat'!L87,"")</x:f>
      </x:c>
      <x:c r="M87" s="78" t="str">
        <x:f>IF('10_Form_Finance_Climat'!$O87="Validé humainement",'10_Form_Finance_Climat'!M87,"")</x:f>
      </x:c>
      <x:c r="N87" s="76" t="str">
        <x:f>IF('10_Form_Finance_Climat'!$O87="Validé humainement",'10_Form_Finance_Climat'!N87,"")</x:f>
      </x:c>
      <x:c r="O87" s="76" t="str">
        <x:f>IF('10_Form_Finance_Climat'!$O87="Validé humainement",'10_Form_Finance_Climat'!O87,"")</x:f>
      </x:c>
      <x:c r="P87" s="76" t="str">
        <x:f>IF('10_Form_Finance_Climat'!$O87="Validé humainement",'10_Form_Finance_Climat'!P87,"")</x:f>
      </x:c>
      <x:c r="Q87" s="78" t="str">
        <x:f>IF('10_Form_Finance_Climat'!$O87="Validé humainement",'10_Form_Finance_Climat'!Q87,"")</x:f>
      </x:c>
      <x:c r="R87" s="76" t="str">
        <x:f>IF('10_Form_Finance_Climat'!$O87="Validé humainement",'10_Form_Finance_Climat'!R87,"")</x:f>
      </x:c>
      <x:c r="S87" s="76" t="str">
        <x:f>IF('10_Form_Finance_Climat'!$O87="Validé humainement",'10_Form_Finance_Climat'!S87,"")</x:f>
      </x:c>
      <x:c r="T87" s="76" t="str">
        <x:f>IF('10_Form_Finance_Climat'!$O87="Validé humainement",'10_Form_Finance_Climat'!T87,"")</x:f>
      </x:c>
    </x:row>
    <x:row r="88">
      <x:c r="A88" s="76" t="str">
        <x:f>IF('10_Form_Finance_Climat'!$O88="Validé humainement",'10_Form_Finance_Climat'!A88,"")</x:f>
      </x:c>
      <x:c r="B88" s="76" t="str">
        <x:f>IF('10_Form_Finance_Climat'!$O88="Validé humainement",'10_Form_Finance_Climat'!B88,"")</x:f>
      </x:c>
      <x:c r="C88" s="76" t="str">
        <x:f>IF('10_Form_Finance_Climat'!$O88="Validé humainement",'10_Form_Finance_Climat'!C88,"")</x:f>
      </x:c>
      <x:c r="D88" s="76" t="str">
        <x:f>IF('10_Form_Finance_Climat'!$O88="Validé humainement",'10_Form_Finance_Climat'!D88,"")</x:f>
      </x:c>
      <x:c r="E88" s="76" t="str">
        <x:f>IF('10_Form_Finance_Climat'!$O88="Validé humainement",'10_Form_Finance_Climat'!E88,"")</x:f>
      </x:c>
      <x:c r="F88" s="76" t="str">
        <x:f>IF('10_Form_Finance_Climat'!$O88="Validé humainement",'10_Form_Finance_Climat'!F88,"")</x:f>
      </x:c>
      <x:c r="G88" s="81" t="str">
        <x:f>IF('10_Form_Finance_Climat'!$O88="Validé humainement",'10_Form_Finance_Climat'!G88,"")</x:f>
      </x:c>
      <x:c r="H88" s="81" t="str">
        <x:f>IF('10_Form_Finance_Climat'!$O88="Validé humainement",'10_Form_Finance_Climat'!H88,"")</x:f>
      </x:c>
      <x:c r="I88" s="81" t="str">
        <x:f>IF('10_Form_Finance_Climat'!$O88="Validé humainement",'10_Form_Finance_Climat'!I88,"")</x:f>
      </x:c>
      <x:c r="J88" s="81" t="str">
        <x:f>IF('10_Form_Finance_Climat'!$O88="Validé humainement",'10_Form_Finance_Climat'!J88,"")</x:f>
      </x:c>
      <x:c r="K88" s="76" t="str">
        <x:f>IF('10_Form_Finance_Climat'!$O88="Validé humainement",'10_Form_Finance_Climat'!K88,"")</x:f>
      </x:c>
      <x:c r="L88" s="76" t="str">
        <x:f>IF('10_Form_Finance_Climat'!$O88="Validé humainement",'10_Form_Finance_Climat'!L88,"")</x:f>
      </x:c>
      <x:c r="M88" s="78" t="str">
        <x:f>IF('10_Form_Finance_Climat'!$O88="Validé humainement",'10_Form_Finance_Climat'!M88,"")</x:f>
      </x:c>
      <x:c r="N88" s="76" t="str">
        <x:f>IF('10_Form_Finance_Climat'!$O88="Validé humainement",'10_Form_Finance_Climat'!N88,"")</x:f>
      </x:c>
      <x:c r="O88" s="76" t="str">
        <x:f>IF('10_Form_Finance_Climat'!$O88="Validé humainement",'10_Form_Finance_Climat'!O88,"")</x:f>
      </x:c>
      <x:c r="P88" s="76" t="str">
        <x:f>IF('10_Form_Finance_Climat'!$O88="Validé humainement",'10_Form_Finance_Climat'!P88,"")</x:f>
      </x:c>
      <x:c r="Q88" s="78" t="str">
        <x:f>IF('10_Form_Finance_Climat'!$O88="Validé humainement",'10_Form_Finance_Climat'!Q88,"")</x:f>
      </x:c>
      <x:c r="R88" s="76" t="str">
        <x:f>IF('10_Form_Finance_Climat'!$O88="Validé humainement",'10_Form_Finance_Climat'!R88,"")</x:f>
      </x:c>
      <x:c r="S88" s="76" t="str">
        <x:f>IF('10_Form_Finance_Climat'!$O88="Validé humainement",'10_Form_Finance_Climat'!S88,"")</x:f>
      </x:c>
      <x:c r="T88" s="76" t="str">
        <x:f>IF('10_Form_Finance_Climat'!$O88="Validé humainement",'10_Form_Finance_Climat'!T88,"")</x:f>
      </x:c>
    </x:row>
    <x:row r="89">
      <x:c r="A89" s="76" t="str">
        <x:f>IF('10_Form_Finance_Climat'!$O89="Validé humainement",'10_Form_Finance_Climat'!A89,"")</x:f>
      </x:c>
      <x:c r="B89" s="76" t="str">
        <x:f>IF('10_Form_Finance_Climat'!$O89="Validé humainement",'10_Form_Finance_Climat'!B89,"")</x:f>
      </x:c>
      <x:c r="C89" s="76" t="str">
        <x:f>IF('10_Form_Finance_Climat'!$O89="Validé humainement",'10_Form_Finance_Climat'!C89,"")</x:f>
      </x:c>
      <x:c r="D89" s="76" t="str">
        <x:f>IF('10_Form_Finance_Climat'!$O89="Validé humainement",'10_Form_Finance_Climat'!D89,"")</x:f>
      </x:c>
      <x:c r="E89" s="76" t="str">
        <x:f>IF('10_Form_Finance_Climat'!$O89="Validé humainement",'10_Form_Finance_Climat'!E89,"")</x:f>
      </x:c>
      <x:c r="F89" s="76" t="str">
        <x:f>IF('10_Form_Finance_Climat'!$O89="Validé humainement",'10_Form_Finance_Climat'!F89,"")</x:f>
      </x:c>
      <x:c r="G89" s="81" t="str">
        <x:f>IF('10_Form_Finance_Climat'!$O89="Validé humainement",'10_Form_Finance_Climat'!G89,"")</x:f>
      </x:c>
      <x:c r="H89" s="81" t="str">
        <x:f>IF('10_Form_Finance_Climat'!$O89="Validé humainement",'10_Form_Finance_Climat'!H89,"")</x:f>
      </x:c>
      <x:c r="I89" s="81" t="str">
        <x:f>IF('10_Form_Finance_Climat'!$O89="Validé humainement",'10_Form_Finance_Climat'!I89,"")</x:f>
      </x:c>
      <x:c r="J89" s="81" t="str">
        <x:f>IF('10_Form_Finance_Climat'!$O89="Validé humainement",'10_Form_Finance_Climat'!J89,"")</x:f>
      </x:c>
      <x:c r="K89" s="76" t="str">
        <x:f>IF('10_Form_Finance_Climat'!$O89="Validé humainement",'10_Form_Finance_Climat'!K89,"")</x:f>
      </x:c>
      <x:c r="L89" s="76" t="str">
        <x:f>IF('10_Form_Finance_Climat'!$O89="Validé humainement",'10_Form_Finance_Climat'!L89,"")</x:f>
      </x:c>
      <x:c r="M89" s="78" t="str">
        <x:f>IF('10_Form_Finance_Climat'!$O89="Validé humainement",'10_Form_Finance_Climat'!M89,"")</x:f>
      </x:c>
      <x:c r="N89" s="76" t="str">
        <x:f>IF('10_Form_Finance_Climat'!$O89="Validé humainement",'10_Form_Finance_Climat'!N89,"")</x:f>
      </x:c>
      <x:c r="O89" s="76" t="str">
        <x:f>IF('10_Form_Finance_Climat'!$O89="Validé humainement",'10_Form_Finance_Climat'!O89,"")</x:f>
      </x:c>
      <x:c r="P89" s="76" t="str">
        <x:f>IF('10_Form_Finance_Climat'!$O89="Validé humainement",'10_Form_Finance_Climat'!P89,"")</x:f>
      </x:c>
      <x:c r="Q89" s="78" t="str">
        <x:f>IF('10_Form_Finance_Climat'!$O89="Validé humainement",'10_Form_Finance_Climat'!Q89,"")</x:f>
      </x:c>
      <x:c r="R89" s="76" t="str">
        <x:f>IF('10_Form_Finance_Climat'!$O89="Validé humainement",'10_Form_Finance_Climat'!R89,"")</x:f>
      </x:c>
      <x:c r="S89" s="76" t="str">
        <x:f>IF('10_Form_Finance_Climat'!$O89="Validé humainement",'10_Form_Finance_Climat'!S89,"")</x:f>
      </x:c>
      <x:c r="T89" s="76" t="str">
        <x:f>IF('10_Form_Finance_Climat'!$O89="Validé humainement",'10_Form_Finance_Climat'!T89,"")</x:f>
      </x:c>
    </x:row>
    <x:row r="90">
      <x:c r="A90" s="76" t="str">
        <x:f>IF('10_Form_Finance_Climat'!$O90="Validé humainement",'10_Form_Finance_Climat'!A90,"")</x:f>
      </x:c>
      <x:c r="B90" s="76" t="str">
        <x:f>IF('10_Form_Finance_Climat'!$O90="Validé humainement",'10_Form_Finance_Climat'!B90,"")</x:f>
      </x:c>
      <x:c r="C90" s="76" t="str">
        <x:f>IF('10_Form_Finance_Climat'!$O90="Validé humainement",'10_Form_Finance_Climat'!C90,"")</x:f>
      </x:c>
      <x:c r="D90" s="76" t="str">
        <x:f>IF('10_Form_Finance_Climat'!$O90="Validé humainement",'10_Form_Finance_Climat'!D90,"")</x:f>
      </x:c>
      <x:c r="E90" s="76" t="str">
        <x:f>IF('10_Form_Finance_Climat'!$O90="Validé humainement",'10_Form_Finance_Climat'!E90,"")</x:f>
      </x:c>
      <x:c r="F90" s="76" t="str">
        <x:f>IF('10_Form_Finance_Climat'!$O90="Validé humainement",'10_Form_Finance_Climat'!F90,"")</x:f>
      </x:c>
      <x:c r="G90" s="81" t="str">
        <x:f>IF('10_Form_Finance_Climat'!$O90="Validé humainement",'10_Form_Finance_Climat'!G90,"")</x:f>
      </x:c>
      <x:c r="H90" s="81" t="str">
        <x:f>IF('10_Form_Finance_Climat'!$O90="Validé humainement",'10_Form_Finance_Climat'!H90,"")</x:f>
      </x:c>
      <x:c r="I90" s="81" t="str">
        <x:f>IF('10_Form_Finance_Climat'!$O90="Validé humainement",'10_Form_Finance_Climat'!I90,"")</x:f>
      </x:c>
      <x:c r="J90" s="81" t="str">
        <x:f>IF('10_Form_Finance_Climat'!$O90="Validé humainement",'10_Form_Finance_Climat'!J90,"")</x:f>
      </x:c>
      <x:c r="K90" s="76" t="str">
        <x:f>IF('10_Form_Finance_Climat'!$O90="Validé humainement",'10_Form_Finance_Climat'!K90,"")</x:f>
      </x:c>
      <x:c r="L90" s="76" t="str">
        <x:f>IF('10_Form_Finance_Climat'!$O90="Validé humainement",'10_Form_Finance_Climat'!L90,"")</x:f>
      </x:c>
      <x:c r="M90" s="78" t="str">
        <x:f>IF('10_Form_Finance_Climat'!$O90="Validé humainement",'10_Form_Finance_Climat'!M90,"")</x:f>
      </x:c>
      <x:c r="N90" s="76" t="str">
        <x:f>IF('10_Form_Finance_Climat'!$O90="Validé humainement",'10_Form_Finance_Climat'!N90,"")</x:f>
      </x:c>
      <x:c r="O90" s="76" t="str">
        <x:f>IF('10_Form_Finance_Climat'!$O90="Validé humainement",'10_Form_Finance_Climat'!O90,"")</x:f>
      </x:c>
      <x:c r="P90" s="76" t="str">
        <x:f>IF('10_Form_Finance_Climat'!$O90="Validé humainement",'10_Form_Finance_Climat'!P90,"")</x:f>
      </x:c>
      <x:c r="Q90" s="78" t="str">
        <x:f>IF('10_Form_Finance_Climat'!$O90="Validé humainement",'10_Form_Finance_Climat'!Q90,"")</x:f>
      </x:c>
      <x:c r="R90" s="76" t="str">
        <x:f>IF('10_Form_Finance_Climat'!$O90="Validé humainement",'10_Form_Finance_Climat'!R90,"")</x:f>
      </x:c>
      <x:c r="S90" s="76" t="str">
        <x:f>IF('10_Form_Finance_Climat'!$O90="Validé humainement",'10_Form_Finance_Climat'!S90,"")</x:f>
      </x:c>
      <x:c r="T90" s="76" t="str">
        <x:f>IF('10_Form_Finance_Climat'!$O90="Validé humainement",'10_Form_Finance_Climat'!T90,"")</x:f>
      </x:c>
    </x:row>
    <x:row r="91">
      <x:c r="A91" s="76" t="str">
        <x:f>IF('10_Form_Finance_Climat'!$O91="Validé humainement",'10_Form_Finance_Climat'!A91,"")</x:f>
      </x:c>
      <x:c r="B91" s="76" t="str">
        <x:f>IF('10_Form_Finance_Climat'!$O91="Validé humainement",'10_Form_Finance_Climat'!B91,"")</x:f>
      </x:c>
      <x:c r="C91" s="76" t="str">
        <x:f>IF('10_Form_Finance_Climat'!$O91="Validé humainement",'10_Form_Finance_Climat'!C91,"")</x:f>
      </x:c>
      <x:c r="D91" s="76" t="str">
        <x:f>IF('10_Form_Finance_Climat'!$O91="Validé humainement",'10_Form_Finance_Climat'!D91,"")</x:f>
      </x:c>
      <x:c r="E91" s="76" t="str">
        <x:f>IF('10_Form_Finance_Climat'!$O91="Validé humainement",'10_Form_Finance_Climat'!E91,"")</x:f>
      </x:c>
      <x:c r="F91" s="76" t="str">
        <x:f>IF('10_Form_Finance_Climat'!$O91="Validé humainement",'10_Form_Finance_Climat'!F91,"")</x:f>
      </x:c>
      <x:c r="G91" s="81" t="str">
        <x:f>IF('10_Form_Finance_Climat'!$O91="Validé humainement",'10_Form_Finance_Climat'!G91,"")</x:f>
      </x:c>
      <x:c r="H91" s="81" t="str">
        <x:f>IF('10_Form_Finance_Climat'!$O91="Validé humainement",'10_Form_Finance_Climat'!H91,"")</x:f>
      </x:c>
      <x:c r="I91" s="81" t="str">
        <x:f>IF('10_Form_Finance_Climat'!$O91="Validé humainement",'10_Form_Finance_Climat'!I91,"")</x:f>
      </x:c>
      <x:c r="J91" s="81" t="str">
        <x:f>IF('10_Form_Finance_Climat'!$O91="Validé humainement",'10_Form_Finance_Climat'!J91,"")</x:f>
      </x:c>
      <x:c r="K91" s="76" t="str">
        <x:f>IF('10_Form_Finance_Climat'!$O91="Validé humainement",'10_Form_Finance_Climat'!K91,"")</x:f>
      </x:c>
      <x:c r="L91" s="76" t="str">
        <x:f>IF('10_Form_Finance_Climat'!$O91="Validé humainement",'10_Form_Finance_Climat'!L91,"")</x:f>
      </x:c>
      <x:c r="M91" s="78" t="str">
        <x:f>IF('10_Form_Finance_Climat'!$O91="Validé humainement",'10_Form_Finance_Climat'!M91,"")</x:f>
      </x:c>
      <x:c r="N91" s="76" t="str">
        <x:f>IF('10_Form_Finance_Climat'!$O91="Validé humainement",'10_Form_Finance_Climat'!N91,"")</x:f>
      </x:c>
      <x:c r="O91" s="76" t="str">
        <x:f>IF('10_Form_Finance_Climat'!$O91="Validé humainement",'10_Form_Finance_Climat'!O91,"")</x:f>
      </x:c>
      <x:c r="P91" s="76" t="str">
        <x:f>IF('10_Form_Finance_Climat'!$O91="Validé humainement",'10_Form_Finance_Climat'!P91,"")</x:f>
      </x:c>
      <x:c r="Q91" s="78" t="str">
        <x:f>IF('10_Form_Finance_Climat'!$O91="Validé humainement",'10_Form_Finance_Climat'!Q91,"")</x:f>
      </x:c>
      <x:c r="R91" s="76" t="str">
        <x:f>IF('10_Form_Finance_Climat'!$O91="Validé humainement",'10_Form_Finance_Climat'!R91,"")</x:f>
      </x:c>
      <x:c r="S91" s="76" t="str">
        <x:f>IF('10_Form_Finance_Climat'!$O91="Validé humainement",'10_Form_Finance_Climat'!S91,"")</x:f>
      </x:c>
      <x:c r="T91" s="76" t="str">
        <x:f>IF('10_Form_Finance_Climat'!$O91="Validé humainement",'10_Form_Finance_Climat'!T91,"")</x:f>
      </x:c>
    </x:row>
    <x:row r="92">
      <x:c r="A92" s="76" t="str">
        <x:f>IF('10_Form_Finance_Climat'!$O92="Validé humainement",'10_Form_Finance_Climat'!A92,"")</x:f>
      </x:c>
      <x:c r="B92" s="76" t="str">
        <x:f>IF('10_Form_Finance_Climat'!$O92="Validé humainement",'10_Form_Finance_Climat'!B92,"")</x:f>
      </x:c>
      <x:c r="C92" s="76" t="str">
        <x:f>IF('10_Form_Finance_Climat'!$O92="Validé humainement",'10_Form_Finance_Climat'!C92,"")</x:f>
      </x:c>
      <x:c r="D92" s="76" t="str">
        <x:f>IF('10_Form_Finance_Climat'!$O92="Validé humainement",'10_Form_Finance_Climat'!D92,"")</x:f>
      </x:c>
      <x:c r="E92" s="76" t="str">
        <x:f>IF('10_Form_Finance_Climat'!$O92="Validé humainement",'10_Form_Finance_Climat'!E92,"")</x:f>
      </x:c>
      <x:c r="F92" s="76" t="str">
        <x:f>IF('10_Form_Finance_Climat'!$O92="Validé humainement",'10_Form_Finance_Climat'!F92,"")</x:f>
      </x:c>
      <x:c r="G92" s="81" t="str">
        <x:f>IF('10_Form_Finance_Climat'!$O92="Validé humainement",'10_Form_Finance_Climat'!G92,"")</x:f>
      </x:c>
      <x:c r="H92" s="81" t="str">
        <x:f>IF('10_Form_Finance_Climat'!$O92="Validé humainement",'10_Form_Finance_Climat'!H92,"")</x:f>
      </x:c>
      <x:c r="I92" s="81" t="str">
        <x:f>IF('10_Form_Finance_Climat'!$O92="Validé humainement",'10_Form_Finance_Climat'!I92,"")</x:f>
      </x:c>
      <x:c r="J92" s="81" t="str">
        <x:f>IF('10_Form_Finance_Climat'!$O92="Validé humainement",'10_Form_Finance_Climat'!J92,"")</x:f>
      </x:c>
      <x:c r="K92" s="76" t="str">
        <x:f>IF('10_Form_Finance_Climat'!$O92="Validé humainement",'10_Form_Finance_Climat'!K92,"")</x:f>
      </x:c>
      <x:c r="L92" s="76" t="str">
        <x:f>IF('10_Form_Finance_Climat'!$O92="Validé humainement",'10_Form_Finance_Climat'!L92,"")</x:f>
      </x:c>
      <x:c r="M92" s="78" t="str">
        <x:f>IF('10_Form_Finance_Climat'!$O92="Validé humainement",'10_Form_Finance_Climat'!M92,"")</x:f>
      </x:c>
      <x:c r="N92" s="76" t="str">
        <x:f>IF('10_Form_Finance_Climat'!$O92="Validé humainement",'10_Form_Finance_Climat'!N92,"")</x:f>
      </x:c>
      <x:c r="O92" s="76" t="str">
        <x:f>IF('10_Form_Finance_Climat'!$O92="Validé humainement",'10_Form_Finance_Climat'!O92,"")</x:f>
      </x:c>
      <x:c r="P92" s="76" t="str">
        <x:f>IF('10_Form_Finance_Climat'!$O92="Validé humainement",'10_Form_Finance_Climat'!P92,"")</x:f>
      </x:c>
      <x:c r="Q92" s="78" t="str">
        <x:f>IF('10_Form_Finance_Climat'!$O92="Validé humainement",'10_Form_Finance_Climat'!Q92,"")</x:f>
      </x:c>
      <x:c r="R92" s="76" t="str">
        <x:f>IF('10_Form_Finance_Climat'!$O92="Validé humainement",'10_Form_Finance_Climat'!R92,"")</x:f>
      </x:c>
      <x:c r="S92" s="76" t="str">
        <x:f>IF('10_Form_Finance_Climat'!$O92="Validé humainement",'10_Form_Finance_Climat'!S92,"")</x:f>
      </x:c>
      <x:c r="T92" s="76" t="str">
        <x:f>IF('10_Form_Finance_Climat'!$O92="Validé humainement",'10_Form_Finance_Climat'!T92,"")</x:f>
      </x:c>
    </x:row>
    <x:row r="93">
      <x:c r="A93" s="76" t="str">
        <x:f>IF('10_Form_Finance_Climat'!$O93="Validé humainement",'10_Form_Finance_Climat'!A93,"")</x:f>
      </x:c>
      <x:c r="B93" s="76" t="str">
        <x:f>IF('10_Form_Finance_Climat'!$O93="Validé humainement",'10_Form_Finance_Climat'!B93,"")</x:f>
      </x:c>
      <x:c r="C93" s="76" t="str">
        <x:f>IF('10_Form_Finance_Climat'!$O93="Validé humainement",'10_Form_Finance_Climat'!C93,"")</x:f>
      </x:c>
      <x:c r="D93" s="76" t="str">
        <x:f>IF('10_Form_Finance_Climat'!$O93="Validé humainement",'10_Form_Finance_Climat'!D93,"")</x:f>
      </x:c>
      <x:c r="E93" s="76" t="str">
        <x:f>IF('10_Form_Finance_Climat'!$O93="Validé humainement",'10_Form_Finance_Climat'!E93,"")</x:f>
      </x:c>
      <x:c r="F93" s="76" t="str">
        <x:f>IF('10_Form_Finance_Climat'!$O93="Validé humainement",'10_Form_Finance_Climat'!F93,"")</x:f>
      </x:c>
      <x:c r="G93" s="81" t="str">
        <x:f>IF('10_Form_Finance_Climat'!$O93="Validé humainement",'10_Form_Finance_Climat'!G93,"")</x:f>
      </x:c>
      <x:c r="H93" s="81" t="str">
        <x:f>IF('10_Form_Finance_Climat'!$O93="Validé humainement",'10_Form_Finance_Climat'!H93,"")</x:f>
      </x:c>
      <x:c r="I93" s="81" t="str">
        <x:f>IF('10_Form_Finance_Climat'!$O93="Validé humainement",'10_Form_Finance_Climat'!I93,"")</x:f>
      </x:c>
      <x:c r="J93" s="81" t="str">
        <x:f>IF('10_Form_Finance_Climat'!$O93="Validé humainement",'10_Form_Finance_Climat'!J93,"")</x:f>
      </x:c>
      <x:c r="K93" s="76" t="str">
        <x:f>IF('10_Form_Finance_Climat'!$O93="Validé humainement",'10_Form_Finance_Climat'!K93,"")</x:f>
      </x:c>
      <x:c r="L93" s="76" t="str">
        <x:f>IF('10_Form_Finance_Climat'!$O93="Validé humainement",'10_Form_Finance_Climat'!L93,"")</x:f>
      </x:c>
      <x:c r="M93" s="78" t="str">
        <x:f>IF('10_Form_Finance_Climat'!$O93="Validé humainement",'10_Form_Finance_Climat'!M93,"")</x:f>
      </x:c>
      <x:c r="N93" s="76" t="str">
        <x:f>IF('10_Form_Finance_Climat'!$O93="Validé humainement",'10_Form_Finance_Climat'!N93,"")</x:f>
      </x:c>
      <x:c r="O93" s="76" t="str">
        <x:f>IF('10_Form_Finance_Climat'!$O93="Validé humainement",'10_Form_Finance_Climat'!O93,"")</x:f>
      </x:c>
      <x:c r="P93" s="76" t="str">
        <x:f>IF('10_Form_Finance_Climat'!$O93="Validé humainement",'10_Form_Finance_Climat'!P93,"")</x:f>
      </x:c>
      <x:c r="Q93" s="78" t="str">
        <x:f>IF('10_Form_Finance_Climat'!$O93="Validé humainement",'10_Form_Finance_Climat'!Q93,"")</x:f>
      </x:c>
      <x:c r="R93" s="76" t="str">
        <x:f>IF('10_Form_Finance_Climat'!$O93="Validé humainement",'10_Form_Finance_Climat'!R93,"")</x:f>
      </x:c>
      <x:c r="S93" s="76" t="str">
        <x:f>IF('10_Form_Finance_Climat'!$O93="Validé humainement",'10_Form_Finance_Climat'!S93,"")</x:f>
      </x:c>
      <x:c r="T93" s="76" t="str">
        <x:f>IF('10_Form_Finance_Climat'!$O93="Validé humainement",'10_Form_Finance_Climat'!T93,"")</x:f>
      </x:c>
    </x:row>
    <x:row r="94">
      <x:c r="A94" s="76" t="str">
        <x:f>IF('10_Form_Finance_Climat'!$O94="Validé humainement",'10_Form_Finance_Climat'!A94,"")</x:f>
      </x:c>
      <x:c r="B94" s="76" t="str">
        <x:f>IF('10_Form_Finance_Climat'!$O94="Validé humainement",'10_Form_Finance_Climat'!B94,"")</x:f>
      </x:c>
      <x:c r="C94" s="76" t="str">
        <x:f>IF('10_Form_Finance_Climat'!$O94="Validé humainement",'10_Form_Finance_Climat'!C94,"")</x:f>
      </x:c>
      <x:c r="D94" s="76" t="str">
        <x:f>IF('10_Form_Finance_Climat'!$O94="Validé humainement",'10_Form_Finance_Climat'!D94,"")</x:f>
      </x:c>
      <x:c r="E94" s="76" t="str">
        <x:f>IF('10_Form_Finance_Climat'!$O94="Validé humainement",'10_Form_Finance_Climat'!E94,"")</x:f>
      </x:c>
      <x:c r="F94" s="76" t="str">
        <x:f>IF('10_Form_Finance_Climat'!$O94="Validé humainement",'10_Form_Finance_Climat'!F94,"")</x:f>
      </x:c>
      <x:c r="G94" s="81" t="str">
        <x:f>IF('10_Form_Finance_Climat'!$O94="Validé humainement",'10_Form_Finance_Climat'!G94,"")</x:f>
      </x:c>
      <x:c r="H94" s="81" t="str">
        <x:f>IF('10_Form_Finance_Climat'!$O94="Validé humainement",'10_Form_Finance_Climat'!H94,"")</x:f>
      </x:c>
      <x:c r="I94" s="81" t="str">
        <x:f>IF('10_Form_Finance_Climat'!$O94="Validé humainement",'10_Form_Finance_Climat'!I94,"")</x:f>
      </x:c>
      <x:c r="J94" s="81" t="str">
        <x:f>IF('10_Form_Finance_Climat'!$O94="Validé humainement",'10_Form_Finance_Climat'!J94,"")</x:f>
      </x:c>
      <x:c r="K94" s="76" t="str">
        <x:f>IF('10_Form_Finance_Climat'!$O94="Validé humainement",'10_Form_Finance_Climat'!K94,"")</x:f>
      </x:c>
      <x:c r="L94" s="76" t="str">
        <x:f>IF('10_Form_Finance_Climat'!$O94="Validé humainement",'10_Form_Finance_Climat'!L94,"")</x:f>
      </x:c>
      <x:c r="M94" s="78" t="str">
        <x:f>IF('10_Form_Finance_Climat'!$O94="Validé humainement",'10_Form_Finance_Climat'!M94,"")</x:f>
      </x:c>
      <x:c r="N94" s="76" t="str">
        <x:f>IF('10_Form_Finance_Climat'!$O94="Validé humainement",'10_Form_Finance_Climat'!N94,"")</x:f>
      </x:c>
      <x:c r="O94" s="76" t="str">
        <x:f>IF('10_Form_Finance_Climat'!$O94="Validé humainement",'10_Form_Finance_Climat'!O94,"")</x:f>
      </x:c>
      <x:c r="P94" s="76" t="str">
        <x:f>IF('10_Form_Finance_Climat'!$O94="Validé humainement",'10_Form_Finance_Climat'!P94,"")</x:f>
      </x:c>
      <x:c r="Q94" s="78" t="str">
        <x:f>IF('10_Form_Finance_Climat'!$O94="Validé humainement",'10_Form_Finance_Climat'!Q94,"")</x:f>
      </x:c>
      <x:c r="R94" s="76" t="str">
        <x:f>IF('10_Form_Finance_Climat'!$O94="Validé humainement",'10_Form_Finance_Climat'!R94,"")</x:f>
      </x:c>
      <x:c r="S94" s="76" t="str">
        <x:f>IF('10_Form_Finance_Climat'!$O94="Validé humainement",'10_Form_Finance_Climat'!S94,"")</x:f>
      </x:c>
      <x:c r="T94" s="76" t="str">
        <x:f>IF('10_Form_Finance_Climat'!$O94="Validé humainement",'10_Form_Finance_Climat'!T94,"")</x:f>
      </x:c>
    </x:row>
    <x:row r="95">
      <x:c r="A95" s="76" t="str">
        <x:f>IF('10_Form_Finance_Climat'!$O95="Validé humainement",'10_Form_Finance_Climat'!A95,"")</x:f>
      </x:c>
      <x:c r="B95" s="76" t="str">
        <x:f>IF('10_Form_Finance_Climat'!$O95="Validé humainement",'10_Form_Finance_Climat'!B95,"")</x:f>
      </x:c>
      <x:c r="C95" s="76" t="str">
        <x:f>IF('10_Form_Finance_Climat'!$O95="Validé humainement",'10_Form_Finance_Climat'!C95,"")</x:f>
      </x:c>
      <x:c r="D95" s="76" t="str">
        <x:f>IF('10_Form_Finance_Climat'!$O95="Validé humainement",'10_Form_Finance_Climat'!D95,"")</x:f>
      </x:c>
      <x:c r="E95" s="76" t="str">
        <x:f>IF('10_Form_Finance_Climat'!$O95="Validé humainement",'10_Form_Finance_Climat'!E95,"")</x:f>
      </x:c>
      <x:c r="F95" s="76" t="str">
        <x:f>IF('10_Form_Finance_Climat'!$O95="Validé humainement",'10_Form_Finance_Climat'!F95,"")</x:f>
      </x:c>
      <x:c r="G95" s="81" t="str">
        <x:f>IF('10_Form_Finance_Climat'!$O95="Validé humainement",'10_Form_Finance_Climat'!G95,"")</x:f>
      </x:c>
      <x:c r="H95" s="81" t="str">
        <x:f>IF('10_Form_Finance_Climat'!$O95="Validé humainement",'10_Form_Finance_Climat'!H95,"")</x:f>
      </x:c>
      <x:c r="I95" s="81" t="str">
        <x:f>IF('10_Form_Finance_Climat'!$O95="Validé humainement",'10_Form_Finance_Climat'!I95,"")</x:f>
      </x:c>
      <x:c r="J95" s="81" t="str">
        <x:f>IF('10_Form_Finance_Climat'!$O95="Validé humainement",'10_Form_Finance_Climat'!J95,"")</x:f>
      </x:c>
      <x:c r="K95" s="76" t="str">
        <x:f>IF('10_Form_Finance_Climat'!$O95="Validé humainement",'10_Form_Finance_Climat'!K95,"")</x:f>
      </x:c>
      <x:c r="L95" s="76" t="str">
        <x:f>IF('10_Form_Finance_Climat'!$O95="Validé humainement",'10_Form_Finance_Climat'!L95,"")</x:f>
      </x:c>
      <x:c r="M95" s="78" t="str">
        <x:f>IF('10_Form_Finance_Climat'!$O95="Validé humainement",'10_Form_Finance_Climat'!M95,"")</x:f>
      </x:c>
      <x:c r="N95" s="76" t="str">
        <x:f>IF('10_Form_Finance_Climat'!$O95="Validé humainement",'10_Form_Finance_Climat'!N95,"")</x:f>
      </x:c>
      <x:c r="O95" s="76" t="str">
        <x:f>IF('10_Form_Finance_Climat'!$O95="Validé humainement",'10_Form_Finance_Climat'!O95,"")</x:f>
      </x:c>
      <x:c r="P95" s="76" t="str">
        <x:f>IF('10_Form_Finance_Climat'!$O95="Validé humainement",'10_Form_Finance_Climat'!P95,"")</x:f>
      </x:c>
      <x:c r="Q95" s="78" t="str">
        <x:f>IF('10_Form_Finance_Climat'!$O95="Validé humainement",'10_Form_Finance_Climat'!Q95,"")</x:f>
      </x:c>
      <x:c r="R95" s="76" t="str">
        <x:f>IF('10_Form_Finance_Climat'!$O95="Validé humainement",'10_Form_Finance_Climat'!R95,"")</x:f>
      </x:c>
      <x:c r="S95" s="76" t="str">
        <x:f>IF('10_Form_Finance_Climat'!$O95="Validé humainement",'10_Form_Finance_Climat'!S95,"")</x:f>
      </x:c>
      <x:c r="T95" s="76" t="str">
        <x:f>IF('10_Form_Finance_Climat'!$O95="Validé humainement",'10_Form_Finance_Climat'!T95,"")</x:f>
      </x:c>
    </x:row>
    <x:row r="96">
      <x:c r="A96" s="76" t="str">
        <x:f>IF('10_Form_Finance_Climat'!$O96="Validé humainement",'10_Form_Finance_Climat'!A96,"")</x:f>
      </x:c>
      <x:c r="B96" s="76" t="str">
        <x:f>IF('10_Form_Finance_Climat'!$O96="Validé humainement",'10_Form_Finance_Climat'!B96,"")</x:f>
      </x:c>
      <x:c r="C96" s="76" t="str">
        <x:f>IF('10_Form_Finance_Climat'!$O96="Validé humainement",'10_Form_Finance_Climat'!C96,"")</x:f>
      </x:c>
      <x:c r="D96" s="76" t="str">
        <x:f>IF('10_Form_Finance_Climat'!$O96="Validé humainement",'10_Form_Finance_Climat'!D96,"")</x:f>
      </x:c>
      <x:c r="E96" s="76" t="str">
        <x:f>IF('10_Form_Finance_Climat'!$O96="Validé humainement",'10_Form_Finance_Climat'!E96,"")</x:f>
      </x:c>
      <x:c r="F96" s="76" t="str">
        <x:f>IF('10_Form_Finance_Climat'!$O96="Validé humainement",'10_Form_Finance_Climat'!F96,"")</x:f>
      </x:c>
      <x:c r="G96" s="81" t="str">
        <x:f>IF('10_Form_Finance_Climat'!$O96="Validé humainement",'10_Form_Finance_Climat'!G96,"")</x:f>
      </x:c>
      <x:c r="H96" s="81" t="str">
        <x:f>IF('10_Form_Finance_Climat'!$O96="Validé humainement",'10_Form_Finance_Climat'!H96,"")</x:f>
      </x:c>
      <x:c r="I96" s="81" t="str">
        <x:f>IF('10_Form_Finance_Climat'!$O96="Validé humainement",'10_Form_Finance_Climat'!I96,"")</x:f>
      </x:c>
      <x:c r="J96" s="81" t="str">
        <x:f>IF('10_Form_Finance_Climat'!$O96="Validé humainement",'10_Form_Finance_Climat'!J96,"")</x:f>
      </x:c>
      <x:c r="K96" s="76" t="str">
        <x:f>IF('10_Form_Finance_Climat'!$O96="Validé humainement",'10_Form_Finance_Climat'!K96,"")</x:f>
      </x:c>
      <x:c r="L96" s="76" t="str">
        <x:f>IF('10_Form_Finance_Climat'!$O96="Validé humainement",'10_Form_Finance_Climat'!L96,"")</x:f>
      </x:c>
      <x:c r="M96" s="78" t="str">
        <x:f>IF('10_Form_Finance_Climat'!$O96="Validé humainement",'10_Form_Finance_Climat'!M96,"")</x:f>
      </x:c>
      <x:c r="N96" s="76" t="str">
        <x:f>IF('10_Form_Finance_Climat'!$O96="Validé humainement",'10_Form_Finance_Climat'!N96,"")</x:f>
      </x:c>
      <x:c r="O96" s="76" t="str">
        <x:f>IF('10_Form_Finance_Climat'!$O96="Validé humainement",'10_Form_Finance_Climat'!O96,"")</x:f>
      </x:c>
      <x:c r="P96" s="76" t="str">
        <x:f>IF('10_Form_Finance_Climat'!$O96="Validé humainement",'10_Form_Finance_Climat'!P96,"")</x:f>
      </x:c>
      <x:c r="Q96" s="78" t="str">
        <x:f>IF('10_Form_Finance_Climat'!$O96="Validé humainement",'10_Form_Finance_Climat'!Q96,"")</x:f>
      </x:c>
      <x:c r="R96" s="76" t="str">
        <x:f>IF('10_Form_Finance_Climat'!$O96="Validé humainement",'10_Form_Finance_Climat'!R96,"")</x:f>
      </x:c>
      <x:c r="S96" s="76" t="str">
        <x:f>IF('10_Form_Finance_Climat'!$O96="Validé humainement",'10_Form_Finance_Climat'!S96,"")</x:f>
      </x:c>
      <x:c r="T96" s="76" t="str">
        <x:f>IF('10_Form_Finance_Climat'!$O96="Validé humainement",'10_Form_Finance_Climat'!T96,"")</x:f>
      </x:c>
    </x:row>
    <x:row r="97">
      <x:c r="A97" s="76" t="str">
        <x:f>IF('10_Form_Finance_Climat'!$O97="Validé humainement",'10_Form_Finance_Climat'!A97,"")</x:f>
      </x:c>
      <x:c r="B97" s="76" t="str">
        <x:f>IF('10_Form_Finance_Climat'!$O97="Validé humainement",'10_Form_Finance_Climat'!B97,"")</x:f>
      </x:c>
      <x:c r="C97" s="76" t="str">
        <x:f>IF('10_Form_Finance_Climat'!$O97="Validé humainement",'10_Form_Finance_Climat'!C97,"")</x:f>
      </x:c>
      <x:c r="D97" s="76" t="str">
        <x:f>IF('10_Form_Finance_Climat'!$O97="Validé humainement",'10_Form_Finance_Climat'!D97,"")</x:f>
      </x:c>
      <x:c r="E97" s="76" t="str">
        <x:f>IF('10_Form_Finance_Climat'!$O97="Validé humainement",'10_Form_Finance_Climat'!E97,"")</x:f>
      </x:c>
      <x:c r="F97" s="76" t="str">
        <x:f>IF('10_Form_Finance_Climat'!$O97="Validé humainement",'10_Form_Finance_Climat'!F97,"")</x:f>
      </x:c>
      <x:c r="G97" s="81" t="str">
        <x:f>IF('10_Form_Finance_Climat'!$O97="Validé humainement",'10_Form_Finance_Climat'!G97,"")</x:f>
      </x:c>
      <x:c r="H97" s="81" t="str">
        <x:f>IF('10_Form_Finance_Climat'!$O97="Validé humainement",'10_Form_Finance_Climat'!H97,"")</x:f>
      </x:c>
      <x:c r="I97" s="81" t="str">
        <x:f>IF('10_Form_Finance_Climat'!$O97="Validé humainement",'10_Form_Finance_Climat'!I97,"")</x:f>
      </x:c>
      <x:c r="J97" s="81" t="str">
        <x:f>IF('10_Form_Finance_Climat'!$O97="Validé humainement",'10_Form_Finance_Climat'!J97,"")</x:f>
      </x:c>
      <x:c r="K97" s="76" t="str">
        <x:f>IF('10_Form_Finance_Climat'!$O97="Validé humainement",'10_Form_Finance_Climat'!K97,"")</x:f>
      </x:c>
      <x:c r="L97" s="76" t="str">
        <x:f>IF('10_Form_Finance_Climat'!$O97="Validé humainement",'10_Form_Finance_Climat'!L97,"")</x:f>
      </x:c>
      <x:c r="M97" s="78" t="str">
        <x:f>IF('10_Form_Finance_Climat'!$O97="Validé humainement",'10_Form_Finance_Climat'!M97,"")</x:f>
      </x:c>
      <x:c r="N97" s="76" t="str">
        <x:f>IF('10_Form_Finance_Climat'!$O97="Validé humainement",'10_Form_Finance_Climat'!N97,"")</x:f>
      </x:c>
      <x:c r="O97" s="76" t="str">
        <x:f>IF('10_Form_Finance_Climat'!$O97="Validé humainement",'10_Form_Finance_Climat'!O97,"")</x:f>
      </x:c>
      <x:c r="P97" s="76" t="str">
        <x:f>IF('10_Form_Finance_Climat'!$O97="Validé humainement",'10_Form_Finance_Climat'!P97,"")</x:f>
      </x:c>
      <x:c r="Q97" s="78" t="str">
        <x:f>IF('10_Form_Finance_Climat'!$O97="Validé humainement",'10_Form_Finance_Climat'!Q97,"")</x:f>
      </x:c>
      <x:c r="R97" s="76" t="str">
        <x:f>IF('10_Form_Finance_Climat'!$O97="Validé humainement",'10_Form_Finance_Climat'!R97,"")</x:f>
      </x:c>
      <x:c r="S97" s="76" t="str">
        <x:f>IF('10_Form_Finance_Climat'!$O97="Validé humainement",'10_Form_Finance_Climat'!S97,"")</x:f>
      </x:c>
      <x:c r="T97" s="76" t="str">
        <x:f>IF('10_Form_Finance_Climat'!$O97="Validé humainement",'10_Form_Finance_Climat'!T97,"")</x:f>
      </x:c>
    </x:row>
    <x:row r="98">
      <x:c r="A98" s="76" t="str">
        <x:f>IF('10_Form_Finance_Climat'!$O98="Validé humainement",'10_Form_Finance_Climat'!A98,"")</x:f>
      </x:c>
      <x:c r="B98" s="76" t="str">
        <x:f>IF('10_Form_Finance_Climat'!$O98="Validé humainement",'10_Form_Finance_Climat'!B98,"")</x:f>
      </x:c>
      <x:c r="C98" s="76" t="str">
        <x:f>IF('10_Form_Finance_Climat'!$O98="Validé humainement",'10_Form_Finance_Climat'!C98,"")</x:f>
      </x:c>
      <x:c r="D98" s="76" t="str">
        <x:f>IF('10_Form_Finance_Climat'!$O98="Validé humainement",'10_Form_Finance_Climat'!D98,"")</x:f>
      </x:c>
      <x:c r="E98" s="76" t="str">
        <x:f>IF('10_Form_Finance_Climat'!$O98="Validé humainement",'10_Form_Finance_Climat'!E98,"")</x:f>
      </x:c>
      <x:c r="F98" s="76" t="str">
        <x:f>IF('10_Form_Finance_Climat'!$O98="Validé humainement",'10_Form_Finance_Climat'!F98,"")</x:f>
      </x:c>
      <x:c r="G98" s="81" t="str">
        <x:f>IF('10_Form_Finance_Climat'!$O98="Validé humainement",'10_Form_Finance_Climat'!G98,"")</x:f>
      </x:c>
      <x:c r="H98" s="81" t="str">
        <x:f>IF('10_Form_Finance_Climat'!$O98="Validé humainement",'10_Form_Finance_Climat'!H98,"")</x:f>
      </x:c>
      <x:c r="I98" s="81" t="str">
        <x:f>IF('10_Form_Finance_Climat'!$O98="Validé humainement",'10_Form_Finance_Climat'!I98,"")</x:f>
      </x:c>
      <x:c r="J98" s="81" t="str">
        <x:f>IF('10_Form_Finance_Climat'!$O98="Validé humainement",'10_Form_Finance_Climat'!J98,"")</x:f>
      </x:c>
      <x:c r="K98" s="76" t="str">
        <x:f>IF('10_Form_Finance_Climat'!$O98="Validé humainement",'10_Form_Finance_Climat'!K98,"")</x:f>
      </x:c>
      <x:c r="L98" s="76" t="str">
        <x:f>IF('10_Form_Finance_Climat'!$O98="Validé humainement",'10_Form_Finance_Climat'!L98,"")</x:f>
      </x:c>
      <x:c r="M98" s="78" t="str">
        <x:f>IF('10_Form_Finance_Climat'!$O98="Validé humainement",'10_Form_Finance_Climat'!M98,"")</x:f>
      </x:c>
      <x:c r="N98" s="76" t="str">
        <x:f>IF('10_Form_Finance_Climat'!$O98="Validé humainement",'10_Form_Finance_Climat'!N98,"")</x:f>
      </x:c>
      <x:c r="O98" s="76" t="str">
        <x:f>IF('10_Form_Finance_Climat'!$O98="Validé humainement",'10_Form_Finance_Climat'!O98,"")</x:f>
      </x:c>
      <x:c r="P98" s="76" t="str">
        <x:f>IF('10_Form_Finance_Climat'!$O98="Validé humainement",'10_Form_Finance_Climat'!P98,"")</x:f>
      </x:c>
      <x:c r="Q98" s="78" t="str">
        <x:f>IF('10_Form_Finance_Climat'!$O98="Validé humainement",'10_Form_Finance_Climat'!Q98,"")</x:f>
      </x:c>
      <x:c r="R98" s="76" t="str">
        <x:f>IF('10_Form_Finance_Climat'!$O98="Validé humainement",'10_Form_Finance_Climat'!R98,"")</x:f>
      </x:c>
      <x:c r="S98" s="76" t="str">
        <x:f>IF('10_Form_Finance_Climat'!$O98="Validé humainement",'10_Form_Finance_Climat'!S98,"")</x:f>
      </x:c>
      <x:c r="T98" s="76" t="str">
        <x:f>IF('10_Form_Finance_Climat'!$O98="Validé humainement",'10_Form_Finance_Climat'!T98,"")</x:f>
      </x:c>
    </x:row>
    <x:row r="99">
      <x:c r="A99" s="76" t="str">
        <x:f>IF('10_Form_Finance_Climat'!$O99="Validé humainement",'10_Form_Finance_Climat'!A99,"")</x:f>
      </x:c>
      <x:c r="B99" s="76" t="str">
        <x:f>IF('10_Form_Finance_Climat'!$O99="Validé humainement",'10_Form_Finance_Climat'!B99,"")</x:f>
      </x:c>
      <x:c r="C99" s="76" t="str">
        <x:f>IF('10_Form_Finance_Climat'!$O99="Validé humainement",'10_Form_Finance_Climat'!C99,"")</x:f>
      </x:c>
      <x:c r="D99" s="76" t="str">
        <x:f>IF('10_Form_Finance_Climat'!$O99="Validé humainement",'10_Form_Finance_Climat'!D99,"")</x:f>
      </x:c>
      <x:c r="E99" s="76" t="str">
        <x:f>IF('10_Form_Finance_Climat'!$O99="Validé humainement",'10_Form_Finance_Climat'!E99,"")</x:f>
      </x:c>
      <x:c r="F99" s="76" t="str">
        <x:f>IF('10_Form_Finance_Climat'!$O99="Validé humainement",'10_Form_Finance_Climat'!F99,"")</x:f>
      </x:c>
      <x:c r="G99" s="81" t="str">
        <x:f>IF('10_Form_Finance_Climat'!$O99="Validé humainement",'10_Form_Finance_Climat'!G99,"")</x:f>
      </x:c>
      <x:c r="H99" s="81" t="str">
        <x:f>IF('10_Form_Finance_Climat'!$O99="Validé humainement",'10_Form_Finance_Climat'!H99,"")</x:f>
      </x:c>
      <x:c r="I99" s="81" t="str">
        <x:f>IF('10_Form_Finance_Climat'!$O99="Validé humainement",'10_Form_Finance_Climat'!I99,"")</x:f>
      </x:c>
      <x:c r="J99" s="81" t="str">
        <x:f>IF('10_Form_Finance_Climat'!$O99="Validé humainement",'10_Form_Finance_Climat'!J99,"")</x:f>
      </x:c>
      <x:c r="K99" s="76" t="str">
        <x:f>IF('10_Form_Finance_Climat'!$O99="Validé humainement",'10_Form_Finance_Climat'!K99,"")</x:f>
      </x:c>
      <x:c r="L99" s="76" t="str">
        <x:f>IF('10_Form_Finance_Climat'!$O99="Validé humainement",'10_Form_Finance_Climat'!L99,"")</x:f>
      </x:c>
      <x:c r="M99" s="78" t="str">
        <x:f>IF('10_Form_Finance_Climat'!$O99="Validé humainement",'10_Form_Finance_Climat'!M99,"")</x:f>
      </x:c>
      <x:c r="N99" s="76" t="str">
        <x:f>IF('10_Form_Finance_Climat'!$O99="Validé humainement",'10_Form_Finance_Climat'!N99,"")</x:f>
      </x:c>
      <x:c r="O99" s="76" t="str">
        <x:f>IF('10_Form_Finance_Climat'!$O99="Validé humainement",'10_Form_Finance_Climat'!O99,"")</x:f>
      </x:c>
      <x:c r="P99" s="76" t="str">
        <x:f>IF('10_Form_Finance_Climat'!$O99="Validé humainement",'10_Form_Finance_Climat'!P99,"")</x:f>
      </x:c>
      <x:c r="Q99" s="78" t="str">
        <x:f>IF('10_Form_Finance_Climat'!$O99="Validé humainement",'10_Form_Finance_Climat'!Q99,"")</x:f>
      </x:c>
      <x:c r="R99" s="76" t="str">
        <x:f>IF('10_Form_Finance_Climat'!$O99="Validé humainement",'10_Form_Finance_Climat'!R99,"")</x:f>
      </x:c>
      <x:c r="S99" s="76" t="str">
        <x:f>IF('10_Form_Finance_Climat'!$O99="Validé humainement",'10_Form_Finance_Climat'!S99,"")</x:f>
      </x:c>
      <x:c r="T99" s="76" t="str">
        <x:f>IF('10_Form_Finance_Climat'!$O99="Validé humainement",'10_Form_Finance_Climat'!T99,"")</x:f>
      </x:c>
    </x:row>
    <x:row r="100">
      <x:c r="A100" s="76" t="str">
        <x:f>IF('10_Form_Finance_Climat'!$O100="Validé humainement",'10_Form_Finance_Climat'!A100,"")</x:f>
      </x:c>
      <x:c r="B100" s="76" t="str">
        <x:f>IF('10_Form_Finance_Climat'!$O100="Validé humainement",'10_Form_Finance_Climat'!B100,"")</x:f>
      </x:c>
      <x:c r="C100" s="76" t="str">
        <x:f>IF('10_Form_Finance_Climat'!$O100="Validé humainement",'10_Form_Finance_Climat'!C100,"")</x:f>
      </x:c>
      <x:c r="D100" s="76" t="str">
        <x:f>IF('10_Form_Finance_Climat'!$O100="Validé humainement",'10_Form_Finance_Climat'!D100,"")</x:f>
      </x:c>
      <x:c r="E100" s="76" t="str">
        <x:f>IF('10_Form_Finance_Climat'!$O100="Validé humainement",'10_Form_Finance_Climat'!E100,"")</x:f>
      </x:c>
      <x:c r="F100" s="76" t="str">
        <x:f>IF('10_Form_Finance_Climat'!$O100="Validé humainement",'10_Form_Finance_Climat'!F100,"")</x:f>
      </x:c>
      <x:c r="G100" s="81" t="str">
        <x:f>IF('10_Form_Finance_Climat'!$O100="Validé humainement",'10_Form_Finance_Climat'!G100,"")</x:f>
      </x:c>
      <x:c r="H100" s="81" t="str">
        <x:f>IF('10_Form_Finance_Climat'!$O100="Validé humainement",'10_Form_Finance_Climat'!H100,"")</x:f>
      </x:c>
      <x:c r="I100" s="81" t="str">
        <x:f>IF('10_Form_Finance_Climat'!$O100="Validé humainement",'10_Form_Finance_Climat'!I100,"")</x:f>
      </x:c>
      <x:c r="J100" s="81" t="str">
        <x:f>IF('10_Form_Finance_Climat'!$O100="Validé humainement",'10_Form_Finance_Climat'!J100,"")</x:f>
      </x:c>
      <x:c r="K100" s="76" t="str">
        <x:f>IF('10_Form_Finance_Climat'!$O100="Validé humainement",'10_Form_Finance_Climat'!K100,"")</x:f>
      </x:c>
      <x:c r="L100" s="76" t="str">
        <x:f>IF('10_Form_Finance_Climat'!$O100="Validé humainement",'10_Form_Finance_Climat'!L100,"")</x:f>
      </x:c>
      <x:c r="M100" s="78" t="str">
        <x:f>IF('10_Form_Finance_Climat'!$O100="Validé humainement",'10_Form_Finance_Climat'!M100,"")</x:f>
      </x:c>
      <x:c r="N100" s="76" t="str">
        <x:f>IF('10_Form_Finance_Climat'!$O100="Validé humainement",'10_Form_Finance_Climat'!N100,"")</x:f>
      </x:c>
      <x:c r="O100" s="76" t="str">
        <x:f>IF('10_Form_Finance_Climat'!$O100="Validé humainement",'10_Form_Finance_Climat'!O100,"")</x:f>
      </x:c>
      <x:c r="P100" s="76" t="str">
        <x:f>IF('10_Form_Finance_Climat'!$O100="Validé humainement",'10_Form_Finance_Climat'!P100,"")</x:f>
      </x:c>
      <x:c r="Q100" s="78" t="str">
        <x:f>IF('10_Form_Finance_Climat'!$O100="Validé humainement",'10_Form_Finance_Climat'!Q100,"")</x:f>
      </x:c>
      <x:c r="R100" s="76" t="str">
        <x:f>IF('10_Form_Finance_Climat'!$O100="Validé humainement",'10_Form_Finance_Climat'!R100,"")</x:f>
      </x:c>
      <x:c r="S100" s="76" t="str">
        <x:f>IF('10_Form_Finance_Climat'!$O100="Validé humainement",'10_Form_Finance_Climat'!S100,"")</x:f>
      </x:c>
      <x:c r="T100" s="76" t="str">
        <x:f>IF('10_Form_Finance_Climat'!$O100="Validé humainement",'10_Form_Finance_Climat'!T100,"")</x:f>
      </x:c>
    </x:row>
    <x:row r="101">
      <x:c r="A101" s="76" t="str">
        <x:f>IF('10_Form_Finance_Climat'!$O101="Validé humainement",'10_Form_Finance_Climat'!A101,"")</x:f>
      </x:c>
      <x:c r="B101" s="76" t="str">
        <x:f>IF('10_Form_Finance_Climat'!$O101="Validé humainement",'10_Form_Finance_Climat'!B101,"")</x:f>
      </x:c>
      <x:c r="C101" s="76" t="str">
        <x:f>IF('10_Form_Finance_Climat'!$O101="Validé humainement",'10_Form_Finance_Climat'!C101,"")</x:f>
      </x:c>
      <x:c r="D101" s="76" t="str">
        <x:f>IF('10_Form_Finance_Climat'!$O101="Validé humainement",'10_Form_Finance_Climat'!D101,"")</x:f>
      </x:c>
      <x:c r="E101" s="76" t="str">
        <x:f>IF('10_Form_Finance_Climat'!$O101="Validé humainement",'10_Form_Finance_Climat'!E101,"")</x:f>
      </x:c>
      <x:c r="F101" s="76" t="str">
        <x:f>IF('10_Form_Finance_Climat'!$O101="Validé humainement",'10_Form_Finance_Climat'!F101,"")</x:f>
      </x:c>
      <x:c r="G101" s="81" t="str">
        <x:f>IF('10_Form_Finance_Climat'!$O101="Validé humainement",'10_Form_Finance_Climat'!G101,"")</x:f>
      </x:c>
      <x:c r="H101" s="81" t="str">
        <x:f>IF('10_Form_Finance_Climat'!$O101="Validé humainement",'10_Form_Finance_Climat'!H101,"")</x:f>
      </x:c>
      <x:c r="I101" s="81" t="str">
        <x:f>IF('10_Form_Finance_Climat'!$O101="Validé humainement",'10_Form_Finance_Climat'!I101,"")</x:f>
      </x:c>
      <x:c r="J101" s="81" t="str">
        <x:f>IF('10_Form_Finance_Climat'!$O101="Validé humainement",'10_Form_Finance_Climat'!J101,"")</x:f>
      </x:c>
      <x:c r="K101" s="76" t="str">
        <x:f>IF('10_Form_Finance_Climat'!$O101="Validé humainement",'10_Form_Finance_Climat'!K101,"")</x:f>
      </x:c>
      <x:c r="L101" s="76" t="str">
        <x:f>IF('10_Form_Finance_Climat'!$O101="Validé humainement",'10_Form_Finance_Climat'!L101,"")</x:f>
      </x:c>
      <x:c r="M101" s="78" t="str">
        <x:f>IF('10_Form_Finance_Climat'!$O101="Validé humainement",'10_Form_Finance_Climat'!M101,"")</x:f>
      </x:c>
      <x:c r="N101" s="76" t="str">
        <x:f>IF('10_Form_Finance_Climat'!$O101="Validé humainement",'10_Form_Finance_Climat'!N101,"")</x:f>
      </x:c>
      <x:c r="O101" s="76" t="str">
        <x:f>IF('10_Form_Finance_Climat'!$O101="Validé humainement",'10_Form_Finance_Climat'!O101,"")</x:f>
      </x:c>
      <x:c r="P101" s="76" t="str">
        <x:f>IF('10_Form_Finance_Climat'!$O101="Validé humainement",'10_Form_Finance_Climat'!P101,"")</x:f>
      </x:c>
      <x:c r="Q101" s="78" t="str">
        <x:f>IF('10_Form_Finance_Climat'!$O101="Validé humainement",'10_Form_Finance_Climat'!Q101,"")</x:f>
      </x:c>
      <x:c r="R101" s="76" t="str">
        <x:f>IF('10_Form_Finance_Climat'!$O101="Validé humainement",'10_Form_Finance_Climat'!R101,"")</x:f>
      </x:c>
      <x:c r="S101" s="76" t="str">
        <x:f>IF('10_Form_Finance_Climat'!$O101="Validé humainement",'10_Form_Finance_Climat'!S101,"")</x:f>
      </x:c>
      <x:c r="T101" s="76" t="str">
        <x:f>IF('10_Form_Finance_Climat'!$O101="Validé humainement",'10_Form_Finance_Climat'!T101,"")</x:f>
      </x:c>
    </x:row>
    <x:row r="102">
      <x:c r="A102" s="76" t="str">
        <x:f>IF('10_Form_Finance_Climat'!$O102="Validé humainement",'10_Form_Finance_Climat'!A102,"")</x:f>
      </x:c>
      <x:c r="B102" s="76" t="str">
        <x:f>IF('10_Form_Finance_Climat'!$O102="Validé humainement",'10_Form_Finance_Climat'!B102,"")</x:f>
      </x:c>
      <x:c r="C102" s="76" t="str">
        <x:f>IF('10_Form_Finance_Climat'!$O102="Validé humainement",'10_Form_Finance_Climat'!C102,"")</x:f>
      </x:c>
      <x:c r="D102" s="76" t="str">
        <x:f>IF('10_Form_Finance_Climat'!$O102="Validé humainement",'10_Form_Finance_Climat'!D102,"")</x:f>
      </x:c>
      <x:c r="E102" s="76" t="str">
        <x:f>IF('10_Form_Finance_Climat'!$O102="Validé humainement",'10_Form_Finance_Climat'!E102,"")</x:f>
      </x:c>
      <x:c r="F102" s="76" t="str">
        <x:f>IF('10_Form_Finance_Climat'!$O102="Validé humainement",'10_Form_Finance_Climat'!F102,"")</x:f>
      </x:c>
      <x:c r="G102" s="81" t="str">
        <x:f>IF('10_Form_Finance_Climat'!$O102="Validé humainement",'10_Form_Finance_Climat'!G102,"")</x:f>
      </x:c>
      <x:c r="H102" s="81" t="str">
        <x:f>IF('10_Form_Finance_Climat'!$O102="Validé humainement",'10_Form_Finance_Climat'!H102,"")</x:f>
      </x:c>
      <x:c r="I102" s="81" t="str">
        <x:f>IF('10_Form_Finance_Climat'!$O102="Validé humainement",'10_Form_Finance_Climat'!I102,"")</x:f>
      </x:c>
      <x:c r="J102" s="81" t="str">
        <x:f>IF('10_Form_Finance_Climat'!$O102="Validé humainement",'10_Form_Finance_Climat'!J102,"")</x:f>
      </x:c>
      <x:c r="K102" s="76" t="str">
        <x:f>IF('10_Form_Finance_Climat'!$O102="Validé humainement",'10_Form_Finance_Climat'!K102,"")</x:f>
      </x:c>
      <x:c r="L102" s="76" t="str">
        <x:f>IF('10_Form_Finance_Climat'!$O102="Validé humainement",'10_Form_Finance_Climat'!L102,"")</x:f>
      </x:c>
      <x:c r="M102" s="78" t="str">
        <x:f>IF('10_Form_Finance_Climat'!$O102="Validé humainement",'10_Form_Finance_Climat'!M102,"")</x:f>
      </x:c>
      <x:c r="N102" s="76" t="str">
        <x:f>IF('10_Form_Finance_Climat'!$O102="Validé humainement",'10_Form_Finance_Climat'!N102,"")</x:f>
      </x:c>
      <x:c r="O102" s="76" t="str">
        <x:f>IF('10_Form_Finance_Climat'!$O102="Validé humainement",'10_Form_Finance_Climat'!O102,"")</x:f>
      </x:c>
      <x:c r="P102" s="76" t="str">
        <x:f>IF('10_Form_Finance_Climat'!$O102="Validé humainement",'10_Form_Finance_Climat'!P102,"")</x:f>
      </x:c>
      <x:c r="Q102" s="78" t="str">
        <x:f>IF('10_Form_Finance_Climat'!$O102="Validé humainement",'10_Form_Finance_Climat'!Q102,"")</x:f>
      </x:c>
      <x:c r="R102" s="76" t="str">
        <x:f>IF('10_Form_Finance_Climat'!$O102="Validé humainement",'10_Form_Finance_Climat'!R102,"")</x:f>
      </x:c>
      <x:c r="S102" s="76" t="str">
        <x:f>IF('10_Form_Finance_Climat'!$O102="Validé humainement",'10_Form_Finance_Climat'!S102,"")</x:f>
      </x:c>
      <x:c r="T102" s="76" t="str">
        <x:f>IF('10_Form_Finance_Climat'!$O102="Validé humainement",'10_Form_Finance_Climat'!T102,"")</x:f>
      </x:c>
    </x:row>
    <x:row r="103">
      <x:c r="A103" s="76" t="str">
        <x:f>IF('10_Form_Finance_Climat'!$O103="Validé humainement",'10_Form_Finance_Climat'!A103,"")</x:f>
      </x:c>
      <x:c r="B103" s="76" t="str">
        <x:f>IF('10_Form_Finance_Climat'!$O103="Validé humainement",'10_Form_Finance_Climat'!B103,"")</x:f>
      </x:c>
      <x:c r="C103" s="76" t="str">
        <x:f>IF('10_Form_Finance_Climat'!$O103="Validé humainement",'10_Form_Finance_Climat'!C103,"")</x:f>
      </x:c>
      <x:c r="D103" s="76" t="str">
        <x:f>IF('10_Form_Finance_Climat'!$O103="Validé humainement",'10_Form_Finance_Climat'!D103,"")</x:f>
      </x:c>
      <x:c r="E103" s="76" t="str">
        <x:f>IF('10_Form_Finance_Climat'!$O103="Validé humainement",'10_Form_Finance_Climat'!E103,"")</x:f>
      </x:c>
      <x:c r="F103" s="76" t="str">
        <x:f>IF('10_Form_Finance_Climat'!$O103="Validé humainement",'10_Form_Finance_Climat'!F103,"")</x:f>
      </x:c>
      <x:c r="G103" s="81" t="str">
        <x:f>IF('10_Form_Finance_Climat'!$O103="Validé humainement",'10_Form_Finance_Climat'!G103,"")</x:f>
      </x:c>
      <x:c r="H103" s="81" t="str">
        <x:f>IF('10_Form_Finance_Climat'!$O103="Validé humainement",'10_Form_Finance_Climat'!H103,"")</x:f>
      </x:c>
      <x:c r="I103" s="81" t="str">
        <x:f>IF('10_Form_Finance_Climat'!$O103="Validé humainement",'10_Form_Finance_Climat'!I103,"")</x:f>
      </x:c>
      <x:c r="J103" s="81" t="str">
        <x:f>IF('10_Form_Finance_Climat'!$O103="Validé humainement",'10_Form_Finance_Climat'!J103,"")</x:f>
      </x:c>
      <x:c r="K103" s="76" t="str">
        <x:f>IF('10_Form_Finance_Climat'!$O103="Validé humainement",'10_Form_Finance_Climat'!K103,"")</x:f>
      </x:c>
      <x:c r="L103" s="76" t="str">
        <x:f>IF('10_Form_Finance_Climat'!$O103="Validé humainement",'10_Form_Finance_Climat'!L103,"")</x:f>
      </x:c>
      <x:c r="M103" s="78" t="str">
        <x:f>IF('10_Form_Finance_Climat'!$O103="Validé humainement",'10_Form_Finance_Climat'!M103,"")</x:f>
      </x:c>
      <x:c r="N103" s="76" t="str">
        <x:f>IF('10_Form_Finance_Climat'!$O103="Validé humainement",'10_Form_Finance_Climat'!N103,"")</x:f>
      </x:c>
      <x:c r="O103" s="76" t="str">
        <x:f>IF('10_Form_Finance_Climat'!$O103="Validé humainement",'10_Form_Finance_Climat'!O103,"")</x:f>
      </x:c>
      <x:c r="P103" s="76" t="str">
        <x:f>IF('10_Form_Finance_Climat'!$O103="Validé humainement",'10_Form_Finance_Climat'!P103,"")</x:f>
      </x:c>
      <x:c r="Q103" s="78" t="str">
        <x:f>IF('10_Form_Finance_Climat'!$O103="Validé humainement",'10_Form_Finance_Climat'!Q103,"")</x:f>
      </x:c>
      <x:c r="R103" s="76" t="str">
        <x:f>IF('10_Form_Finance_Climat'!$O103="Validé humainement",'10_Form_Finance_Climat'!R103,"")</x:f>
      </x:c>
      <x:c r="S103" s="76" t="str">
        <x:f>IF('10_Form_Finance_Climat'!$O103="Validé humainement",'10_Form_Finance_Climat'!S103,"")</x:f>
      </x:c>
      <x:c r="T103" s="76" t="str">
        <x:f>IF('10_Form_Finance_Climat'!$O103="Validé humainement",'10_Form_Finance_Climat'!T103,"")</x:f>
      </x:c>
    </x:row>
    <x:row r="104">
      <x:c r="A104" s="76" t="str">
        <x:f>IF('10_Form_Finance_Climat'!$O104="Validé humainement",'10_Form_Finance_Climat'!A104,"")</x:f>
      </x:c>
      <x:c r="B104" s="76" t="str">
        <x:f>IF('10_Form_Finance_Climat'!$O104="Validé humainement",'10_Form_Finance_Climat'!B104,"")</x:f>
      </x:c>
      <x:c r="C104" s="76" t="str">
        <x:f>IF('10_Form_Finance_Climat'!$O104="Validé humainement",'10_Form_Finance_Climat'!C104,"")</x:f>
      </x:c>
      <x:c r="D104" s="76" t="str">
        <x:f>IF('10_Form_Finance_Climat'!$O104="Validé humainement",'10_Form_Finance_Climat'!D104,"")</x:f>
      </x:c>
      <x:c r="E104" s="76" t="str">
        <x:f>IF('10_Form_Finance_Climat'!$O104="Validé humainement",'10_Form_Finance_Climat'!E104,"")</x:f>
      </x:c>
      <x:c r="F104" s="76" t="str">
        <x:f>IF('10_Form_Finance_Climat'!$O104="Validé humainement",'10_Form_Finance_Climat'!F104,"")</x:f>
      </x:c>
      <x:c r="G104" s="81" t="str">
        <x:f>IF('10_Form_Finance_Climat'!$O104="Validé humainement",'10_Form_Finance_Climat'!G104,"")</x:f>
      </x:c>
      <x:c r="H104" s="81" t="str">
        <x:f>IF('10_Form_Finance_Climat'!$O104="Validé humainement",'10_Form_Finance_Climat'!H104,"")</x:f>
      </x:c>
      <x:c r="I104" s="81" t="str">
        <x:f>IF('10_Form_Finance_Climat'!$O104="Validé humainement",'10_Form_Finance_Climat'!I104,"")</x:f>
      </x:c>
      <x:c r="J104" s="81" t="str">
        <x:f>IF('10_Form_Finance_Climat'!$O104="Validé humainement",'10_Form_Finance_Climat'!J104,"")</x:f>
      </x:c>
      <x:c r="K104" s="76" t="str">
        <x:f>IF('10_Form_Finance_Climat'!$O104="Validé humainement",'10_Form_Finance_Climat'!K104,"")</x:f>
      </x:c>
      <x:c r="L104" s="76" t="str">
        <x:f>IF('10_Form_Finance_Climat'!$O104="Validé humainement",'10_Form_Finance_Climat'!L104,"")</x:f>
      </x:c>
      <x:c r="M104" s="78" t="str">
        <x:f>IF('10_Form_Finance_Climat'!$O104="Validé humainement",'10_Form_Finance_Climat'!M104,"")</x:f>
      </x:c>
      <x:c r="N104" s="76" t="str">
        <x:f>IF('10_Form_Finance_Climat'!$O104="Validé humainement",'10_Form_Finance_Climat'!N104,"")</x:f>
      </x:c>
      <x:c r="O104" s="76" t="str">
        <x:f>IF('10_Form_Finance_Climat'!$O104="Validé humainement",'10_Form_Finance_Climat'!O104,"")</x:f>
      </x:c>
      <x:c r="P104" s="76" t="str">
        <x:f>IF('10_Form_Finance_Climat'!$O104="Validé humainement",'10_Form_Finance_Climat'!P104,"")</x:f>
      </x:c>
      <x:c r="Q104" s="78" t="str">
        <x:f>IF('10_Form_Finance_Climat'!$O104="Validé humainement",'10_Form_Finance_Climat'!Q104,"")</x:f>
      </x:c>
      <x:c r="R104" s="76" t="str">
        <x:f>IF('10_Form_Finance_Climat'!$O104="Validé humainement",'10_Form_Finance_Climat'!R104,"")</x:f>
      </x:c>
      <x:c r="S104" s="76" t="str">
        <x:f>IF('10_Form_Finance_Climat'!$O104="Validé humainement",'10_Form_Finance_Climat'!S104,"")</x:f>
      </x:c>
      <x:c r="T104" s="76" t="str">
        <x:f>IF('10_Form_Finance_Climat'!$O104="Validé humainement",'10_Form_Finance_Climat'!T104,"")</x:f>
      </x:c>
    </x:row>
  </x:sheetData>
  <x:mergeCells>
    <x:mergeCell ref="A1:T1"/>
    <x:mergeCell ref="A2:T2"/>
  </x:mergeCells>
  <x:pageMargins left="0.7" right="0.7" top="0.75" bottom="0.75" header="0.3" footer="0.3"/>
  <x:tableParts count="1">
    <x:tablePart xmlns:r="http://schemas.openxmlformats.org/officeDocument/2006/relationships" r:id="Rad7fb9a3bf844297"/>
  </x:tableParts>
</x:worksheet>
</file>

<file path=xl/worksheets/sheet64.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Tableau de bord consolidé</x:v>
      </x:c>
      <x:c r="B1" s="68"/>
      <x:c r="C1" s="68"/>
      <x:c r="D1" s="68"/>
      <x:c r="E1" s="68"/>
    </x:row>
    <x:row r="2" ht="33" customHeight="1">
      <x:c r="A2" s="71" t="str">
        <x:v>Vue automatiquement alimentée par les bases validées issues des formulaires.</x:v>
      </x:c>
      <x:c r="B2" s="71"/>
      <x:c r="C2" s="71"/>
      <x:c r="D2" s="71"/>
      <x:c r="E2" s="71"/>
    </x:row>
    <x:row r="4">
      <x:c r="A4" s="74" t="str">
        <x:v>Indicateur</x:v>
      </x:c>
      <x:c r="B4" s="74" t="str">
        <x:v>Valeur</x:v>
      </x:c>
      <x:c r="C4" s="74" t="str">
        <x:v>Unité</x:v>
      </x:c>
      <x:c r="D4" s="74" t="str">
        <x:v>Source</x:v>
      </x:c>
      <x:c r="E4" s="74" t="str">
        <x:v>Usage reporting</x:v>
      </x:c>
    </x:row>
    <x:row r="5">
      <x:c r="A5" s="76" t="str">
        <x:v>Données validées</x:v>
      </x:c>
      <x:c r="B5" s="77" t="n">
        <x:f>COUNTIF(Data_Formulaire_Central!$P$5:$P$104,"Validé humainement")+COUNTIF(Data_Temperature!$O$5:$O$104,"Validé humainement")+COUNTIF(Data_Pluviometrie!$L$5:$L$104,"Validé humainement")+COUNTIF(Data_Electricite!$K$5:$K$104,"Validé humainement")+COUNTIF(Data_Dechets!$O$5:$O$104,"Validé humainement")+COUNTIF(Data_Qualite_Air!$P$5:$P$104,"Validé humainement")+COUNTIF(Data_Emissions_GES!$L$5:$L$104,"Validé humainement")+COUNTIF(Data_Mobilite!$Q$5:$Q$104,"Validé humainement")+COUNTIF(Data_Erosion_Cotiere!$M$5:$M$104,"Validé humainement")+COUNTIF(Data_Projets_Climat!$P$5:$P$104,"Validé humainement")+COUNTIF(Data_Finance_Climat!$O$5:$O$104,"Validé humainement")</x:f>
        <x:v>0</x:v>
      </x:c>
      <x:c r="C5" s="76" t="str">
        <x:v>lignes</x:v>
      </x:c>
      <x:c r="D5" s="76" t="str">
        <x:v>Bases Data_*</x:v>
      </x:c>
      <x:c r="E5" s="76" t="str">
        <x:v>Pilotage et reporting</x:v>
      </x:c>
    </x:row>
    <x:row r="6">
      <x:c r="A6" s="76" t="str">
        <x:v>Émissions totales</x:v>
      </x:c>
      <x:c r="B6" s="77" t="n">
        <x:f>SUM(Data_Electricite!$H$5:$H$104)+SUM(Data_Dechets!$M$5:$M$104)+SUM(Data_Emissions_GES!$H$5:$H$104)+SUM(Data_Mobilite!$M$5:$M$104)</x:f>
        <x:v>0</x:v>
      </x:c>
      <x:c r="C6" s="76" t="str">
        <x:v>tCO2e</x:v>
      </x:c>
      <x:c r="D6" s="76" t="str">
        <x:v>Data GES, énergie, déchets, mobilité</x:v>
      </x:c>
      <x:c r="E6" s="76" t="str">
        <x:v>CDP, C40, CDN</x:v>
      </x:c>
    </x:row>
    <x:row r="7">
      <x:c r="A7" s="76" t="str">
        <x:v>Budget total projets</x:v>
      </x:c>
      <x:c r="B7" s="77" t="n">
        <x:f>SUM(Data_Projets_Climat!$I$5:$I$104)</x:f>
        <x:v>0</x:v>
      </x:c>
      <x:c r="C7" s="76" t="str">
        <x:v>FCFA</x:v>
      </x:c>
      <x:c r="D7" s="76" t="str">
        <x:v>Data_Projets_Climat</x:v>
      </x:c>
      <x:c r="E7" s="76" t="str">
        <x:v>Bailleurs climat</x:v>
      </x:c>
    </x:row>
    <x:row r="8">
      <x:c r="A8" s="76" t="str">
        <x:v>Gap de financement</x:v>
      </x:c>
      <x:c r="B8" s="77" t="n">
        <x:f>SUM(Data_Projets_Climat!$K$5:$K$104)</x:f>
        <x:v>0</x:v>
      </x:c>
      <x:c r="C8" s="76" t="str">
        <x:v>FCFA</x:v>
      </x:c>
      <x:c r="D8" s="76" t="str">
        <x:v>Data_Projets_Climat</x:v>
      </x:c>
      <x:c r="E8" s="76" t="str">
        <x:v>GCF, Banque mondiale, BAD</x:v>
      </x:c>
    </x:row>
    <x:row r="9">
      <x:c r="A9" s="76" t="str">
        <x:v>Projets actifs</x:v>
      </x:c>
      <x:c r="B9" s="77" t="n">
        <x:f>COUNTIF(Data_Projets_Climat!$E$5:$E$104,"Actif")</x:f>
        <x:v>0</x:v>
      </x:c>
      <x:c r="C9" s="76" t="str">
        <x:v>nombre</x:v>
      </x:c>
      <x:c r="D9" s="76" t="str">
        <x:v>Data_Projets_Climat</x:v>
      </x:c>
      <x:c r="E9" s="76" t="str">
        <x:v>C40, CDN</x:v>
      </x:c>
    </x:row>
  </x:sheetData>
  <x:mergeCells>
    <x:mergeCell ref="A1:E1"/>
    <x:mergeCell ref="A2:E2"/>
  </x:mergeCells>
  <x:pageMargins left="0.7" right="0.7" top="0.75" bottom="0.75" header="0.3" footer="0.3"/>
  <x:tableParts count="1">
    <x:tablePart xmlns:r="http://schemas.openxmlformats.org/officeDocument/2006/relationships" r:id="Rcf6a58c1780d47a8"/>
  </x:tableParts>
</x:worksheet>
</file>

<file path=xl/worksheets/sheet65.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Inventaire GES alimenté par formulaires</x:v>
      </x:c>
      <x:c r="B1" s="68"/>
      <x:c r="C1" s="68"/>
      <x:c r="D1" s="68"/>
      <x:c r="E1" s="68"/>
    </x:row>
    <x:row r="2" ht="33" customHeight="1">
      <x:c r="A2" s="71" t="str">
        <x:v>Synthèse des émissions validées, structurée pour inventaire territorial.</x:v>
      </x:c>
      <x:c r="B2" s="71"/>
      <x:c r="C2" s="71"/>
      <x:c r="D2" s="71"/>
      <x:c r="E2" s="71"/>
    </x:row>
    <x:row r="4">
      <x:c r="A4" s="74" t="str">
        <x:v>Indicateur</x:v>
      </x:c>
      <x:c r="B4" s="74" t="str">
        <x:v>Valeur</x:v>
      </x:c>
      <x:c r="C4" s="74" t="str">
        <x:v>Unité</x:v>
      </x:c>
      <x:c r="D4" s="74" t="str">
        <x:v>Source</x:v>
      </x:c>
      <x:c r="E4" s="74" t="str">
        <x:v>Usage reporting</x:v>
      </x:c>
    </x:row>
    <x:row r="5">
      <x:c r="A5" s="76" t="str">
        <x:v>Énergie stationnaire</x:v>
      </x:c>
      <x:c r="B5" s="77" t="n">
        <x:f>SUMIFS(Data_Emissions_GES!$H$5:$H$104,Data_Emissions_GES!$C$5:$C$104,"Énergie stationnaire")+SUM(Data_Electricite!$H$5:$H$104)</x:f>
        <x:v>0</x:v>
      </x:c>
      <x:c r="C5" s="76" t="str">
        <x:v>tCO2e</x:v>
      </x:c>
      <x:c r="D5" s="76" t="str">
        <x:v>Data_Emissions_GES; Data_Electricite</x:v>
      </x:c>
      <x:c r="E5" s="76" t="str">
        <x:v>GPC/CDP/GCoM</x:v>
      </x:c>
    </x:row>
    <x:row r="6">
      <x:c r="A6" s="76" t="str">
        <x:v>Transport</x:v>
      </x:c>
      <x:c r="B6" s="77" t="n">
        <x:f>SUMIFS(Data_Emissions_GES!$H$5:$H$104,Data_Emissions_GES!$C$5:$C$104,"Transport")+SUM(Data_Mobilite!$M$5:$M$104)</x:f>
        <x:v>0</x:v>
      </x:c>
      <x:c r="C6" s="76" t="str">
        <x:v>tCO2e</x:v>
      </x:c>
      <x:c r="D6" s="76" t="str">
        <x:v>Data_Emissions_GES; Data_Mobilite</x:v>
      </x:c>
      <x:c r="E6" s="76" t="str">
        <x:v>GPC/CDP/GCoM</x:v>
      </x:c>
    </x:row>
    <x:row r="7">
      <x:c r="A7" s="76" t="str">
        <x:v>Déchets</x:v>
      </x:c>
      <x:c r="B7" s="77" t="n">
        <x:f>SUMIFS(Data_Emissions_GES!$H$5:$H$104,Data_Emissions_GES!$C$5:$C$104,"Déchets")+SUM(Data_Dechets!$M$5:$M$104)</x:f>
        <x:v>0</x:v>
      </x:c>
      <x:c r="C7" s="76" t="str">
        <x:v>tCO2e</x:v>
      </x:c>
      <x:c r="D7" s="76" t="str">
        <x:v>Data_Emissions_GES; Data_Dechets</x:v>
      </x:c>
      <x:c r="E7" s="76" t="str">
        <x:v>GPC/CDP/GCoM</x:v>
      </x:c>
    </x:row>
    <x:row r="8">
      <x:c r="A8" s="76" t="str">
        <x:v>Autres secteurs</x:v>
      </x:c>
      <x:c r="B8" s="77" t="n">
        <x:f>SUMIFS(Data_Emissions_GES!$H$5:$H$104,Data_Emissions_GES!$C$5:$C$104,"&lt;&gt;Énergie stationnaire",Data_Emissions_GES!$C$5:$C$104,"&lt;&gt;Transport",Data_Emissions_GES!$C$5:$C$104,"&lt;&gt;Déchets")</x:f>
        <x:v>0</x:v>
      </x:c>
      <x:c r="C8" s="76" t="str">
        <x:v>tCO2e</x:v>
      </x:c>
      <x:c r="D8" s="76" t="str">
        <x:v>Data_Emissions_GES</x:v>
      </x:c>
      <x:c r="E8" s="76" t="str">
        <x:v>GPC BASIC+</x:v>
      </x:c>
    </x:row>
  </x:sheetData>
  <x:mergeCells>
    <x:mergeCell ref="A1:E1"/>
    <x:mergeCell ref="A2:E2"/>
  </x:mergeCells>
  <x:pageMargins left="0.7" right="0.7" top="0.75" bottom="0.75" header="0.3" footer="0.3"/>
  <x:tableParts count="1">
    <x:tablePart xmlns:r="http://schemas.openxmlformats.org/officeDocument/2006/relationships" r:id="R9916e757a1c947cb"/>
  </x:tableParts>
</x:worksheet>
</file>

<file path=xl/worksheets/sheet66.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Données climatiques consolidées</x:v>
      </x:c>
      <x:c r="B1" s="68"/>
      <x:c r="C1" s="68"/>
      <x:c r="D1" s="68"/>
      <x:c r="E1" s="68"/>
    </x:row>
    <x:row r="2" ht="33" customHeight="1">
      <x:c r="A2" s="71" t="str">
        <x:v>Température, pluviométrie et érosion côtière validées.</x:v>
      </x:c>
      <x:c r="B2" s="71"/>
      <x:c r="C2" s="71"/>
      <x:c r="D2" s="71"/>
      <x:c r="E2" s="71"/>
    </x:row>
    <x:row r="4">
      <x:c r="A4" s="74" t="str">
        <x:v>Indicateur</x:v>
      </x:c>
      <x:c r="B4" s="74" t="str">
        <x:v>Valeur</x:v>
      </x:c>
      <x:c r="C4" s="74" t="str">
        <x:v>Unité</x:v>
      </x:c>
      <x:c r="D4" s="74" t="str">
        <x:v>Source</x:v>
      </x:c>
      <x:c r="E4" s="74" t="str">
        <x:v>Usage reporting</x:v>
      </x:c>
    </x:row>
    <x:row r="5">
      <x:c r="A5" s="76" t="str">
        <x:v>Température moyenne</x:v>
      </x:c>
      <x:c r="B5" s="77" t="str">
        <x:f>IFERROR(AVERAGE(Data_Temperature!$G$5:$G$104),"")</x:f>
      </x:c>
      <x:c r="C5" s="76" t="str">
        <x:v>°C</x:v>
      </x:c>
      <x:c r="D5" s="76" t="str">
        <x:v>Data_Temperature</x:v>
      </x:c>
      <x:c r="E5" s="76" t="str">
        <x:v>CDP, C40, adaptation</x:v>
      </x:c>
    </x:row>
    <x:row r="6">
      <x:c r="A6" s="76" t="str">
        <x:v>Pluviométrie totale</x:v>
      </x:c>
      <x:c r="B6" s="77" t="n">
        <x:f>SUM(Data_Pluviometrie!$G$5:$G$104)</x:f>
        <x:v>0</x:v>
      </x:c>
      <x:c r="C6" s="76" t="str">
        <x:v>mm</x:v>
      </x:c>
      <x:c r="D6" s="76" t="str">
        <x:v>Data_Pluviometrie</x:v>
      </x:c>
      <x:c r="E6" s="76" t="str">
        <x:v>Adaptation/CDN</x:v>
      </x:c>
    </x:row>
    <x:row r="7">
      <x:c r="A7" s="76" t="str">
        <x:v>Épisodes extrêmes</x:v>
      </x:c>
      <x:c r="B7" s="77" t="n">
        <x:f>COUNTIF(Data_Pluviometrie!$I$5:$I$104,"Oui")</x:f>
        <x:v>0</x:v>
      </x:c>
      <x:c r="C7" s="76" t="str">
        <x:v>nombre</x:v>
      </x:c>
      <x:c r="D7" s="76" t="str">
        <x:v>Data_Pluviometrie</x:v>
      </x:c>
      <x:c r="E7" s="76" t="str">
        <x:v>Résilience</x:v>
      </x:c>
    </x:row>
    <x:row r="8">
      <x:c r="A8" s="76" t="str">
        <x:v>Recul moyen trait de côte</x:v>
      </x:c>
      <x:c r="B8" s="77" t="str">
        <x:f>IFERROR(AVERAGE(Data_Erosion_Cotiere!$E$5:$E$104),"")</x:f>
      </x:c>
      <x:c r="C8" s="76" t="str">
        <x:v>m</x:v>
      </x:c>
      <x:c r="D8" s="76" t="str">
        <x:v>Data_Erosion_Cotiere</x:v>
      </x:c>
      <x:c r="E8" s="76" t="str">
        <x:v>Risques climatiques/CDN</x:v>
      </x:c>
    </x:row>
  </x:sheetData>
  <x:mergeCells>
    <x:mergeCell ref="A1:E1"/>
    <x:mergeCell ref="A2:E2"/>
  </x:mergeCells>
  <x:pageMargins left="0.7" right="0.7" top="0.75" bottom="0.75" header="0.3" footer="0.3"/>
  <x:tableParts count="1">
    <x:tablePart xmlns:r="http://schemas.openxmlformats.org/officeDocument/2006/relationships" r:id="Rf928b35748604511"/>
  </x:tableParts>
</x:worksheet>
</file>

<file path=xl/worksheets/sheet67.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Qualité de l'air consolidée</x:v>
      </x:c>
      <x:c r="B1" s="68"/>
      <x:c r="C1" s="68"/>
      <x:c r="D1" s="68"/>
      <x:c r="E1" s="68"/>
    </x:row>
    <x:row r="2" ht="33" customHeight="1">
      <x:c r="A2" s="71" t="str">
        <x:v>Moyennes validées et dépassements de seuil.</x:v>
      </x:c>
      <x:c r="B2" s="71"/>
      <x:c r="C2" s="71"/>
      <x:c r="D2" s="71"/>
      <x:c r="E2" s="71"/>
    </x:row>
    <x:row r="4">
      <x:c r="A4" s="74" t="str">
        <x:v>Indicateur</x:v>
      </x:c>
      <x:c r="B4" s="74" t="str">
        <x:v>Valeur</x:v>
      </x:c>
      <x:c r="C4" s="74" t="str">
        <x:v>Unité</x:v>
      </x:c>
      <x:c r="D4" s="74" t="str">
        <x:v>Source</x:v>
      </x:c>
      <x:c r="E4" s="74" t="str">
        <x:v>Usage reporting</x:v>
      </x:c>
    </x:row>
    <x:row r="5">
      <x:c r="A5" s="76" t="str">
        <x:v>PM2.5 moyen</x:v>
      </x:c>
      <x:c r="B5" s="77" t="str">
        <x:f>IFERROR(AVERAGE(Data_Qualite_Air!$E$5:$E$104),"")</x:f>
      </x:c>
      <x:c r="C5" s="76" t="str">
        <x:v>µg/m3</x:v>
      </x:c>
      <x:c r="D5" s="76" t="str">
        <x:v>Data_Qualite_Air</x:v>
      </x:c>
      <x:c r="E5" s="76" t="str">
        <x:v>CDP, C40 air quality</x:v>
      </x:c>
    </x:row>
    <x:row r="6">
      <x:c r="A6" s="76" t="str">
        <x:v>PM10 moyen</x:v>
      </x:c>
      <x:c r="B6" s="77" t="str">
        <x:f>IFERROR(AVERAGE(Data_Qualite_Air!$F$5:$F$104),"")</x:f>
      </x:c>
      <x:c r="C6" s="76" t="str">
        <x:v>µg/m3</x:v>
      </x:c>
      <x:c r="D6" s="76" t="str">
        <x:v>Data_Qualite_Air</x:v>
      </x:c>
      <x:c r="E6" s="76" t="str">
        <x:v>Santé urbaine</x:v>
      </x:c>
    </x:row>
    <x:row r="7">
      <x:c r="A7" s="76" t="str">
        <x:v>Indice moyen qualité air</x:v>
      </x:c>
      <x:c r="B7" s="77" t="str">
        <x:f>IFERROR(AVERAGE(Data_Qualite_Air!$K$5:$K$104),"")</x:f>
      </x:c>
      <x:c r="C7" s="76" t="str">
        <x:v>indice</x:v>
      </x:c>
      <x:c r="D7" s="76" t="str">
        <x:v>Data_Qualite_Air</x:v>
      </x:c>
      <x:c r="E7" s="76" t="str">
        <x:v>Dashboard</x:v>
      </x:c>
    </x:row>
    <x:row r="8">
      <x:c r="A8" s="76" t="str">
        <x:v>Dépassements seuil OMS</x:v>
      </x:c>
      <x:c r="B8" s="77" t="n">
        <x:f>COUNTIF(Data_Qualite_Air!$L$5:$L$104,"Oui")</x:f>
        <x:v>0</x:v>
      </x:c>
      <x:c r="C8" s="76" t="str">
        <x:v>nombre</x:v>
      </x:c>
      <x:c r="D8" s="76" t="str">
        <x:v>Data_Qualite_Air</x:v>
      </x:c>
      <x:c r="E8" s="76" t="str">
        <x:v>Alerte santé</x:v>
      </x:c>
    </x:row>
  </x:sheetData>
  <x:mergeCells>
    <x:mergeCell ref="A1:E1"/>
    <x:mergeCell ref="A2:E2"/>
  </x:mergeCells>
  <x:pageMargins left="0.7" right="0.7" top="0.75" bottom="0.75" header="0.3" footer="0.3"/>
  <x:tableParts count="1">
    <x:tablePart xmlns:r="http://schemas.openxmlformats.org/officeDocument/2006/relationships" r:id="Rc48af4b2efa542f1"/>
  </x:tableParts>
</x:worksheet>
</file>

<file path=xl/worksheets/sheet68.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Énergie consolidée</x:v>
      </x:c>
      <x:c r="B1" s="68"/>
      <x:c r="C1" s="68"/>
      <x:c r="D1" s="68"/>
      <x:c r="E1" s="68"/>
    </x:row>
    <x:row r="2" ht="33" customHeight="1">
      <x:c r="A2" s="71" t="str">
        <x:v>Consommation électrique et émissions associées.</x:v>
      </x:c>
      <x:c r="B2" s="71"/>
      <x:c r="C2" s="71"/>
      <x:c r="D2" s="71"/>
      <x:c r="E2" s="71"/>
    </x:row>
    <x:row r="4">
      <x:c r="A4" s="74" t="str">
        <x:v>Indicateur</x:v>
      </x:c>
      <x:c r="B4" s="74" t="str">
        <x:v>Valeur</x:v>
      </x:c>
      <x:c r="C4" s="74" t="str">
        <x:v>Unité</x:v>
      </x:c>
      <x:c r="D4" s="74" t="str">
        <x:v>Source</x:v>
      </x:c>
      <x:c r="E4" s="74" t="str">
        <x:v>Usage reporting</x:v>
      </x:c>
    </x:row>
    <x:row r="5">
      <x:c r="A5" s="76" t="str">
        <x:v>Consommation électrique</x:v>
      </x:c>
      <x:c r="B5" s="77" t="n">
        <x:f>SUM(Data_Electricite!$F$5:$F$104)</x:f>
        <x:v>0</x:v>
      </x:c>
      <x:c r="C5" s="76" t="str">
        <x:v>kWh</x:v>
      </x:c>
      <x:c r="D5" s="76" t="str">
        <x:v>Data_Electricite</x:v>
      </x:c>
      <x:c r="E5" s="76" t="str">
        <x:v>CDP, C40, CDN</x:v>
      </x:c>
    </x:row>
    <x:row r="6">
      <x:c r="A6" s="76" t="str">
        <x:v>Émissions électricité</x:v>
      </x:c>
      <x:c r="B6" s="77" t="n">
        <x:f>SUM(Data_Electricite!$H$5:$H$104)</x:f>
        <x:v>0</x:v>
      </x:c>
      <x:c r="C6" s="76" t="str">
        <x:v>tCO2e</x:v>
      </x:c>
      <x:c r="D6" s="76" t="str">
        <x:v>Data_Electricite</x:v>
      </x:c>
      <x:c r="E6" s="76" t="str">
        <x:v>Inventaire GES</x:v>
      </x:c>
    </x:row>
    <x:row r="7">
      <x:c r="A7" s="76" t="str">
        <x:v>Nombre de sites/mesures</x:v>
      </x:c>
      <x:c r="B7" s="77" t="n">
        <x:f>COUNTIF(Data_Electricite!$K$5:$K$104,"Validé humainement")</x:f>
        <x:v>0</x:v>
      </x:c>
      <x:c r="C7" s="76" t="str">
        <x:v>lignes</x:v>
      </x:c>
      <x:c r="D7" s="76" t="str">
        <x:v>Data_Electricite</x:v>
      </x:c>
      <x:c r="E7" s="76" t="str">
        <x:v>MRV</x:v>
      </x:c>
    </x:row>
  </x:sheetData>
  <x:mergeCells>
    <x:mergeCell ref="A1:E1"/>
    <x:mergeCell ref="A2:E2"/>
  </x:mergeCells>
  <x:pageMargins left="0.7" right="0.7" top="0.75" bottom="0.75" header="0.3" footer="0.3"/>
  <x:tableParts count="1">
    <x:tablePart xmlns:r="http://schemas.openxmlformats.org/officeDocument/2006/relationships" r:id="R7848837768dd44e7"/>
  </x:tableParts>
</x:worksheet>
</file>

<file path=xl/worksheets/sheet69.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Déchets consolidés</x:v>
      </x:c>
      <x:c r="B1" s="68"/>
      <x:c r="C1" s="68"/>
      <x:c r="D1" s="68"/>
      <x:c r="E1" s="68"/>
    </x:row>
    <x:row r="2" ht="33" customHeight="1">
      <x:c r="A2" s="71" t="str">
        <x:v>Flux collectés, valorisés, enfouis et émissions estimées.</x:v>
      </x:c>
      <x:c r="B2" s="71"/>
      <x:c r="C2" s="71"/>
      <x:c r="D2" s="71"/>
      <x:c r="E2" s="71"/>
    </x:row>
    <x:row r="4">
      <x:c r="A4" s="74" t="str">
        <x:v>Indicateur</x:v>
      </x:c>
      <x:c r="B4" s="74" t="str">
        <x:v>Valeur</x:v>
      </x:c>
      <x:c r="C4" s="74" t="str">
        <x:v>Unité</x:v>
      </x:c>
      <x:c r="D4" s="74" t="str">
        <x:v>Source</x:v>
      </x:c>
      <x:c r="E4" s="74" t="str">
        <x:v>Usage reporting</x:v>
      </x:c>
    </x:row>
    <x:row r="5">
      <x:c r="A5" s="76" t="str">
        <x:v>Déchets collectés</x:v>
      </x:c>
      <x:c r="B5" s="77" t="n">
        <x:f>SUM(Data_Dechets!$F$5:$F$104)</x:f>
        <x:v>0</x:v>
      </x:c>
      <x:c r="C5" s="76" t="str">
        <x:v>tonnes</x:v>
      </x:c>
      <x:c r="D5" s="76" t="str">
        <x:v>Data_Dechets</x:v>
      </x:c>
      <x:c r="E5" s="76" t="str">
        <x:v>CDP, C40, CDN</x:v>
      </x:c>
    </x:row>
    <x:row r="6">
      <x:c r="A6" s="76" t="str">
        <x:v>Déchets recyclés</x:v>
      </x:c>
      <x:c r="B6" s="77" t="n">
        <x:f>SUM(Data_Dechets!$G$5:$G$104)</x:f>
        <x:v>0</x:v>
      </x:c>
      <x:c r="C6" s="76" t="str">
        <x:v>tonnes</x:v>
      </x:c>
      <x:c r="D6" s="76" t="str">
        <x:v>Data_Dechets</x:v>
      </x:c>
      <x:c r="E6" s="76" t="str">
        <x:v>Circularité</x:v>
      </x:c>
    </x:row>
    <x:row r="7">
      <x:c r="A7" s="76" t="str">
        <x:v>Déchets compostés</x:v>
      </x:c>
      <x:c r="B7" s="77" t="n">
        <x:f>SUM(Data_Dechets!$H$5:$H$104)</x:f>
        <x:v>0</x:v>
      </x:c>
      <x:c r="C7" s="76" t="str">
        <x:v>tonnes</x:v>
      </x:c>
      <x:c r="D7" s="76" t="str">
        <x:v>Data_Dechets</x:v>
      </x:c>
      <x:c r="E7" s="76" t="str">
        <x:v>Circularité</x:v>
      </x:c>
    </x:row>
    <x:row r="8">
      <x:c r="A8" s="76" t="str">
        <x:v>Émissions déchets</x:v>
      </x:c>
      <x:c r="B8" s="77" t="n">
        <x:f>SUM(Data_Dechets!$M$5:$M$104)</x:f>
        <x:v>0</x:v>
      </x:c>
      <x:c r="C8" s="76" t="str">
        <x:v>tCO2e</x:v>
      </x:c>
      <x:c r="D8" s="76" t="str">
        <x:v>Data_Dechets</x:v>
      </x:c>
      <x:c r="E8" s="76" t="str">
        <x:v>Inventaire GES</x:v>
      </x:c>
    </x:row>
  </x:sheetData>
  <x:mergeCells>
    <x:mergeCell ref="A1:E1"/>
    <x:mergeCell ref="A2:E2"/>
  </x:mergeCells>
  <x:pageMargins left="0.7" right="0.7" top="0.75" bottom="0.75" header="0.3" footer="0.3"/>
  <x:tableParts count="1">
    <x:tablePart xmlns:r="http://schemas.openxmlformats.org/officeDocument/2006/relationships" r:id="R817e326304c74cb4"/>
  </x:tableParts>
</x:worksheet>
</file>

<file path=xl/worksheets/sheet70.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Mobilité consolidée</x:v>
      </x:c>
      <x:c r="B1" s="68"/>
      <x:c r="C1" s="68"/>
      <x:c r="D1" s="68"/>
      <x:c r="E1" s="68"/>
    </x:row>
    <x:row r="2" ht="33" customHeight="1">
      <x:c r="A2" s="71" t="str">
        <x:v>Activité transport, passagers, consommation et émissions.</x:v>
      </x:c>
      <x:c r="B2" s="71"/>
      <x:c r="C2" s="71"/>
      <x:c r="D2" s="71"/>
      <x:c r="E2" s="71"/>
    </x:row>
    <x:row r="4">
      <x:c r="A4" s="74" t="str">
        <x:v>Indicateur</x:v>
      </x:c>
      <x:c r="B4" s="74" t="str">
        <x:v>Valeur</x:v>
      </x:c>
      <x:c r="C4" s="74" t="str">
        <x:v>Unité</x:v>
      </x:c>
      <x:c r="D4" s="74" t="str">
        <x:v>Source</x:v>
      </x:c>
      <x:c r="E4" s="74" t="str">
        <x:v>Usage reporting</x:v>
      </x:c>
    </x:row>
    <x:row r="5">
      <x:c r="A5" s="76" t="str">
        <x:v>Trajets déclarés</x:v>
      </x:c>
      <x:c r="B5" s="77" t="n">
        <x:f>SUM(Data_Mobilite!$F$5:$F$104)</x:f>
        <x:v>0</x:v>
      </x:c>
      <x:c r="C5" s="76" t="str">
        <x:v>nombre</x:v>
      </x:c>
      <x:c r="D5" s="76" t="str">
        <x:v>Data_Mobilite</x:v>
      </x:c>
      <x:c r="E5" s="76" t="str">
        <x:v>Transport urbain</x:v>
      </x:c>
    </x:row>
    <x:row r="6">
      <x:c r="A6" s="76" t="str">
        <x:v>Passagers</x:v>
      </x:c>
      <x:c r="B6" s="77" t="n">
        <x:f>SUM(Data_Mobilite!$H$5:$H$104)</x:f>
        <x:v>0</x:v>
      </x:c>
      <x:c r="C6" s="76" t="str">
        <x:v>nombre</x:v>
      </x:c>
      <x:c r="D6" s="76" t="str">
        <x:v>Data_Mobilite</x:v>
      </x:c>
      <x:c r="E6" s="76" t="str">
        <x:v>C40, CDN</x:v>
      </x:c>
    </x:row>
    <x:row r="7">
      <x:c r="A7" s="76" t="str">
        <x:v>Émissions mobilité</x:v>
      </x:c>
      <x:c r="B7" s="77" t="n">
        <x:f>SUM(Data_Mobilite!$M$5:$M$104)</x:f>
        <x:v>0</x:v>
      </x:c>
      <x:c r="C7" s="76" t="str">
        <x:v>tCO2e</x:v>
      </x:c>
      <x:c r="D7" s="76" t="str">
        <x:v>Data_Mobilite</x:v>
      </x:c>
      <x:c r="E7" s="76" t="str">
        <x:v>Inventaire GES</x:v>
      </x:c>
    </x:row>
  </x:sheetData>
  <x:mergeCells>
    <x:mergeCell ref="A1:E1"/>
    <x:mergeCell ref="A2:E2"/>
  </x:mergeCells>
  <x:pageMargins left="0.7" right="0.7" top="0.75" bottom="0.75" header="0.3" footer="0.3"/>
  <x:tableParts count="1">
    <x:tablePart xmlns:r="http://schemas.openxmlformats.org/officeDocument/2006/relationships" r:id="Ra077eb13fecc41fb"/>
  </x:tableParts>
</x:worksheet>
</file>

<file path=xl/worksheets/sheet71.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Risques climatiques consolidés</x:v>
      </x:c>
      <x:c r="B1" s="68"/>
      <x:c r="C1" s="68"/>
      <x:c r="D1" s="68"/>
      <x:c r="E1" s="68"/>
    </x:row>
    <x:row r="2" ht="33" customHeight="1">
      <x:c r="A2" s="71" t="str">
        <x:v>Risques côtiers et exposition issus des données validées.</x:v>
      </x:c>
      <x:c r="B2" s="71"/>
      <x:c r="C2" s="71"/>
      <x:c r="D2" s="71"/>
      <x:c r="E2" s="71"/>
    </x:row>
    <x:row r="4">
      <x:c r="A4" s="74" t="str">
        <x:v>Indicateur</x:v>
      </x:c>
      <x:c r="B4" s="74" t="str">
        <x:v>Valeur</x:v>
      </x:c>
      <x:c r="C4" s="74" t="str">
        <x:v>Unité</x:v>
      </x:c>
      <x:c r="D4" s="74" t="str">
        <x:v>Source</x:v>
      </x:c>
      <x:c r="E4" s="74" t="str">
        <x:v>Usage reporting</x:v>
      </x:c>
    </x:row>
    <x:row r="5">
      <x:c r="A5" s="76" t="str">
        <x:v>Population exposée érosion</x:v>
      </x:c>
      <x:c r="B5" s="77" t="n">
        <x:f>SUM(Data_Erosion_Cotiere!$H$5:$H$104)</x:f>
        <x:v>0</x:v>
      </x:c>
      <x:c r="C5" s="76" t="str">
        <x:v>personnes</x:v>
      </x:c>
      <x:c r="D5" s="76" t="str">
        <x:v>Data_Erosion_Cotiere</x:v>
      </x:c>
      <x:c r="E5" s="76" t="str">
        <x:v>Adaptation, CDN, bailleurs</x:v>
      </x:c>
    </x:row>
    <x:row r="6">
      <x:c r="A6" s="76" t="str">
        <x:v>Zones risque critique</x:v>
      </x:c>
      <x:c r="B6" s="77" t="n">
        <x:f>COUNTIF(Data_Erosion_Cotiere!$I$5:$I$104,"Critique")</x:f>
        <x:v>0</x:v>
      </x:c>
      <x:c r="C6" s="76" t="str">
        <x:v>zones</x:v>
      </x:c>
      <x:c r="D6" s="76" t="str">
        <x:v>Data_Erosion_Cotiere</x:v>
      </x:c>
      <x:c r="E6" s="76" t="str">
        <x:v>Plan adaptation</x:v>
      </x:c>
    </x:row>
    <x:row r="7">
      <x:c r="A7" s="76" t="str">
        <x:v>Recul maximal observé</x:v>
      </x:c>
      <x:c r="B7" s="77" t="n">
        <x:f>IFERROR(MAX(Data_Erosion_Cotiere!$E$5:$E$104),"")</x:f>
        <x:v>0</x:v>
      </x:c>
      <x:c r="C7" s="76" t="str">
        <x:v>m</x:v>
      </x:c>
      <x:c r="D7" s="76" t="str">
        <x:v>Data_Erosion_Cotiere</x:v>
      </x:c>
      <x:c r="E7" s="76" t="str">
        <x:v>Priorisation investissements</x:v>
      </x:c>
    </x:row>
  </x:sheetData>
  <x:mergeCells>
    <x:mergeCell ref="A1:E1"/>
    <x:mergeCell ref="A2:E2"/>
  </x:mergeCells>
  <x:pageMargins left="0.7" right="0.7" top="0.75" bottom="0.75" header="0.3" footer="0.3"/>
  <x:tableParts count="1">
    <x:tablePart xmlns:r="http://schemas.openxmlformats.org/officeDocument/2006/relationships" r:id="R59f100d9646f460c"/>
  </x:tableParts>
</x:worksheet>
</file>

<file path=xl/worksheets/sheet72.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Pré-remplissage reporting CDP / C40 / ICLEI</x:v>
      </x:c>
      <x:c r="B1" s="68"/>
      <x:c r="C1" s="68"/>
      <x:c r="D1" s="68"/>
      <x:c r="E1" s="68"/>
    </x:row>
    <x:row r="2" ht="33" customHeight="1">
      <x:c r="A2" s="71" t="str">
        <x:v>Indicateurs prêts à reporter, uniquement sur données validées humainement.</x:v>
      </x:c>
      <x:c r="B2" s="71"/>
      <x:c r="C2" s="71"/>
      <x:c r="D2" s="71"/>
      <x:c r="E2" s="71"/>
    </x:row>
    <x:row r="4">
      <x:c r="A4" s="74" t="str">
        <x:v>Indicateur</x:v>
      </x:c>
      <x:c r="B4" s="74" t="str">
        <x:v>Valeur</x:v>
      </x:c>
      <x:c r="C4" s="74" t="str">
        <x:v>Unité</x:v>
      </x:c>
      <x:c r="D4" s="74" t="str">
        <x:v>Source</x:v>
      </x:c>
      <x:c r="E4" s="74" t="str">
        <x:v>Usage reporting</x:v>
      </x:c>
    </x:row>
    <x:row r="5">
      <x:c r="A5" s="76" t="str">
        <x:v>Total émissions GES</x:v>
      </x:c>
      <x:c r="B5" s="77" t="n">
        <x:f>Tableau_de_bord!B6</x:f>
        <x:v>0</x:v>
      </x:c>
      <x:c r="C5" s="76" t="str">
        <x:v>tCO2e</x:v>
      </x:c>
      <x:c r="D5" s="76" t="str">
        <x:v>Inventaire_GES</x:v>
      </x:c>
      <x:c r="E5" s="76" t="str">
        <x:v>CDP/ICLEI/GCoM</x:v>
      </x:c>
    </x:row>
    <x:row r="6">
      <x:c r="A6" s="76" t="str">
        <x:v>Consommation électrique</x:v>
      </x:c>
      <x:c r="B6" s="77" t="n">
        <x:f>Energie!B5</x:f>
        <x:v>0</x:v>
      </x:c>
      <x:c r="C6" s="76" t="str">
        <x:v>kWh</x:v>
      </x:c>
      <x:c r="D6" s="76" t="str">
        <x:v>Energie</x:v>
      </x:c>
      <x:c r="E6" s="76" t="str">
        <x:v>CDP énergie</x:v>
      </x:c>
    </x:row>
    <x:row r="7">
      <x:c r="A7" s="76" t="str">
        <x:v>Déchets collectés</x:v>
      </x:c>
      <x:c r="B7" s="77" t="n">
        <x:f>Dechets!B5</x:f>
        <x:v>0</x:v>
      </x:c>
      <x:c r="C7" s="76" t="str">
        <x:v>tonnes</x:v>
      </x:c>
      <x:c r="D7" s="76" t="str">
        <x:v>Dechets</x:v>
      </x:c>
      <x:c r="E7" s="76" t="str">
        <x:v>CDP déchets</x:v>
      </x:c>
    </x:row>
    <x:row r="8">
      <x:c r="A8" s="76" t="str">
        <x:v>Indice qualité air moyen</x:v>
      </x:c>
      <x:c r="B8" s="77" t="str">
        <x:f>Qualite_Air!B7</x:f>
      </x:c>
      <x:c r="C8" s="76" t="str">
        <x:v>indice</x:v>
      </x:c>
      <x:c r="D8" s="76" t="str">
        <x:v>Qualite_Air</x:v>
      </x:c>
      <x:c r="E8" s="76" t="str">
        <x:v>C40 qualité air</x:v>
      </x:c>
    </x:row>
    <x:row r="9">
      <x:c r="A9" s="76" t="str">
        <x:v>Projets climat actifs</x:v>
      </x:c>
      <x:c r="B9" s="77" t="n">
        <x:f>Tableau_de_bord!B9</x:f>
        <x:v>0</x:v>
      </x:c>
      <x:c r="C9" s="76" t="str">
        <x:v>nombre</x:v>
      </x:c>
      <x:c r="D9" s="76" t="str">
        <x:v>Data_Projets_Climat</x:v>
      </x:c>
      <x:c r="E9" s="76" t="str">
        <x:v>C40 actions</x:v>
      </x:c>
    </x:row>
  </x:sheetData>
  <x:mergeCells>
    <x:mergeCell ref="A1:E1"/>
    <x:mergeCell ref="A2:E2"/>
  </x:mergeCells>
  <x:pageMargins left="0.7" right="0.7" top="0.75" bottom="0.75" header="0.3" footer="0.3"/>
  <x:tableParts count="1">
    <x:tablePart xmlns:r="http://schemas.openxmlformats.org/officeDocument/2006/relationships" r:id="R3d59bec9edf44a43"/>
  </x:tableParts>
</x:worksheet>
</file>

<file path=xl/worksheets/sheet73.xml><?xml version="1.0" encoding="utf-8"?>
<x:worksheet xmlns:x="http://schemas.openxmlformats.org/spreadsheetml/2006/main">
  <x:sheetViews>
    <x:sheetView showGridLines="0" workbookViewId="0"/>
  </x:sheetViews>
  <x:sheetFormatPr defaultRowHeight="15"/>
  <x:cols>
    <x:col min="1" max="1" width="32.5" hidden="0" customWidth="1"/>
    <x:col min="2" max="2" width="20" hidden="0" customWidth="1"/>
    <x:col min="3" max="3" width="27.5" hidden="0" customWidth="1"/>
    <x:col min="4" max="4" width="27.5" hidden="0" customWidth="1"/>
    <x:col min="5" max="5" width="35" hidden="0" customWidth="1"/>
  </x:cols>
  <x:sheetData>
    <x:row r="1" ht="25.5" customHeight="1">
      <x:c r="A1" s="68" t="str">
        <x:v>Contribution locale à la CDN 2.0</x:v>
      </x:c>
      <x:c r="B1" s="68"/>
      <x:c r="C1" s="68"/>
      <x:c r="D1" s="68"/>
      <x:c r="E1" s="68"/>
    </x:row>
    <x:row r="2" ht="33" customHeight="1">
      <x:c r="A2" s="71" t="str">
        <x:v>Contribution de Dakar par secteur, basée sur les bases validées.</x:v>
      </x:c>
      <x:c r="B2" s="71"/>
      <x:c r="C2" s="71"/>
      <x:c r="D2" s="71"/>
      <x:c r="E2" s="71"/>
    </x:row>
    <x:row r="4">
      <x:c r="A4" s="74" t="str">
        <x:v>Indicateur</x:v>
      </x:c>
      <x:c r="B4" s="74" t="str">
        <x:v>Valeur</x:v>
      </x:c>
      <x:c r="C4" s="74" t="str">
        <x:v>Unité</x:v>
      </x:c>
      <x:c r="D4" s="74" t="str">
        <x:v>Source</x:v>
      </x:c>
      <x:c r="E4" s="74" t="str">
        <x:v>Usage reporting</x:v>
      </x:c>
    </x:row>
    <x:row r="5">
      <x:c r="A5" s="76" t="str">
        <x:v>Contribution mitigation énergie</x:v>
      </x:c>
      <x:c r="B5" s="77" t="n">
        <x:f>Energie!B6</x:f>
        <x:v>0</x:v>
      </x:c>
      <x:c r="C5" s="76" t="str">
        <x:v>tCO2e</x:v>
      </x:c>
      <x:c r="D5" s="76" t="str">
        <x:v>Data_Electricite</x:v>
      </x:c>
      <x:c r="E5" s="76" t="str">
        <x:v>CDN énergie</x:v>
      </x:c>
    </x:row>
    <x:row r="6">
      <x:c r="A6" s="76" t="str">
        <x:v>Contribution mitigation transport</x:v>
      </x:c>
      <x:c r="B6" s="77" t="n">
        <x:f>Mobilite!B7</x:f>
        <x:v>0</x:v>
      </x:c>
      <x:c r="C6" s="76" t="str">
        <x:v>tCO2e</x:v>
      </x:c>
      <x:c r="D6" s="76" t="str">
        <x:v>Data_Mobilite</x:v>
      </x:c>
      <x:c r="E6" s="76" t="str">
        <x:v>CDN transport</x:v>
      </x:c>
    </x:row>
    <x:row r="7">
      <x:c r="A7" s="76" t="str">
        <x:v>Contribution mitigation déchets</x:v>
      </x:c>
      <x:c r="B7" s="77" t="n">
        <x:f>Dechets!B8</x:f>
        <x:v>0</x:v>
      </x:c>
      <x:c r="C7" s="76" t="str">
        <x:v>tCO2e</x:v>
      </x:c>
      <x:c r="D7" s="76" t="str">
        <x:v>Data_Dechets</x:v>
      </x:c>
      <x:c r="E7" s="76" t="str">
        <x:v>CDN déchets</x:v>
      </x:c>
    </x:row>
    <x:row r="8">
      <x:c r="A8" s="76" t="str">
        <x:v>Contribution adaptation côtière</x:v>
      </x:c>
      <x:c r="B8" s="77" t="n">
        <x:f>Risques_Climatiques!B5</x:f>
        <x:v>0</x:v>
      </x:c>
      <x:c r="C8" s="76" t="str">
        <x:v>personnes exposées</x:v>
      </x:c>
      <x:c r="D8" s="76" t="str">
        <x:v>Data_Erosion_Cotiere</x:v>
      </x:c>
      <x:c r="E8" s="76" t="str">
        <x:v>CDN adaptation</x:v>
      </x:c>
    </x:row>
    <x:row r="9">
      <x:c r="A9" s="76" t="str">
        <x:v>Financement climat mobilisé</x:v>
      </x:c>
      <x:c r="B9" s="77" t="n">
        <x:f>SUM(Data_Finance_Climat!$H$5:$H$104)</x:f>
        <x:v>0</x:v>
      </x:c>
      <x:c r="C9" s="76" t="str">
        <x:v>FCFA</x:v>
      </x:c>
      <x:c r="D9" s="76" t="str">
        <x:v>Data_Finance_Climat</x:v>
      </x:c>
      <x:c r="E9" s="76" t="str">
        <x:v>CDN finance</x:v>
      </x:c>
    </x:row>
  </x:sheetData>
  <x:mergeCells>
    <x:mergeCell ref="A1:E1"/>
    <x:mergeCell ref="A2:E2"/>
  </x:mergeCells>
  <x:pageMargins left="0.7" right="0.7" top="0.75" bottom="0.75" header="0.3" footer="0.3"/>
  <x:tableParts count="1">
    <x:tablePart xmlns:r="http://schemas.openxmlformats.org/officeDocument/2006/relationships" r:id="Rdc6eefcfe9344c9e"/>
  </x:tableParts>
</x:worksheet>
</file>

<file path=xl/worksheets/sheet74.xml><?xml version="1.0" encoding="utf-8"?>
<x:worksheet xmlns:x="http://schemas.openxmlformats.org/spreadsheetml/2006/main">
  <x:sheetViews>
    <x:sheetView showGridLines="0" workbookViewId="0"/>
  </x:sheetViews>
  <x:sheetFormatPr defaultRowHeight="15"/>
  <x:cols>
    <x:col min="1" max="1" width="26.25" hidden="0" customWidth="1"/>
    <x:col min="2" max="2" width="18.1299991607666" hidden="0" customWidth="1"/>
    <x:col min="3" max="3" width="17.5" hidden="0" customWidth="1"/>
    <x:col min="4" max="4" width="27.5" hidden="0" customWidth="1"/>
    <x:col min="5" max="5" width="26.25" hidden="0" customWidth="1"/>
    <x:col min="6" max="6" width="18.1299991607666" hidden="0" customWidth="1"/>
    <x:col min="7" max="7" width="17.5" hidden="0" customWidth="1"/>
    <x:col min="8" max="8" width="27.5" hidden="0" customWidth="1"/>
    <x:col min="9" max="9" width="26.25" hidden="0" customWidth="1"/>
    <x:col min="10" max="10" width="18.1299991607666" hidden="0" customWidth="1"/>
    <x:col min="11" max="11" width="17.5" hidden="0" customWidth="1"/>
    <x:col min="12" max="12" width="27.5" hidden="0" customWidth="1"/>
    <x:col min="13" max="13" width="21.25" hidden="0" customWidth="1"/>
    <x:col min="14" max="14" width="21.25" hidden="0" customWidth="1"/>
  </x:cols>
  <x:sheetData>
    <x:row r="1" ht="25.5" customHeight="1">
      <x:c r="A1" s="68" t="str">
        <x:v>Dashboard dynamique - module formulaires</x:v>
      </x:c>
      <x:c r="B1" s="68"/>
      <x:c r="C1" s="68"/>
      <x:c r="D1" s="68"/>
      <x:c r="E1" s="68"/>
      <x:c r="F1" s="68"/>
      <x:c r="G1" s="68"/>
      <x:c r="H1" s="68"/>
      <x:c r="I1" s="68"/>
      <x:c r="J1" s="68"/>
      <x:c r="K1" s="68"/>
      <x:c r="L1" s="68"/>
      <x:c r="M1" s="68"/>
      <x:c r="N1" s="68"/>
    </x:row>
    <x:row r="2" ht="33" customHeight="1">
      <x:c r="A2" s="71" t="str">
        <x:v>Tableau de bord exécutif alimenté par les bases validées. Les lignes non validées humainement sont exclues automatiquement.</x:v>
      </x:c>
      <x:c r="B2" s="71"/>
      <x:c r="C2" s="71"/>
      <x:c r="D2" s="71"/>
      <x:c r="E2" s="71"/>
      <x:c r="F2" s="71"/>
      <x:c r="G2" s="71"/>
      <x:c r="H2" s="71"/>
      <x:c r="I2" s="71"/>
      <x:c r="J2" s="71"/>
      <x:c r="K2" s="71"/>
      <x:c r="L2" s="71"/>
      <x:c r="M2" s="71"/>
      <x:c r="N2" s="71"/>
    </x:row>
    <x:row r="4">
      <x:c r="A4" s="74" t="str">
        <x:v>KPI</x:v>
      </x:c>
      <x:c r="B4" s="74" t="str">
        <x:v>Valeur</x:v>
      </x:c>
      <x:c r="C4" s="74" t="str">
        <x:v>Unité</x:v>
      </x:c>
      <x:c r="D4" s="74" t="str">
        <x:v>Source</x:v>
      </x:c>
      <x:c r="E4" s="74" t="str">
        <x:v>KPI</x:v>
      </x:c>
      <x:c r="F4" s="74" t="str">
        <x:v>Valeur</x:v>
      </x:c>
      <x:c r="G4" s="74" t="str">
        <x:v>Unité</x:v>
      </x:c>
      <x:c r="H4" s="74" t="str">
        <x:v>Source</x:v>
      </x:c>
      <x:c r="I4" s="74" t="str">
        <x:v>KPI</x:v>
      </x:c>
      <x:c r="J4" s="74" t="str">
        <x:v>Valeur</x:v>
      </x:c>
      <x:c r="K4" s="74" t="str">
        <x:v>Unité</x:v>
      </x:c>
      <x:c r="L4" s="74" t="str">
        <x:v>Source</x:v>
      </x:c>
      <x:c r="M4" s="74" t="str">
        <x:v>Statut</x:v>
      </x:c>
      <x:c r="N4" s="74" t="str">
        <x:v>Lecture</x:v>
      </x:c>
    </x:row>
    <x:row r="5">
      <x:c r="A5" s="76" t="str">
        <x:v>Dernière année disponible</x:v>
      </x:c>
      <x:c r="B5" s="77" t="str">
        <x:f>IF(MAX(MAX(Data_Temperature!$C$5:$C$104),MAX(Data_Pluviometrie!$C$5:$C$104),MAX(Data_Electricite!$B$5:$B$104),MAX(Data_Emissions_GES!$B$5:$B$104),MAX(Data_Finance_Climat!$B$5:$B$104))=0,"Aucune donnée",MAX(MAX(Data_Temperature!$C$5:$C$104),MAX(Data_Pluviometrie!$C$5:$C$104),MAX(Data_Electricite!$B$5:$B$104),MAX(Data_Emissions_GES!$B$5:$B$104),MAX(Data_Finance_Climat!$B$5:$B$104)))</x:f>
        <x:v>Aucune donnée</x:v>
      </x:c>
      <x:c r="C5" s="76" t="str">
        <x:v>année</x:v>
      </x:c>
      <x:c r="D5" s="76" t="str">
        <x:v>Bases validées</x:v>
      </x:c>
      <x:c r="E5" s="76" t="str">
        <x:v>Consommation électrique totale</x:v>
      </x:c>
      <x:c r="F5" s="77" t="n">
        <x:f>Energie!B5</x:f>
        <x:v>0</x:v>
      </x:c>
      <x:c r="G5" s="76" t="str">
        <x:v>kWh</x:v>
      </x:c>
      <x:c r="H5" s="76" t="str">
        <x:v>Data_Electricite</x:v>
      </x:c>
      <x:c r="I5" s="76" t="str">
        <x:v>Pluviométrie annuelle</x:v>
      </x:c>
      <x:c r="J5" s="77" t="n">
        <x:f>Donnees_Climatiques!B6</x:f>
        <x:v>0</x:v>
      </x:c>
      <x:c r="K5" s="76" t="str">
        <x:v>mm</x:v>
      </x:c>
      <x:c r="L5" s="76" t="str">
        <x:v>Data_Pluviometrie</x:v>
      </x:c>
      <x:c r="M5" s="76" t="str">
        <x:f>IF(B7&gt;0,"À corriger","OK")</x:f>
        <x:v>OK</x:v>
      </x:c>
      <x:c r="N5" s="76" t="str">
        <x:f>"Les alertes QC bloquent les rapports finaux."</x:f>
        <x:v>Les alertes QC bloquent les rapports finaux.</x:v>
      </x:c>
    </x:row>
    <x:row r="6">
      <x:c r="A6" s="76" t="str">
        <x:v>Données collectées</x:v>
      </x:c>
      <x:c r="B6" s="77" t="n">
        <x:f>COUNTIF(Data_Formulaire_Central!$P$5:$P$104,"Validé humainement")+COUNTIF(Data_Temperature!$O$5:$O$104,"Validé humainement")+COUNTIF(Data_Pluviometrie!$L$5:$L$104,"Validé humainement")+COUNTIF(Data_Electricite!$K$5:$K$104,"Validé humainement")+COUNTIF(Data_Dechets!$O$5:$O$104,"Validé humainement")+COUNTIF(Data_Qualite_Air!$P$5:$P$104,"Validé humainement")+COUNTIF(Data_Emissions_GES!$L$5:$L$104,"Validé humainement")+COUNTIF(Data_Mobilite!$Q$5:$Q$104,"Validé humainement")+COUNTIF(Data_Erosion_Cotiere!$M$5:$M$104,"Validé humainement")+COUNTIF(Data_Projets_Climat!$P$5:$P$104,"Validé humainement")+COUNTIF(Data_Finance_Climat!$O$5:$O$104,"Validé humainement")</x:f>
        <x:v>0</x:v>
      </x:c>
      <x:c r="C6" s="76" t="str">
        <x:v>lignes validées</x:v>
      </x:c>
      <x:c r="D6" s="76" t="str">
        <x:v>Data_*</x:v>
      </x:c>
      <x:c r="E6" s="76" t="str">
        <x:v>Déchets collectés</x:v>
      </x:c>
      <x:c r="F6" s="77" t="n">
        <x:f>Dechets!B5</x:f>
        <x:v>0</x:v>
      </x:c>
      <x:c r="G6" s="76" t="str">
        <x:v>tonnes</x:v>
      </x:c>
      <x:c r="H6" s="76" t="str">
        <x:v>Data_Dechets</x:v>
      </x:c>
      <x:c r="I6" s="76" t="str">
        <x:v>Indice moyen qualité air</x:v>
      </x:c>
      <x:c r="J6" s="77" t="str">
        <x:f>Qualite_Air!B7</x:f>
      </x:c>
      <x:c r="K6" s="76" t="str">
        <x:v>indice</x:v>
      </x:c>
      <x:c r="L6" s="76" t="str">
        <x:v>Data_Qualite_Air</x:v>
      </x:c>
      <x:c r="M6" s="76" t="str">
        <x:f>IF(B6=0,"Collecte à lancer","OK")</x:f>
        <x:v>Collecte à lancer</x:v>
      </x:c>
      <x:c r="N6" s="76" t="str">
        <x:f>"Les bases validées alimentent tous les indicateurs."</x:f>
        <x:v>Les bases validées alimentent tous les indicateurs.</x:v>
      </x:c>
    </x:row>
    <x:row r="7">
      <x:c r="A7" s="76" t="str">
        <x:v>Données manquantes / alertes</x:v>
      </x:c>
      <x:c r="B7" s="77" t="n">
        <x:f>SUM('42_CONTROLE_QUALITE'!$D$5:$D$15)</x:f>
        <x:v>0</x:v>
      </x:c>
      <x:c r="C7" s="76" t="str">
        <x:v>alertes</x:v>
      </x:c>
      <x:c r="D7" s="76" t="str">
        <x:v>Contrôle qualité</x:v>
      </x:c>
      <x:c r="E7" s="76" t="str">
        <x:v>Déchets valorisés</x:v>
      </x:c>
      <x:c r="F7" s="77" t="n">
        <x:f>Dechets!B6+Dechets!B7</x:f>
        <x:v>0</x:v>
      </x:c>
      <x:c r="G7" s="76" t="str">
        <x:v>tonnes</x:v>
      </x:c>
      <x:c r="H7" s="76" t="str">
        <x:v>Data_Dechets</x:v>
      </x:c>
      <x:c r="I7" s="76" t="str">
        <x:v>Projets climat actifs</x:v>
      </x:c>
      <x:c r="J7" s="77" t="n">
        <x:f>Tableau_de_bord!B9</x:f>
        <x:v>0</x:v>
      </x:c>
      <x:c r="K7" s="76" t="str">
        <x:v>nombre</x:v>
      </x:c>
      <x:c r="L7" s="76" t="str">
        <x:v>Data_Projets_Climat</x:v>
      </x:c>
      <x:c r="M7" s="76" t="str">
        <x:f>IF(J8=0,"Portefeuille à renseigner","OK")</x:f>
        <x:v>Portefeuille à renseigner</x:v>
      </x:c>
      <x:c r="N7" s="76" t="str">
        <x:f>"Les projets actifs sont requis pour C40/CDN."</x:f>
        <x:v>Les projets actifs sont requis pour C40/CDN.</x:v>
      </x:c>
    </x:row>
    <x:row r="8">
      <x:c r="A8" s="76" t="str">
        <x:v>Émissions totales</x:v>
      </x:c>
      <x:c r="B8" s="77" t="n">
        <x:f>Tableau_de_bord!B6</x:f>
        <x:v>0</x:v>
      </x:c>
      <x:c r="C8" s="76" t="str">
        <x:v>tCO2e</x:v>
      </x:c>
      <x:c r="D8" s="76" t="str">
        <x:v>Inventaire_GES</x:v>
      </x:c>
      <x:c r="E8" s="76" t="str">
        <x:v>Température moyenne annuelle</x:v>
      </x:c>
      <x:c r="F8" s="77" t="str">
        <x:f>Donnees_Climatiques!B5</x:f>
      </x:c>
      <x:c r="G8" s="76" t="str">
        <x:v>°C</x:v>
      </x:c>
      <x:c r="H8" s="76" t="str">
        <x:v>Data_Temperature</x:v>
      </x:c>
      <x:c r="I8" s="76" t="str">
        <x:v>Budget total</x:v>
      </x:c>
      <x:c r="J8" s="77" t="n">
        <x:f>Tableau_de_bord!B7</x:f>
        <x:v>0</x:v>
      </x:c>
      <x:c r="K8" s="76" t="str">
        <x:v>FCFA</x:v>
      </x:c>
      <x:c r="L8" s="76" t="str">
        <x:v>Data_Projets_Climat</x:v>
      </x:c>
      <x:c r="M8" s="76" t="str">
        <x:f>IF(J7=0,"Collecte air à compléter","OK")</x:f>
        <x:v>Collecte air à compléter</x:v>
      </x:c>
      <x:c r="N8" s="76" t="str">
        <x:f>"La qualité de l’air est attendue pour C40/CDP."</x:f>
        <x:v>La qualité de l’air est attendue pour C40/CDP.</x:v>
      </x:c>
    </x:row>
    <x:row r="11">
      <x:c r="A11" s="89" t="str">
        <x:v>Flux obligatoire</x:v>
      </x:c>
      <x:c r="B11" s="89" t="str">
        <x:v>Étape</x:v>
      </x:c>
      <x:c r="C11" s="89" t="str">
        <x:v>Contrôle</x:v>
      </x:c>
      <x:c r="D11" s="89" t="str">
        <x:v>Sortie</x:v>
      </x:c>
    </x:row>
    <x:row r="12">
      <x:c r="A12" s="91" t="str">
        <x:v>Document source</x:v>
      </x:c>
      <x:c r="B12" s="91" t="str">
        <x:v>Preuve déposée ou référencée</x:v>
      </x:c>
      <x:c r="C12" s="91" t="str">
        <x:v>Document source obligatoire</x:v>
      </x:c>
      <x:c r="D12" s="91" t="str">
        <x:v>Traçabilité MRV</x:v>
      </x:c>
    </x:row>
    <x:row r="13">
      <x:c r="A13" s="91" t="str">
        <x:v>Formulaire</x:v>
      </x:c>
      <x:c r="B13" s="91" t="str">
        <x:v>Saisie par domaine</x:v>
      </x:c>
      <x:c r="C13" s="91" t="str">
        <x:v>Listes déroulantes et champs requis</x:v>
      </x:c>
      <x:c r="D13" s="91" t="str">
        <x:v>Ligne brute</x:v>
      </x:c>
    </x:row>
    <x:row r="14">
      <x:c r="A14" s="91" t="str">
        <x:v>Base de données</x:v>
      </x:c>
      <x:c r="B14" s="91" t="str">
        <x:v>Copie automatique si validée</x:v>
      </x:c>
      <x:c r="C14" s="91" t="str">
        <x:v>Statut = Validé humainement</x:v>
      </x:c>
      <x:c r="D14" s="91" t="str">
        <x:v>Data_*</x:v>
      </x:c>
    </x:row>
    <x:row r="15">
      <x:c r="A15" s="91" t="str">
        <x:v>Contrôle qualité</x:v>
      </x:c>
      <x:c r="B15" s="91" t="str">
        <x:v>Alerte manque/anomalie/retard</x:v>
      </x:c>
      <x:c r="C15" s="91" t="str">
        <x:v>Correction par responsable</x:v>
      </x:c>
      <x:c r="D15" s="91" t="str">
        <x:v>Ligne prête à valider</x:v>
      </x:c>
    </x:row>
    <x:row r="16">
      <x:c r="A16" s="91" t="str">
        <x:v>Dashboard</x:v>
      </x:c>
      <x:c r="B16" s="91" t="str">
        <x:v>Calcul automatique des KPI</x:v>
      </x:c>
      <x:c r="C16" s="91" t="str">
        <x:v>Uniquement données validées</x:v>
      </x:c>
      <x:c r="D16" s="91" t="str">
        <x:v>Pilotage exécutif</x:v>
      </x:c>
    </x:row>
    <x:row r="17">
      <x:c r="A17" s="91" t="str">
        <x:v>Rapports</x:v>
      </x:c>
      <x:c r="B17" s="91" t="str">
        <x:v>CDP/C40/ICLEI/CDN/bailleurs</x:v>
      </x:c>
      <x:c r="C17" s="91" t="str">
        <x:v>Preuves et audit trail</x:v>
      </x:c>
      <x:c r="D17" s="91" t="str">
        <x:v>Soumission externe</x:v>
      </x:c>
    </x:row>
  </x:sheetData>
  <x:mergeCells>
    <x:mergeCell ref="A1:N1"/>
    <x:mergeCell ref="A2:N2"/>
  </x:mergeCells>
  <x:conditionalFormatting sqref="M5:M8">
    <x:cfRule type="containsText" dxfId="262" priority="1" operator="containsText" text="ALERTE"/>
    <x:cfRule type="containsText" dxfId="263" priority="2" operator="containsText" text="OK"/>
    <x:cfRule type="containsText" dxfId="264" priority="3" operator="containsText" text="Validé"/>
    <x:cfRule type="containsText" dxfId="265" priority="4" operator="containsText" text="À vérifier"/>
    <x:cfRule type="containsText" dxfId="266" priority="5" operator="containsText" text="Rejeté"/>
  </x:conditionalFormatting>
  <x:pageMargins left="0.7" right="0.7" top="0.75" bottom="0.75" header="0.3" footer="0.3"/>
  <x:tableParts count="1">
    <x:tablePart xmlns:r="http://schemas.openxmlformats.org/officeDocument/2006/relationships" r:id="R525c3d4c9ce8493d"/>
  </x:tableParts>
</x:worksheet>
</file>

<file path=xl/worksheets/sheet75.xml><?xml version="1.0" encoding="utf-8"?>
<x:worksheet xmlns:x="http://schemas.openxmlformats.org/spreadsheetml/2006/main">
  <x:sheetViews>
    <x:sheetView showGridLines="0" workbookViewId="0"/>
  </x:sheetViews>
  <x:sheetFormatPr defaultRowHeight="15"/>
  <x:cols>
    <x:col min="1" max="1" width="26.8799991607666" hidden="0" customWidth="1"/>
    <x:col min="2" max="2" width="16.8799991607666" hidden="0" customWidth="1"/>
    <x:col min="3" max="3" width="16.8799991607666" hidden="0" customWidth="1"/>
    <x:col min="4" max="4" width="16.87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6.8799991607666" hidden="0" customWidth="1"/>
    <x:col min="10" max="10" width="32.5" hidden="0" customWidth="1"/>
  </x:cols>
  <x:sheetData>
    <x:row r="1" ht="25.5" customHeight="1">
      <x:c r="A1" s="68" t="str">
        <x:v>Contrôle qualité et validation</x:v>
      </x:c>
      <x:c r="B1" s="68"/>
      <x:c r="C1" s="68"/>
      <x:c r="D1" s="68"/>
      <x:c r="E1" s="68"/>
      <x:c r="F1" s="68"/>
      <x:c r="G1" s="68"/>
      <x:c r="H1" s="68"/>
      <x:c r="I1" s="68"/>
      <x:c r="J1" s="68"/>
    </x:row>
    <x:row r="2" ht="33" customHeight="1">
      <x:c r="A2" s="71" t="str">
        <x:v>Suivi automatique des alertes bloquantes: donnée manquante, valeur anormale, source absente, document absent ou statut non validé.</x:v>
      </x:c>
      <x:c r="B2" s="71"/>
      <x:c r="C2" s="71"/>
      <x:c r="D2" s="71"/>
      <x:c r="E2" s="71"/>
      <x:c r="F2" s="71"/>
      <x:c r="G2" s="71"/>
      <x:c r="H2" s="71"/>
      <x:c r="I2" s="71"/>
      <x:c r="J2" s="71"/>
    </x:row>
    <x:row r="4">
      <x:c r="A4" s="74" t="str">
        <x:v>Formulaire</x:v>
      </x:c>
      <x:c r="B4" s="74" t="str">
        <x:v>Lignes saisies</x:v>
      </x:c>
      <x:c r="C4" s="74" t="str">
        <x:v>Lignes validées</x:v>
      </x:c>
      <x:c r="D4" s="74" t="str">
        <x:v>Alertes QC</x:v>
      </x:c>
      <x:c r="E4" s="74" t="str">
        <x:v>Statuts non validés</x:v>
      </x:c>
      <x:c r="F4" s="74" t="str">
        <x:v>Documents absents</x:v>
      </x:c>
      <x:c r="G4" s="74" t="str">
        <x:v>Sources absentes</x:v>
      </x:c>
      <x:c r="H4" s="74" t="str">
        <x:v>Dates saisie absentes</x:v>
      </x:c>
      <x:c r="I4" s="74" t="str">
        <x:v>Statut</x:v>
      </x:c>
      <x:c r="J4" s="74" t="str">
        <x:v>Action attendue</x:v>
      </x:c>
    </x:row>
    <x:row r="5">
      <x:c r="A5" s="76" t="str">
        <x:v>central de saisie</x:v>
      </x:c>
      <x:c r="B5" s="76" t="n">
        <x:f>COUNTIF('00_Formulaire_Saisie'!$B$5:$B$104,"&lt;&gt;")</x:f>
        <x:v>0</x:v>
      </x:c>
      <x:c r="C5" s="76" t="n">
        <x:f>COUNTIF('00_Formulaire_Saisie'!$P$5:$P$104,"Validé humainement")</x:f>
        <x:v>0</x:v>
      </x:c>
      <x:c r="D5" s="76" t="n">
        <x:f>COUNTIF('00_Formulaire_Saisie'!$T$5:$T$104,"ALERTE*")</x:f>
        <x:v>0</x:v>
      </x:c>
      <x:c r="E5" s="76" t="n">
        <x:f>COUNTIFS('00_Formulaire_Saisie'!$B$5:$B$104,"&lt;&gt;",'00_Formulaire_Saisie'!$P$5:$P$104,"&lt;&gt;Validé humainement")</x:f>
        <x:v>0</x:v>
      </x:c>
      <x:c r="F5" s="76" t="n">
        <x:f>COUNTIFS('00_Formulaire_Saisie'!$B$5:$B$104,"&lt;&gt;",'00_Formulaire_Saisie'!$M$5:$M$104,"")</x:f>
        <x:v>0</x:v>
      </x:c>
      <x:c r="G5" s="76" t="n">
        <x:f>COUNTIFS('00_Formulaire_Saisie'!$B$5:$B$104,"&lt;&gt;",'00_Formulaire_Saisie'!$J$5:$J$104,"")</x:f>
        <x:v>0</x:v>
      </x:c>
      <x:c r="H5" s="76" t="n">
        <x:f>COUNTIFS('00_Formulaire_Saisie'!$B$5:$B$104,"&lt;&gt;",'00_Formulaire_Saisie'!$R$5:$R$104,"")</x:f>
        <x:v>0</x:v>
      </x:c>
      <x:c r="I5" s="76" t="str">
        <x:f>IF(D5&gt;0,"À corriger",IF(B5=C5,"OK","Validation en attente"))</x:f>
        <x:v>OK</x:v>
      </x:c>
      <x:c r="J5" s="76" t="str">
        <x:f>IF(I5="OK","Aucune",IF(F5&gt;0,"Joindre le document source",IF(G5&gt;0,"Compléter la source",IF(E5&gt;0,"Valider humainement les lignes","Corriger les alertes QC"))))</x:f>
        <x:v>Aucune</x:v>
      </x:c>
    </x:row>
    <x:row r="6">
      <x:c r="A6" s="76" t="str">
        <x:v>température</x:v>
      </x:c>
      <x:c r="B6" s="76" t="n">
        <x:f>COUNTIF('01_Form_Temperature'!$B$5:$B$104,"&lt;&gt;")</x:f>
        <x:v>0</x:v>
      </x:c>
      <x:c r="C6" s="76" t="n">
        <x:f>COUNTIF('01_Form_Temperature'!$O$5:$O$104,"Validé humainement")</x:f>
        <x:v>0</x:v>
      </x:c>
      <x:c r="D6" s="76" t="n">
        <x:f>COUNTIF('01_Form_Temperature'!$S$5:$S$104,"ALERTE*")</x:f>
        <x:v>0</x:v>
      </x:c>
      <x:c r="E6" s="76" t="n">
        <x:f>COUNTIFS('01_Form_Temperature'!$B$5:$B$104,"&lt;&gt;",'01_Form_Temperature'!$O$5:$O$104,"&lt;&gt;Validé humainement")</x:f>
        <x:v>0</x:v>
      </x:c>
      <x:c r="F6" s="76" t="n">
        <x:f>COUNTIFS('01_Form_Temperature'!$B$5:$B$104,"&lt;&gt;",'01_Form_Temperature'!$M$5:$M$104,"")</x:f>
        <x:v>0</x:v>
      </x:c>
      <x:c r="G6" s="76" t="n">
        <x:f>COUNTIFS('01_Form_Temperature'!$B$5:$B$104,"&lt;&gt;",'01_Form_Temperature'!$K$5:$K$104,"")</x:f>
        <x:v>0</x:v>
      </x:c>
      <x:c r="H6" s="76" t="n">
        <x:f>COUNTIFS('01_Form_Temperature'!$B$5:$B$104,"&lt;&gt;",'01_Form_Temperature'!$Q$5:$Q$104,"")</x:f>
        <x:v>0</x:v>
      </x:c>
      <x:c r="I6" s="76" t="str">
        <x:f>IF(D6&gt;0,"À corriger",IF(B6=C6,"OK","Validation en attente"))</x:f>
        <x:v>OK</x:v>
      </x:c>
      <x:c r="J6" s="76" t="str">
        <x:f>IF(I6="OK","Aucune",IF(F6&gt;0,"Joindre le document source",IF(G6&gt;0,"Compléter la source",IF(E6&gt;0,"Valider humainement les lignes","Corriger les alertes QC"))))</x:f>
        <x:v>Aucune</x:v>
      </x:c>
    </x:row>
    <x:row r="7">
      <x:c r="A7" s="76" t="str">
        <x:v>pluviométrie</x:v>
      </x:c>
      <x:c r="B7" s="76" t="n">
        <x:f>COUNTIF('02_Form_Pluviometrie'!$B$5:$B$104,"&lt;&gt;")</x:f>
        <x:v>0</x:v>
      </x:c>
      <x:c r="C7" s="76" t="n">
        <x:f>COUNTIF('02_Form_Pluviometrie'!$L$5:$L$104,"Validé humainement")</x:f>
        <x:v>0</x:v>
      </x:c>
      <x:c r="D7" s="76" t="n">
        <x:f>COUNTIF('02_Form_Pluviometrie'!$P$5:$P$104,"ALERTE*")</x:f>
        <x:v>0</x:v>
      </x:c>
      <x:c r="E7" s="76" t="n">
        <x:f>COUNTIFS('02_Form_Pluviometrie'!$B$5:$B$104,"&lt;&gt;",'02_Form_Pluviometrie'!$L$5:$L$104,"&lt;&gt;Validé humainement")</x:f>
        <x:v>0</x:v>
      </x:c>
      <x:c r="F7" s="76" t="n">
        <x:f>COUNTIFS('02_Form_Pluviometrie'!$B$5:$B$104,"&lt;&gt;",'02_Form_Pluviometrie'!$K$5:$K$104,"")</x:f>
        <x:v>0</x:v>
      </x:c>
      <x:c r="G7" s="76" t="n">
        <x:f>COUNTIFS('02_Form_Pluviometrie'!$B$5:$B$104,"&lt;&gt;",'02_Form_Pluviometrie'!$J$5:$J$104,"")</x:f>
        <x:v>0</x:v>
      </x:c>
      <x:c r="H7" s="76" t="n">
        <x:f>COUNTIFS('02_Form_Pluviometrie'!$B$5:$B$104,"&lt;&gt;",'02_Form_Pluviometrie'!$N$5:$N$104,"")</x:f>
        <x:v>0</x:v>
      </x:c>
      <x:c r="I7" s="76" t="str">
        <x:f>IF(D7&gt;0,"À corriger",IF(B7=C7,"OK","Validation en attente"))</x:f>
        <x:v>OK</x:v>
      </x:c>
      <x:c r="J7" s="76" t="str">
        <x:f>IF(I7="OK","Aucune",IF(F7&gt;0,"Joindre le document source",IF(G7&gt;0,"Compléter la source",IF(E7&gt;0,"Valider humainement les lignes","Corriger les alertes QC"))))</x:f>
        <x:v>Aucune</x:v>
      </x:c>
    </x:row>
    <x:row r="8">
      <x:c r="A8" s="76" t="str">
        <x:v>électricité</x:v>
      </x:c>
      <x:c r="B8" s="76" t="n">
        <x:f>COUNTIF('03_Form_Electricite'!$B$5:$B$104,"&lt;&gt;")</x:f>
        <x:v>0</x:v>
      </x:c>
      <x:c r="C8" s="76" t="n">
        <x:f>COUNTIF('03_Form_Electricite'!$K$5:$K$104,"Validé humainement")</x:f>
        <x:v>0</x:v>
      </x:c>
      <x:c r="D8" s="76" t="n">
        <x:f>COUNTIF('03_Form_Electricite'!$O$5:$O$104,"ALERTE*")</x:f>
        <x:v>0</x:v>
      </x:c>
      <x:c r="E8" s="76" t="n">
        <x:f>COUNTIFS('03_Form_Electricite'!$B$5:$B$104,"&lt;&gt;",'03_Form_Electricite'!$K$5:$K$104,"&lt;&gt;Validé humainement")</x:f>
        <x:v>0</x:v>
      </x:c>
      <x:c r="F8" s="76" t="n">
        <x:f>COUNTIFS('03_Form_Electricite'!$B$5:$B$104,"&lt;&gt;",'03_Form_Electricite'!$J$5:$J$104,"")</x:f>
        <x:v>0</x:v>
      </x:c>
      <x:c r="G8" s="76" t="n">
        <x:f>COUNTIFS('03_Form_Electricite'!$B$5:$B$104,"&lt;&gt;",'03_Form_Electricite'!$I$5:$I$104,"")</x:f>
        <x:v>0</x:v>
      </x:c>
      <x:c r="H8" s="76" t="n">
        <x:f>COUNTIFS('03_Form_Electricite'!$B$5:$B$104,"&lt;&gt;",'03_Form_Electricite'!$M$5:$M$104,"")</x:f>
        <x:v>0</x:v>
      </x:c>
      <x:c r="I8" s="76" t="str">
        <x:f>IF(D8&gt;0,"À corriger",IF(B8=C8,"OK","Validation en attente"))</x:f>
        <x:v>OK</x:v>
      </x:c>
      <x:c r="J8" s="76" t="str">
        <x:f>IF(I8="OK","Aucune",IF(F8&gt;0,"Joindre le document source",IF(G8&gt;0,"Compléter la source",IF(E8&gt;0,"Valider humainement les lignes","Corriger les alertes QC"))))</x:f>
        <x:v>Aucune</x:v>
      </x:c>
    </x:row>
    <x:row r="9">
      <x:c r="A9" s="76" t="str">
        <x:v>déchets</x:v>
      </x:c>
      <x:c r="B9" s="76" t="n">
        <x:f>COUNTIF('04_Form_Dechets'!$B$5:$B$104,"&lt;&gt;")</x:f>
        <x:v>0</x:v>
      </x:c>
      <x:c r="C9" s="76" t="n">
        <x:f>COUNTIF('04_Form_Dechets'!$O$5:$O$104,"Validé humainement")</x:f>
        <x:v>0</x:v>
      </x:c>
      <x:c r="D9" s="76" t="n">
        <x:f>COUNTIF('04_Form_Dechets'!$R$5:$R$104,"ALERTE*")</x:f>
        <x:v>0</x:v>
      </x:c>
      <x:c r="E9" s="76" t="n">
        <x:f>COUNTIFS('04_Form_Dechets'!$B$5:$B$104,"&lt;&gt;",'04_Form_Dechets'!$O$5:$O$104,"&lt;&gt;Validé humainement")</x:f>
        <x:v>0</x:v>
      </x:c>
      <x:c r="F9" s="76" t="n">
        <x:f>COUNTIFS('04_Form_Dechets'!$B$5:$B$104,"&lt;&gt;",'04_Form_Dechets'!$L$5:$L$104,"")</x:f>
        <x:v>0</x:v>
      </x:c>
      <x:c r="G9" s="76" t="n">
        <x:f>COUNTIFS('04_Form_Dechets'!$B$5:$B$104,"&lt;&gt;",'04_Form_Dechets'!$K$5:$K$104,"")</x:f>
        <x:v>0</x:v>
      </x:c>
      <x:c r="H9" s="76" t="n">
        <x:f>COUNTIFS('04_Form_Dechets'!$B$5:$B$104,"&lt;&gt;",'04_Form_Dechets'!$P$5:$P$104,"")</x:f>
        <x:v>0</x:v>
      </x:c>
      <x:c r="I9" s="76" t="str">
        <x:f>IF(D9&gt;0,"À corriger",IF(B9=C9,"OK","Validation en attente"))</x:f>
        <x:v>OK</x:v>
      </x:c>
      <x:c r="J9" s="76" t="str">
        <x:f>IF(I9="OK","Aucune",IF(F9&gt;0,"Joindre le document source",IF(G9&gt;0,"Compléter la source",IF(E9&gt;0,"Valider humainement les lignes","Corriger les alertes QC"))))</x:f>
        <x:v>Aucune</x:v>
      </x:c>
    </x:row>
    <x:row r="10">
      <x:c r="A10" s="76" t="str">
        <x:v>qualité de l'air</x:v>
      </x:c>
      <x:c r="B10" s="76" t="n">
        <x:f>COUNTIF('05_Form_Qualite_Air'!$B$5:$B$104,"&lt;&gt;")</x:f>
        <x:v>0</x:v>
      </x:c>
      <x:c r="C10" s="76" t="n">
        <x:f>COUNTIF('05_Form_Qualite_Air'!$P$5:$P$104,"Validé humainement")</x:f>
        <x:v>0</x:v>
      </x:c>
      <x:c r="D10" s="76" t="n">
        <x:f>COUNTIF('05_Form_Qualite_Air'!$S$5:$S$104,"ALERTE*")</x:f>
        <x:v>0</x:v>
      </x:c>
      <x:c r="E10" s="76" t="n">
        <x:f>COUNTIFS('05_Form_Qualite_Air'!$B$5:$B$104,"&lt;&gt;",'05_Form_Qualite_Air'!$P$5:$P$104,"&lt;&gt;Validé humainement")</x:f>
        <x:v>0</x:v>
      </x:c>
      <x:c r="F10" s="76" t="n">
        <x:f>COUNTIFS('05_Form_Qualite_Air'!$B$5:$B$104,"&lt;&gt;",'05_Form_Qualite_Air'!$N$5:$N$104,"")</x:f>
        <x:v>0</x:v>
      </x:c>
      <x:c r="G10" s="76" t="n">
        <x:f>COUNTIFS('05_Form_Qualite_Air'!$B$5:$B$104,"&lt;&gt;",'05_Form_Qualite_Air'!$M$5:$M$104,"")</x:f>
        <x:v>0</x:v>
      </x:c>
      <x:c r="H10" s="76" t="n">
        <x:f>COUNTIFS('05_Form_Qualite_Air'!$B$5:$B$104,"&lt;&gt;",'05_Form_Qualite_Air'!$Q$5:$Q$104,"")</x:f>
        <x:v>0</x:v>
      </x:c>
      <x:c r="I10" s="76" t="str">
        <x:f>IF(D10&gt;0,"À corriger",IF(B10=C10,"OK","Validation en attente"))</x:f>
        <x:v>OK</x:v>
      </x:c>
      <x:c r="J10" s="76" t="str">
        <x:f>IF(I10="OK","Aucune",IF(F10&gt;0,"Joindre le document source",IF(G10&gt;0,"Compléter la source",IF(E10&gt;0,"Valider humainement les lignes","Corriger les alertes QC"))))</x:f>
        <x:v>Aucune</x:v>
      </x:c>
    </x:row>
    <x:row r="11">
      <x:c r="A11" s="76" t="str">
        <x:v>émissions GES</x:v>
      </x:c>
      <x:c r="B11" s="76" t="n">
        <x:f>COUNTIF('06_Form_Emissions_GES'!$B$5:$B$104,"&lt;&gt;")</x:f>
        <x:v>0</x:v>
      </x:c>
      <x:c r="C11" s="76" t="n">
        <x:f>COUNTIF('06_Form_Emissions_GES'!$L$5:$L$104,"Validé humainement")</x:f>
        <x:v>0</x:v>
      </x:c>
      <x:c r="D11" s="76" t="n">
        <x:f>COUNTIF('06_Form_Emissions_GES'!$P$5:$P$104,"ALERTE*")</x:f>
        <x:v>0</x:v>
      </x:c>
      <x:c r="E11" s="76" t="n">
        <x:f>COUNTIFS('06_Form_Emissions_GES'!$B$5:$B$104,"&lt;&gt;",'06_Form_Emissions_GES'!$L$5:$L$104,"&lt;&gt;Validé humainement")</x:f>
        <x:v>0</x:v>
      </x:c>
      <x:c r="F11" s="76" t="n">
        <x:f>COUNTIFS('06_Form_Emissions_GES'!$B$5:$B$104,"&lt;&gt;",'06_Form_Emissions_GES'!$K$5:$K$104,"")</x:f>
        <x:v>0</x:v>
      </x:c>
      <x:c r="G11" s="76" t="n">
        <x:f>COUNTIFS('06_Form_Emissions_GES'!$B$5:$B$104,"&lt;&gt;",'06_Form_Emissions_GES'!$J$5:$J$104,"")</x:f>
        <x:v>0</x:v>
      </x:c>
      <x:c r="H11" s="76" t="n">
        <x:f>COUNTIFS('06_Form_Emissions_GES'!$B$5:$B$104,"&lt;&gt;",'06_Form_Emissions_GES'!$N$5:$N$104,"")</x:f>
        <x:v>0</x:v>
      </x:c>
      <x:c r="I11" s="76" t="str">
        <x:f>IF(D11&gt;0,"À corriger",IF(B11=C11,"OK","Validation en attente"))</x:f>
        <x:v>OK</x:v>
      </x:c>
      <x:c r="J11" s="76" t="str">
        <x:f>IF(I11="OK","Aucune",IF(F11&gt;0,"Joindre le document source",IF(G11&gt;0,"Compléter la source",IF(E11&gt;0,"Valider humainement les lignes","Corriger les alertes QC"))))</x:f>
        <x:v>Aucune</x:v>
      </x:c>
    </x:row>
    <x:row r="12">
      <x:c r="A12" s="76" t="str">
        <x:v>mobilité</x:v>
      </x:c>
      <x:c r="B12" s="76" t="n">
        <x:f>COUNTIF('07_Form_Mobilite'!$B$5:$B$104,"&lt;&gt;")</x:f>
        <x:v>0</x:v>
      </x:c>
      <x:c r="C12" s="76" t="n">
        <x:f>COUNTIF('07_Form_Mobilite'!$Q$5:$Q$104,"Validé humainement")</x:f>
        <x:v>0</x:v>
      </x:c>
      <x:c r="D12" s="76" t="n">
        <x:f>COUNTIF('07_Form_Mobilite'!$U$5:$U$104,"ALERTE*")</x:f>
        <x:v>0</x:v>
      </x:c>
      <x:c r="E12" s="76" t="n">
        <x:f>COUNTIFS('07_Form_Mobilite'!$B$5:$B$104,"&lt;&gt;",'07_Form_Mobilite'!$Q$5:$Q$104,"&lt;&gt;Validé humainement")</x:f>
        <x:v>0</x:v>
      </x:c>
      <x:c r="F12" s="76" t="n">
        <x:f>COUNTIFS('07_Form_Mobilite'!$B$5:$B$104,"&lt;&gt;",'07_Form_Mobilite'!$P$5:$P$104,"")</x:f>
        <x:v>0</x:v>
      </x:c>
      <x:c r="G12" s="76" t="n">
        <x:f>COUNTIFS('07_Form_Mobilite'!$B$5:$B$104,"&lt;&gt;",'07_Form_Mobilite'!$N$5:$N$104,"")</x:f>
        <x:v>0</x:v>
      </x:c>
      <x:c r="H12" s="76" t="n">
        <x:f>COUNTIFS('07_Form_Mobilite'!$B$5:$B$104,"&lt;&gt;",'07_Form_Mobilite'!$S$5:$S$104,"")</x:f>
        <x:v>0</x:v>
      </x:c>
      <x:c r="I12" s="76" t="str">
        <x:f>IF(D12&gt;0,"À corriger",IF(B12=C12,"OK","Validation en attente"))</x:f>
        <x:v>OK</x:v>
      </x:c>
      <x:c r="J12" s="76" t="str">
        <x:f>IF(I12="OK","Aucune",IF(F12&gt;0,"Joindre le document source",IF(G12&gt;0,"Compléter la source",IF(E12&gt;0,"Valider humainement les lignes","Corriger les alertes QC"))))</x:f>
        <x:v>Aucune</x:v>
      </x:c>
    </x:row>
    <x:row r="13">
      <x:c r="A13" s="76" t="str">
        <x:v>érosion côtière</x:v>
      </x:c>
      <x:c r="B13" s="76" t="n">
        <x:f>COUNTIF('08_Form_Erosion_Cotiere'!$B$5:$B$104,"&lt;&gt;")</x:f>
        <x:v>0</x:v>
      </x:c>
      <x:c r="C13" s="76" t="n">
        <x:f>COUNTIF('08_Form_Erosion_Cotiere'!$M$5:$M$104,"Validé humainement")</x:f>
        <x:v>0</x:v>
      </x:c>
      <x:c r="D13" s="76" t="n">
        <x:f>COUNTIF('08_Form_Erosion_Cotiere'!$P$5:$P$104,"ALERTE*")</x:f>
        <x:v>0</x:v>
      </x:c>
      <x:c r="E13" s="76" t="n">
        <x:f>COUNTIFS('08_Form_Erosion_Cotiere'!$B$5:$B$104,"&lt;&gt;",'08_Form_Erosion_Cotiere'!$M$5:$M$104,"&lt;&gt;Validé humainement")</x:f>
        <x:v>0</x:v>
      </x:c>
      <x:c r="F13" s="76" t="n">
        <x:f>COUNTIFS('08_Form_Erosion_Cotiere'!$B$5:$B$104,"&lt;&gt;",'08_Form_Erosion_Cotiere'!$K$5:$K$104,"")</x:f>
        <x:v>0</x:v>
      </x:c>
      <x:c r="G13" s="76" t="n">
        <x:f>COUNTIFS('08_Form_Erosion_Cotiere'!$B$5:$B$104,"&lt;&gt;",'08_Form_Erosion_Cotiere'!$J$5:$J$104,"")</x:f>
        <x:v>0</x:v>
      </x:c>
      <x:c r="H13" s="76" t="n">
        <x:f>COUNTIFS('08_Form_Erosion_Cotiere'!$B$5:$B$104,"&lt;&gt;",'08_Form_Erosion_Cotiere'!$N$5:$N$104,"")</x:f>
        <x:v>0</x:v>
      </x:c>
      <x:c r="I13" s="76" t="str">
        <x:f>IF(D13&gt;0,"À corriger",IF(B13=C13,"OK","Validation en attente"))</x:f>
        <x:v>OK</x:v>
      </x:c>
      <x:c r="J13" s="76" t="str">
        <x:f>IF(I13="OK","Aucune",IF(F13&gt;0,"Joindre le document source",IF(G13&gt;0,"Compléter la source",IF(E13&gt;0,"Valider humainement les lignes","Corriger les alertes QC"))))</x:f>
        <x:v>Aucune</x:v>
      </x:c>
    </x:row>
    <x:row r="14">
      <x:c r="A14" s="76" t="str">
        <x:v>projets climat</x:v>
      </x:c>
      <x:c r="B14" s="76" t="n">
        <x:f>COUNTIF('09_Form_Projets_Climat'!$A$5:$A$104,"&lt;&gt;")</x:f>
        <x:v>100</x:v>
      </x:c>
      <x:c r="C14" s="76" t="n">
        <x:f>COUNTIF('09_Form_Projets_Climat'!$P$5:$P$104,"Validé humainement")</x:f>
        <x:v>0</x:v>
      </x:c>
      <x:c r="D14" s="76" t="n">
        <x:f>COUNTIF('09_Form_Projets_Climat'!$T$5:$T$104,"ALERTE*")</x:f>
        <x:v>0</x:v>
      </x:c>
      <x:c r="E14" s="76" t="n">
        <x:f>COUNTIFS('09_Form_Projets_Climat'!$A$5:$A$104,"&lt;&gt;",'09_Form_Projets_Climat'!$P$5:$P$104,"&lt;&gt;Validé humainement")</x:f>
        <x:v>100</x:v>
      </x:c>
      <x:c r="F14" s="76" t="n">
        <x:f>COUNTIFS('09_Form_Projets_Climat'!$A$5:$A$104,"&lt;&gt;",'09_Form_Projets_Climat'!$O$5:$O$104,"")</x:f>
        <x:v>0</x:v>
      </x:c>
      <x:c r="G14" s="76" t="n">
        <x:f>COUNTIFS('09_Form_Projets_Climat'!$A$5:$A$104,"&lt;&gt;",'09_Form_Projets_Climat'!$O$5:$O$104,"")</x:f>
        <x:v>0</x:v>
      </x:c>
      <x:c r="H14" s="76" t="n">
        <x:f>COUNTIFS('09_Form_Projets_Climat'!$A$5:$A$104,"&lt;&gt;",'09_Form_Projets_Climat'!$R$5:$R$104,"")</x:f>
        <x:v>0</x:v>
      </x:c>
      <x:c r="I14" s="76" t="str">
        <x:f>IF(D14&gt;0,"À corriger",IF(B14=C14,"OK","Validation en attente"))</x:f>
        <x:v>Validation en attente</x:v>
      </x:c>
      <x:c r="J14" s="76" t="str">
        <x:f>IF(I14="OK","Aucune",IF(F14&gt;0,"Joindre le document source",IF(G14&gt;0,"Compléter la source",IF(E14&gt;0,"Valider humainement les lignes","Corriger les alertes QC"))))</x:f>
        <x:v>Valider humainement les lignes</x:v>
      </x:c>
    </x:row>
    <x:row r="15">
      <x:c r="A15" s="76" t="str">
        <x:v>finance climat</x:v>
      </x:c>
      <x:c r="B15" s="76" t="n">
        <x:f>COUNTIF('10_Form_Finance_Climat'!$B$5:$B$104,"&lt;&gt;")</x:f>
        <x:v>0</x:v>
      </x:c>
      <x:c r="C15" s="76" t="n">
        <x:f>COUNTIF('10_Form_Finance_Climat'!$O$5:$O$104,"Validé humainement")</x:f>
        <x:v>0</x:v>
      </x:c>
      <x:c r="D15" s="76" t="n">
        <x:f>COUNTIF('10_Form_Finance_Climat'!$S$5:$S$104,"ALERTE*")</x:f>
        <x:v>0</x:v>
      </x:c>
      <x:c r="E15" s="76" t="n">
        <x:f>COUNTIFS('10_Form_Finance_Climat'!$B$5:$B$104,"&lt;&gt;",'10_Form_Finance_Climat'!$O$5:$O$104,"&lt;&gt;Validé humainement")</x:f>
        <x:v>0</x:v>
      </x:c>
      <x:c r="F15" s="76" t="n">
        <x:f>COUNTIFS('10_Form_Finance_Climat'!$B$5:$B$104,"&lt;&gt;",'10_Form_Finance_Climat'!$N$5:$N$104,"")</x:f>
        <x:v>0</x:v>
      </x:c>
      <x:c r="G15" s="76" t="n">
        <x:f>COUNTIFS('10_Form_Finance_Climat'!$B$5:$B$104,"&lt;&gt;",'10_Form_Finance_Climat'!$N$5:$N$104,"")</x:f>
        <x:v>0</x:v>
      </x:c>
      <x:c r="H15" s="76" t="n">
        <x:f>COUNTIFS('10_Form_Finance_Climat'!$B$5:$B$104,"&lt;&gt;",'10_Form_Finance_Climat'!$Q$5:$Q$104,"")</x:f>
        <x:v>0</x:v>
      </x:c>
      <x:c r="I15" s="76" t="str">
        <x:f>IF(D15&gt;0,"À corriger",IF(B15=C15,"OK","Validation en attente"))</x:f>
        <x:v>OK</x:v>
      </x:c>
      <x:c r="J15" s="76" t="str">
        <x:f>IF(I15="OK","Aucune",IF(F15&gt;0,"Joindre le document source",IF(G15&gt;0,"Compléter la source",IF(E15&gt;0,"Valider humainement les lignes","Corriger les alertes QC"))))</x:f>
        <x:v>Aucune</x:v>
      </x:c>
    </x:row>
  </x:sheetData>
  <x:mergeCells>
    <x:mergeCell ref="A1:J1"/>
    <x:mergeCell ref="A2:J2"/>
  </x:mergeCells>
  <x:conditionalFormatting sqref="I5:I15">
    <x:cfRule type="containsText" dxfId="267" priority="1" operator="containsText" text="ALERTE"/>
    <x:cfRule type="containsText" dxfId="268" priority="2" operator="containsText" text="OK"/>
    <x:cfRule type="containsText" dxfId="269" priority="3" operator="containsText" text="Validé"/>
    <x:cfRule type="containsText" dxfId="270" priority="4" operator="containsText" text="À vérifier"/>
    <x:cfRule type="containsText" dxfId="271" priority="5" operator="containsText" text="Rejeté"/>
  </x:conditionalFormatting>
  <x:pageMargins left="0.7" right="0.7" top="0.75" bottom="0.75" header="0.3" footer="0.3"/>
  <x:tableParts count="1">
    <x:tablePart xmlns:r="http://schemas.openxmlformats.org/officeDocument/2006/relationships" r:id="Rbd88d91539464559"/>
  </x:tableParts>
</x:worksheet>
</file>

<file path=xl/worksheets/sheet76.xml><?xml version="1.0" encoding="utf-8"?>
<x:worksheet xmlns:x="http://schemas.openxmlformats.org/spreadsheetml/2006/main">
  <x:sheetViews>
    <x:sheetView showGridLines="0" workbookViewId="0"/>
  </x:sheetViews>
  <x:sheetFormatPr defaultRowHeight="15"/>
  <x:cols>
    <x:col min="1" max="1" width="11.25" hidden="0" customWidth="1"/>
    <x:col min="2" max="2" width="32.5" hidden="0" customWidth="1"/>
    <x:col min="3" max="3" width="52.5" hidden="0" customWidth="1"/>
    <x:col min="4" max="4" width="32.5" hidden="0" customWidth="1"/>
    <x:col min="5" max="5" width="22.5" hidden="0" customWidth="1"/>
    <x:col min="6" max="6" width="22.5" hidden="0" customWidth="1"/>
    <x:col min="7" max="7" width="22.5" hidden="0" customWidth="1"/>
    <x:col min="8" max="8" width="27.5" hidden="0" customWidth="1"/>
  </x:cols>
  <x:sheetData>
    <x:row r="1" ht="25.5" customHeight="1">
      <x:c r="A1" s="68" t="str">
        <x:v>Mode d'emploi utilisateur</x:v>
      </x:c>
      <x:c r="B1" s="68"/>
      <x:c r="C1" s="68"/>
      <x:c r="D1" s="68"/>
      <x:c r="E1" s="68"/>
      <x:c r="F1" s="68"/>
      <x:c r="G1" s="68"/>
      <x:c r="H1" s="68"/>
    </x:row>
    <x:row r="2" ht="33" customHeight="1">
      <x:c r="A2" s="71" t="str">
        <x:v>Guide opérationnel pour saisir, contrôler, valider et reporter les données climatiques de la Ville de Dakar.</x:v>
      </x:c>
      <x:c r="B2" s="71"/>
      <x:c r="C2" s="71"/>
      <x:c r="D2" s="71"/>
      <x:c r="E2" s="71"/>
      <x:c r="F2" s="71"/>
      <x:c r="G2" s="71"/>
      <x:c r="H2" s="71"/>
    </x:row>
    <x:row r="4">
      <x:c r="A4" s="74" t="str">
        <x:v>Étape</x:v>
      </x:c>
      <x:c r="B4" s="74" t="str">
        <x:v>Action utilisateur</x:v>
      </x:c>
      <x:c r="C4" s="74" t="str">
        <x:v>Description</x:v>
      </x:c>
      <x:c r="D4" s="74" t="str">
        <x:v>Feuille concernée</x:v>
      </x:c>
      <x:c r="E4" s="74" t="str">
        <x:v>Responsable</x:v>
      </x:c>
      <x:c r="F4" s="74" t="str">
        <x:v>Fréquence</x:v>
      </x:c>
      <x:c r="G4" s="74" t="str">
        <x:v>Point de contrôle</x:v>
      </x:c>
      <x:c r="H4" s="74" t="str">
        <x:v>Résultat</x:v>
      </x:c>
    </x:row>
    <x:row r="5">
      <x:c r="A5" s="76" t="n">
        <x:v>1</x:v>
      </x:c>
      <x:c r="B5" s="76" t="str">
        <x:v>Ouvrir le menu d'accueil</x:v>
      </x:c>
      <x:c r="C5" s="76" t="str">
        <x:v>Utiliser les liens internes vers les formulaires de saisie ou le dashboard.</x:v>
      </x:c>
      <x:c r="D5" s="76" t="str">
        <x:v>00_ACCUEIL</x:v>
      </x:c>
      <x:c r="E5" s="76" t="str">
        <x:v>Tous utilisateurs</x:v>
      </x:c>
      <x:c r="F5" s="76" t="str">
        <x:v>À chaque saisie</x:v>
      </x:c>
      <x:c r="G5" s="76" t="str">
        <x:v>Choisir le bon domaine</x:v>
      </x:c>
      <x:c r="H5" s="76" t="str">
        <x:v>Navigation rapide</x:v>
      </x:c>
    </x:row>
    <x:row r="6">
      <x:c r="A6" s="76" t="n">
        <x:v>2</x:v>
      </x:c>
      <x:c r="B6" s="76" t="str">
        <x:v>Saisir la donnée</x:v>
      </x:c>
      <x:c r="C6" s="76" t="str">
        <x:v>Renseigner les champs obligatoires, la source et le document preuve.</x:v>
      </x:c>
      <x:c r="D6" s="76" t="str">
        <x:v>00_Formulaire_Saisie ou formulaires 01-10</x:v>
      </x:c>
      <x:c r="E6" s="76" t="str">
        <x:v>Point focal sectoriel</x:v>
      </x:c>
      <x:c r="F6" s="76" t="str">
        <x:v>Selon fréquence de collecte</x:v>
      </x:c>
      <x:c r="G6" s="76" t="str">
        <x:v>Listes déroulantes</x:v>
      </x:c>
      <x:c r="H6" s="76" t="str">
        <x:v>Ligne brute saisie</x:v>
      </x:c>
    </x:row>
    <x:row r="7">
      <x:c r="A7" s="76" t="n">
        <x:v>3</x:v>
      </x:c>
      <x:c r="B7" s="76" t="str">
        <x:v>Joindre la preuve</x:v>
      </x:c>
      <x:c r="C7" s="76" t="str">
        <x:v>Indiquer clairement le nom du fichier, lien, rapport ou facture utilisé.</x:v>
      </x:c>
      <x:c r="D7" s="76" t="str">
        <x:v>Colonnes Document source</x:v>
      </x:c>
      <x:c r="E7" s="76" t="str">
        <x:v>Point focal sectoriel</x:v>
      </x:c>
      <x:c r="F7" s="76" t="str">
        <x:v>À chaque ligne</x:v>
      </x:c>
      <x:c r="G7" s="76" t="str">
        <x:v>Document source non vide</x:v>
      </x:c>
      <x:c r="H7" s="76" t="str">
        <x:v>Traçabilité MRV</x:v>
      </x:c>
    </x:row>
    <x:row r="8">
      <x:c r="A8" s="76" t="n">
        <x:v>4</x:v>
      </x:c>
      <x:c r="B8" s="76" t="str">
        <x:v>Contrôler la qualité</x:v>
      </x:c>
      <x:c r="C8" s="76" t="str">
        <x:v>Corriger les alertes données manquantes, valeurs anormales, source/document absents.</x:v>
      </x:c>
      <x:c r="D8" s="76" t="str">
        <x:v>42_CONTROLE_QUALITE</x:v>
      </x:c>
      <x:c r="E8" s="76" t="str">
        <x:v>Cellule MRV</x:v>
      </x:c>
      <x:c r="F8" s="76" t="str">
        <x:v>Mensuelle</x:v>
      </x:c>
      <x:c r="G8" s="76" t="str">
        <x:v>Alerte_QC = OK</x:v>
      </x:c>
      <x:c r="H8" s="76" t="str">
        <x:v>Ligne prête à valider</x:v>
      </x:c>
    </x:row>
    <x:row r="9">
      <x:c r="A9" s="76" t="n">
        <x:v>5</x:v>
      </x:c>
      <x:c r="B9" s="76" t="str">
        <x:v>Valider humainement</x:v>
      </x:c>
      <x:c r="C9" s="76" t="str">
        <x:v>Changer le statut en "Validé humainement" après revue technique.</x:v>
      </x:c>
      <x:c r="D9" s="76" t="str">
        <x:v>Toutes feuilles Form_*</x:v>
      </x:c>
      <x:c r="E9" s="76" t="str">
        <x:v>Validateur désigné</x:v>
      </x:c>
      <x:c r="F9" s="76" t="str">
        <x:v>Mensuelle</x:v>
      </x:c>
      <x:c r="G9" s="76" t="str">
        <x:v>Statut validé</x:v>
      </x:c>
      <x:c r="H9" s="76" t="str">
        <x:v>Copie automatique vers Data_*</x:v>
      </x:c>
    </x:row>
    <x:row r="10">
      <x:c r="A10" s="76" t="n">
        <x:v>6</x:v>
      </x:c>
      <x:c r="B10" s="76" t="str">
        <x:v>Consulter la base consolidée</x:v>
      </x:c>
      <x:c r="C10" s="76" t="str">
        <x:v>Les bases Data_* reprennent automatiquement uniquement les lignes validées humainement.</x:v>
      </x:c>
      <x:c r="D10" s="76" t="str">
        <x:v>Data_*</x:v>
      </x:c>
      <x:c r="E10" s="76" t="str">
        <x:v>Cellule MRV</x:v>
      </x:c>
      <x:c r="F10" s="76" t="str">
        <x:v>Continu</x:v>
      </x:c>
      <x:c r="G10" s="76" t="str">
        <x:v>Exclusion des brouillons</x:v>
      </x:c>
      <x:c r="H10" s="76" t="str">
        <x:v>Base fiable</x:v>
      </x:c>
    </x:row>
    <x:row r="11">
      <x:c r="A11" s="76" t="n">
        <x:v>7</x:v>
      </x:c>
      <x:c r="B11" s="76" t="str">
        <x:v>Lire le dashboard</x:v>
      </x:c>
      <x:c r="C11" s="76" t="str">
        <x:v>Les KPI, alertes et graphiques se mettent à jour à partir des bases validées.</x:v>
      </x:c>
      <x:c r="D11" s="76" t="str">
        <x:v>41_DASHBOARD_FORMS; 46_GRAPHIQUES_AUTO</x:v>
      </x:c>
      <x:c r="E11" s="76" t="str">
        <x:v>Cellule climat</x:v>
      </x:c>
      <x:c r="F11" s="76" t="str">
        <x:v>Mensuelle</x:v>
      </x:c>
      <x:c r="G11" s="76" t="str">
        <x:v>Aucune alerte critique</x:v>
      </x:c>
      <x:c r="H11" s="76" t="str">
        <x:v>Pilotage exécutif</x:v>
      </x:c>
    </x:row>
    <x:row r="12">
      <x:c r="A12" s="76" t="n">
        <x:v>8</x:v>
      </x:c>
      <x:c r="B12" s="76" t="str">
        <x:v>Préparer les rapports</x:v>
      </x:c>
      <x:c r="C12" s="76" t="str">
        <x:v>Utiliser les vues CDP/C40/ICLEI et CDN pour remplir les plateformes externes.</x:v>
      </x:c>
      <x:c r="D12" s="76" t="str">
        <x:v>Reporting_CDP_C40_ICLEI; Contribution_CDN_2_0</x:v>
      </x:c>
      <x:c r="E12" s="76" t="str">
        <x:v>Cellule reporting</x:v>
      </x:c>
      <x:c r="F12" s="76" t="str">
        <x:v>Annuelle</x:v>
      </x:c>
      <x:c r="G12" s="76" t="str">
        <x:v>Preuves disponibles</x:v>
      </x:c>
      <x:c r="H12" s="76" t="str">
        <x:v>Rapports défendables</x:v>
      </x:c>
    </x:row>
    <x:row r="13">
      <x:c r="A13" s="76" t="n">
        <x:v>9</x:v>
      </x:c>
      <x:c r="B13" s="76" t="str">
        <x:v>Archiver la version</x:v>
      </x:c>
      <x:c r="C13" s="76" t="str">
        <x:v>Documenter les changements et conserver les preuves de validation.</x:v>
      </x:c>
      <x:c r="D13" s="76" t="str">
        <x:v>25_JOURNAL_MODIFS; 34_REGISTRE_PREUVES_MRV</x:v>
      </x:c>
      <x:c r="E13" s="76" t="str">
        <x:v>Administrateur Hub</x:v>
      </x:c>
      <x:c r="F13" s="76" t="str">
        <x:v>À chaque cycle</x:v>
      </x:c>
      <x:c r="G13" s="76" t="str">
        <x:v>Audit trail</x:v>
      </x:c>
      <x:c r="H13" s="76" t="str">
        <x:v>Historique complet</x:v>
      </x:c>
    </x:row>
  </x:sheetData>
  <x:mergeCells>
    <x:mergeCell ref="A1:H1"/>
    <x:mergeCell ref="A2:H2"/>
  </x:mergeCells>
  <x:pageMargins left="0.7" right="0.7" top="0.75" bottom="0.75" header="0.3" footer="0.3"/>
  <x:tableParts count="1">
    <x:tablePart xmlns:r="http://schemas.openxmlformats.org/officeDocument/2006/relationships" r:id="R27f5c14d9e5c4de6"/>
  </x:tableParts>
</x:worksheet>
</file>

<file path=xl/worksheets/sheet77.xml><?xml version="1.0" encoding="utf-8"?>
<x:worksheet xmlns:x="http://schemas.openxmlformats.org/spreadsheetml/2006/main">
  <x:sheetViews>
    <x:sheetView showGridLines="0" workbookViewId="0"/>
  </x:sheetViews>
  <x:sheetFormatPr defaultRowHeight="15"/>
  <x:cols>
    <x:col min="1" max="1" width="10" hidden="0" customWidth="1"/>
    <x:col min="2" max="2" width="28.75" hidden="0" customWidth="1"/>
    <x:col min="3" max="3" width="41.25" hidden="0" customWidth="1"/>
    <x:col min="4" max="4" width="31.25" hidden="0" customWidth="1"/>
    <x:col min="5" max="5" width="27.5" hidden="0" customWidth="1"/>
    <x:col min="6" max="6" width="27.5" hidden="0" customWidth="1"/>
    <x:col min="7" max="7" width="20" hidden="0" customWidth="1"/>
    <x:col min="8" max="8" width="32.5" hidden="0" customWidth="1"/>
  </x:cols>
  <x:sheetData>
    <x:row r="1" ht="25.5" customHeight="1">
      <x:c r="A1" s="68" t="str">
        <x:v>Flux de production des données</x:v>
      </x:c>
      <x:c r="B1" s="68"/>
      <x:c r="C1" s="68"/>
      <x:c r="D1" s="68"/>
      <x:c r="E1" s="68"/>
      <x:c r="F1" s="68"/>
      <x:c r="G1" s="68"/>
      <x:c r="H1" s="68"/>
    </x:row>
    <x:row r="2" ht="33" customHeight="1">
      <x:c r="A2" s="71" t="str">
        <x:v>Architecture fonctionnelle: Document -&gt; Feuille Excel -&gt; Tableau de bord et Formulaire -&gt; Base de données -&gt; Contrôle qualité -&gt; Validation -&gt; Dashboard -&gt; Rapports.</x:v>
      </x:c>
      <x:c r="B2" s="71"/>
      <x:c r="C2" s="71"/>
      <x:c r="D2" s="71"/>
      <x:c r="E2" s="71"/>
      <x:c r="F2" s="71"/>
      <x:c r="G2" s="71"/>
      <x:c r="H2" s="71"/>
    </x:row>
    <x:row r="4">
      <x:c r="A4" s="74" t="str">
        <x:v>Ordre</x:v>
      </x:c>
      <x:c r="B4" s="74" t="str">
        <x:v>Bloc</x:v>
      </x:c>
      <x:c r="C4" s="74" t="str">
        <x:v>Rôle</x:v>
      </x:c>
      <x:c r="D4" s="74" t="str">
        <x:v>Entrée</x:v>
      </x:c>
      <x:c r="E4" s="74" t="str">
        <x:v>Traitement</x:v>
      </x:c>
      <x:c r="F4" s="74" t="str">
        <x:v>Sortie</x:v>
      </x:c>
      <x:c r="G4" s="74" t="str">
        <x:v>Responsable</x:v>
      </x:c>
      <x:c r="H4" s="74" t="str">
        <x:v>Règle de blocage</x:v>
      </x:c>
    </x:row>
    <x:row r="5">
      <x:c r="A5" s="76" t="n">
        <x:v>1</x:v>
      </x:c>
      <x:c r="B5" s="76" t="str">
        <x:v>Document source</x:v>
      </x:c>
      <x:c r="C5" s="76" t="str">
        <x:v>Preuve officielle ou opérationnelle</x:v>
      </x:c>
      <x:c r="D5" s="76" t="str">
        <x:v>Facture, rapport, fichier capteur, extrait opérateur</x:v>
      </x:c>
      <x:c r="E5" s="76" t="str">
        <x:v>Référencement dans le formulaire</x:v>
      </x:c>
      <x:c r="F5" s="76" t="str">
        <x:v>Document source traçable</x:v>
      </x:c>
      <x:c r="G5" s="76" t="str">
        <x:v>Point focal</x:v>
      </x:c>
      <x:c r="H5" s="76" t="str">
        <x:v>Aucune ligne sans preuve pour données critiques</x:v>
      </x:c>
    </x:row>
    <x:row r="6">
      <x:c r="A6" s="76" t="n">
        <x:v>2</x:v>
      </x:c>
      <x:c r="B6" s="76" t="str">
        <x:v>Formulaire</x:v>
      </x:c>
      <x:c r="C6" s="76" t="str">
        <x:v>Interface de saisie par domaine</x:v>
      </x:c>
      <x:c r="D6" s="76" t="str">
        <x:v>Donnée brute et métadonnées</x:v>
      </x:c>
      <x:c r="E6" s="76" t="str">
        <x:v>Listes déroulantes, champs obligatoires, calculs automatiques</x:v>
      </x:c>
      <x:c r="F6" s="76" t="str">
        <x:v>Ligne saisie</x:v>
      </x:c>
      <x:c r="G6" s="76" t="str">
        <x:v>Point focal</x:v>
      </x:c>
      <x:c r="H6" s="76" t="str">
        <x:v>Champs obligatoires non vides</x:v>
      </x:c>
    </x:row>
    <x:row r="7">
      <x:c r="A7" s="76" t="n">
        <x:v>3</x:v>
      </x:c>
      <x:c r="B7" s="76" t="str">
        <x:v>Base de données</x:v>
      </x:c>
      <x:c r="C7" s="76" t="str">
        <x:v>Stockage consolidé des données validées</x:v>
      </x:c>
      <x:c r="D7" s="76" t="str">
        <x:v>Formulaire sectoriel</x:v>
      </x:c>
      <x:c r="E7" s="76" t="str">
        <x:v>Filtre automatique sur statut Validé humainement</x:v>
      </x:c>
      <x:c r="F7" s="76" t="str">
        <x:v>Data_*</x:v>
      </x:c>
      <x:c r="G7" s="76" t="str">
        <x:v>Cellule MRV</x:v>
      </x:c>
      <x:c r="H7" s="76" t="str">
        <x:v>Exclusion automatique des brouillons</x:v>
      </x:c>
    </x:row>
    <x:row r="8">
      <x:c r="A8" s="76" t="n">
        <x:v>4</x:v>
      </x:c>
      <x:c r="B8" s="76" t="str">
        <x:v>Contrôle qualité</x:v>
      </x:c>
      <x:c r="C8" s="76" t="str">
        <x:v>Détection des anomalies et preuves manquantes</x:v>
      </x:c>
      <x:c r="D8" s="76" t="str">
        <x:v>Formulaires et Data_*</x:v>
      </x:c>
      <x:c r="E8" s="76" t="str">
        <x:v>Tests manque, anomalie, source, document, statut</x:v>
      </x:c>
      <x:c r="F8" s="76" t="str">
        <x:v>Liste d'alertes</x:v>
      </x:c>
      <x:c r="G8" s="76" t="str">
        <x:v>Cellule MRV</x:v>
      </x:c>
      <x:c r="H8" s="76" t="str">
        <x:v>Alerte_QC doit être OK</x:v>
      </x:c>
    </x:row>
    <x:row r="9">
      <x:c r="A9" s="76" t="n">
        <x:v>5</x:v>
      </x:c>
      <x:c r="B9" s="76" t="str">
        <x:v>Validation</x:v>
      </x:c>
      <x:c r="C9" s="76" t="str">
        <x:v>Approbation humaine avant reporting</x:v>
      </x:c>
      <x:c r="D9" s="76" t="str">
        <x:v>Lignes corrigées</x:v>
      </x:c>
      <x:c r="E9" s="76" t="str">
        <x:v>Revue par validateur désigné</x:v>
      </x:c>
      <x:c r="F9" s="76" t="str">
        <x:v>Ligne validée</x:v>
      </x:c>
      <x:c r="G9" s="76" t="str">
        <x:v>Validateur technique</x:v>
      </x:c>
      <x:c r="H9" s="76" t="str">
        <x:v>Statut obligatoire: Validé humainement</x:v>
      </x:c>
    </x:row>
    <x:row r="10">
      <x:c r="A10" s="76" t="n">
        <x:v>6</x:v>
      </x:c>
      <x:c r="B10" s="76" t="str">
        <x:v>Dashboard</x:v>
      </x:c>
      <x:c r="C10" s="76" t="str">
        <x:v>Pilotage exécutif et suivi des indicateurs</x:v>
      </x:c>
      <x:c r="D10" s="76" t="str">
        <x:v>Data_* validées</x:v>
      </x:c>
      <x:c r="E10" s="76" t="str">
        <x:v>Agrégations et graphiques</x:v>
      </x:c>
      <x:c r="F10" s="76" t="str">
        <x:v>KPI et alertes</x:v>
      </x:c>
      <x:c r="G10" s="76" t="str">
        <x:v>Cellule climat</x:v>
      </x:c>
      <x:c r="H10" s="76" t="str">
        <x:v>Données non validées exclues</x:v>
      </x:c>
    </x:row>
    <x:row r="11">
      <x:c r="A11" s="76" t="n">
        <x:v>7</x:v>
      </x:c>
      <x:c r="B11" s="76" t="str">
        <x:v>Rapports</x:v>
      </x:c>
      <x:c r="C11" s="76" t="str">
        <x:v>Production CDP/C40/ICLEI/CDN/bailleurs</x:v>
      </x:c>
      <x:c r="D11" s="76" t="str">
        <x:v>Vues reporting</x:v>
      </x:c>
      <x:c r="E11" s="76" t="str">
        <x:v>Contrôle cohérence et preuves</x:v>
      </x:c>
      <x:c r="F11" s="76" t="str">
        <x:v>Rapports finaux</x:v>
      </x:c>
      <x:c r="G11" s="76" t="str">
        <x:v>Cellule reporting</x:v>
      </x:c>
      <x:c r="H11" s="76" t="str">
        <x:v>Preuves et validations requises</x:v>
      </x:c>
    </x:row>
    <x:row r="12">
      <x:c r="A12" s="76" t="n">
        <x:v>8</x:v>
      </x:c>
      <x:c r="B12" s="76" t="str">
        <x:v>Journal / audit</x:v>
      </x:c>
      <x:c r="C12" s="76" t="str">
        <x:v>Historique des changements et validations</x:v>
      </x:c>
      <x:c r="D12" s="76" t="str">
        <x:v>Versions et corrections</x:v>
      </x:c>
      <x:c r="E12" s="76" t="str">
        <x:v>Archivage</x:v>
      </x:c>
      <x:c r="F12" s="76" t="str">
        <x:v>Audit trail</x:v>
      </x:c>
      <x:c r="G12" s="76" t="str">
        <x:v>Administrateur Hub</x:v>
      </x:c>
      <x:c r="H12" s="76" t="str">
        <x:v>Mise à jour obligatoire à chaque cycle</x:v>
      </x:c>
    </x:row>
  </x:sheetData>
  <x:mergeCells>
    <x:mergeCell ref="A1:H1"/>
    <x:mergeCell ref="A2:H2"/>
  </x:mergeCells>
  <x:pageMargins left="0.7" right="0.7" top="0.75" bottom="0.75" header="0.3" footer="0.3"/>
  <x:tableParts count="1">
    <x:tablePart xmlns:r="http://schemas.openxmlformats.org/officeDocument/2006/relationships" r:id="R7e96bc52ee05496f"/>
  </x:tableParts>
</x:worksheet>
</file>

<file path=xl/worksheets/sheet78.xml><?xml version="1.0" encoding="utf-8"?>
<x:worksheet xmlns:x="http://schemas.openxmlformats.org/spreadsheetml/2006/main">
  <x:sheetViews>
    <x:sheetView showGridLines="0" workbookViewId="0"/>
  </x:sheetViews>
  <x:sheetFormatPr defaultRowHeight="15"/>
  <x:cols>
    <x:col min="1" max="1" width="7.5" hidden="0" customWidth="1"/>
    <x:col min="2" max="2" width="28.75" hidden="0" customWidth="1"/>
    <x:col min="3" max="3" width="26.25" hidden="0" customWidth="1"/>
    <x:col min="4" max="4" width="26.25" hidden="0" customWidth="1"/>
    <x:col min="5" max="5" width="22.5" hidden="0" customWidth="1"/>
    <x:col min="6" max="6" width="17.5" hidden="0" customWidth="1"/>
    <x:col min="7" max="7" width="16.8799991607666" hidden="0" customWidth="1"/>
    <x:col min="8" max="8" width="20" hidden="0" customWidth="1"/>
    <x:col min="9" max="9" width="37.5" hidden="0" customWidth="1"/>
  </x:cols>
  <x:sheetData>
    <x:row r="1" ht="25.5" customHeight="1">
      <x:c r="A1" s="68" t="str">
        <x:v>Liste des données prioritaires à collecter</x:v>
      </x:c>
      <x:c r="B1" s="68"/>
      <x:c r="C1" s="68"/>
      <x:c r="D1" s="68"/>
      <x:c r="E1" s="68"/>
      <x:c r="F1" s="68"/>
      <x:c r="G1" s="68"/>
      <x:c r="H1" s="68"/>
      <x:c r="I1" s="68"/>
    </x:row>
    <x:row r="2" ht="33" customHeight="1">
      <x:c r="A2" s="71" t="str">
        <x:v>Données à sécuriser en priorité pour alimenter CDP, C40, ICLEI, CDN et les bailleurs climat.</x:v>
      </x:c>
      <x:c r="B2" s="71"/>
      <x:c r="C2" s="71"/>
      <x:c r="D2" s="71"/>
      <x:c r="E2" s="71"/>
      <x:c r="F2" s="71"/>
      <x:c r="G2" s="71"/>
      <x:c r="H2" s="71"/>
      <x:c r="I2" s="71"/>
    </x:row>
    <x:row r="4">
      <x:c r="A4" s="74" t="str">
        <x:v>Priorité</x:v>
      </x:c>
      <x:c r="B4" s="74" t="str">
        <x:v>Donnée</x:v>
      </x:c>
      <x:c r="C4" s="74" t="str">
        <x:v>Feuille cible</x:v>
      </x:c>
      <x:c r="D4" s="74" t="str">
        <x:v>Source</x:v>
      </x:c>
      <x:c r="E4" s="74" t="str">
        <x:v>Responsable</x:v>
      </x:c>
      <x:c r="F4" s="74" t="str">
        <x:v>Fréquence</x:v>
      </x:c>
      <x:c r="G4" s="74" t="str">
        <x:v>Difficulté</x:v>
      </x:c>
      <x:c r="H4" s="74" t="str">
        <x:v>Criticité</x:v>
      </x:c>
      <x:c r="I4" s="74" t="str">
        <x:v>Première action</x:v>
      </x:c>
    </x:row>
    <x:row r="5">
      <x:c r="A5" s="76" t="str">
        <x:v>P0</x:v>
      </x:c>
      <x:c r="B5" s="76" t="str">
        <x:v>Inventaire GES territorial</x:v>
      </x:c>
      <x:c r="C5" s="76" t="str">
        <x:v>Data_Emissions_GES</x:v>
      </x:c>
      <x:c r="D5" s="76" t="str">
        <x:v>DEEC, SENELEC, CETUD, SONAGED/UCG</x:v>
      </x:c>
      <x:c r="E5" s="76" t="str">
        <x:v>Référent GES</x:v>
      </x:c>
      <x:c r="F5" s="76" t="str">
        <x:v>Annuelle</x:v>
      </x:c>
      <x:c r="G5" s="76" t="str">
        <x:v>Très élevée</x:v>
      </x:c>
      <x:c r="H5" s="76" t="str">
        <x:v>CDP/C40/CDN</x:v>
      </x:c>
      <x:c r="I5" s="76" t="str">
        <x:v>Valider périmètre GPC BASIC et facteurs d'émission</x:v>
      </x:c>
    </x:row>
    <x:row r="6">
      <x:c r="A6" s="76" t="str">
        <x:v>P0</x:v>
      </x:c>
      <x:c r="B6" s="76" t="str">
        <x:v>Consommation électrique municipale</x:v>
      </x:c>
      <x:c r="C6" s="76" t="str">
        <x:v>Data_Electricite</x:v>
      </x:c>
      <x:c r="D6" s="76" t="str">
        <x:v>SENELEC, factures Ville</x:v>
      </x:c>
      <x:c r="E6" s="76" t="str">
        <x:v>Direction Énergie</x:v>
      </x:c>
      <x:c r="F6" s="76" t="str">
        <x:v>Mensuelle</x:v>
      </x:c>
      <x:c r="G6" s="76" t="str">
        <x:v>Moyenne</x:v>
      </x:c>
      <x:c r="H6" s="76" t="str">
        <x:v>GES/CDN</x:v>
      </x:c>
      <x:c r="I6" s="76" t="str">
        <x:v>Centraliser factures et sites municipaux</x:v>
      </x:c>
    </x:row>
    <x:row r="7">
      <x:c r="A7" s="76" t="str">
        <x:v>P0</x:v>
      </x:c>
      <x:c r="B7" s="76" t="str">
        <x:v>Déchets collectés et destinations</x:v>
      </x:c>
      <x:c r="C7" s="76" t="str">
        <x:v>Data_Dechets</x:v>
      </x:c>
      <x:c r="D7" s="76" t="str">
        <x:v>SONAGED/UCG, prestataires</x:v>
      </x:c>
      <x:c r="E7" s="76" t="str">
        <x:v>Direction Déchets</x:v>
      </x:c>
      <x:c r="F7" s="76" t="str">
        <x:v>Mensuelle</x:v>
      </x:c>
      <x:c r="G7" s="76" t="str">
        <x:v>Élevée</x:v>
      </x:c>
      <x:c r="H7" s="76" t="str">
        <x:v>CDP/C40/GES</x:v>
      </x:c>
      <x:c r="I7" s="76" t="str">
        <x:v>Harmoniser tonnages, recyclage, compostage et décharge</x:v>
      </x:c>
    </x:row>
    <x:row r="8">
      <x:c r="A8" s="76" t="str">
        <x:v>P0</x:v>
      </x:c>
      <x:c r="B8" s="76" t="str">
        <x:v>Mobilité et carburants</x:v>
      </x:c>
      <x:c r="C8" s="76" t="str">
        <x:v>Data_Mobilite</x:v>
      </x:c>
      <x:c r="D8" s="76" t="str">
        <x:v>CETUD, AFTU, flotte municipale</x:v>
      </x:c>
      <x:c r="E8" s="76" t="str">
        <x:v>Direction Mobilité</x:v>
      </x:c>
      <x:c r="F8" s="76" t="str">
        <x:v>Trimestrielle</x:v>
      </x:c>
      <x:c r="G8" s="76" t="str">
        <x:v>Très élevée</x:v>
      </x:c>
      <x:c r="H8" s="76" t="str">
        <x:v>C40/CDN/GES</x:v>
      </x:c>
      <x:c r="I8" s="76" t="str">
        <x:v>Collecter consommation et passagers par mode</x:v>
      </x:c>
    </x:row>
    <x:row r="9">
      <x:c r="A9" s="76" t="str">
        <x:v>P0</x:v>
      </x:c>
      <x:c r="B9" s="76" t="str">
        <x:v>Projets climat et budgets</x:v>
      </x:c>
      <x:c r="C9" s="76" t="str">
        <x:v>Data_Projets_Climat</x:v>
      </x:c>
      <x:c r="D9" s="76" t="str">
        <x:v>Directions municipales</x:v>
      </x:c>
      <x:c r="E9" s="76" t="str">
        <x:v>Cellule climat</x:v>
      </x:c>
      <x:c r="F9" s="76" t="str">
        <x:v>Mensuelle</x:v>
      </x:c>
      <x:c r="G9" s="76" t="str">
        <x:v>Moyenne</x:v>
      </x:c>
      <x:c r="H9" s="76" t="str">
        <x:v>CDP/C40/Bailleurs</x:v>
      </x:c>
      <x:c r="I9" s="76" t="str">
        <x:v>Attribuer ID projet, statut et financement</x:v>
      </x:c>
    </x:row>
    <x:row r="10">
      <x:c r="A10" s="76" t="str">
        <x:v>P0</x:v>
      </x:c>
      <x:c r="B10" s="76" t="str">
        <x:v>Documents sources et preuves</x:v>
      </x:c>
      <x:c r="C10" s="76" t="str">
        <x:v>Toutes Form_*</x:v>
      </x:c>
      <x:c r="D10" s="76" t="str">
        <x:v>Toutes institutions</x:v>
      </x:c>
      <x:c r="E10" s="76" t="str">
        <x:v>Cellule MRV</x:v>
      </x:c>
      <x:c r="F10" s="76" t="str">
        <x:v>Continu</x:v>
      </x:c>
      <x:c r="G10" s="76" t="str">
        <x:v>Moyenne</x:v>
      </x:c>
      <x:c r="H10" s="76" t="str">
        <x:v>Tous cadres</x:v>
      </x:c>
      <x:c r="I10" s="76" t="str">
        <x:v>Créer dossier de preuves et registre MRV</x:v>
      </x:c>
    </x:row>
    <x:row r="11">
      <x:c r="A11" s="76" t="str">
        <x:v>P1</x:v>
      </x:c>
      <x:c r="B11" s="76" t="str">
        <x:v>Qualité de l'air</x:v>
      </x:c>
      <x:c r="C11" s="76" t="str">
        <x:v>Data_Qualite_Air</x:v>
      </x:c>
      <x:c r="D11" s="76" t="str">
        <x:v>DEEC/CGQA, capteurs</x:v>
      </x:c>
      <x:c r="E11" s="76" t="str">
        <x:v>Direction Environnement</x:v>
      </x:c>
      <x:c r="F11" s="76" t="str">
        <x:v>Mensuelle</x:v>
      </x:c>
      <x:c r="G11" s="76" t="str">
        <x:v>Élevée</x:v>
      </x:c>
      <x:c r="H11" s="76" t="str">
        <x:v>C40/CDP</x:v>
      </x:c>
      <x:c r="I11" s="76" t="str">
        <x:v>Valider protocole QA/QC capteurs</x:v>
      </x:c>
    </x:row>
    <x:row r="12">
      <x:c r="A12" s="76" t="str">
        <x:v>P1</x:v>
      </x:c>
      <x:c r="B12" s="76" t="str">
        <x:v>Pluviométrie et chaleur</x:v>
      </x:c>
      <x:c r="C12" s="76" t="str">
        <x:v>Data_Temperature; Data_Pluviometrie</x:v>
      </x:c>
      <x:c r="D12" s="76" t="str">
        <x:v>ANACIM</x:v>
      </x:c>
      <x:c r="E12" s="76" t="str">
        <x:v>Cellule adaptation</x:v>
      </x:c>
      <x:c r="F12" s="76" t="str">
        <x:v>Mensuelle</x:v>
      </x:c>
      <x:c r="G12" s="76" t="str">
        <x:v>Moyenne</x:v>
      </x:c>
      <x:c r="H12" s="76" t="str">
        <x:v>CDP/CDN</x:v>
      </x:c>
      <x:c r="I12" s="76" t="str">
        <x:v>Consolider séries météo locales</x:v>
      </x:c>
    </x:row>
    <x:row r="13">
      <x:c r="A13" s="76" t="str">
        <x:v>P1</x:v>
      </x:c>
      <x:c r="B13" s="76" t="str">
        <x:v>Érosion côtière et exposition</x:v>
      </x:c>
      <x:c r="C13" s="76" t="str">
        <x:v>Data_Erosion_Cotiere</x:v>
      </x:c>
      <x:c r="D13" s="76" t="str">
        <x:v>CSE, universités, SIG Ville</x:v>
      </x:c>
      <x:c r="E13" s="76" t="str">
        <x:v>Planification/SIG</x:v>
      </x:c>
      <x:c r="F13" s="76" t="str">
        <x:v>Semestrielle</x:v>
      </x:c>
      <x:c r="G13" s="76" t="str">
        <x:v>Très élevée</x:v>
      </x:c>
      <x:c r="H13" s="76" t="str">
        <x:v>CDN/Bailleurs</x:v>
      </x:c>
      <x:c r="I13" s="76" t="str">
        <x:v>Cartographier recul et population exposée</x:v>
      </x:c>
    </x:row>
    <x:row r="14">
      <x:c r="A14" s="76" t="str">
        <x:v>P1</x:v>
      </x:c>
      <x:c r="B14" s="76" t="str">
        <x:v>Finance climat mobilisée</x:v>
      </x:c>
      <x:c r="C14" s="76" t="str">
        <x:v>Data_Finance_Climat</x:v>
      </x:c>
      <x:c r="D14" s="76" t="str">
        <x:v>Direction Finances, bailleurs</x:v>
      </x:c>
      <x:c r="E14" s="76" t="str">
        <x:v>Direction Finances</x:v>
      </x:c>
      <x:c r="F14" s="76" t="str">
        <x:v>Mensuelle</x:v>
      </x:c>
      <x:c r="G14" s="76" t="str">
        <x:v>Élevée</x:v>
      </x:c>
      <x:c r="H14" s="76" t="str">
        <x:v>GCF/WB/BAD</x:v>
      </x:c>
      <x:c r="I14" s="76" t="str">
        <x:v>Suivre demandé, approuvé, décaissé et cofinancement</x:v>
      </x:c>
    </x:row>
  </x:sheetData>
  <x:mergeCells>
    <x:mergeCell ref="A1:I1"/>
    <x:mergeCell ref="A2:I2"/>
  </x:mergeCells>
  <x:conditionalFormatting sqref="A5:A14">
    <x:cfRule type="containsText" dxfId="272" priority="1" operator="containsText" text="ALERTE"/>
    <x:cfRule type="containsText" dxfId="273" priority="2" operator="containsText" text="OK"/>
    <x:cfRule type="containsText" dxfId="274" priority="3" operator="containsText" text="Validé"/>
    <x:cfRule type="containsText" dxfId="275" priority="4" operator="containsText" text="À vérifier"/>
    <x:cfRule type="containsText" dxfId="276" priority="5" operator="containsText" text="Rejeté"/>
  </x:conditionalFormatting>
  <x:pageMargins left="0.7" right="0.7" top="0.75" bottom="0.75" header="0.3" footer="0.3"/>
  <x:tableParts count="1">
    <x:tablePart xmlns:r="http://schemas.openxmlformats.org/officeDocument/2006/relationships" r:id="R9d7cb4f1ea3d4ec1"/>
  </x:tableParts>
</x:worksheet>
</file>

<file path=xl/worksheets/sheet7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3.130000114440918" hidden="0" customWidth="1"/>
    <x:col min="4" max="4" width="15.630000114440918" hidden="0" customWidth="1"/>
    <x:col min="5" max="5" width="2.5"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2.5" hidden="0" customWidth="1"/>
    <x:col min="12" max="12" width="18.1299991607666" hidden="0" customWidth="1"/>
    <x:col min="13" max="13" width="18.1299991607666" hidden="0" customWidth="1"/>
    <x:col min="14" max="14" width="18.1299991607666" hidden="0" customWidth="1"/>
    <x:col min="15" max="15" width="18.1299991607666" hidden="0" customWidth="1"/>
    <x:col min="16" max="16" width="18.1299991607666" hidden="0" customWidth="1"/>
    <x:col min="17" max="17" width="2.5" hidden="0" customWidth="1"/>
    <x:col min="18" max="18" width="18.1299991607666" hidden="0" customWidth="1"/>
    <x:col min="19" max="19" width="18.1299991607666" hidden="0" customWidth="1"/>
    <x:col min="20" max="20" width="18.1299991607666" hidden="0" customWidth="1"/>
    <x:col min="21" max="21" width="18.1299991607666" hidden="0" customWidth="1"/>
    <x:col min="22" max="22" width="18.1299991607666" hidden="0" customWidth="1"/>
  </x:cols>
  <x:sheetData>
    <x:row r="1" ht="25.5" customHeight="1">
      <x:c r="A1" s="68" t="str">
        <x:v>Graphiques automatiques</x:v>
      </x:c>
      <x:c r="B1" s="68"/>
      <x:c r="C1" s="68"/>
      <x:c r="D1" s="68"/>
      <x:c r="E1" s="68"/>
      <x:c r="F1" s="68"/>
      <x:c r="G1" s="68"/>
      <x:c r="H1" s="68"/>
      <x:c r="I1" s="68"/>
      <x:c r="J1" s="68"/>
      <x:c r="K1" s="68"/>
      <x:c r="L1" s="68"/>
      <x:c r="M1" s="68"/>
      <x:c r="N1" s="68"/>
      <x:c r="O1" s="68"/>
      <x:c r="P1" s="68"/>
      <x:c r="Q1" s="68"/>
      <x:c r="R1" s="68"/>
      <x:c r="S1" s="68"/>
      <x:c r="T1" s="68"/>
      <x:c r="U1" s="68"/>
      <x:c r="V1" s="68"/>
    </x:row>
    <x:row r="2" ht="33" customHeight="1">
      <x:c r="A2" s="71" t="str">
        <x:v>Graphiques natifs Excel alimentés par les bases validées. Les graphiques restent à zéro tant que les formulaires n'ont pas de données validées.</x:v>
      </x:c>
      <x:c r="B2" s="71"/>
      <x:c r="C2" s="71"/>
      <x:c r="D2" s="71"/>
      <x:c r="E2" s="71"/>
      <x:c r="F2" s="71"/>
      <x:c r="G2" s="71"/>
      <x:c r="H2" s="71"/>
      <x:c r="I2" s="71"/>
      <x:c r="J2" s="71"/>
      <x:c r="K2" s="71"/>
      <x:c r="L2" s="71"/>
      <x:c r="M2" s="71"/>
      <x:c r="N2" s="71"/>
      <x:c r="O2" s="71"/>
      <x:c r="P2" s="71"/>
      <x:c r="Q2" s="71"/>
      <x:c r="R2" s="71"/>
      <x:c r="S2" s="71"/>
      <x:c r="T2" s="71"/>
      <x:c r="U2" s="71"/>
      <x:c r="V2" s="71"/>
    </x:row>
    <x:row r="4">
      <x:c r="A4" s="89" t="str">
        <x:v>Température moyenne mensuelle</x:v>
      </x:c>
      <x:c r="B4" s="89"/>
      <x:c r="L4" s="89" t="str">
        <x:v>Déchets collectés</x:v>
      </x:c>
      <x:c r="M4" s="89"/>
    </x:row>
    <x:row r="5">
      <x:c r="A5" s="74" t="str">
        <x:v>Période</x:v>
      </x:c>
      <x:c r="B5" s="74" t="str">
        <x:v>Température °C</x:v>
      </x:c>
      <x:c r="L5" s="74" t="str">
        <x:v>Période</x:v>
      </x:c>
      <x:c r="M5" s="74" t="str">
        <x:v>tonnes</x:v>
      </x:c>
    </x:row>
    <x:row r="6">
      <x:c r="A6" s="76" t="str">
        <x:v>Janvier</x:v>
      </x:c>
      <x:c r="B6" s="79" t="n">
        <x:f>IFERROR(AVERAGEIFS(Data_Temperature!$G$5:$G$104,Data_Temperature!$D$5:$D$104,A6),0)</x:f>
        <x:v>0</x:v>
      </x:c>
      <x:c r="L6" s="76" t="str">
        <x:v>Janvier</x:v>
      </x:c>
      <x:c r="M6" s="81" t="n">
        <x:f>SUMIFS(Data_Dechets!$F$5:$F$104,Data_Dechets!$C$5:$C$104,L6)</x:f>
        <x:v>0</x:v>
      </x:c>
    </x:row>
    <x:row r="7">
      <x:c r="A7" s="76" t="str">
        <x:v>Février</x:v>
      </x:c>
      <x:c r="B7" s="79" t="n">
        <x:f>IFERROR(AVERAGEIFS(Data_Temperature!$G$5:$G$104,Data_Temperature!$D$5:$D$104,A7),0)</x:f>
        <x:v>0</x:v>
      </x:c>
      <x:c r="L7" s="76" t="str">
        <x:v>Février</x:v>
      </x:c>
      <x:c r="M7" s="81" t="n">
        <x:f>SUMIFS(Data_Dechets!$F$5:$F$104,Data_Dechets!$C$5:$C$104,L7)</x:f>
        <x:v>0</x:v>
      </x:c>
    </x:row>
    <x:row r="8">
      <x:c r="A8" s="76" t="str">
        <x:v>Mars</x:v>
      </x:c>
      <x:c r="B8" s="79" t="n">
        <x:f>IFERROR(AVERAGEIFS(Data_Temperature!$G$5:$G$104,Data_Temperature!$D$5:$D$104,A8),0)</x:f>
        <x:v>0</x:v>
      </x:c>
      <x:c r="L8" s="76" t="str">
        <x:v>Mars</x:v>
      </x:c>
      <x:c r="M8" s="81" t="n">
        <x:f>SUMIFS(Data_Dechets!$F$5:$F$104,Data_Dechets!$C$5:$C$104,L8)</x:f>
        <x:v>0</x:v>
      </x:c>
    </x:row>
    <x:row r="9">
      <x:c r="A9" s="76" t="str">
        <x:v>Avril</x:v>
      </x:c>
      <x:c r="B9" s="79" t="n">
        <x:f>IFERROR(AVERAGEIFS(Data_Temperature!$G$5:$G$104,Data_Temperature!$D$5:$D$104,A9),0)</x:f>
        <x:v>0</x:v>
      </x:c>
      <x:c r="L9" s="76" t="str">
        <x:v>Avril</x:v>
      </x:c>
      <x:c r="M9" s="81" t="n">
        <x:f>SUMIFS(Data_Dechets!$F$5:$F$104,Data_Dechets!$C$5:$C$104,L9)</x:f>
        <x:v>0</x:v>
      </x:c>
    </x:row>
    <x:row r="10">
      <x:c r="A10" s="76" t="str">
        <x:v>Mai</x:v>
      </x:c>
      <x:c r="B10" s="79" t="n">
        <x:f>IFERROR(AVERAGEIFS(Data_Temperature!$G$5:$G$104,Data_Temperature!$D$5:$D$104,A10),0)</x:f>
        <x:v>0</x:v>
      </x:c>
      <x:c r="L10" s="76" t="str">
        <x:v>Mai</x:v>
      </x:c>
      <x:c r="M10" s="81" t="n">
        <x:f>SUMIFS(Data_Dechets!$F$5:$F$104,Data_Dechets!$C$5:$C$104,L10)</x:f>
        <x:v>0</x:v>
      </x:c>
    </x:row>
    <x:row r="11">
      <x:c r="A11" s="76" t="str">
        <x:v>Juin</x:v>
      </x:c>
      <x:c r="B11" s="79" t="n">
        <x:f>IFERROR(AVERAGEIFS(Data_Temperature!$G$5:$G$104,Data_Temperature!$D$5:$D$104,A11),0)</x:f>
        <x:v>0</x:v>
      </x:c>
      <x:c r="L11" s="76" t="str">
        <x:v>Juin</x:v>
      </x:c>
      <x:c r="M11" s="81" t="n">
        <x:f>SUMIFS(Data_Dechets!$F$5:$F$104,Data_Dechets!$C$5:$C$104,L11)</x:f>
        <x:v>0</x:v>
      </x:c>
    </x:row>
    <x:row r="12">
      <x:c r="A12" s="76" t="str">
        <x:v>Juillet</x:v>
      </x:c>
      <x:c r="B12" s="79" t="n">
        <x:f>IFERROR(AVERAGEIFS(Data_Temperature!$G$5:$G$104,Data_Temperature!$D$5:$D$104,A12),0)</x:f>
        <x:v>0</x:v>
      </x:c>
      <x:c r="L12" s="76" t="str">
        <x:v>Juillet</x:v>
      </x:c>
      <x:c r="M12" s="81" t="n">
        <x:f>SUMIFS(Data_Dechets!$F$5:$F$104,Data_Dechets!$C$5:$C$104,L12)</x:f>
        <x:v>0</x:v>
      </x:c>
    </x:row>
    <x:row r="13">
      <x:c r="A13" s="76" t="str">
        <x:v>Août</x:v>
      </x:c>
      <x:c r="B13" s="79" t="n">
        <x:f>IFERROR(AVERAGEIFS(Data_Temperature!$G$5:$G$104,Data_Temperature!$D$5:$D$104,A13),0)</x:f>
        <x:v>0</x:v>
      </x:c>
      <x:c r="L13" s="76" t="str">
        <x:v>Août</x:v>
      </x:c>
      <x:c r="M13" s="81" t="n">
        <x:f>SUMIFS(Data_Dechets!$F$5:$F$104,Data_Dechets!$C$5:$C$104,L13)</x:f>
        <x:v>0</x:v>
      </x:c>
    </x:row>
    <x:row r="14">
      <x:c r="A14" s="76" t="str">
        <x:v>Septembre</x:v>
      </x:c>
      <x:c r="B14" s="79" t="n">
        <x:f>IFERROR(AVERAGEIFS(Data_Temperature!$G$5:$G$104,Data_Temperature!$D$5:$D$104,A14),0)</x:f>
        <x:v>0</x:v>
      </x:c>
      <x:c r="L14" s="76" t="str">
        <x:v>Septembre</x:v>
      </x:c>
      <x:c r="M14" s="81" t="n">
        <x:f>SUMIFS(Data_Dechets!$F$5:$F$104,Data_Dechets!$C$5:$C$104,L14)</x:f>
        <x:v>0</x:v>
      </x:c>
    </x:row>
    <x:row r="15">
      <x:c r="A15" s="76" t="str">
        <x:v>Octobre</x:v>
      </x:c>
      <x:c r="B15" s="79" t="n">
        <x:f>IFERROR(AVERAGEIFS(Data_Temperature!$G$5:$G$104,Data_Temperature!$D$5:$D$104,A15),0)</x:f>
        <x:v>0</x:v>
      </x:c>
      <x:c r="L15" s="76" t="str">
        <x:v>Octobre</x:v>
      </x:c>
      <x:c r="M15" s="81" t="n">
        <x:f>SUMIFS(Data_Dechets!$F$5:$F$104,Data_Dechets!$C$5:$C$104,L15)</x:f>
        <x:v>0</x:v>
      </x:c>
    </x:row>
    <x:row r="16">
      <x:c r="A16" s="76" t="str">
        <x:v>Novembre</x:v>
      </x:c>
      <x:c r="B16" s="79" t="n">
        <x:f>IFERROR(AVERAGEIFS(Data_Temperature!$G$5:$G$104,Data_Temperature!$D$5:$D$104,A16),0)</x:f>
        <x:v>0</x:v>
      </x:c>
      <x:c r="L16" s="76" t="str">
        <x:v>Novembre</x:v>
      </x:c>
      <x:c r="M16" s="81" t="n">
        <x:f>SUMIFS(Data_Dechets!$F$5:$F$104,Data_Dechets!$C$5:$C$104,L16)</x:f>
        <x:v>0</x:v>
      </x:c>
    </x:row>
    <x:row r="17">
      <x:c r="A17" s="76" t="str">
        <x:v>Décembre</x:v>
      </x:c>
      <x:c r="B17" s="79" t="n">
        <x:f>IFERROR(AVERAGEIFS(Data_Temperature!$G$5:$G$104,Data_Temperature!$D$5:$D$104,A17),0)</x:f>
        <x:v>0</x:v>
      </x:c>
      <x:c r="L17" s="76" t="str">
        <x:v>Décembre</x:v>
      </x:c>
      <x:c r="M17" s="81" t="n">
        <x:f>SUMIFS(Data_Dechets!$F$5:$F$104,Data_Dechets!$C$5:$C$104,L17)</x:f>
        <x:v>0</x:v>
      </x:c>
    </x:row>
    <x:row r="20">
      <x:c r="A20" s="89" t="str">
        <x:v>Pluviométrie mensuelle</x:v>
      </x:c>
      <x:c r="B20" s="89"/>
      <x:c r="L20" s="89" t="str">
        <x:v>Déchets valorisés</x:v>
      </x:c>
      <x:c r="M20" s="89"/>
    </x:row>
    <x:row r="21">
      <x:c r="A21" s="74" t="str">
        <x:v>Période</x:v>
      </x:c>
      <x:c r="B21" s="74" t="str">
        <x:v>Pluie mm</x:v>
      </x:c>
      <x:c r="L21" s="74" t="str">
        <x:v>Période</x:v>
      </x:c>
      <x:c r="M21" s="74" t="str">
        <x:v>tonnes</x:v>
      </x:c>
    </x:row>
    <x:row r="22">
      <x:c r="A22" s="76" t="str">
        <x:v>Janvier</x:v>
      </x:c>
      <x:c r="B22" s="81" t="n">
        <x:f>SUMIFS(Data_Pluviometrie!$G$5:$G$104,Data_Pluviometrie!$D$5:$D$104,A22)</x:f>
        <x:v>0</x:v>
      </x:c>
      <x:c r="L22" s="76" t="str">
        <x:v>Janvier</x:v>
      </x:c>
      <x:c r="M22" s="81" t="n">
        <x:f>SUMIFS(Data_Dechets!$G$5:$G$104,Data_Dechets!$C$5:$C$104,L22)+SUMIFS(Data_Dechets!$H$5:$H$104,Data_Dechets!$C$5:$C$104,L22)</x:f>
        <x:v>0</x:v>
      </x:c>
    </x:row>
    <x:row r="23">
      <x:c r="A23" s="76" t="str">
        <x:v>Février</x:v>
      </x:c>
      <x:c r="B23" s="81" t="n">
        <x:f>SUMIFS(Data_Pluviometrie!$G$5:$G$104,Data_Pluviometrie!$D$5:$D$104,A23)</x:f>
        <x:v>0</x:v>
      </x:c>
      <x:c r="L23" s="76" t="str">
        <x:v>Février</x:v>
      </x:c>
      <x:c r="M23" s="81" t="n">
        <x:f>SUMIFS(Data_Dechets!$G$5:$G$104,Data_Dechets!$C$5:$C$104,L23)+SUMIFS(Data_Dechets!$H$5:$H$104,Data_Dechets!$C$5:$C$104,L23)</x:f>
        <x:v>0</x:v>
      </x:c>
    </x:row>
    <x:row r="24">
      <x:c r="A24" s="76" t="str">
        <x:v>Mars</x:v>
      </x:c>
      <x:c r="B24" s="81" t="n">
        <x:f>SUMIFS(Data_Pluviometrie!$G$5:$G$104,Data_Pluviometrie!$D$5:$D$104,A24)</x:f>
        <x:v>0</x:v>
      </x:c>
      <x:c r="L24" s="76" t="str">
        <x:v>Mars</x:v>
      </x:c>
      <x:c r="M24" s="81" t="n">
        <x:f>SUMIFS(Data_Dechets!$G$5:$G$104,Data_Dechets!$C$5:$C$104,L24)+SUMIFS(Data_Dechets!$H$5:$H$104,Data_Dechets!$C$5:$C$104,L24)</x:f>
        <x:v>0</x:v>
      </x:c>
    </x:row>
    <x:row r="25">
      <x:c r="A25" s="76" t="str">
        <x:v>Avril</x:v>
      </x:c>
      <x:c r="B25" s="81" t="n">
        <x:f>SUMIFS(Data_Pluviometrie!$G$5:$G$104,Data_Pluviometrie!$D$5:$D$104,A25)</x:f>
        <x:v>0</x:v>
      </x:c>
      <x:c r="L25" s="76" t="str">
        <x:v>Avril</x:v>
      </x:c>
      <x:c r="M25" s="81" t="n">
        <x:f>SUMIFS(Data_Dechets!$G$5:$G$104,Data_Dechets!$C$5:$C$104,L25)+SUMIFS(Data_Dechets!$H$5:$H$104,Data_Dechets!$C$5:$C$104,L25)</x:f>
        <x:v>0</x:v>
      </x:c>
    </x:row>
    <x:row r="26">
      <x:c r="A26" s="76" t="str">
        <x:v>Mai</x:v>
      </x:c>
      <x:c r="B26" s="81" t="n">
        <x:f>SUMIFS(Data_Pluviometrie!$G$5:$G$104,Data_Pluviometrie!$D$5:$D$104,A26)</x:f>
        <x:v>0</x:v>
      </x:c>
      <x:c r="L26" s="76" t="str">
        <x:v>Mai</x:v>
      </x:c>
      <x:c r="M26" s="81" t="n">
        <x:f>SUMIFS(Data_Dechets!$G$5:$G$104,Data_Dechets!$C$5:$C$104,L26)+SUMIFS(Data_Dechets!$H$5:$H$104,Data_Dechets!$C$5:$C$104,L26)</x:f>
        <x:v>0</x:v>
      </x:c>
    </x:row>
    <x:row r="27">
      <x:c r="A27" s="76" t="str">
        <x:v>Juin</x:v>
      </x:c>
      <x:c r="B27" s="81" t="n">
        <x:f>SUMIFS(Data_Pluviometrie!$G$5:$G$104,Data_Pluviometrie!$D$5:$D$104,A27)</x:f>
        <x:v>0</x:v>
      </x:c>
      <x:c r="L27" s="76" t="str">
        <x:v>Juin</x:v>
      </x:c>
      <x:c r="M27" s="81" t="n">
        <x:f>SUMIFS(Data_Dechets!$G$5:$G$104,Data_Dechets!$C$5:$C$104,L27)+SUMIFS(Data_Dechets!$H$5:$H$104,Data_Dechets!$C$5:$C$104,L27)</x:f>
        <x:v>0</x:v>
      </x:c>
    </x:row>
    <x:row r="28">
      <x:c r="A28" s="76" t="str">
        <x:v>Juillet</x:v>
      </x:c>
      <x:c r="B28" s="81" t="n">
        <x:f>SUMIFS(Data_Pluviometrie!$G$5:$G$104,Data_Pluviometrie!$D$5:$D$104,A28)</x:f>
        <x:v>0</x:v>
      </x:c>
      <x:c r="L28" s="76" t="str">
        <x:v>Juillet</x:v>
      </x:c>
      <x:c r="M28" s="81" t="n">
        <x:f>SUMIFS(Data_Dechets!$G$5:$G$104,Data_Dechets!$C$5:$C$104,L28)+SUMIFS(Data_Dechets!$H$5:$H$104,Data_Dechets!$C$5:$C$104,L28)</x:f>
        <x:v>0</x:v>
      </x:c>
    </x:row>
    <x:row r="29">
      <x:c r="A29" s="76" t="str">
        <x:v>Août</x:v>
      </x:c>
      <x:c r="B29" s="81" t="n">
        <x:f>SUMIFS(Data_Pluviometrie!$G$5:$G$104,Data_Pluviometrie!$D$5:$D$104,A29)</x:f>
        <x:v>0</x:v>
      </x:c>
      <x:c r="L29" s="76" t="str">
        <x:v>Août</x:v>
      </x:c>
      <x:c r="M29" s="81" t="n">
        <x:f>SUMIFS(Data_Dechets!$G$5:$G$104,Data_Dechets!$C$5:$C$104,L29)+SUMIFS(Data_Dechets!$H$5:$H$104,Data_Dechets!$C$5:$C$104,L29)</x:f>
        <x:v>0</x:v>
      </x:c>
    </x:row>
    <x:row r="30">
      <x:c r="A30" s="76" t="str">
        <x:v>Septembre</x:v>
      </x:c>
      <x:c r="B30" s="81" t="n">
        <x:f>SUMIFS(Data_Pluviometrie!$G$5:$G$104,Data_Pluviometrie!$D$5:$D$104,A30)</x:f>
        <x:v>0</x:v>
      </x:c>
      <x:c r="L30" s="76" t="str">
        <x:v>Septembre</x:v>
      </x:c>
      <x:c r="M30" s="81" t="n">
        <x:f>SUMIFS(Data_Dechets!$G$5:$G$104,Data_Dechets!$C$5:$C$104,L30)+SUMIFS(Data_Dechets!$H$5:$H$104,Data_Dechets!$C$5:$C$104,L30)</x:f>
        <x:v>0</x:v>
      </x:c>
    </x:row>
    <x:row r="31">
      <x:c r="A31" s="76" t="str">
        <x:v>Octobre</x:v>
      </x:c>
      <x:c r="B31" s="81" t="n">
        <x:f>SUMIFS(Data_Pluviometrie!$G$5:$G$104,Data_Pluviometrie!$D$5:$D$104,A31)</x:f>
        <x:v>0</x:v>
      </x:c>
      <x:c r="L31" s="76" t="str">
        <x:v>Octobre</x:v>
      </x:c>
      <x:c r="M31" s="81" t="n">
        <x:f>SUMIFS(Data_Dechets!$G$5:$G$104,Data_Dechets!$C$5:$C$104,L31)+SUMIFS(Data_Dechets!$H$5:$H$104,Data_Dechets!$C$5:$C$104,L31)</x:f>
        <x:v>0</x:v>
      </x:c>
    </x:row>
    <x:row r="32">
      <x:c r="A32" s="76" t="str">
        <x:v>Novembre</x:v>
      </x:c>
      <x:c r="B32" s="81" t="n">
        <x:f>SUMIFS(Data_Pluviometrie!$G$5:$G$104,Data_Pluviometrie!$D$5:$D$104,A32)</x:f>
        <x:v>0</x:v>
      </x:c>
      <x:c r="L32" s="76" t="str">
        <x:v>Novembre</x:v>
      </x:c>
      <x:c r="M32" s="81" t="n">
        <x:f>SUMIFS(Data_Dechets!$G$5:$G$104,Data_Dechets!$C$5:$C$104,L32)+SUMIFS(Data_Dechets!$H$5:$H$104,Data_Dechets!$C$5:$C$104,L32)</x:f>
        <x:v>0</x:v>
      </x:c>
    </x:row>
    <x:row r="33">
      <x:c r="A33" s="76" t="str">
        <x:v>Décembre</x:v>
      </x:c>
      <x:c r="B33" s="81" t="n">
        <x:f>SUMIFS(Data_Pluviometrie!$G$5:$G$104,Data_Pluviometrie!$D$5:$D$104,A33)</x:f>
        <x:v>0</x:v>
      </x:c>
      <x:c r="L33" s="76" t="str">
        <x:v>Décembre</x:v>
      </x:c>
      <x:c r="M33" s="81" t="n">
        <x:f>SUMIFS(Data_Dechets!$G$5:$G$104,Data_Dechets!$C$5:$C$104,L33)+SUMIFS(Data_Dechets!$H$5:$H$104,Data_Dechets!$C$5:$C$104,L33)</x:f>
        <x:v>0</x:v>
      </x:c>
    </x:row>
    <x:row r="36">
      <x:c r="A36" s="89" t="str">
        <x:v>Consommation électrique</x:v>
      </x:c>
      <x:c r="B36" s="89"/>
      <x:c r="L36" s="89" t="str">
        <x:v>Indice qualité de l'air</x:v>
      </x:c>
      <x:c r="M36" s="89"/>
    </x:row>
    <x:row r="37">
      <x:c r="A37" s="74" t="str">
        <x:v>Période</x:v>
      </x:c>
      <x:c r="B37" s="74" t="str">
        <x:v>kWh</x:v>
      </x:c>
      <x:c r="L37" s="74" t="str">
        <x:v>Période</x:v>
      </x:c>
      <x:c r="M37" s="74" t="str">
        <x:v>indice</x:v>
      </x:c>
    </x:row>
    <x:row r="38">
      <x:c r="A38" s="76" t="str">
        <x:v>Janvier</x:v>
      </x:c>
      <x:c r="B38" s="81" t="n">
        <x:f>SUMIFS(Data_Electricite!$F$5:$F$104,Data_Electricite!$C$5:$C$104,A38)</x:f>
        <x:v>0</x:v>
      </x:c>
      <x:c r="L38" s="76" t="str">
        <x:v>Janvier</x:v>
      </x:c>
      <x:c r="M38" s="79" t="n">
        <x:f>IFERROR(AVERAGEIFS(Data_Qualite_Air!$K$5:$K$104,Data_Qualite_Air!$C$5:$C$104,L38),0)</x:f>
        <x:v>0</x:v>
      </x:c>
    </x:row>
    <x:row r="39">
      <x:c r="A39" s="76" t="str">
        <x:v>Février</x:v>
      </x:c>
      <x:c r="B39" s="81" t="n">
        <x:f>SUMIFS(Data_Electricite!$F$5:$F$104,Data_Electricite!$C$5:$C$104,A39)</x:f>
        <x:v>0</x:v>
      </x:c>
      <x:c r="L39" s="76" t="str">
        <x:v>Février</x:v>
      </x:c>
      <x:c r="M39" s="79" t="n">
        <x:f>IFERROR(AVERAGEIFS(Data_Qualite_Air!$K$5:$K$104,Data_Qualite_Air!$C$5:$C$104,L39),0)</x:f>
        <x:v>0</x:v>
      </x:c>
    </x:row>
    <x:row r="40">
      <x:c r="A40" s="76" t="str">
        <x:v>Mars</x:v>
      </x:c>
      <x:c r="B40" s="81" t="n">
        <x:f>SUMIFS(Data_Electricite!$F$5:$F$104,Data_Electricite!$C$5:$C$104,A40)</x:f>
        <x:v>0</x:v>
      </x:c>
      <x:c r="L40" s="76" t="str">
        <x:v>Mars</x:v>
      </x:c>
      <x:c r="M40" s="79" t="n">
        <x:f>IFERROR(AVERAGEIFS(Data_Qualite_Air!$K$5:$K$104,Data_Qualite_Air!$C$5:$C$104,L40),0)</x:f>
        <x:v>0</x:v>
      </x:c>
    </x:row>
    <x:row r="41">
      <x:c r="A41" s="76" t="str">
        <x:v>Avril</x:v>
      </x:c>
      <x:c r="B41" s="81" t="n">
        <x:f>SUMIFS(Data_Electricite!$F$5:$F$104,Data_Electricite!$C$5:$C$104,A41)</x:f>
        <x:v>0</x:v>
      </x:c>
      <x:c r="L41" s="76" t="str">
        <x:v>Avril</x:v>
      </x:c>
      <x:c r="M41" s="79" t="n">
        <x:f>IFERROR(AVERAGEIFS(Data_Qualite_Air!$K$5:$K$104,Data_Qualite_Air!$C$5:$C$104,L41),0)</x:f>
        <x:v>0</x:v>
      </x:c>
    </x:row>
    <x:row r="42">
      <x:c r="A42" s="76" t="str">
        <x:v>Mai</x:v>
      </x:c>
      <x:c r="B42" s="81" t="n">
        <x:f>SUMIFS(Data_Electricite!$F$5:$F$104,Data_Electricite!$C$5:$C$104,A42)</x:f>
        <x:v>0</x:v>
      </x:c>
      <x:c r="L42" s="76" t="str">
        <x:v>Mai</x:v>
      </x:c>
      <x:c r="M42" s="79" t="n">
        <x:f>IFERROR(AVERAGEIFS(Data_Qualite_Air!$K$5:$K$104,Data_Qualite_Air!$C$5:$C$104,L42),0)</x:f>
        <x:v>0</x:v>
      </x:c>
    </x:row>
    <x:row r="43">
      <x:c r="A43" s="76" t="str">
        <x:v>Juin</x:v>
      </x:c>
      <x:c r="B43" s="81" t="n">
        <x:f>SUMIFS(Data_Electricite!$F$5:$F$104,Data_Electricite!$C$5:$C$104,A43)</x:f>
        <x:v>0</x:v>
      </x:c>
      <x:c r="L43" s="76" t="str">
        <x:v>Juin</x:v>
      </x:c>
      <x:c r="M43" s="79" t="n">
        <x:f>IFERROR(AVERAGEIFS(Data_Qualite_Air!$K$5:$K$104,Data_Qualite_Air!$C$5:$C$104,L43),0)</x:f>
        <x:v>0</x:v>
      </x:c>
    </x:row>
    <x:row r="44">
      <x:c r="A44" s="76" t="str">
        <x:v>Juillet</x:v>
      </x:c>
      <x:c r="B44" s="81" t="n">
        <x:f>SUMIFS(Data_Electricite!$F$5:$F$104,Data_Electricite!$C$5:$C$104,A44)</x:f>
        <x:v>0</x:v>
      </x:c>
      <x:c r="L44" s="76" t="str">
        <x:v>Juillet</x:v>
      </x:c>
      <x:c r="M44" s="79" t="n">
        <x:f>IFERROR(AVERAGEIFS(Data_Qualite_Air!$K$5:$K$104,Data_Qualite_Air!$C$5:$C$104,L44),0)</x:f>
        <x:v>0</x:v>
      </x:c>
    </x:row>
    <x:row r="45">
      <x:c r="A45" s="76" t="str">
        <x:v>Août</x:v>
      </x:c>
      <x:c r="B45" s="81" t="n">
        <x:f>SUMIFS(Data_Electricite!$F$5:$F$104,Data_Electricite!$C$5:$C$104,A45)</x:f>
        <x:v>0</x:v>
      </x:c>
      <x:c r="L45" s="76" t="str">
        <x:v>Août</x:v>
      </x:c>
      <x:c r="M45" s="79" t="n">
        <x:f>IFERROR(AVERAGEIFS(Data_Qualite_Air!$K$5:$K$104,Data_Qualite_Air!$C$5:$C$104,L45),0)</x:f>
        <x:v>0</x:v>
      </x:c>
    </x:row>
    <x:row r="46">
      <x:c r="A46" s="76" t="str">
        <x:v>Septembre</x:v>
      </x:c>
      <x:c r="B46" s="81" t="n">
        <x:f>SUMIFS(Data_Electricite!$F$5:$F$104,Data_Electricite!$C$5:$C$104,A46)</x:f>
        <x:v>0</x:v>
      </x:c>
      <x:c r="L46" s="76" t="str">
        <x:v>Septembre</x:v>
      </x:c>
      <x:c r="M46" s="79" t="n">
        <x:f>IFERROR(AVERAGEIFS(Data_Qualite_Air!$K$5:$K$104,Data_Qualite_Air!$C$5:$C$104,L46),0)</x:f>
        <x:v>0</x:v>
      </x:c>
    </x:row>
    <x:row r="47">
      <x:c r="A47" s="76" t="str">
        <x:v>Octobre</x:v>
      </x:c>
      <x:c r="B47" s="81" t="n">
        <x:f>SUMIFS(Data_Electricite!$F$5:$F$104,Data_Electricite!$C$5:$C$104,A47)</x:f>
        <x:v>0</x:v>
      </x:c>
      <x:c r="L47" s="76" t="str">
        <x:v>Octobre</x:v>
      </x:c>
      <x:c r="M47" s="79" t="n">
        <x:f>IFERROR(AVERAGEIFS(Data_Qualite_Air!$K$5:$K$104,Data_Qualite_Air!$C$5:$C$104,L47),0)</x:f>
        <x:v>0</x:v>
      </x:c>
    </x:row>
    <x:row r="48">
      <x:c r="A48" s="76" t="str">
        <x:v>Novembre</x:v>
      </x:c>
      <x:c r="B48" s="81" t="n">
        <x:f>SUMIFS(Data_Electricite!$F$5:$F$104,Data_Electricite!$C$5:$C$104,A48)</x:f>
        <x:v>0</x:v>
      </x:c>
      <x:c r="L48" s="76" t="str">
        <x:v>Novembre</x:v>
      </x:c>
      <x:c r="M48" s="79" t="n">
        <x:f>IFERROR(AVERAGEIFS(Data_Qualite_Air!$K$5:$K$104,Data_Qualite_Air!$C$5:$C$104,L48),0)</x:f>
        <x:v>0</x:v>
      </x:c>
    </x:row>
    <x:row r="49">
      <x:c r="A49" s="76" t="str">
        <x:v>Décembre</x:v>
      </x:c>
      <x:c r="B49" s="81" t="n">
        <x:f>SUMIFS(Data_Electricite!$F$5:$F$104,Data_Electricite!$C$5:$C$104,A49)</x:f>
        <x:v>0</x:v>
      </x:c>
      <x:c r="L49" s="76" t="str">
        <x:v>Décembre</x:v>
      </x:c>
      <x:c r="M49" s="79" t="n">
        <x:f>IFERROR(AVERAGEIFS(Data_Qualite_Air!$K$5:$K$104,Data_Qualite_Air!$C$5:$C$104,L49),0)</x:f>
        <x:v>0</x:v>
      </x:c>
    </x:row>
    <x:row r="52">
      <x:c r="A52" s="89" t="str">
        <x:v>Émissions GES annuelles</x:v>
      </x:c>
      <x:c r="B52" s="89"/>
      <x:c r="L52" s="89" t="str">
        <x:v>Recul du trait de côte</x:v>
      </x:c>
      <x:c r="M52" s="89"/>
    </x:row>
    <x:row r="53">
      <x:c r="A53" s="74" t="str">
        <x:v>Période</x:v>
      </x:c>
      <x:c r="B53" s="74" t="str">
        <x:v>tCO2e</x:v>
      </x:c>
      <x:c r="L53" s="74" t="str">
        <x:v>Période</x:v>
      </x:c>
      <x:c r="M53" s="74" t="str">
        <x:v>m</x:v>
      </x:c>
    </x:row>
    <x:row r="54">
      <x:c r="A54" s="76" t="str">
        <x:v>2024</x:v>
      </x:c>
      <x:c r="B54" s="81" t="n">
        <x:f>SUMIFS(Data_Emissions_GES!$H$5:$H$104,Data_Emissions_GES!$B$5:$B$104,A54)</x:f>
        <x:v>0</x:v>
      </x:c>
      <x:c r="L54" s="76" t="str">
        <x:v>Janvier</x:v>
      </x:c>
      <x:c r="M54" s="79" t="n">
        <x:f>IFERROR(AVERAGEIFS(Data_Erosion_Cotiere!$E$5:$E$104,Data_Erosion_Cotiere!$C$5:$C$104,L54),0)</x:f>
        <x:v>0</x:v>
      </x:c>
    </x:row>
    <x:row r="55">
      <x:c r="A55" s="76" t="str">
        <x:v>2025</x:v>
      </x:c>
      <x:c r="B55" s="81" t="n">
        <x:f>SUMIFS(Data_Emissions_GES!$H$5:$H$104,Data_Emissions_GES!$B$5:$B$104,A55)</x:f>
        <x:v>0</x:v>
      </x:c>
      <x:c r="L55" s="76" t="str">
        <x:v>Février</x:v>
      </x:c>
      <x:c r="M55" s="79" t="n">
        <x:f>IFERROR(AVERAGEIFS(Data_Erosion_Cotiere!$E$5:$E$104,Data_Erosion_Cotiere!$C$5:$C$104,L55),0)</x:f>
        <x:v>0</x:v>
      </x:c>
    </x:row>
    <x:row r="56">
      <x:c r="A56" s="76" t="str">
        <x:v>2026</x:v>
      </x:c>
      <x:c r="B56" s="81" t="n">
        <x:f>SUMIFS(Data_Emissions_GES!$H$5:$H$104,Data_Emissions_GES!$B$5:$B$104,A56)</x:f>
        <x:v>0</x:v>
      </x:c>
      <x:c r="L56" s="76" t="str">
        <x:v>Mars</x:v>
      </x:c>
      <x:c r="M56" s="79" t="n">
        <x:f>IFERROR(AVERAGEIFS(Data_Erosion_Cotiere!$E$5:$E$104,Data_Erosion_Cotiere!$C$5:$C$104,L56),0)</x:f>
        <x:v>0</x:v>
      </x:c>
    </x:row>
    <x:row r="57">
      <x:c r="A57" s="76" t="str">
        <x:v>2027</x:v>
      </x:c>
      <x:c r="B57" s="81" t="n">
        <x:f>SUMIFS(Data_Emissions_GES!$H$5:$H$104,Data_Emissions_GES!$B$5:$B$104,A57)</x:f>
        <x:v>0</x:v>
      </x:c>
      <x:c r="L57" s="76" t="str">
        <x:v>Avril</x:v>
      </x:c>
      <x:c r="M57" s="79" t="n">
        <x:f>IFERROR(AVERAGEIFS(Data_Erosion_Cotiere!$E$5:$E$104,Data_Erosion_Cotiere!$C$5:$C$104,L57),0)</x:f>
        <x:v>0</x:v>
      </x:c>
    </x:row>
    <x:row r="58">
      <x:c r="A58" s="76" t="str">
        <x:v>2028</x:v>
      </x:c>
      <x:c r="B58" s="81" t="n">
        <x:f>SUMIFS(Data_Emissions_GES!$H$5:$H$104,Data_Emissions_GES!$B$5:$B$104,A58)</x:f>
        <x:v>0</x:v>
      </x:c>
      <x:c r="L58" s="76" t="str">
        <x:v>Mai</x:v>
      </x:c>
      <x:c r="M58" s="79" t="n">
        <x:f>IFERROR(AVERAGEIFS(Data_Erosion_Cotiere!$E$5:$E$104,Data_Erosion_Cotiere!$C$5:$C$104,L58),0)</x:f>
        <x:v>0</x:v>
      </x:c>
    </x:row>
    <x:row r="59">
      <x:c r="A59" s="76" t="str">
        <x:v>2029</x:v>
      </x:c>
      <x:c r="B59" s="81" t="n">
        <x:f>SUMIFS(Data_Emissions_GES!$H$5:$H$104,Data_Emissions_GES!$B$5:$B$104,A59)</x:f>
        <x:v>0</x:v>
      </x:c>
      <x:c r="L59" s="76" t="str">
        <x:v>Juin</x:v>
      </x:c>
      <x:c r="M59" s="79" t="n">
        <x:f>IFERROR(AVERAGEIFS(Data_Erosion_Cotiere!$E$5:$E$104,Data_Erosion_Cotiere!$C$5:$C$104,L59),0)</x:f>
        <x:v>0</x:v>
      </x:c>
    </x:row>
    <x:row r="60">
      <x:c r="A60" s="76" t="str">
        <x:v>2030</x:v>
      </x:c>
      <x:c r="B60" s="81" t="n">
        <x:f>SUMIFS(Data_Emissions_GES!$H$5:$H$104,Data_Emissions_GES!$B$5:$B$104,A60)</x:f>
        <x:v>0</x:v>
      </x:c>
      <x:c r="L60" s="76" t="str">
        <x:v>Juillet</x:v>
      </x:c>
      <x:c r="M60" s="79" t="n">
        <x:f>IFERROR(AVERAGEIFS(Data_Erosion_Cotiere!$E$5:$E$104,Data_Erosion_Cotiere!$C$5:$C$104,L60),0)</x:f>
        <x:v>0</x:v>
      </x:c>
    </x:row>
    <x:row r="61">
      <x:c r="L61" s="76" t="str">
        <x:v>Août</x:v>
      </x:c>
      <x:c r="M61" s="79" t="n">
        <x:f>IFERROR(AVERAGEIFS(Data_Erosion_Cotiere!$E$5:$E$104,Data_Erosion_Cotiere!$C$5:$C$104,L61),0)</x:f>
        <x:v>0</x:v>
      </x:c>
    </x:row>
    <x:row r="62">
      <x:c r="L62" s="76" t="str">
        <x:v>Septembre</x:v>
      </x:c>
      <x:c r="M62" s="79" t="n">
        <x:f>IFERROR(AVERAGEIFS(Data_Erosion_Cotiere!$E$5:$E$104,Data_Erosion_Cotiere!$C$5:$C$104,L62),0)</x:f>
        <x:v>0</x:v>
      </x:c>
    </x:row>
    <x:row r="63">
      <x:c r="L63" s="76" t="str">
        <x:v>Octobre</x:v>
      </x:c>
      <x:c r="M63" s="79" t="n">
        <x:f>IFERROR(AVERAGEIFS(Data_Erosion_Cotiere!$E$5:$E$104,Data_Erosion_Cotiere!$C$5:$C$104,L63),0)</x:f>
        <x:v>0</x:v>
      </x:c>
    </x:row>
    <x:row r="64">
      <x:c r="L64" s="76" t="str">
        <x:v>Novembre</x:v>
      </x:c>
      <x:c r="M64" s="79" t="n">
        <x:f>IFERROR(AVERAGEIFS(Data_Erosion_Cotiere!$E$5:$E$104,Data_Erosion_Cotiere!$C$5:$C$104,L64),0)</x:f>
        <x:v>0</x:v>
      </x:c>
    </x:row>
    <x:row r="65">
      <x:c r="L65" s="76" t="str">
        <x:v>Décembre</x:v>
      </x:c>
      <x:c r="M65" s="79" t="n">
        <x:f>IFERROR(AVERAGEIFS(Data_Erosion_Cotiere!$E$5:$E$104,Data_Erosion_Cotiere!$C$5:$C$104,L65),0)</x:f>
        <x:v>0</x:v>
      </x:c>
    </x:row>
    <x:row r="68">
      <x:c r="A68" s="89" t="str">
        <x:v>Budget climat mobilisé</x:v>
      </x:c>
      <x:c r="B68" s="89"/>
      <x:c r="L68" s="89" t="str">
        <x:v>Avancement projets climat</x:v>
      </x:c>
      <x:c r="M68" s="89"/>
    </x:row>
    <x:row r="69">
      <x:c r="A69" s="74" t="str">
        <x:v>Période</x:v>
      </x:c>
      <x:c r="B69" s="74" t="str">
        <x:v>FCFA approuvés</x:v>
      </x:c>
      <x:c r="L69" s="74" t="str">
        <x:v>Période</x:v>
      </x:c>
      <x:c r="M69" s="74" t="str">
        <x:v>Avancement</x:v>
      </x:c>
    </x:row>
    <x:row r="70">
      <x:c r="A70" s="76" t="str">
        <x:v>Janvier</x:v>
      </x:c>
      <x:c r="B70" s="81" t="n">
        <x:f>SUMIFS(Data_Finance_Climat!$H$5:$H$104,Data_Finance_Climat!$C$5:$C$104,A70)</x:f>
        <x:v>0</x:v>
      </x:c>
      <x:c r="L70" s="76" t="str">
        <x:v>Projet 1</x:v>
      </x:c>
      <x:c r="M70" s="84" t="str">
        <x:f>IFERROR(INDEX(Data_Projets_Climat!$L$5:$L$104,ROW()-67),0)</x:f>
      </x:c>
    </x:row>
    <x:row r="71">
      <x:c r="A71" s="76" t="str">
        <x:v>Février</x:v>
      </x:c>
      <x:c r="B71" s="81" t="n">
        <x:f>SUMIFS(Data_Finance_Climat!$H$5:$H$104,Data_Finance_Climat!$C$5:$C$104,A71)</x:f>
        <x:v>0</x:v>
      </x:c>
      <x:c r="L71" s="76" t="str">
        <x:v>Projet 2</x:v>
      </x:c>
      <x:c r="M71" s="84" t="str">
        <x:f>IFERROR(INDEX(Data_Projets_Climat!$L$5:$L$104,ROW()-67),0)</x:f>
      </x:c>
    </x:row>
    <x:row r="72">
      <x:c r="A72" s="76" t="str">
        <x:v>Mars</x:v>
      </x:c>
      <x:c r="B72" s="81" t="n">
        <x:f>SUMIFS(Data_Finance_Climat!$H$5:$H$104,Data_Finance_Climat!$C$5:$C$104,A72)</x:f>
        <x:v>0</x:v>
      </x:c>
      <x:c r="L72" s="76" t="str">
        <x:v>Projet 3</x:v>
      </x:c>
      <x:c r="M72" s="84" t="str">
        <x:f>IFERROR(INDEX(Data_Projets_Climat!$L$5:$L$104,ROW()-67),0)</x:f>
      </x:c>
    </x:row>
    <x:row r="73">
      <x:c r="A73" s="76" t="str">
        <x:v>Avril</x:v>
      </x:c>
      <x:c r="B73" s="81" t="n">
        <x:f>SUMIFS(Data_Finance_Climat!$H$5:$H$104,Data_Finance_Climat!$C$5:$C$104,A73)</x:f>
        <x:v>0</x:v>
      </x:c>
      <x:c r="L73" s="76" t="str">
        <x:v>Projet 4</x:v>
      </x:c>
      <x:c r="M73" s="84" t="str">
        <x:f>IFERROR(INDEX(Data_Projets_Climat!$L$5:$L$104,ROW()-67),0)</x:f>
      </x:c>
    </x:row>
    <x:row r="74">
      <x:c r="A74" s="76" t="str">
        <x:v>Mai</x:v>
      </x:c>
      <x:c r="B74" s="81" t="n">
        <x:f>SUMIFS(Data_Finance_Climat!$H$5:$H$104,Data_Finance_Climat!$C$5:$C$104,A74)</x:f>
        <x:v>0</x:v>
      </x:c>
      <x:c r="L74" s="76" t="str">
        <x:v>Projet 5</x:v>
      </x:c>
      <x:c r="M74" s="84" t="str">
        <x:f>IFERROR(INDEX(Data_Projets_Climat!$L$5:$L$104,ROW()-67),0)</x:f>
      </x:c>
    </x:row>
    <x:row r="75">
      <x:c r="A75" s="76" t="str">
        <x:v>Juin</x:v>
      </x:c>
      <x:c r="B75" s="81" t="n">
        <x:f>SUMIFS(Data_Finance_Climat!$H$5:$H$104,Data_Finance_Climat!$C$5:$C$104,A75)</x:f>
        <x:v>0</x:v>
      </x:c>
    </x:row>
    <x:row r="76">
      <x:c r="A76" s="76" t="str">
        <x:v>Juillet</x:v>
      </x:c>
      <x:c r="B76" s="81" t="n">
        <x:f>SUMIFS(Data_Finance_Climat!$H$5:$H$104,Data_Finance_Climat!$C$5:$C$104,A76)</x:f>
        <x:v>0</x:v>
      </x:c>
    </x:row>
    <x:row r="77">
      <x:c r="A77" s="76" t="str">
        <x:v>Août</x:v>
      </x:c>
      <x:c r="B77" s="81" t="n">
        <x:f>SUMIFS(Data_Finance_Climat!$H$5:$H$104,Data_Finance_Climat!$C$5:$C$104,A77)</x:f>
        <x:v>0</x:v>
      </x:c>
    </x:row>
    <x:row r="78">
      <x:c r="A78" s="76" t="str">
        <x:v>Septembre</x:v>
      </x:c>
      <x:c r="B78" s="81" t="n">
        <x:f>SUMIFS(Data_Finance_Climat!$H$5:$H$104,Data_Finance_Climat!$C$5:$C$104,A78)</x:f>
        <x:v>0</x:v>
      </x:c>
    </x:row>
    <x:row r="79">
      <x:c r="A79" s="76" t="str">
        <x:v>Octobre</x:v>
      </x:c>
      <x:c r="B79" s="81" t="n">
        <x:f>SUMIFS(Data_Finance_Climat!$H$5:$H$104,Data_Finance_Climat!$C$5:$C$104,A79)</x:f>
        <x:v>0</x:v>
      </x:c>
    </x:row>
    <x:row r="80">
      <x:c r="A80" s="76" t="str">
        <x:v>Novembre</x:v>
      </x:c>
      <x:c r="B80" s="81" t="n">
        <x:f>SUMIFS(Data_Finance_Climat!$H$5:$H$104,Data_Finance_Climat!$C$5:$C$104,A80)</x:f>
        <x:v>0</x:v>
      </x:c>
    </x:row>
    <x:row r="81">
      <x:c r="A81" s="76" t="str">
        <x:v>Décembre</x:v>
      </x:c>
      <x:c r="B81" s="81" t="n">
        <x:f>SUMIFS(Data_Finance_Climat!$H$5:$H$104,Data_Finance_Climat!$C$5:$C$104,A81)</x:f>
        <x:v>0</x:v>
      </x:c>
    </x:row>
  </x:sheetData>
  <x:mergeCells>
    <x:mergeCell ref="A1:V1"/>
    <x:mergeCell ref="A2:V2"/>
    <x:mergeCell ref="A4:B4"/>
    <x:mergeCell ref="A20:B20"/>
    <x:mergeCell ref="A36:B36"/>
    <x:mergeCell ref="A52:B52"/>
    <x:mergeCell ref="L4:M4"/>
    <x:mergeCell ref="L20:M20"/>
    <x:mergeCell ref="L36:M36"/>
    <x:mergeCell ref="L52:M52"/>
    <x:mergeCell ref="A68:B68"/>
    <x:mergeCell ref="L68:M68"/>
  </x:mergeCells>
  <x:pageMargins left="0.7" right="0.7" top="0.75" bottom="0.75" header="0.3" footer="0.3"/>
  <x:drawing xmlns:r="http://schemas.openxmlformats.org/officeDocument/2006/relationships" r:id="Rcd10957a2379466a"/>
</x:worksheet>
</file>