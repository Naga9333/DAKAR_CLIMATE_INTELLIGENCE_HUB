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720efa4c33f4581" /></Relationships>
</file>

<file path=xl/workbook.xml><?xml version="1.0" encoding="utf-8"?>
<x:workbook xmlns:x="http://schemas.openxmlformats.org/spreadsheetml/2006/main">
  <x:sheets>
    <x:sheet xmlns:r="http://schemas.openxmlformats.org/officeDocument/2006/relationships" name="00_ACCUEIL" sheetId="1" r:id="R5abab16ce2544726"/>
    <x:sheet xmlns:r="http://schemas.openxmlformats.org/officeDocument/2006/relationships" name="01_PARAMETRES" sheetId="2" r:id="Rec206615817c4784"/>
    <x:sheet xmlns:r="http://schemas.openxmlformats.org/officeDocument/2006/relationships" name="02_REFERENTIELS" sheetId="3" r:id="Rd4be641ff96c4ce6"/>
    <x:sheet xmlns:r="http://schemas.openxmlformats.org/officeDocument/2006/relationships" name="03_SOURCES_DONNEES" sheetId="4" r:id="Rd4ff7a786b1a4b1c"/>
    <x:sheet xmlns:r="http://schemas.openxmlformats.org/officeDocument/2006/relationships" name="04_TABLEAU_BORD" sheetId="5" r:id="Re8bc17417e88427e"/>
    <x:sheet xmlns:r="http://schemas.openxmlformats.org/officeDocument/2006/relationships" name="05_PROJETS_CLIMAT" sheetId="6" r:id="R7b4401f706c54617"/>
    <x:sheet xmlns:r="http://schemas.openxmlformats.org/officeDocument/2006/relationships" name="06_INDICATEURS_MRV" sheetId="7" r:id="R9b68fa41bbc14b87"/>
    <x:sheet xmlns:r="http://schemas.openxmlformats.org/officeDocument/2006/relationships" name="07_ACTIONS_CLIMAT" sheetId="8" r:id="R1783f43063274048"/>
    <x:sheet xmlns:r="http://schemas.openxmlformats.org/officeDocument/2006/relationships" name="08_INVENTAIRE_GES" sheetId="9" r:id="R1d9249913d3748b7"/>
    <x:sheet xmlns:r="http://schemas.openxmlformats.org/officeDocument/2006/relationships" name="09_DONNEES_GES_ACTIVITE" sheetId="10" r:id="R28d20f92e1694a1f"/>
    <x:sheet xmlns:r="http://schemas.openxmlformats.org/officeDocument/2006/relationships" name="10_FACTEURS_EMISSION" sheetId="11" r:id="Rca002c82253b4f55"/>
    <x:sheet xmlns:r="http://schemas.openxmlformats.org/officeDocument/2006/relationships" name="11_QUALITE_AIR" sheetId="12" r:id="R42602e4cd01746f2"/>
    <x:sheet xmlns:r="http://schemas.openxmlformats.org/officeDocument/2006/relationships" name="12_MOBILITE" sheetId="13" r:id="R5c808ea929c54d74"/>
    <x:sheet xmlns:r="http://schemas.openxmlformats.org/officeDocument/2006/relationships" name="13_ENERGIE" sheetId="14" r:id="Rade25423be4c4c25"/>
    <x:sheet xmlns:r="http://schemas.openxmlformats.org/officeDocument/2006/relationships" name="14_DECHETS" sheetId="15" r:id="R100593982e5d4128"/>
    <x:sheet xmlns:r="http://schemas.openxmlformats.org/officeDocument/2006/relationships" name="15_PARTIES_PRENANTES" sheetId="16" r:id="R13ab413d77f64448"/>
    <x:sheet xmlns:r="http://schemas.openxmlformats.org/officeDocument/2006/relationships" name="16_BUDGETS" sheetId="17" r:id="Rcd7c3632c39b41a2"/>
    <x:sheet xmlns:r="http://schemas.openxmlformats.org/officeDocument/2006/relationships" name="17_FINANCEMENTS" sheetId="18" r:id="Rf3ace94055324044"/>
    <x:sheet xmlns:r="http://schemas.openxmlformats.org/officeDocument/2006/relationships" name="18_RISQUES_HYPOTHESES" sheetId="19" r:id="Ra337e6b7dca94741"/>
    <x:sheet xmlns:r="http://schemas.openxmlformats.org/officeDocument/2006/relationships" name="19_QA_QC" sheetId="20" r:id="R0962b2d00fab40e1"/>
    <x:sheet xmlns:r="http://schemas.openxmlformats.org/officeDocument/2006/relationships" name="20_MAPPING_REPORTING" sheetId="21" r:id="Rc7040e73b1884e11"/>
    <x:sheet xmlns:r="http://schemas.openxmlformats.org/officeDocument/2006/relationships" name="21_RAPPORT_CDP_ICLEI" sheetId="22" r:id="R8af9f988eab84579"/>
    <x:sheet xmlns:r="http://schemas.openxmlformats.org/officeDocument/2006/relationships" name="22_RAPPORT_C40" sheetId="23" r:id="R65b0759d3d264aa2"/>
    <x:sheet xmlns:r="http://schemas.openxmlformats.org/officeDocument/2006/relationships" name="23_RAPPORT_COMSSA" sheetId="24" r:id="Rd76266bf112e4d64"/>
    <x:sheet xmlns:r="http://schemas.openxmlformats.org/officeDocument/2006/relationships" name="24_RAPPORT_CDN" sheetId="25" r:id="Rd8dc34986b4d452e"/>
    <x:sheet xmlns:r="http://schemas.openxmlformats.org/officeDocument/2006/relationships" name="25_JOURNAL_MODIFS" sheetId="26" r:id="R4d8f61d95be54c0c"/>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yyyy-mm-dd"/>
    <x:numFmt numFmtId="201" formatCode="0%"/>
    <x:numFmt numFmtId="202" formatCode="#,##0 [$XOF]"/>
    <x:numFmt numFmtId="203" formatCode="#,##0"/>
    <x:numFmt numFmtId="204" formatCode="0.00"/>
    <x:numFmt numFmtId="205" formatCode="#,##0.00"/>
    <x:numFmt numFmtId="206" formatCode="0.000000"/>
    <x:numFmt numFmtId="207" formatCode="0.000"/>
    <x:numFmt numFmtId="208" formatCode="0.0"/>
    <x:numFmt numFmtId="209" formatCode="#,##0.0"/>
  </x:numFmts>
  <x:fonts count="8">
    <x:font>
      <x:sz val="11"/>
      <x:name val="Carlito"/>
    </x:font>
    <x:font>
      <x:b/>
      <x:sz val="15"/>
      <x:color rgb="FFFFFFFF"/>
      <x:name val="Carlito"/>
    </x:font>
    <x:font>
      <x:i/>
      <x:sz val="11"/>
      <x:color rgb="FF334155"/>
      <x:name val="Carlito"/>
    </x:font>
    <x:font>
      <x:b/>
      <x:sz val="11"/>
      <x:color rgb="FFFFFFFF"/>
      <x:name val="Carlito"/>
    </x:font>
    <x:font>
      <x:sz val="11"/>
      <x:color rgb="FF334155"/>
      <x:name val="Carlito"/>
    </x:font>
    <x:font>
      <x:sz val="11"/>
      <x:color rgb="FF111827"/>
      <x:name val="Carlito"/>
    </x:font>
    <x:font>
      <x:b/>
      <x:sz val="11"/>
      <x:color rgb="FF334155"/>
      <x:name val="Carlito"/>
    </x:font>
    <x:font>
      <x:b/>
      <x:sz val="14"/>
      <x:color rgb="FF0B1F33"/>
      <x:name val="Carlito"/>
    </x:font>
  </x:fonts>
  <x:fills count="8">
    <x:fill>
      <x:patternFill patternType="none"/>
    </x:fill>
    <x:fill>
      <x:patternFill patternType="gray125"/>
    </x:fill>
    <x:fill>
      <x:patternFill patternType="solid">
        <x:fgColor rgb="FF0B1F33"/>
      </x:patternFill>
    </x:fill>
    <x:fill>
      <x:patternFill patternType="solid">
        <x:fgColor rgb="FFE6F4F1"/>
      </x:patternFill>
    </x:fill>
    <x:fill>
      <x:patternFill patternType="solid">
        <x:fgColor rgb="FF0F766E"/>
      </x:patternFill>
    </x:fill>
    <x:fill>
      <x:patternFill patternType="solid">
        <x:fgColor rgb="FFFFFFFF"/>
      </x:patternFill>
    </x:fill>
    <x:fill>
      <x:patternFill patternType="solid">
        <x:fgColor rgb="FFFFF7E6"/>
      </x:patternFill>
    </x:fill>
    <x:fill>
      <x:patternFill patternType="solid">
        <x:fgColor rgb="FFEAF2FF"/>
      </x:patternFill>
    </x:fill>
  </x:fills>
  <x:borders count="1">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3" fillId="2" borderId="0" xfId="0" applyNumberFormat="1" applyFont="1" applyFill="1" applyBorder="1"/>
    <x:xf numFmtId="0" fontId="3" fillId="4"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200" fontId="5" fillId="5" borderId="0" xfId="0" applyNumberFormat="1" applyFont="1" applyFill="1" applyBorder="1" applyAlignment="1">
      <x:alignment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3" fontId="5" fillId="5" borderId="0" xfId="0" applyNumberFormat="1" applyFont="1" applyFill="1" applyBorder="1" applyAlignment="1">
      <x:alignment wrapText="1"/>
    </x:xf>
    <x:xf numFmtId="204" fontId="5" fillId="5" borderId="0" xfId="0" applyNumberFormat="1" applyFont="1" applyFill="1" applyBorder="1" applyAlignment="1">
      <x:alignment wrapText="1"/>
    </x:xf>
    <x:xf numFmtId="205" fontId="5" fillId="5" borderId="0" xfId="0" applyNumberFormat="1" applyFont="1" applyFill="1" applyBorder="1" applyAlignment="1">
      <x:alignment wrapText="1"/>
    </x:xf>
    <x:xf numFmtId="206" fontId="5" fillId="5" borderId="0" xfId="0" applyNumberFormat="1" applyFont="1" applyFill="1" applyBorder="1" applyAlignment="1">
      <x:alignment wrapText="1"/>
    </x:xf>
    <x:xf numFmtId="207" fontId="5" fillId="5" borderId="0" xfId="0" applyNumberFormat="1" applyFont="1" applyFill="1" applyBorder="1" applyAlignment="1">
      <x:alignment wrapText="1"/>
    </x:xf>
    <x:xf numFmtId="208" fontId="5" fillId="5" borderId="0" xfId="0" applyNumberFormat="1" applyFont="1" applyFill="1" applyBorder="1" applyAlignment="1">
      <x:alignment wrapText="1"/>
    </x:xf>
    <x:xf numFmtId="209" fontId="5" fillId="5" borderId="0" xfId="0" applyNumberFormat="1" applyFont="1" applyFill="1" applyBorder="1" applyAlignment="1">
      <x:alignment wrapText="1"/>
    </x:xf>
    <x:xf numFmtId="0" fontId="6" fillId="5" borderId="0" xfId="0" applyNumberFormat="1" applyFont="1" applyFill="1" applyBorder="1"/>
    <x:xf numFmtId="0" fontId="7" fillId="5" borderId="0" xfId="0" applyNumberFormat="1" applyFont="1" applyFill="1" applyBorder="1"/>
    <x:xf numFmtId="0" fontId="7" fillId="0" borderId="0" xfId="0" applyNumberFormat="1" applyFont="1" applyFill="1" applyBorder="1"/>
    <x:xf numFmtId="202" fontId="7" fillId="5" borderId="0" xfId="0" applyNumberFormat="1" applyFont="1" applyFill="1" applyBorder="1"/>
    <x:xf numFmtId="203" fontId="7" fillId="5" borderId="0" xfId="0" applyNumberFormat="1" applyFont="1" applyFill="1" applyBorder="1"/>
    <x:xf numFmtId="0" fontId="0" fillId="4" borderId="0" xfId="0" applyNumberFormat="1" applyFont="1" applyFill="1" applyBorder="1" applyAlignment="1">
      <x:alignment wrapText="1"/>
    </x:xf>
    <x:xf numFmtId="203"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0"/>
    </x:xf>
    <x:xf numFmtId="203" fontId="0" fillId="5" borderId="0" xfId="0" applyNumberFormat="1" applyFont="1" applyFill="1" applyBorder="1" applyAlignment="1">
      <x:alignment wrapText="0"/>
    </x:xf>
    <x:xf numFmtId="201" fontId="0" fillId="5" borderId="0" xfId="0" applyNumberFormat="1" applyFont="1" applyFill="1" applyBorder="1" applyAlignment="1">
      <x:alignment wrapText="0"/>
    </x:xf>
    <x:xf numFmtId="202" fontId="0" fillId="5" borderId="0" xfId="0" applyNumberFormat="1" applyFont="1" applyFill="1" applyBorder="1" applyAlignment="1">
      <x:alignment wrapText="0"/>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cellXfs>
  <x:cellStyles count="1">
    <x:cellStyle name="Normal" xfId="0"/>
  </x:cellStyles>
  <x:dxfs count="96">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FF7E6"/>
        </x:patternFill>
      </x:fill>
    </x:dxf>
    <x:dxf>
      <x:font>
        <x:b/>
        <x:color rgb="FF166534"/>
      </x:font>
      <x:fill>
        <x:patternFill patternType="solid">
          <x:bgColor rgb="FFEAF7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9722228699a49fa" /><Relationship Type="http://schemas.openxmlformats.org/officeDocument/2006/relationships/theme" Target="/xl/theme/theme1.xml" Id="R9b50e93e7bed4b9b" /><Relationship Type="http://schemas.openxmlformats.org/officeDocument/2006/relationships/sharedStrings" Target="/xl/sharedStrings.xml" Id="Ra9c903b176dd4d2e" /><Relationship Type="http://schemas.openxmlformats.org/officeDocument/2006/relationships/worksheet" Target="/xl/worksheets/sheet1.xml" Id="R5abab16ce2544726" /><Relationship Type="http://schemas.openxmlformats.org/officeDocument/2006/relationships/worksheet" Target="/xl/worksheets/sheet2.xml" Id="Rec206615817c4784" /><Relationship Type="http://schemas.openxmlformats.org/officeDocument/2006/relationships/worksheet" Target="/xl/worksheets/sheet3.xml" Id="Rd4be641ff96c4ce6" /><Relationship Type="http://schemas.openxmlformats.org/officeDocument/2006/relationships/worksheet" Target="/xl/worksheets/sheet4.xml" Id="Rd4ff7a786b1a4b1c" /><Relationship Type="http://schemas.openxmlformats.org/officeDocument/2006/relationships/worksheet" Target="/xl/worksheets/sheet5.xml" Id="Re8bc17417e88427e" /><Relationship Type="http://schemas.openxmlformats.org/officeDocument/2006/relationships/worksheet" Target="/xl/worksheets/sheet6.xml" Id="R7b4401f706c54617" /><Relationship Type="http://schemas.openxmlformats.org/officeDocument/2006/relationships/worksheet" Target="/xl/worksheets/sheet7.xml" Id="R9b68fa41bbc14b87" /><Relationship Type="http://schemas.openxmlformats.org/officeDocument/2006/relationships/worksheet" Target="/xl/worksheets/sheet8.xml" Id="R1783f43063274048" /><Relationship Type="http://schemas.openxmlformats.org/officeDocument/2006/relationships/worksheet" Target="/xl/worksheets/sheet9.xml" Id="R1d9249913d3748b7" /><Relationship Type="http://schemas.openxmlformats.org/officeDocument/2006/relationships/worksheet" Target="/xl/worksheets/sheet10.xml" Id="R28d20f92e1694a1f" /><Relationship Type="http://schemas.openxmlformats.org/officeDocument/2006/relationships/worksheet" Target="/xl/worksheets/sheet11.xml" Id="Rca002c82253b4f55" /><Relationship Type="http://schemas.openxmlformats.org/officeDocument/2006/relationships/worksheet" Target="/xl/worksheets/sheet12.xml" Id="R42602e4cd01746f2" /><Relationship Type="http://schemas.openxmlformats.org/officeDocument/2006/relationships/worksheet" Target="/xl/worksheets/sheet13.xml" Id="R5c808ea929c54d74" /><Relationship Type="http://schemas.openxmlformats.org/officeDocument/2006/relationships/worksheet" Target="/xl/worksheets/sheet14.xml" Id="Rade25423be4c4c25" /><Relationship Type="http://schemas.openxmlformats.org/officeDocument/2006/relationships/worksheet" Target="/xl/worksheets/sheet15.xml" Id="R100593982e5d4128" /><Relationship Type="http://schemas.openxmlformats.org/officeDocument/2006/relationships/worksheet" Target="/xl/worksheets/sheet16.xml" Id="R13ab413d77f64448" /><Relationship Type="http://schemas.openxmlformats.org/officeDocument/2006/relationships/worksheet" Target="/xl/worksheets/sheet17.xml" Id="Rcd7c3632c39b41a2" /><Relationship Type="http://schemas.openxmlformats.org/officeDocument/2006/relationships/worksheet" Target="/xl/worksheets/sheet18.xml" Id="Rf3ace94055324044" /><Relationship Type="http://schemas.openxmlformats.org/officeDocument/2006/relationships/worksheet" Target="/xl/worksheets/sheet19.xml" Id="Ra337e6b7dca94741" /><Relationship Type="http://schemas.openxmlformats.org/officeDocument/2006/relationships/worksheet" Target="/xl/worksheets/sheet20.xml" Id="R0962b2d00fab40e1" /><Relationship Type="http://schemas.openxmlformats.org/officeDocument/2006/relationships/worksheet" Target="/xl/worksheets/sheet21.xml" Id="Rc7040e73b1884e11" /><Relationship Type="http://schemas.openxmlformats.org/officeDocument/2006/relationships/worksheet" Target="/xl/worksheets/sheet22.xml" Id="R8af9f988eab84579" /><Relationship Type="http://schemas.openxmlformats.org/officeDocument/2006/relationships/worksheet" Target="/xl/worksheets/sheet23.xml" Id="R65b0759d3d264aa2" /><Relationship Type="http://schemas.openxmlformats.org/officeDocument/2006/relationships/worksheet" Target="/xl/worksheets/sheet24.xml" Id="Rd76266bf112e4d64" /><Relationship Type="http://schemas.openxmlformats.org/officeDocument/2006/relationships/worksheet" Target="/xl/worksheets/sheet25.xml" Id="Rd8dc34986b4d452e" /><Relationship Type="http://schemas.openxmlformats.org/officeDocument/2006/relationships/worksheet" Target="/xl/worksheets/sheet26.xml" Id="R4d8f61d95be54c0c" /><Relationship Type="http://schemas.microsoft.com/office/2017/10/relationships/person" Target="/xl/persons/person.xml" Id="Rb1ae1c1b296e4d76" /></Relationships>
</file>

<file path=xl/persons/person.xml><?xml version="1.0" encoding="utf-8"?>
<xltc:personList xmlns:xltc="http://schemas.microsoft.com/office/spreadsheetml/2018/threadedcomments">
  <xltc:person displayName="ChatGPT" id="{923386CD-EBD1-414F-9240-3CF8F51DB654}"/>
</xltc:personList>
</file>

<file path=xl/tables/table1.xml><?xml version="1.0" encoding="utf-8"?>
<x:table xmlns:x="http://schemas.openxmlformats.org/spreadsheetml/2006/main" id="1" name="tblParametres" displayName="tblParametres" ref="A4:N15" headerRowCount="1">
  <x:tableColumns count="14">
    <x:tableColumn id="1" name="Secteurs"/>
    <x:tableColumn id="2" name="Axes climat"/>
    <x:tableColumn id="3" name="Statuts"/>
    <x:tableColumn id="4" name="Niveaux maturite"/>
    <x:tableColumn id="5" name="Priorites"/>
    <x:tableColumn id="6" name="Qualite donnees"/>
    <x:tableColumn id="7" name="Frequences"/>
    <x:tableColumn id="8" name="Cadres reporting"/>
    <x:tableColumn id="9" name="Scopes GES"/>
    <x:tableColumn id="10" name="Gaz"/>
    <x:tableColumn id="11" name="Oui/Non"/>
    <x:tableColumn id="12" name="Statut reporting"/>
    <x:tableColumn id="13" name="Quartiers/Zones"/>
    <x:tableColumn id="14" name="Services municipaux"/>
  </x:tableColumns>
  <x:tableStyleInfo name="TableStyleMedium2" showRowStripes="1"/>
</x:table>
</file>

<file path=xl/tables/table2.xml><?xml version="1.0" encoding="utf-8"?>
<x:table xmlns:x="http://schemas.openxmlformats.org/spreadsheetml/2006/main" id="2" name="tblReferentiels" displayName="tblReferentiels" ref="A4:I44" headerRowCount="1">
  <x:autoFilter ref="A4:I44"/>
  <x:tableColumns count="9">
    <x:tableColumn id="1" name="Ref_ID"/>
    <x:tableColumn id="2" name="Type_referentiel"/>
    <x:tableColumn id="3" name="Code"/>
    <x:tableColumn id="4" name="Libelle"/>
    <x:tableColumn id="5" name="Description"/>
    <x:tableColumn id="6" name="Actif"/>
    <x:tableColumn id="7" name="Source"/>
    <x:tableColumn id="8" name="Derniere_revision"/>
    <x:tableColumn id="9" name="Commentaires"/>
  </x:tableColumns>
  <x:tableStyleInfo name="TableStyleMedium2" showRowStripes="1"/>
</x:table>
</file>

<file path=xl/tables/table3.xml><?xml version="1.0" encoding="utf-8"?>
<x:table xmlns:x="http://schemas.openxmlformats.org/spreadsheetml/2006/main" id="3" name="tblSourcesDonnees" displayName="tblSourcesDonnees" ref="A4:N44" headerRowCount="1">
  <x:autoFilter ref="A4:N44"/>
  <x:tableColumns count="14">
    <x:tableColumn id="1" name="Source_ID"/>
    <x:tableColumn id="2" name="Nom_source"/>
    <x:tableColumn id="3" name="Domaine"/>
    <x:tableColumn id="4" name="Proprietaire"/>
    <x:tableColumn id="5" name="Contact"/>
    <x:tableColumn id="6" name="Frequence"/>
    <x:tableColumn id="7" name="Format"/>
    <x:tableColumn id="8" name="Localisation_fichier"/>
    <x:tableColumn id="9" name="Niveau_qualite"/>
    <x:tableColumn id="10" name="Derniere_MAJ"/>
    <x:tableColumn id="11" name="Prochaine_MAJ"/>
    <x:tableColumn id="12" name="Statut_source"/>
    <x:tableColumn id="13" name="Commentaires"/>
    <x:tableColumn id="14" name="Alerte_MAJ"/>
  </x:tableColumns>
  <x:tableStyleInfo name="TableStyleMedium2" showRowStripes="1"/>
</x:table>
</file>

<file path=xl/tables/table4.xml><?xml version="1.0" encoding="utf-8"?>
<x:table xmlns:x="http://schemas.openxmlformats.org/spreadsheetml/2006/main" id="4" name="tblProjetsClimat" displayName="tblProjetsClimat" ref="A4:AH64" headerRowCount="1">
  <x:autoFilter ref="A4:AH64"/>
  <x:tableColumns count="34">
    <x:tableColumn id="1" name="Project_ID"/>
    <x:tableColumn id="2" name="Nom_projet"/>
    <x:tableColumn id="3" name="Axe_climat"/>
    <x:tableColumn id="4" name="Secteur"/>
    <x:tableColumn id="5" name="Sous_secteur"/>
    <x:tableColumn id="6" name="Type_action"/>
    <x:tableColumn id="7" name="Quartier_zone"/>
    <x:tableColumn id="8" name="Service_responsable"/>
    <x:tableColumn id="9" name="Partenaire_principal"/>
    <x:tableColumn id="10" name="Statut"/>
    <x:tableColumn id="11" name="Niveau_maturite"/>
    <x:tableColumn id="12" name="Priorite"/>
    <x:tableColumn id="13" name="Date_debut"/>
    <x:tableColumn id="14" name="Date_fin_prevue"/>
    <x:tableColumn id="15" name="Avancement_pct"/>
    <x:tableColumn id="16" name="Budget_total_XOF"/>
    <x:tableColumn id="17" name="Budget_engage_XOF"/>
    <x:tableColumn id="18" name="Budget_execute_XOF"/>
    <x:tableColumn id="19" name="Financement_securise_XOF"/>
    <x:tableColumn id="20" name="Besoin_financement_XOF"/>
    <x:tableColumn id="21" name="Emissions_evitees_tCO2e_an"/>
    <x:tableColumn id="22" name="Beneficiaires"/>
    <x:tableColumn id="23" name="Lien_CDN"/>
    <x:tableColumn id="24" name="Lien_CDP"/>
    <x:tableColumn id="25" name="Lien_C40"/>
    <x:tableColumn id="26" name="Lien_ICLEI"/>
    <x:tableColumn id="27" name="Lien_COMSSA"/>
    <x:tableColumn id="28" name="Risque_principal"/>
    <x:tableColumn id="29" name="Prochaine_etape"/>
    <x:tableColumn id="30" name="Date_prochaine_revue"/>
    <x:tableColumn id="31" name="Alerte_retard"/>
    <x:tableColumn id="32" name="Alerte_financement"/>
    <x:tableColumn id="33" name="Alerte_donnees"/>
    <x:tableColumn id="34" name="Commentaires"/>
  </x:tableColumns>
  <x:tableStyleInfo name="TableStyleMedium2" showRowStripes="1"/>
</x:table>
</file>

<file path=xl/tables/table5.xml><?xml version="1.0" encoding="utf-8"?>
<x:table xmlns:x="http://schemas.openxmlformats.org/spreadsheetml/2006/main" id="5" name="tblIndicateursMRV" displayName="tblIndicateursMRV" ref="A4:T44" headerRowCount="1">
  <x:autoFilter ref="A4:T44"/>
  <x:tableColumns count="20">
    <x:tableColumn id="1" name="Indicator_ID"/>
    <x:tableColumn id="2" name="Project_ID"/>
    <x:tableColumn id="3" name="Cadre"/>
    <x:tableColumn id="4" name="Pilier"/>
    <x:tableColumn id="5" name="Secteur"/>
    <x:tableColumn id="6" name="Indicateur"/>
    <x:tableColumn id="7" name="Unite"/>
    <x:tableColumn id="8" name="Baseline_annee"/>
    <x:tableColumn id="9" name="Baseline_valeur"/>
    <x:tableColumn id="10" name="Cible_annee"/>
    <x:tableColumn id="11" name="Cible_valeur"/>
    <x:tableColumn id="12" name="Valeur_actuelle"/>
    <x:tableColumn id="13" name="Date_valeur"/>
    <x:tableColumn id="14" name="Frequence"/>
    <x:tableColumn id="15" name="Responsable"/>
    <x:tableColumn id="16" name="Statut_donnees"/>
    <x:tableColumn id="17" name="Progres_pct"/>
    <x:tableColumn id="18" name="Ecart_cible"/>
    <x:tableColumn id="19" name="Alerte_donnees"/>
    <x:tableColumn id="20" name="Commentaires"/>
  </x:tableColumns>
  <x:tableStyleInfo name="TableStyleMedium2" showRowStripes="1"/>
</x:table>
</file>

<file path=xl/tables/table6.xml><?xml version="1.0" encoding="utf-8"?>
<x:table xmlns:x="http://schemas.openxmlformats.org/spreadsheetml/2006/main" id="6" name="tblActionsClimat" displayName="tblActionsClimat" ref="A4:R44" headerRowCount="1">
  <x:autoFilter ref="A4:R44"/>
  <x:tableColumns count="18">
    <x:tableColumn id="1" name="Action_ID"/>
    <x:tableColumn id="2" name="Project_ID"/>
    <x:tableColumn id="3" name="Action"/>
    <x:tableColumn id="4" name="Type_action"/>
    <x:tableColumn id="5" name="Secteur"/>
    <x:tableColumn id="6" name="Responsable"/>
    <x:tableColumn id="7" name="Statut"/>
    <x:tableColumn id="8" name="Maturite"/>
    <x:tableColumn id="9" name="Priorite"/>
    <x:tableColumn id="10" name="Date_debut"/>
    <x:tableColumn id="11" name="Date_echeance"/>
    <x:tableColumn id="12" name="Realisation_pct"/>
    <x:tableColumn id="13" name="Dependance"/>
    <x:tableColumn id="14" name="Co_benefices"/>
    <x:tableColumn id="15" name="Population_cible"/>
    <x:tableColumn id="16" name="Alerte_retard"/>
    <x:tableColumn id="17" name="Alerte_maturite"/>
    <x:tableColumn id="18" name="Commentaires"/>
  </x:tableColumns>
  <x:tableStyleInfo name="TableStyleMedium2" showRowStripes="1"/>
</x:table>
</file>

<file path=xl/tables/table7.xml><?xml version="1.0" encoding="utf-8"?>
<x:table xmlns:x="http://schemas.openxmlformats.org/spreadsheetml/2006/main" id="7" name="tblInventaireGES" displayName="tblInventaireGES" ref="A4:P44" headerRowCount="1">
  <x:autoFilter ref="A4:P44"/>
  <x:tableColumns count="16">
    <x:tableColumn id="1" name="Inventory_ID"/>
    <x:tableColumn id="2" name="Annee"/>
    <x:tableColumn id="3" name="Perimetre"/>
    <x:tableColumn id="4" name="Secteur_GPC"/>
    <x:tableColumn id="5" name="Sous_secteur_GPC"/>
    <x:tableColumn id="6" name="Scope"/>
    <x:tableColumn id="7" name="Gaz"/>
    <x:tableColumn id="8" name="Emissions_tCO2e"/>
    <x:tableColumn id="9" name="Methode"/>
    <x:tableColumn id="10" name="Niveau_qualite"/>
    <x:tableColumn id="11" name="Source_ID"/>
    <x:tableColumn id="12" name="Responsable"/>
    <x:tableColumn id="13" name="Date_validation"/>
    <x:tableColumn id="14" name="Cadre_inventaire"/>
    <x:tableColumn id="15" name="Commentaires"/>
    <x:tableColumn id="16" name="Alerte_donnees"/>
  </x:tableColumns>
  <x:tableStyleInfo name="TableStyleMedium2" showRowStripes="1"/>
</x:table>
</file>

<file path=xl/tables/table8.xml><?xml version="1.0" encoding="utf-8"?>
<x:table xmlns:x="http://schemas.openxmlformats.org/spreadsheetml/2006/main" id="8" name="tblDonneesActiviteGES" displayName="tblDonneesActiviteGES" ref="A4:Q44" headerRowCount="1">
  <x:autoFilter ref="A4:Q44"/>
  <x:tableColumns count="17">
    <x:tableColumn id="1" name="Activity_ID"/>
    <x:tableColumn id="2" name="Annee"/>
    <x:tableColumn id="3" name="Secteur_GPC"/>
    <x:tableColumn id="4" name="Sous_secteur"/>
    <x:tableColumn id="5" name="Activite"/>
    <x:tableColumn id="6" name="Quantite"/>
    <x:tableColumn id="7" name="Unite"/>
    <x:tableColumn id="8" name="Facteur_ID"/>
    <x:tableColumn id="9" name="Facteur_emission"/>
    <x:tableColumn id="10" name="Unite_facteur"/>
    <x:tableColumn id="11" name="PRG_GWP"/>
    <x:tableColumn id="12" name="Emissions_tCO2e"/>
    <x:tableColumn id="13" name="Source_ID"/>
    <x:tableColumn id="14" name="Qualite"/>
    <x:tableColumn id="15" name="Incertitude_pct"/>
    <x:tableColumn id="16" name="Commentaires"/>
    <x:tableColumn id="17" name="Alerte_donnees"/>
  </x:tableColumns>
  <x:tableStyleInfo name="TableStyleMedium2" showRowStripes="1"/>
</x:table>
</file>

<file path=xl/tables/table9.xml><?xml version="1.0" encoding="utf-8"?>
<x:table xmlns:x="http://schemas.openxmlformats.org/spreadsheetml/2006/main" id="9" name="tblFacteursEmission" displayName="tblFacteursEmission" ref="A4:K104" headerRowCount="1">
  <x:autoFilter ref="A4:K104"/>
  <x:tableColumns count="11">
    <x:tableColumn id="1" name="Facteur_ID"/>
    <x:tableColumn id="2" name="Domaine"/>
    <x:tableColumn id="3" name="Secteur_GPC_IPCC"/>
    <x:tableColumn id="4" name="Source_energie_matiere"/>
    <x:tableColumn id="5" name="Gaz"/>
    <x:tableColumn id="6" name="Facteur_emission"/>
    <x:tableColumn id="7" name="Unite_facteur"/>
    <x:tableColumn id="8" name="PRG_GWP"/>
    <x:tableColumn id="9" name="Source_officielle"/>
    <x:tableColumn id="10" name="Annee"/>
    <x:tableColumn id="11" name="Commentaires"/>
  </x:tableColumns>
  <x:tableStyleInfo name="TableStyleMedium2" showRowStripes="1"/>
</x:table>
</file>

<file path=xl/tables/table10.xml><?xml version="1.0" encoding="utf-8"?>
<x:table xmlns:x="http://schemas.openxmlformats.org/spreadsheetml/2006/main" id="10" name="tblQualiteAir" displayName="tblQualiteAir" ref="A4:P44" headerRowCount="1">
  <x:autoFilter ref="A4:P44"/>
  <x:tableColumns count="16">
    <x:tableColumn id="1" name="Air_ID"/>
    <x:tableColumn id="2" name="Station"/>
    <x:tableColumn id="3" name="Quartier"/>
    <x:tableColumn id="4" name="Latitude"/>
    <x:tableColumn id="5" name="Longitude"/>
    <x:tableColumn id="6" name="Date"/>
    <x:tableColumn id="7" name="Heure"/>
    <x:tableColumn id="8" name="Polluant"/>
    <x:tableColumn id="9" name="Concentration"/>
    <x:tableColumn id="10" name="Unite"/>
    <x:tableColumn id="11" name="Seuil_reference"/>
    <x:tableColumn id="12" name="Source_ID"/>
    <x:tableColumn id="13" name="Qualite_donnee"/>
    <x:tableColumn id="14" name="Depassement"/>
    <x:tableColumn id="15" name="Alerte_donnee"/>
    <x:tableColumn id="16" name="Commentaires"/>
  </x:tableColumns>
  <x:tableStyleInfo name="TableStyleMedium2" showRowStripes="1"/>
</x:table>
</file>

<file path=xl/tables/table11.xml><?xml version="1.0" encoding="utf-8"?>
<x:table xmlns:x="http://schemas.openxmlformats.org/spreadsheetml/2006/main" id="11" name="tblMobilite" displayName="tblMobilite" ref="A4:Q44" headerRowCount="1">
  <x:autoFilter ref="A4:Q44"/>
  <x:tableColumns count="17">
    <x:tableColumn id="1" name="Mobilite_ID"/>
    <x:tableColumn id="2" name="Annee"/>
    <x:tableColumn id="3" name="Mode"/>
    <x:tableColumn id="4" name="Segment"/>
    <x:tableColumn id="5" name="Carburant_energie"/>
    <x:tableColumn id="6" name="Vehicules"/>
    <x:tableColumn id="7" name="Distance_km"/>
    <x:tableColumn id="8" name="Passagers"/>
    <x:tableColumn id="9" name="Voyages"/>
    <x:tableColumn id="10" name="Consommation"/>
    <x:tableColumn id="11" name="Unite_conso"/>
    <x:tableColumn id="12" name="Facteur_ID"/>
    <x:tableColumn id="13" name="Emissions_tCO2e"/>
    <x:tableColumn id="14" name="Part_modale_pct"/>
    <x:tableColumn id="15" name="Source_ID"/>
    <x:tableColumn id="16" name="Qualite"/>
    <x:tableColumn id="17" name="Alerte_donnees"/>
  </x:tableColumns>
  <x:tableStyleInfo name="TableStyleMedium2" showRowStripes="1"/>
</x:table>
</file>

<file path=xl/tables/table12.xml><?xml version="1.0" encoding="utf-8"?>
<x:table xmlns:x="http://schemas.openxmlformats.org/spreadsheetml/2006/main" id="12" name="tblEnergie" displayName="tblEnergie" ref="A4:P44" headerRowCount="1">
  <x:autoFilter ref="A4:P44"/>
  <x:tableColumns count="16">
    <x:tableColumn id="1" name="Energie_ID"/>
    <x:tableColumn id="2" name="Annee"/>
    <x:tableColumn id="3" name="Site_zone"/>
    <x:tableColumn id="4" name="Type_patrimoine"/>
    <x:tableColumn id="5" name="Usage"/>
    <x:tableColumn id="6" name="Source_energie"/>
    <x:tableColumn id="7" name="Consommation"/>
    <x:tableColumn id="8" name="Unite"/>
    <x:tableColumn id="9" name="Cout_XOF"/>
    <x:tableColumn id="10" name="Facteur_ID"/>
    <x:tableColumn id="11" name="Emissions_tCO2e"/>
    <x:tableColumn id="12" name="Part_renouvelable_pct"/>
    <x:tableColumn id="13" name="Responsable"/>
    <x:tableColumn id="14" name="Source_ID"/>
    <x:tableColumn id="15" name="Qualite"/>
    <x:tableColumn id="16" name="Alerte_donnees"/>
  </x:tableColumns>
  <x:tableStyleInfo name="TableStyleMedium2" showRowStripes="1"/>
</x:table>
</file>

<file path=xl/tables/table13.xml><?xml version="1.0" encoding="utf-8"?>
<x:table xmlns:x="http://schemas.openxmlformats.org/spreadsheetml/2006/main" id="13" name="tblDechets" displayName="tblDechets" ref="A4:Q44" headerRowCount="1">
  <x:autoFilter ref="A4:Q44"/>
  <x:tableColumns count="17">
    <x:tableColumn id="1" name="Dechet_ID"/>
    <x:tableColumn id="2" name="Annee"/>
    <x:tableColumn id="3" name="Flux"/>
    <x:tableColumn id="4" name="Quartier_zone"/>
    <x:tableColumn id="5" name="Tonnes_generees"/>
    <x:tableColumn id="6" name="Tonnes_collectees"/>
    <x:tableColumn id="7" name="Tonnes_recyclees"/>
    <x:tableColumn id="8" name="Tonnes_compostees"/>
    <x:tableColumn id="9" name="Tonnes_enfouies"/>
    <x:tableColumn id="10" name="Tonnes_brulees"/>
    <x:tableColumn id="11" name="Taux_collecte"/>
    <x:tableColumn id="12" name="Taux_valorisation"/>
    <x:tableColumn id="13" name="Facteur_ID"/>
    <x:tableColumn id="14" name="Emissions_tCO2e"/>
    <x:tableColumn id="15" name="Source_ID"/>
    <x:tableColumn id="16" name="Qualite"/>
    <x:tableColumn id="17" name="Alerte_donnees"/>
  </x:tableColumns>
  <x:tableStyleInfo name="TableStyleMedium2" showRowStripes="1"/>
</x:table>
</file>

<file path=xl/tables/table14.xml><?xml version="1.0" encoding="utf-8"?>
<x:table xmlns:x="http://schemas.openxmlformats.org/spreadsheetml/2006/main" id="14" name="tblPartiesPrenantes" displayName="tblPartiesPrenantes" ref="A4:P44" headerRowCount="1">
  <x:autoFilter ref="A4:P44"/>
  <x:tableColumns count="16">
    <x:tableColumn id="1" name="Stakeholder_ID"/>
    <x:tableColumn id="2" name="Organisation"/>
    <x:tableColumn id="3" name="Type"/>
    <x:tableColumn id="4" name="Contact"/>
    <x:tableColumn id="5" name="Fonction"/>
    <x:tableColumn id="6" name="Email_Tel"/>
    <x:tableColumn id="7" name="Domaine"/>
    <x:tableColumn id="8" name="Role_MRV"/>
    <x:tableColumn id="9" name="Niveau_influence"/>
    <x:tableColumn id="10" name="Niveau_engagement"/>
    <x:tableColumn id="11" name="Projets_lies"/>
    <x:tableColumn id="12" name="Frequence_coordination"/>
    <x:tableColumn id="13" name="Derniere_reunion"/>
    <x:tableColumn id="14" name="Prochaine_action"/>
    <x:tableColumn id="15" name="Commentaires"/>
    <x:tableColumn id="16" name="Alerte_engagement"/>
  </x:tableColumns>
  <x:tableStyleInfo name="TableStyleMedium2" showRowStripes="1"/>
</x:table>
</file>

<file path=xl/tables/table15.xml><?xml version="1.0" encoding="utf-8"?>
<x:table xmlns:x="http://schemas.openxmlformats.org/spreadsheetml/2006/main" id="15" name="tblBudgets" displayName="tblBudgets" ref="A4:N44" headerRowCount="1">
  <x:autoFilter ref="A4:N44"/>
  <x:tableColumns count="14">
    <x:tableColumn id="1" name="Budget_ID"/>
    <x:tableColumn id="2" name="Project_ID"/>
    <x:tableColumn id="3" name="Annee"/>
    <x:tableColumn id="4" name="Ligne_budgetaire"/>
    <x:tableColumn id="5" name="Source_budgetaire"/>
    <x:tableColumn id="6" name="Budget_prevu_XOF"/>
    <x:tableColumn id="7" name="Budget_vote_XOF"/>
    <x:tableColumn id="8" name="Budget_engage_XOF"/>
    <x:tableColumn id="9" name="Budget_execute_XOF"/>
    <x:tableColumn id="10" name="Reste_a_executer_XOF"/>
    <x:tableColumn id="11" name="Taux_execution"/>
    <x:tableColumn id="12" name="Ecart_budget_XOF"/>
    <x:tableColumn id="13" name="Alerte_execution"/>
    <x:tableColumn id="14" name="Commentaires"/>
  </x:tableColumns>
  <x:tableStyleInfo name="TableStyleMedium2" showRowStripes="1"/>
</x:table>
</file>

<file path=xl/tables/table16.xml><?xml version="1.0" encoding="utf-8"?>
<x:table xmlns:x="http://schemas.openxmlformats.org/spreadsheetml/2006/main" id="16" name="tblFinancements" displayName="tblFinancements" ref="A4:O44" headerRowCount="1">
  <x:autoFilter ref="A4:O44"/>
  <x:tableColumns count="15">
    <x:tableColumn id="1" name="Finance_ID"/>
    <x:tableColumn id="2" name="Project_ID"/>
    <x:tableColumn id="3" name="Bailleur"/>
    <x:tableColumn id="4" name="Instrument"/>
    <x:tableColumn id="5" name="Devise"/>
    <x:tableColumn id="6" name="Montant_demande"/>
    <x:tableColumn id="7" name="Montant_approuve"/>
    <x:tableColumn id="8" name="Montant_decaisse"/>
    <x:tableColumn id="9" name="Taux_decaissement"/>
    <x:tableColumn id="10" name="Statut_financement"/>
    <x:tableColumn id="11" name="Date_soumission"/>
    <x:tableColumn id="12" name="Date_decision"/>
    <x:tableColumn id="13" name="Prochaine_echeance"/>
    <x:tableColumn id="14" name="Conditionnalites"/>
    <x:tableColumn id="15" name="Alerte_financement"/>
  </x:tableColumns>
  <x:tableStyleInfo name="TableStyleMedium2" showRowStripes="1"/>
</x:table>
</file>

<file path=xl/tables/table17.xml><?xml version="1.0" encoding="utf-8"?>
<x:table xmlns:x="http://schemas.openxmlformats.org/spreadsheetml/2006/main" id="17" name="tblRisques" displayName="tblRisques" ref="A4:M44" headerRowCount="1">
  <x:autoFilter ref="A4:M44"/>
  <x:tableColumns count="13">
    <x:tableColumn id="1" name="Risque_ID"/>
    <x:tableColumn id="2" name="Project_ID"/>
    <x:tableColumn id="3" name="Domaine"/>
    <x:tableColumn id="4" name="Risque"/>
    <x:tableColumn id="5" name="Probabilite"/>
    <x:tableColumn id="6" name="Impact"/>
    <x:tableColumn id="7" name="Score"/>
    <x:tableColumn id="8" name="Niveau_criticite"/>
    <x:tableColumn id="9" name="Mesure_mitigation"/>
    <x:tableColumn id="10" name="Responsable"/>
    <x:tableColumn id="11" name="Echeance"/>
    <x:tableColumn id="12" name="Statut"/>
    <x:tableColumn id="13" name="Alerte"/>
  </x:tableColumns>
  <x:tableStyleInfo name="TableStyleMedium2" showRowStripes="1"/>
</x:table>
</file>

<file path=xl/tables/table18.xml><?xml version="1.0" encoding="utf-8"?>
<x:table xmlns:x="http://schemas.openxmlformats.org/spreadsheetml/2006/main" id="18" name="tblQAQC" displayName="tblQAQC" ref="A4:N44" headerRowCount="1">
  <x:autoFilter ref="A4:N44"/>
  <x:tableColumns count="14">
    <x:tableColumn id="1" name="Check_ID"/>
    <x:tableColumn id="2" name="Domaine"/>
    <x:tableColumn id="3" name="Table_source"/>
    <x:tableColumn id="4" name="Controle"/>
    <x:tableColumn id="5" name="Regle"/>
    <x:tableColumn id="6" name="Responsable"/>
    <x:tableColumn id="7" name="Frequence"/>
    <x:tableColumn id="8" name="Date_dernier_controle"/>
    <x:tableColumn id="9" name="Resultat"/>
    <x:tableColumn id="10" name="Nombre_anomalies"/>
    <x:tableColumn id="11" name="Action_corrective"/>
    <x:tableColumn id="12" name="Echeance_correction"/>
    <x:tableColumn id="13" name="Statut"/>
    <x:tableColumn id="14" name="Alerte_QA"/>
  </x:tableColumns>
  <x:tableStyleInfo name="TableStyleMedium2" showRowStripes="1"/>
</x:table>
</file>

<file path=xl/tables/table19.xml><?xml version="1.0" encoding="utf-8"?>
<x:table xmlns:x="http://schemas.openxmlformats.org/spreadsheetml/2006/main" id="19" name="tblMappingReporting" displayName="tblMappingReporting" ref="A4:N44" headerRowCount="1">
  <x:autoFilter ref="A4:N44"/>
  <x:tableColumns count="14">
    <x:tableColumn id="1" name="Mapping_ID"/>
    <x:tableColumn id="2" name="Indicateur_interne"/>
    <x:tableColumn id="3" name="Source_donnee"/>
    <x:tableColumn id="4" name="CDP_ICLEI_Module"/>
    <x:tableColumn id="5" name="C40_Exigence"/>
    <x:tableColumn id="6" name="ICLEI_GPC"/>
    <x:tableColumn id="7" name="COMSSA_SEACAP"/>
    <x:tableColumn id="8" name="CDN_Senegal"/>
    <x:tableColumn id="9" name="Frequence"/>
    <x:tableColumn id="10" name="Responsable"/>
    <x:tableColumn id="11" name="Niveau_preparation"/>
    <x:tableColumn id="12" name="Donnee_obligatoire"/>
    <x:tableColumn id="13" name="Statut_reporting"/>
    <x:tableColumn id="14" name="Alerte"/>
  </x:tableColumns>
  <x:tableStyleInfo name="TableStyleMedium2" showRowStripes="1"/>
</x:table>
</file>

<file path=xl/tables/table20.xml><?xml version="1.0" encoding="utf-8"?>
<x:table xmlns:x="http://schemas.openxmlformats.org/spreadsheetml/2006/main" id="20" name="tblRapportCDPICLEI" displayName="tblRapportCDPICLEI" ref="A4:K44" headerRowCount="1">
  <x:autoFilter ref="A4:K44"/>
  <x:tableColumns count="11">
    <x:tableColumn id="1" name="Champ_ID"/>
    <x:tableColumn id="2" name="Section_CDP_ICLEI"/>
    <x:tableColumn id="3" name="Question_indicative"/>
    <x:tableColumn id="4" name="Donnee_interne"/>
    <x:tableColumn id="5" name="Onglet_source"/>
    <x:tableColumn id="6" name="Champ_source"/>
    <x:tableColumn id="7" name="Valeur_pre_remplie"/>
    <x:tableColumn id="8" name="Statut"/>
    <x:tableColumn id="9" name="Responsable"/>
    <x:tableColumn id="10" name="Commentaires"/>
    <x:tableColumn id="11" name="Alerte"/>
  </x:tableColumns>
  <x:tableStyleInfo name="TableStyleMedium2" showRowStripes="1"/>
</x:table>
</file>

<file path=xl/tables/table21.xml><?xml version="1.0" encoding="utf-8"?>
<x:table xmlns:x="http://schemas.openxmlformats.org/spreadsheetml/2006/main" id="21" name="tblRapportC40" displayName="tblRapportC40" ref="A4:K44" headerRowCount="1">
  <x:autoFilter ref="A4:K44"/>
  <x:tableColumns count="11">
    <x:tableColumn id="1" name="C40_ID"/>
    <x:tableColumn id="2" name="Axe_C40"/>
    <x:tableColumn id="3" name="Engagement_indicatif"/>
    <x:tableColumn id="4" name="Indicateur_Dakar"/>
    <x:tableColumn id="5" name="Onglet_source"/>
    <x:tableColumn id="6" name="Valeur"/>
    <x:tableColumn id="7" name="Unite"/>
    <x:tableColumn id="8" name="Annee"/>
    <x:tableColumn id="9" name="Statut"/>
    <x:tableColumn id="10" name="Responsable"/>
    <x:tableColumn id="11" name="Alerte"/>
  </x:tableColumns>
  <x:tableStyleInfo name="TableStyleMedium2" showRowStripes="1"/>
</x:table>
</file>

<file path=xl/tables/table22.xml><?xml version="1.0" encoding="utf-8"?>
<x:table xmlns:x="http://schemas.openxmlformats.org/spreadsheetml/2006/main" id="22" name="tblRapportCOMSSA" displayName="tblRapportCOMSSA" ref="A4:J44" headerRowCount="1">
  <x:autoFilter ref="A4:J44"/>
  <x:tableColumns count="10">
    <x:tableColumn id="1" name="COMSSA_ID"/>
    <x:tableColumn id="2" name="Pilier_SEACAP"/>
    <x:tableColumn id="3" name="Exigence_indicative"/>
    <x:tableColumn id="4" name="Indicateur_Dakar"/>
    <x:tableColumn id="5" name="Onglet_source"/>
    <x:tableColumn id="6" name="Valeur"/>
    <x:tableColumn id="7" name="Unite"/>
    <x:tableColumn id="8" name="Statut"/>
    <x:tableColumn id="9" name="Responsable"/>
    <x:tableColumn id="10" name="Alerte"/>
  </x:tableColumns>
  <x:tableStyleInfo name="TableStyleMedium2" showRowStripes="1"/>
</x:table>
</file>

<file path=xl/tables/table23.xml><?xml version="1.0" encoding="utf-8"?>
<x:table xmlns:x="http://schemas.openxmlformats.org/spreadsheetml/2006/main" id="23" name="tblRapportCDN" displayName="tblRapportCDN" ref="A4:L44" headerRowCount="1">
  <x:autoFilter ref="A4:L44"/>
  <x:tableColumns count="12">
    <x:tableColumn id="1" name="CDN_ID"/>
    <x:tableColumn id="2" name="Secteur_CDN"/>
    <x:tableColumn id="3" name="Action_CDN_indicative"/>
    <x:tableColumn id="4" name="Projet_Dakar"/>
    <x:tableColumn id="5" name="Project_ID"/>
    <x:tableColumn id="6" name="Contribution"/>
    <x:tableColumn id="7" name="Emissions_evitees_tCO2e_an"/>
    <x:tableColumn id="8" name="Budget_total_XOF"/>
    <x:tableColumn id="9" name="Financement_securise_XOF"/>
    <x:tableColumn id="10" name="Besoin_financement_XOF"/>
    <x:tableColumn id="11" name="Statut"/>
    <x:tableColumn id="12" name="Alerte"/>
  </x:tableColumns>
  <x:tableStyleInfo name="TableStyleMedium2" showRowStripes="1"/>
</x:table>
</file>

<file path=xl/tables/table24.xml><?xml version="1.0" encoding="utf-8"?>
<x:table xmlns:x="http://schemas.openxmlformats.org/spreadsheetml/2006/main" id="24" name="tblJournalModifs" displayName="tblJournalModifs" ref="A4:J34" headerRowCount="1">
  <x:autoFilter ref="A4:J34"/>
  <x:tableColumns count="10">
    <x:tableColumn id="1" name="Change_ID"/>
    <x:tableColumn id="2" name="Date_modification"/>
    <x:tableColumn id="3" name="Auteur"/>
    <x:tableColumn id="4" name="Onglet"/>
    <x:tableColumn id="5" name="Element_modifie"/>
    <x:tableColumn id="6" name="Type_modification"/>
    <x:tableColumn id="7" name="Raison"/>
    <x:tableColumn id="8" name="Impact_reporting"/>
    <x:tableColumn id="9" name="Validation"/>
    <x:tableColumn id="10" name="Commentair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819b4cc60546ce" /></Relationships>
</file>

<file path=xl/worksheets/_rels/sheet3.xml.rels>&#65279;<?xml version="1.0" encoding="utf-8"?><Relationships xmlns="http://schemas.openxmlformats.org/package/2006/relationships"><Relationship Type="http://schemas.openxmlformats.org/officeDocument/2006/relationships/table" Target="/xl/tables/table2.xml" Id="R9890bd380c6146d0" /></Relationships>
</file>

<file path=xl/worksheets/_rels/sheet4.xml.rels>&#65279;<?xml version="1.0" encoding="utf-8"?><Relationships xmlns="http://schemas.openxmlformats.org/package/2006/relationships"><Relationship Type="http://schemas.openxmlformats.org/officeDocument/2006/relationships/table" Target="/xl/tables/table3.xml" Id="Rbf8ee3bef3004e23" /></Relationships>
</file>

<file path=xl/worksheets/_rels/sheet6.xml.rels>&#65279;<?xml version="1.0" encoding="utf-8"?><Relationships xmlns="http://schemas.openxmlformats.org/package/2006/relationships"><Relationship Type="http://schemas.openxmlformats.org/officeDocument/2006/relationships/table" Target="/xl/tables/table4.xml" Id="R91d1c29edec0417d" /></Relationships>
</file>

<file path=xl/worksheets/_rels/sheet7.xml.rels>&#65279;<?xml version="1.0" encoding="utf-8"?><Relationships xmlns="http://schemas.openxmlformats.org/package/2006/relationships"><Relationship Type="http://schemas.openxmlformats.org/officeDocument/2006/relationships/table" Target="/xl/tables/table5.xml" Id="R46a2620d3dad4b46" /></Relationships>
</file>

<file path=xl/worksheets/_rels/sheet8.xml.rels>&#65279;<?xml version="1.0" encoding="utf-8"?><Relationships xmlns="http://schemas.openxmlformats.org/package/2006/relationships"><Relationship Type="http://schemas.openxmlformats.org/officeDocument/2006/relationships/table" Target="/xl/tables/table6.xml" Id="R43702c45c1434af6" /></Relationships>
</file>

<file path=xl/worksheets/_rels/sheet9.xml.rels>&#65279;<?xml version="1.0" encoding="utf-8"?><Relationships xmlns="http://schemas.openxmlformats.org/package/2006/relationships"><Relationship Type="http://schemas.openxmlformats.org/officeDocument/2006/relationships/table" Target="/xl/tables/table7.xml" Id="R8bc212f579e94b72" /></Relationships>
</file>

<file path=xl/worksheets/_rels/sheet10.xml.rels>&#65279;<?xml version="1.0" encoding="utf-8"?><Relationships xmlns="http://schemas.openxmlformats.org/package/2006/relationships"><Relationship Type="http://schemas.openxmlformats.org/officeDocument/2006/relationships/table" Target="/xl/tables/table8.xml" Id="R8567ddefa0854c0e" /></Relationships>
</file>

<file path=xl/worksheets/_rels/sheet11.xml.rels>&#65279;<?xml version="1.0" encoding="utf-8"?><Relationships xmlns="http://schemas.openxmlformats.org/package/2006/relationships"><Relationship Type="http://schemas.openxmlformats.org/officeDocument/2006/relationships/table" Target="/xl/tables/table9.xml" Id="R1ab66fc7f39c42ae" /></Relationships>
</file>

<file path=xl/worksheets/_rels/sheet12.xml.rels>&#65279;<?xml version="1.0" encoding="utf-8"?><Relationships xmlns="http://schemas.openxmlformats.org/package/2006/relationships"><Relationship Type="http://schemas.openxmlformats.org/officeDocument/2006/relationships/table" Target="/xl/tables/table10.xml" Id="R81a6a9f5fa704053" /></Relationships>
</file>

<file path=xl/worksheets/_rels/sheet13.xml.rels>&#65279;<?xml version="1.0" encoding="utf-8"?><Relationships xmlns="http://schemas.openxmlformats.org/package/2006/relationships"><Relationship Type="http://schemas.openxmlformats.org/officeDocument/2006/relationships/table" Target="/xl/tables/table11.xml" Id="Rc3fc4de120f3443e" /></Relationships>
</file>

<file path=xl/worksheets/_rels/sheet14.xml.rels>&#65279;<?xml version="1.0" encoding="utf-8"?><Relationships xmlns="http://schemas.openxmlformats.org/package/2006/relationships"><Relationship Type="http://schemas.openxmlformats.org/officeDocument/2006/relationships/table" Target="/xl/tables/table12.xml" Id="R2c8b606511554dff" /></Relationships>
</file>

<file path=xl/worksheets/_rels/sheet15.xml.rels>&#65279;<?xml version="1.0" encoding="utf-8"?><Relationships xmlns="http://schemas.openxmlformats.org/package/2006/relationships"><Relationship Type="http://schemas.openxmlformats.org/officeDocument/2006/relationships/table" Target="/xl/tables/table13.xml" Id="R03bc4a98e5e8494e" /></Relationships>
</file>

<file path=xl/worksheets/_rels/sheet16.xml.rels>&#65279;<?xml version="1.0" encoding="utf-8"?><Relationships xmlns="http://schemas.openxmlformats.org/package/2006/relationships"><Relationship Type="http://schemas.openxmlformats.org/officeDocument/2006/relationships/table" Target="/xl/tables/table14.xml" Id="Ra10ee4cc1fd04e46" /></Relationships>
</file>

<file path=xl/worksheets/_rels/sheet17.xml.rels>&#65279;<?xml version="1.0" encoding="utf-8"?><Relationships xmlns="http://schemas.openxmlformats.org/package/2006/relationships"><Relationship Type="http://schemas.openxmlformats.org/officeDocument/2006/relationships/table" Target="/xl/tables/table15.xml" Id="R442371e5ca2c45bd" /></Relationships>
</file>

<file path=xl/worksheets/_rels/sheet18.xml.rels>&#65279;<?xml version="1.0" encoding="utf-8"?><Relationships xmlns="http://schemas.openxmlformats.org/package/2006/relationships"><Relationship Type="http://schemas.openxmlformats.org/officeDocument/2006/relationships/table" Target="/xl/tables/table16.xml" Id="R46c056a76abc472c" /></Relationships>
</file>

<file path=xl/worksheets/_rels/sheet19.xml.rels>&#65279;<?xml version="1.0" encoding="utf-8"?><Relationships xmlns="http://schemas.openxmlformats.org/package/2006/relationships"><Relationship Type="http://schemas.openxmlformats.org/officeDocument/2006/relationships/table" Target="/xl/tables/table17.xml" Id="R0db50e23fb3140ba" /></Relationships>
</file>

<file path=xl/worksheets/_rels/sheet20.xml.rels>&#65279;<?xml version="1.0" encoding="utf-8"?><Relationships xmlns="http://schemas.openxmlformats.org/package/2006/relationships"><Relationship Type="http://schemas.openxmlformats.org/officeDocument/2006/relationships/table" Target="/xl/tables/table18.xml" Id="R948e8e8d162b41a3" /></Relationships>
</file>

<file path=xl/worksheets/_rels/sheet21.xml.rels>&#65279;<?xml version="1.0" encoding="utf-8"?><Relationships xmlns="http://schemas.openxmlformats.org/package/2006/relationships"><Relationship Type="http://schemas.openxmlformats.org/officeDocument/2006/relationships/table" Target="/xl/tables/table19.xml" Id="Rb5bb70b7d096456e" /></Relationships>
</file>

<file path=xl/worksheets/_rels/sheet22.xml.rels>&#65279;<?xml version="1.0" encoding="utf-8"?><Relationships xmlns="http://schemas.openxmlformats.org/package/2006/relationships"><Relationship Type="http://schemas.openxmlformats.org/officeDocument/2006/relationships/table" Target="/xl/tables/table20.xml" Id="R2c772c7341614d9f" /></Relationships>
</file>

<file path=xl/worksheets/_rels/sheet23.xml.rels>&#65279;<?xml version="1.0" encoding="utf-8"?><Relationships xmlns="http://schemas.openxmlformats.org/package/2006/relationships"><Relationship Type="http://schemas.openxmlformats.org/officeDocument/2006/relationships/table" Target="/xl/tables/table21.xml" Id="Rd9f15bb9648c4f10" /></Relationships>
</file>

<file path=xl/worksheets/_rels/sheet24.xml.rels>&#65279;<?xml version="1.0" encoding="utf-8"?><Relationships xmlns="http://schemas.openxmlformats.org/package/2006/relationships"><Relationship Type="http://schemas.openxmlformats.org/officeDocument/2006/relationships/table" Target="/xl/tables/table22.xml" Id="Rdc5dd11db5c4418d" /></Relationships>
</file>

<file path=xl/worksheets/_rels/sheet25.xml.rels>&#65279;<?xml version="1.0" encoding="utf-8"?><Relationships xmlns="http://schemas.openxmlformats.org/package/2006/relationships"><Relationship Type="http://schemas.openxmlformats.org/officeDocument/2006/relationships/table" Target="/xl/tables/table23.xml" Id="Ra9998a1e162d4b1f" /></Relationships>
</file>

<file path=xl/worksheets/_rels/sheet26.xml.rels>&#65279;<?xml version="1.0" encoding="utf-8"?><Relationships xmlns="http://schemas.openxmlformats.org/package/2006/relationships"><Relationship Type="http://schemas.openxmlformats.org/officeDocument/2006/relationships/table" Target="/xl/tables/table24.xml" Id="Rfd0cea65267f4ab0"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7.5" hidden="0" customWidth="1"/>
    <x:col min="3" max="3" width="21.25" hidden="0" customWidth="1"/>
    <x:col min="4" max="4" width="22.5" hidden="0" customWidth="1"/>
    <x:col min="5" max="5" width="22.5" hidden="0" customWidth="1"/>
    <x:col min="6" max="6" width="22.5" hidden="0" customWidth="1"/>
    <x:col min="7" max="7" width="22.5" hidden="0" customWidth="1"/>
    <x:col min="8" max="8" width="22.5" hidden="0" customWidth="1"/>
    <x:col min="9" max="9" width="22.5" hidden="0" customWidth="1"/>
    <x:col min="10" max="10" width="22.5" hidden="0" customWidth="1"/>
  </x:cols>
  <x:sheetData>
    <x:row r="1" ht="25.5" customHeight="1">
      <x:c r="A1" s="2" t="str">
        <x:v>Ville de Dakar - Systeme maitre de suivi-evaluation climatique</x:v>
      </x:c>
      <x:c r="B1" s="2"/>
      <x:c r="C1" s="2"/>
      <x:c r="D1" s="2"/>
      <x:c r="E1" s="2"/>
      <x:c r="F1" s="2"/>
      <x:c r="G1" s="2"/>
      <x:c r="H1" s="2"/>
      <x:c r="I1" s="2"/>
      <x:c r="J1" s="2"/>
    </x:row>
    <x:row r="2" ht="31.5" customHeight="1">
      <x:c r="A2" s="5" t="str">
        <x:v>Classeur operationnel pour le pilotage des projets climat, inventaires GES, qualite de l'air, mobilite, energie, dechets, financements et reporting CDP-ICLEI, C40, ICLEI/GPC, CoM SSA et CDN.</x:v>
      </x:c>
      <x:c r="B2" s="5"/>
      <x:c r="C2" s="5"/>
      <x:c r="D2" s="5"/>
      <x:c r="E2" s="5"/>
      <x:c r="F2" s="5"/>
      <x:c r="G2" s="5"/>
      <x:c r="H2" s="5"/>
      <x:c r="I2" s="5"/>
      <x:c r="J2" s="5"/>
    </x:row>
    <x:row r="4">
      <x:c r="A4" s="7" t="str">
        <x:v>Bloc</x:v>
      </x:c>
      <x:c r="B4" s="7" t="str">
        <x:v>Feuilles</x:v>
      </x:c>
      <x:c r="C4" s="7" t="str">
        <x:v>Utilisation</x:v>
      </x:c>
      <x:c r="D4" s="7" t="str">
        <x:v>Responsable type</x:v>
      </x:c>
      <x:c r="F4" s="12" t="str">
        <x:v>Principes d'utilisation
1. Saisir les donnees sources dans les onglets sectoriels.
2. Relier les projets, budgets et financements avec les identifiants.
3. Controler les alertes dans le tableau de bord.
4. Utiliser les onglets de reporting pour preparer CDP, C40, ICLEI/GPC, CoM SSA et CDN.</x:v>
      </x:c>
    </x:row>
    <x:row r="5">
      <x:c r="A5" s="9" t="str">
        <x:v>Pilotage</x:v>
      </x:c>
      <x:c r="B5" s="9" t="str">
        <x:v>04_TABLEAU_BORD</x:v>
      </x:c>
      <x:c r="C5" s="9" t="str">
        <x:v>Vue executive, KPIs, alertes, graphiques</x:v>
      </x:c>
      <x:c r="D5" s="9" t="str">
        <x:v>Cabinet du Maire / Cellule climat</x:v>
      </x:c>
    </x:row>
    <x:row r="6">
      <x:c r="A6" s="9" t="str">
        <x:v>Projets</x:v>
      </x:c>
      <x:c r="B6" s="9" t="str">
        <x:v>05_PROJETS_CLIMAT, 07_ACTIONS_CLIMAT</x:v>
      </x:c>
      <x:c r="C6" s="9" t="str">
        <x:v>Portefeuille de projets et actions liees</x:v>
      </x:c>
      <x:c r="D6" s="9" t="str">
        <x:v>Directions techniques</x:v>
      </x:c>
    </x:row>
    <x:row r="7">
      <x:c r="A7" s="9" t="str">
        <x:v>MRV</x:v>
      </x:c>
      <x:c r="B7" s="9" t="str">
        <x:v>06_INDICATEURS_MRV, 19_QA_QC</x:v>
      </x:c>
      <x:c r="C7" s="9" t="str">
        <x:v>Indicateurs, controle qualite, alertes donnees</x:v>
      </x:c>
      <x:c r="D7" s="9" t="str">
        <x:v>Cellule MRV</x:v>
      </x:c>
    </x:row>
    <x:row r="8">
      <x:c r="A8" s="9" t="str">
        <x:v>Inventaire GES</x:v>
      </x:c>
      <x:c r="B8" s="9" t="str">
        <x:v>08_INVENTAIRE_GES, 09_DONNEES_GES_ACTIVITE, 10_FACTEURS_EMISSION</x:v>
      </x:c>
      <x:c r="C8" s="9" t="str">
        <x:v>Calcul et tracabilite GES selon logique GPC</x:v>
      </x:c>
      <x:c r="D8" s="9" t="str">
        <x:v>Referent GES</x:v>
      </x:c>
    </x:row>
    <x:row r="9">
      <x:c r="A9" s="9" t="str">
        <x:v>Donnees sectorielles</x:v>
      </x:c>
      <x:c r="B9" s="9" t="str">
        <x:v>11_QUALITE_AIR, 12_MOBILITE, 13_ENERGIE, 14_DECHETS</x:v>
      </x:c>
      <x:c r="C9" s="9" t="str">
        <x:v>Donnees primaires par domaine</x:v>
      </x:c>
      <x:c r="D9" s="9" t="str">
        <x:v>Services sectoriels</x:v>
      </x:c>
    </x:row>
    <x:row r="10">
      <x:c r="A10" s="9" t="str">
        <x:v>Partenaires</x:v>
      </x:c>
      <x:c r="B10" s="9" t="str">
        <x:v>15_PARTIES_PRENANTES</x:v>
      </x:c>
      <x:c r="C10" s="9" t="str">
        <x:v>Contacts, roles, engagement</x:v>
      </x:c>
      <x:c r="D10" s="9" t="str">
        <x:v>Partenariats</x:v>
      </x:c>
    </x:row>
    <x:row r="11">
      <x:c r="A11" s="9" t="str">
        <x:v>Finance</x:v>
      </x:c>
      <x:c r="B11" s="9" t="str">
        <x:v>16_BUDGETS, 17_FINANCEMENTS</x:v>
      </x:c>
      <x:c r="C11" s="9" t="str">
        <x:v>Budget, execution, besoins et financements</x:v>
      </x:c>
      <x:c r="D11" s="9" t="str">
        <x:v>DAF / Finance climat</x:v>
      </x:c>
    </x:row>
    <x:row r="12">
      <x:c r="A12" s="9" t="str">
        <x:v>Risques</x:v>
      </x:c>
      <x:c r="B12" s="9" t="str">
        <x:v>18_RISQUES_HYPOTHESES</x:v>
      </x:c>
      <x:c r="C12" s="9" t="str">
        <x:v>Suivi des risques et hypotheses</x:v>
      </x:c>
      <x:c r="D12" s="9" t="str">
        <x:v>PMO climat</x:v>
      </x:c>
      <x:c r="F12" s="14" t="str">
        <x:v>Version: 1.0
Date de generation: 2026-05-31
Perimetre: Ville de Dakar
Devise par defaut: XOF
Unites GES: tCO2e</x:v>
      </x:c>
    </x:row>
    <x:row r="13">
      <x:c r="A13" s="9" t="str">
        <x:v>Reporting</x:v>
      </x:c>
      <x:c r="B13" s="9" t="str">
        <x:v>20_MAPPING_REPORTING, 21-24_RAPPORTS</x:v>
      </x:c>
      <x:c r="C13" s="9" t="str">
        <x:v>Pre-remplissage CDP, C40, ICLEI, CoM SSA, CDN</x:v>
      </x:c>
      <x:c r="D13" s="9" t="str">
        <x:v>Cellule reporting</x:v>
      </x:c>
    </x:row>
    <x:row r="14">
      <x:c r="A14" s="9" t="str">
        <x:v>Administration</x:v>
      </x:c>
      <x:c r="B14" s="9" t="str">
        <x:v>01_PARAMETRES, 02_REFERENTIELS, 03_SOURCES_DONNEES, 25_JOURNAL_MODIFS</x:v>
      </x:c>
      <x:c r="C14" s="9" t="str">
        <x:v>Listes, sources et historique</x:v>
      </x:c>
      <x:c r="D14" s="9" t="str">
        <x:v>Administrateur classeur</x:v>
      </x:c>
    </x:row>
    <x:row r="17">
      <x:c r="A17" s="15" t="str">
        <x:v>Sources methodologiques de reference integrees au modele</x:v>
      </x:c>
      <x:c r="B17" s="15" t="str">
        <x:v>Sources methodologiques de reference integrees au modele</x:v>
      </x:c>
      <x:c r="C17" s="15" t="str">
        <x:v>Sources methodologiques de reference integrees au modele</x:v>
      </x:c>
      <x:c r="D17" s="15" t="str">
        <x:v>Sources methodologiques de reference integrees au modele</x:v>
      </x:c>
      <x:c r="E17" s="15" t="str">
        <x:v>Sources methodologiques de reference integrees au modele</x:v>
      </x:c>
      <x:c r="F17" s="15" t="str">
        <x:v>Sources methodologiques de reference integrees au modele</x:v>
      </x:c>
      <x:c r="G17" s="15" t="str">
        <x:v>Sources methodologiques de reference integrees au modele</x:v>
      </x:c>
      <x:c r="H17" s="15" t="str">
        <x:v>Sources methodologiques de reference integrees au modele</x:v>
      </x:c>
      <x:c r="I17" s="15" t="str">
        <x:v>Sources methodologiques de reference integrees au modele</x:v>
      </x:c>
      <x:c r="J17" s="15" t="str">
        <x:v>Sources methodologiques de reference integrees au modele</x:v>
      </x:c>
    </x:row>
    <x:row r="18">
      <x:c r="A18" s="9" t="str">
        <x:v>GPC / GHG Protocol for Cities</x:v>
      </x:c>
      <x:c r="B18" s="9" t="str">
        <x:v>https://ghgprotocol.org/ghg-protocol-cities</x:v>
      </x:c>
      <x:c r="C18" s="9"/>
      <x:c r="D18" s="9"/>
      <x:c r="E18" s="9"/>
      <x:c r="F18" s="9"/>
      <x:c r="G18" s="9"/>
      <x:c r="H18" s="9"/>
      <x:c r="I18" s="9"/>
      <x:c r="J18" s="9"/>
    </x:row>
    <x:row r="19">
      <x:c r="A19" s="9" t="str">
        <x:v>CDP-ICLEI Track</x:v>
      </x:c>
      <x:c r="B19" s="9" t="str">
        <x:v>https://www.cdp.net/en/disclose/how-to-disclose</x:v>
      </x:c>
      <x:c r="C19" s="9"/>
      <x:c r="D19" s="9"/>
      <x:c r="E19" s="9"/>
      <x:c r="F19" s="9"/>
      <x:c r="G19" s="9"/>
      <x:c r="H19" s="9"/>
      <x:c r="I19" s="9"/>
      <x:c r="J19" s="9"/>
    </x:row>
    <x:row r="20">
      <x:c r="A20" s="9" t="str">
        <x:v>C40 Climate Action Planning</x:v>
      </x:c>
      <x:c r="B20" s="9" t="str">
        <x:v>https://www.c40.org/what-we-do/raising-climate-ambition/1-5c-climate-action-plans/</x:v>
      </x:c>
      <x:c r="C20" s="9"/>
      <x:c r="D20" s="9"/>
      <x:c r="E20" s="9"/>
      <x:c r="F20" s="9"/>
      <x:c r="G20" s="9"/>
      <x:c r="H20" s="9"/>
      <x:c r="I20" s="9"/>
      <x:c r="J20" s="9"/>
    </x:row>
    <x:row r="21">
      <x:c r="A21" s="9" t="str">
        <x:v>CoM SSA / SEACAP</x:v>
      </x:c>
      <x:c r="B21" s="9" t="str">
        <x:v>https://comssa.org/seacap-toolbox/en</x:v>
      </x:c>
      <x:c r="C21" s="9"/>
      <x:c r="D21" s="9"/>
      <x:c r="E21" s="9"/>
      <x:c r="F21" s="9"/>
      <x:c r="G21" s="9"/>
      <x:c r="H21" s="9"/>
      <x:c r="I21" s="9"/>
      <x:c r="J21" s="9"/>
    </x:row>
    <x:row r="22">
      <x:c r="A22" s="9" t="str">
        <x:v>CDN Senegal - UNFCCC</x:v>
      </x:c>
      <x:c r="B22" s="9" t="str">
        <x:v>https://unfccc.int/documents/497877</x:v>
      </x:c>
      <x:c r="C22" s="9"/>
      <x:c r="D22" s="9"/>
      <x:c r="E22" s="9"/>
      <x:c r="F22" s="9"/>
      <x:c r="G22" s="9"/>
      <x:c r="H22" s="9"/>
      <x:c r="I22" s="9"/>
      <x:c r="J22" s="9"/>
    </x:row>
  </x:sheetData>
  <x:mergeCells>
    <x:mergeCell ref="A1:J1"/>
    <x:mergeCell ref="A2:J2"/>
    <x:mergeCell ref="F4:J10"/>
    <x:mergeCell ref="F12:J16"/>
    <x:mergeCell ref="A17:J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s>
  <x:sheetData>
    <x:row r="1" ht="25.5" customHeight="1">
      <x:c r="A1" s="2" t="str">
        <x:v>Parametres et listes controlees</x:v>
      </x:c>
      <x:c r="B1" s="2"/>
      <x:c r="C1" s="2"/>
      <x:c r="D1" s="2"/>
      <x:c r="E1" s="2"/>
      <x:c r="F1" s="2"/>
      <x:c r="G1" s="2"/>
      <x:c r="H1" s="2"/>
      <x:c r="I1" s="2"/>
      <x:c r="J1" s="2"/>
    </x:row>
    <x:row r="2" ht="31.5" customHeight="1">
      <x:c r="A2" s="5" t="str">
        <x:v>Listes utilisees pour les menus deroulants du classeur.</x:v>
      </x:c>
      <x:c r="B2" s="5"/>
      <x:c r="C2" s="5"/>
      <x:c r="D2" s="5"/>
      <x:c r="E2" s="5"/>
      <x:c r="F2" s="5"/>
      <x:c r="G2" s="5"/>
      <x:c r="H2" s="5"/>
      <x:c r="I2" s="5"/>
      <x:c r="J2" s="5"/>
    </x:row>
    <x:row r="4">
      <x:c r="A4" s="16" t="str">
        <x:v>Secteurs</x:v>
      </x:c>
      <x:c r="B4" s="16" t="str">
        <x:v>Axes climat</x:v>
      </x:c>
      <x:c r="C4" s="16" t="str">
        <x:v>Statuts</x:v>
      </x:c>
      <x:c r="D4" s="16" t="str">
        <x:v>Niveaux maturite</x:v>
      </x:c>
      <x:c r="E4" s="16" t="str">
        <x:v>Priorites</x:v>
      </x:c>
      <x:c r="F4" s="16" t="str">
        <x:v>Qualite donnees</x:v>
      </x:c>
      <x:c r="G4" s="16" t="str">
        <x:v>Frequences</x:v>
      </x:c>
      <x:c r="H4" s="16" t="str">
        <x:v>Cadres reporting</x:v>
      </x:c>
      <x:c r="I4" s="16" t="str">
        <x:v>Scopes GES</x:v>
      </x:c>
      <x:c r="J4" s="16" t="str">
        <x:v>Gaz</x:v>
      </x:c>
      <x:c r="K4" s="16" t="str">
        <x:v>Oui/Non</x:v>
      </x:c>
      <x:c r="L4" s="16" t="str">
        <x:v>Statut reporting</x:v>
      </x:c>
      <x:c r="M4" s="16" t="str">
        <x:v>Quartiers/Zones</x:v>
      </x:c>
      <x:c r="N4" s="16" t="str">
        <x:v>Services municipaux</x:v>
      </x:c>
    </x:row>
    <x:row r="5">
      <x:c r="A5" s="9" t="str">
        <x:v>Energie</x:v>
      </x:c>
      <x:c r="B5" s="9" t="str">
        <x:v>Mitigation</x:v>
      </x:c>
      <x:c r="C5" s="9" t="str">
        <x:v>Idee</x:v>
      </x:c>
      <x:c r="D5" s="9" t="str">
        <x:v>0 - Idee</x:v>
      </x:c>
      <x:c r="E5" s="9" t="str">
        <x:v>Critique</x:v>
      </x:c>
      <x:c r="F5" s="9" t="str">
        <x:v>A - Verifiee</x:v>
      </x:c>
      <x:c r="G5" s="9" t="str">
        <x:v>Mensuelle</x:v>
      </x:c>
      <x:c r="H5" s="9" t="str">
        <x:v>CDP-ICLEI</x:v>
      </x:c>
      <x:c r="I5" s="9" t="str">
        <x:v>Scope 1</x:v>
      </x:c>
      <x:c r="J5" s="9" t="str">
        <x:v>CO2</x:v>
      </x:c>
      <x:c r="K5" s="9" t="str">
        <x:v>Oui</x:v>
      </x:c>
      <x:c r="L5" s="9" t="str">
        <x:v>Pret</x:v>
      </x:c>
      <x:c r="M5" s="9" t="str">
        <x:v>Plateau</x:v>
      </x:c>
      <x:c r="N5" s="9" t="str">
        <x:v>Direction Environnement</x:v>
      </x:c>
    </x:row>
    <x:row r="6">
      <x:c r="A6" s="9" t="str">
        <x:v>Transport et mobilite</x:v>
      </x:c>
      <x:c r="B6" s="9" t="str">
        <x:v>Adaptation</x:v>
      </x:c>
      <x:c r="C6" s="9" t="str">
        <x:v>En preparation</x:v>
      </x:c>
      <x:c r="D6" s="9" t="str">
        <x:v>1 - Cadrage</x:v>
      </x:c>
      <x:c r="E6" s="9" t="str">
        <x:v>Haute</x:v>
      </x:c>
      <x:c r="F6" s="9" t="str">
        <x:v>B - Bonne</x:v>
      </x:c>
      <x:c r="G6" s="9" t="str">
        <x:v>Trimestrielle</x:v>
      </x:c>
      <x:c r="H6" s="9" t="str">
        <x:v>C40</x:v>
      </x:c>
      <x:c r="I6" s="9" t="str">
        <x:v>Scope 2</x:v>
      </x:c>
      <x:c r="J6" s="9" t="str">
        <x:v>CH4</x:v>
      </x:c>
      <x:c r="K6" s="9" t="str">
        <x:v>Non</x:v>
      </x:c>
      <x:c r="L6" s="9" t="str">
        <x:v>A completer</x:v>
      </x:c>
      <x:c r="M6" s="9" t="str">
        <x:v>Medina</x:v>
      </x:c>
      <x:c r="N6" s="9" t="str">
        <x:v>Direction Planification</x:v>
      </x:c>
    </x:row>
    <x:row r="7">
      <x:c r="A7" s="9" t="str">
        <x:v>Dechets</x:v>
      </x:c>
      <x:c r="B7" s="9" t="str">
        <x:v>Mixte</x:v>
      </x:c>
      <x:c r="C7" s="9" t="str">
        <x:v>En validation</x:v>
      </x:c>
      <x:c r="D7" s="9" t="str">
        <x:v>2 - Etude faisabilite</x:v>
      </x:c>
      <x:c r="E7" s="9" t="str">
        <x:v>Moyenne</x:v>
      </x:c>
      <x:c r="F7" s="9" t="str">
        <x:v>C - Estimee</x:v>
      </x:c>
      <x:c r="G7" s="9" t="str">
        <x:v>Semestrielle</x:v>
      </x:c>
      <x:c r="H7" s="9" t="str">
        <x:v>ICLEI/GPC</x:v>
      </x:c>
      <x:c r="I7" s="9" t="str">
        <x:v>Scope 3</x:v>
      </x:c>
      <x:c r="J7" s="9" t="str">
        <x:v>N2O</x:v>
      </x:c>
      <x:c r="K7" s="9" t="str">
        <x:v>Partiel</x:v>
      </x:c>
      <x:c r="L7" s="9" t="str">
        <x:v>A verifier</x:v>
      </x:c>
      <x:c r="M7" s="9" t="str">
        <x:v>Grand Dakar</x:v>
      </x:c>
      <x:c r="N7" s="9" t="str">
        <x:v>Direction Mobilite</x:v>
      </x:c>
    </x:row>
    <x:row r="8">
      <x:c r="A8" s="9" t="str">
        <x:v>Qualite de l'air</x:v>
      </x:c>
      <x:c r="B8" s="9" t="str">
        <x:v>Gouvernance</x:v>
      </x:c>
      <x:c r="C8" s="9" t="str">
        <x:v>Finance</x:v>
      </x:c>
      <x:c r="D8" s="9" t="str">
        <x:v>3 - Montage financier</x:v>
      </x:c>
      <x:c r="E8" s="9" t="str">
        <x:v>Basse</x:v>
      </x:c>
      <x:c r="F8" s="9" t="str">
        <x:v>D - Faible</x:v>
      </x:c>
      <x:c r="G8" s="9" t="str">
        <x:v>Annuelle</x:v>
      </x:c>
      <x:c r="H8" s="9" t="str">
        <x:v>CoM SSA</x:v>
      </x:c>
      <x:c r="I8" s="9" t="str">
        <x:v>Hors scope</x:v>
      </x:c>
      <x:c r="J8" s="9" t="str">
        <x:v>HFC</x:v>
      </x:c>
      <x:c r="K8" s="9" t="str">
        <x:v>Non applicable</x:v>
      </x:c>
      <x:c r="L8" s="9" t="str">
        <x:v>Non disponible</x:v>
      </x:c>
      <x:c r="M8" s="9" t="str">
        <x:v>Hann Bel-Air</x:v>
      </x:c>
      <x:c r="N8" s="9" t="str">
        <x:v>Direction Energie</x:v>
      </x:c>
    </x:row>
    <x:row r="9">
      <x:c r="A9" s="9" t="str">
        <x:v>Batiments</x:v>
      </x:c>
      <x:c r="B9" s="9" t="str">
        <x:v>MRV</x:v>
      </x:c>
      <x:c r="C9" s="9" t="str">
        <x:v>En cours</x:v>
      </x:c>
      <x:c r="D9" s="9" t="str">
        <x:v>4 - Pret a demarrer</x:v>
      </x:c>
      <x:c r="E9" s="9"/>
      <x:c r="F9" s="9" t="str">
        <x:v>A confirmer</x:v>
      </x:c>
      <x:c r="G9" s="9" t="str">
        <x:v>Ponctuelle</x:v>
      </x:c>
      <x:c r="H9" s="9" t="str">
        <x:v>CDN Senegal</x:v>
      </x:c>
      <x:c r="I9" s="9"/>
      <x:c r="J9" s="9" t="str">
        <x:v>PFC</x:v>
      </x:c>
      <x:c r="K9" s="9"/>
      <x:c r="L9" s="9" t="str">
        <x:v>Soumis</x:v>
      </x:c>
      <x:c r="M9" s="9" t="str">
        <x:v>Parcelles Assainies</x:v>
      </x:c>
      <x:c r="N9" s="9" t="str">
        <x:v>Direction Finance</x:v>
      </x:c>
    </x:row>
    <x:row r="10">
      <x:c r="A10" s="9" t="str">
        <x:v>Urbanisme et resilience</x:v>
      </x:c>
      <x:c r="B10" s="9"/>
      <x:c r="C10" s="9" t="str">
        <x:v>Suspendu</x:v>
      </x:c>
      <x:c r="D10" s="9" t="str">
        <x:v>5 - En mise en oeuvre</x:v>
      </x:c>
      <x:c r="E10" s="9"/>
      <x:c r="F10" s="9"/>
      <x:c r="G10" s="9"/>
      <x:c r="H10" s="9" t="str">
        <x:v>Interne Dakar</x:v>
      </x:c>
      <x:c r="I10" s="9"/>
      <x:c r="J10" s="9" t="str">
        <x:v>SF6</x:v>
      </x:c>
      <x:c r="K10" s="9"/>
      <x:c r="L10" s="9"/>
      <x:c r="M10" s="9" t="str">
        <x:v>Yoff</x:v>
      </x:c>
      <x:c r="N10" s="9" t="str">
        <x:v>Direction Dechets</x:v>
      </x:c>
    </x:row>
    <x:row r="11">
      <x:c r="A11" s="9" t="str">
        <x:v>Eau et assainissement</x:v>
      </x:c>
      <x:c r="B11" s="9"/>
      <x:c r="C11" s="9" t="str">
        <x:v>Termine</x:v>
      </x:c>
      <x:c r="D11" s="9" t="str">
        <x:v>6 - Operationnel</x:v>
      </x:c>
      <x:c r="E11" s="9"/>
      <x:c r="F11" s="9"/>
      <x:c r="G11" s="9"/>
      <x:c r="H11" s="9"/>
      <x:c r="I11" s="9"/>
      <x:c r="J11" s="9" t="str">
        <x:v>NF3</x:v>
      </x:c>
      <x:c r="K11" s="9"/>
      <x:c r="L11" s="9"/>
      <x:c r="M11" s="9" t="str">
        <x:v>Ouakam</x:v>
      </x:c>
      <x:c r="N11" s="9" t="str">
        <x:v>Direction Assainissement</x:v>
      </x:c>
    </x:row>
    <x:row r="12">
      <x:c r="A12" s="9" t="str">
        <x:v>Nature et littoral</x:v>
      </x:c>
      <x:c r="B12" s="9"/>
      <x:c r="C12" s="9" t="str">
        <x:v>Annule</x:v>
      </x:c>
      <x:c r="D12" s="9"/>
      <x:c r="E12" s="9"/>
      <x:c r="F12" s="9"/>
      <x:c r="G12" s="9"/>
      <x:c r="H12" s="9"/>
      <x:c r="I12" s="9"/>
      <x:c r="J12" s="9" t="str">
        <x:v>CO2e</x:v>
      </x:c>
      <x:c r="K12" s="9"/>
      <x:c r="L12" s="9"/>
      <x:c r="M12" s="9" t="str">
        <x:v>Ngor</x:v>
      </x:c>
      <x:c r="N12" s="9" t="str">
        <x:v>Cabinet du Maire</x:v>
      </x:c>
    </x:row>
    <x:row r="13">
      <x:c r="A13" s="9" t="str">
        <x:v>Gouvernance climat</x:v>
      </x:c>
      <x:c r="B13" s="9"/>
      <x:c r="C13" s="9"/>
      <x:c r="D13" s="9"/>
      <x:c r="E13" s="9"/>
      <x:c r="F13" s="9"/>
      <x:c r="G13" s="9"/>
      <x:c r="H13" s="9"/>
      <x:c r="I13" s="9"/>
      <x:c r="J13" s="9"/>
      <x:c r="K13" s="9"/>
      <x:c r="L13" s="9"/>
      <x:c r="M13" s="9" t="str">
        <x:v>Point E</x:v>
      </x:c>
      <x:c r="N13" s="9"/>
    </x:row>
    <x:row r="14">
      <x:c r="A14" s="9" t="str">
        <x:v>Finance climat</x:v>
      </x:c>
      <x:c r="B14" s="9"/>
      <x:c r="C14" s="9"/>
      <x:c r="D14" s="9"/>
      <x:c r="E14" s="9"/>
      <x:c r="F14" s="9"/>
      <x:c r="G14" s="9"/>
      <x:c r="H14" s="9"/>
      <x:c r="I14" s="9"/>
      <x:c r="J14" s="9"/>
      <x:c r="K14" s="9"/>
      <x:c r="L14" s="9"/>
      <x:c r="M14" s="9" t="str">
        <x:v>Fann</x:v>
      </x:c>
      <x:c r="N14" s="9"/>
    </x:row>
    <x:row r="15">
      <x:c r="A15" s="9"/>
      <x:c r="B15" s="9"/>
      <x:c r="C15" s="9"/>
      <x:c r="D15" s="9"/>
      <x:c r="E15" s="9"/>
      <x:c r="F15" s="9"/>
      <x:c r="G15" s="9"/>
      <x:c r="H15" s="9"/>
      <x:c r="I15" s="9"/>
      <x:c r="J15" s="9"/>
      <x:c r="K15" s="9"/>
      <x:c r="L15" s="9"/>
      <x:c r="M15" s="9" t="str">
        <x:v>Dakar - Ensemble ville</x:v>
      </x:c>
      <x:c r="N15" s="9"/>
    </x:row>
  </x:sheetData>
  <x:mergeCells>
    <x:mergeCell ref="A1:J1"/>
    <x:mergeCell ref="A2:J2"/>
  </x:mergeCells>
  <x:pageMargins left="0.7" right="0.7" top="0.75" bottom="0.75" header="0.3" footer="0.3"/>
  <x:tableParts count="1">
    <x:tablePart xmlns:r="http://schemas.openxmlformats.org/officeDocument/2006/relationships" r:id="Rff819b4cc60546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1299991607666" hidden="0" customWidth="1"/>
    <x:col min="3" max="3" width="16.25" hidden="0" customWidth="1"/>
    <x:col min="4" max="4" width="28.75" hidden="0" customWidth="1"/>
    <x:col min="5" max="5" width="37.5" hidden="0" customWidth="1"/>
    <x:col min="6" max="6" width="10" hidden="0" customWidth="1"/>
    <x:col min="7" max="7" width="22.5" hidden="0" customWidth="1"/>
    <x:col min="8" max="8" width="15" hidden="0" customWidth="1"/>
    <x:col min="9" max="9" width="28.75" hidden="0" customWidth="1"/>
  </x:cols>
  <x:sheetData>
    <x:row r="1" ht="25.5" customHeight="1">
      <x:c r="A1" s="2" t="str">
        <x:v>Referentiels structurants</x:v>
      </x:c>
      <x:c r="B1" s="2"/>
      <x:c r="C1" s="2"/>
      <x:c r="D1" s="2"/>
      <x:c r="E1" s="2"/>
      <x:c r="F1" s="2"/>
      <x:c r="G1" s="2"/>
      <x:c r="H1" s="2"/>
      <x:c r="I1" s="2"/>
      <x:c r="J1" s="2"/>
    </x:row>
    <x:row r="2" ht="31.5" customHeight="1">
      <x:c r="A2" s="5" t="str">
        <x:v>Codes de reference pour perimetres, cadres, axes CDN et classifications.</x:v>
      </x:c>
      <x:c r="B2" s="5"/>
      <x:c r="C2" s="5"/>
      <x:c r="D2" s="5"/>
      <x:c r="E2" s="5"/>
      <x:c r="F2" s="5"/>
      <x:c r="G2" s="5"/>
      <x:c r="H2" s="5"/>
      <x:c r="I2" s="5"/>
      <x:c r="J2" s="5"/>
    </x:row>
    <x:row r="4" ht="28.5" customHeight="1">
      <x:c r="A4" s="16" t="str">
        <x:v>Ref_ID</x:v>
      </x:c>
      <x:c r="B4" s="16" t="str">
        <x:v>Type_referentiel</x:v>
      </x:c>
      <x:c r="C4" s="16" t="str">
        <x:v>Code</x:v>
      </x:c>
      <x:c r="D4" s="16" t="str">
        <x:v>Libelle</x:v>
      </x:c>
      <x:c r="E4" s="16" t="str">
        <x:v>Description</x:v>
      </x:c>
      <x:c r="F4" s="16" t="str">
        <x:v>Actif</x:v>
      </x:c>
      <x:c r="G4" s="16" t="str">
        <x:v>Source</x:v>
      </x:c>
      <x:c r="H4" s="16" t="str">
        <x:v>Derniere_revision</x:v>
      </x:c>
      <x:c r="I4" s="16" t="str">
        <x:v>Commentaires</x:v>
      </x:c>
    </x:row>
    <x:row r="5">
      <x:c r="A5" s="18" t="str">
        <x:v>REF-001</x:v>
      </x:c>
      <x:c r="B5" s="18" t="str">
        <x:v>Perimetre</x:v>
      </x:c>
      <x:c r="C5" s="18" t="str">
        <x:v>DAKAR</x:v>
      </x:c>
      <x:c r="D5" s="18" t="str">
        <x:v>Ville de Dakar</x:v>
      </x:c>
      <x:c r="E5" s="18" t="str">
        <x:v>Perimetre administratif municipal</x:v>
      </x:c>
      <x:c r="F5" s="18" t="str">
        <x:v>Oui</x:v>
      </x:c>
      <x:c r="G5" s="18" t="str">
        <x:v>Municipalite</x:v>
      </x:c>
      <x:c r="H5" s="19" t="n">
        <x:v>46023</x:v>
      </x:c>
      <x:c r="I5" s="18" t="str"/>
    </x:row>
    <x:row r="6">
      <x:c r="A6" s="18" t="str">
        <x:v>REF-002</x:v>
      </x:c>
      <x:c r="B6" s="18" t="str">
        <x:v>Reporting</x:v>
      </x:c>
      <x:c r="C6" s="18" t="str">
        <x:v>GPC_BASIC</x:v>
      </x:c>
      <x:c r="D6" s="18" t="str">
        <x:v>GPC BASIC</x:v>
      </x:c>
      <x:c r="E6" s="18" t="str">
        <x:v>Emissions Scope 1 et 2 energie, transport et dechets</x:v>
      </x:c>
      <x:c r="F6" s="18" t="str">
        <x:v>Oui</x:v>
      </x:c>
      <x:c r="G6" s="18" t="str">
        <x:v>GHG Protocol / WRI</x:v>
      </x:c>
      <x:c r="H6" s="19" t="n">
        <x:v>46023</x:v>
      </x:c>
      <x:c r="I6" s="18" t="str"/>
    </x:row>
    <x:row r="7">
      <x:c r="A7" s="18" t="str">
        <x:v>REF-003</x:v>
      </x:c>
      <x:c r="B7" s="18" t="str">
        <x:v>Reporting</x:v>
      </x:c>
      <x:c r="C7" s="18" t="str">
        <x:v>GPC_BASIC_PLUS</x:v>
      </x:c>
      <x:c r="D7" s="18" t="str">
        <x:v>GPC BASIC+</x:v>
      </x:c>
      <x:c r="E7" s="18" t="str">
        <x:v>BASIC enrichi IPPU, AFOLU et autres Scope 3 pertinents</x:v>
      </x:c>
      <x:c r="F7" s="18" t="str">
        <x:v>Oui</x:v>
      </x:c>
      <x:c r="G7" s="18" t="str">
        <x:v>GHG Protocol / WRI</x:v>
      </x:c>
      <x:c r="H7" s="19" t="n">
        <x:v>46023</x:v>
      </x:c>
      <x:c r="I7" s="18" t="str"/>
    </x:row>
    <x:row r="8">
      <x:c r="A8" s="18" t="str">
        <x:v>REF-004</x:v>
      </x:c>
      <x:c r="B8" s="18" t="str">
        <x:v>CDN</x:v>
      </x:c>
      <x:c r="C8" s="18" t="str">
        <x:v>CDN-SEN-ENERGIE</x:v>
      </x:c>
      <x:c r="D8" s="18" t="str">
        <x:v>Energies renouvelables et efficacite energetique</x:v>
      </x:c>
      <x:c r="E8" s="18" t="str">
        <x:v>Axe mitigation CDN Senegal</x:v>
      </x:c>
      <x:c r="F8" s="18" t="str">
        <x:v>Oui</x:v>
      </x:c>
      <x:c r="G8" s="18" t="str">
        <x:v>UNFCCC CDN Senegal</x:v>
      </x:c>
      <x:c r="H8" s="19" t="n">
        <x:v>44194</x:v>
      </x:c>
      <x:c r="I8" s="18" t="str"/>
    </x:row>
    <x:row r="9">
      <x:c r="A9" s="18" t="str">
        <x:v>REF-005</x:v>
      </x:c>
      <x:c r="B9" s="18" t="str">
        <x:v>CDN</x:v>
      </x:c>
      <x:c r="C9" s="18" t="str">
        <x:v>CDN-SEN-DECHETS</x:v>
      </x:c>
      <x:c r="D9" s="18" t="str">
        <x:v>Amelioration gestion des dechets</x:v>
      </x:c>
      <x:c r="E9" s="18" t="str">
        <x:v>Axe mitigation CDN Senegal</x:v>
      </x:c>
      <x:c r="F9" s="18" t="str">
        <x:v>Oui</x:v>
      </x:c>
      <x:c r="G9" s="18" t="str">
        <x:v>UNFCCC CDN Senegal</x:v>
      </x:c>
      <x:c r="H9" s="19" t="n">
        <x:v>44194</x:v>
      </x:c>
      <x:c r="I9" s="18" t="str"/>
    </x:row>
    <x:row r="10">
      <x:c r="A10" s="18" t="str">
        <x:v>REF-006</x:v>
      </x:c>
      <x:c r="B10" s="18" t="str">
        <x:v>CDN</x:v>
      </x:c>
      <x:c r="C10" s="18" t="str">
        <x:v>CDN-SEN-TRANSPORT</x:v>
      </x:c>
      <x:c r="D10" s="18" t="str">
        <x:v>Mobilite sobre et transports propres</x:v>
      </x:c>
      <x:c r="E10" s="18" t="str">
        <x:v>Axe territorial a aligner CDN</x:v>
      </x:c>
      <x:c r="F10" s="18" t="str">
        <x:v>Oui</x:v>
      </x:c>
      <x:c r="G10" s="18" t="str">
        <x:v>UNFCCC CDN Senegal</x:v>
      </x:c>
      <x:c r="H10" s="19" t="n">
        <x:v>44194</x:v>
      </x:c>
      <x:c r="I10" s="18" t="str"/>
    </x:row>
    <x:row r="11">
      <x:c r="A11" s="18"/>
      <x:c r="B11" s="18"/>
      <x:c r="C11" s="18"/>
      <x:c r="D11" s="18"/>
      <x:c r="E11" s="18"/>
      <x:c r="F11" s="18"/>
      <x:c r="G11" s="18"/>
      <x:c r="H11" s="19"/>
      <x:c r="I11" s="18"/>
    </x:row>
    <x:row r="12">
      <x:c r="A12" s="18"/>
      <x:c r="B12" s="18"/>
      <x:c r="C12" s="18"/>
      <x:c r="D12" s="18"/>
      <x:c r="E12" s="18"/>
      <x:c r="F12" s="18"/>
      <x:c r="G12" s="18"/>
      <x:c r="H12" s="19"/>
      <x:c r="I12" s="18"/>
    </x:row>
    <x:row r="13">
      <x:c r="A13" s="18"/>
      <x:c r="B13" s="18"/>
      <x:c r="C13" s="18"/>
      <x:c r="D13" s="18"/>
      <x:c r="E13" s="18"/>
      <x:c r="F13" s="18"/>
      <x:c r="G13" s="18"/>
      <x:c r="H13" s="19"/>
      <x:c r="I13" s="18"/>
    </x:row>
    <x:row r="14">
      <x:c r="A14" s="18"/>
      <x:c r="B14" s="18"/>
      <x:c r="C14" s="18"/>
      <x:c r="D14" s="18"/>
      <x:c r="E14" s="18"/>
      <x:c r="F14" s="18"/>
      <x:c r="G14" s="18"/>
      <x:c r="H14" s="19"/>
      <x:c r="I14" s="18"/>
    </x:row>
    <x:row r="15">
      <x:c r="A15" s="18"/>
      <x:c r="B15" s="18"/>
      <x:c r="C15" s="18"/>
      <x:c r="D15" s="18"/>
      <x:c r="E15" s="18"/>
      <x:c r="F15" s="18"/>
      <x:c r="G15" s="18"/>
      <x:c r="H15" s="19"/>
      <x:c r="I15" s="18"/>
    </x:row>
    <x:row r="16">
      <x:c r="A16" s="18"/>
      <x:c r="B16" s="18"/>
      <x:c r="C16" s="18"/>
      <x:c r="D16" s="18"/>
      <x:c r="E16" s="18"/>
      <x:c r="F16" s="18"/>
      <x:c r="G16" s="18"/>
      <x:c r="H16" s="19"/>
      <x:c r="I16" s="18"/>
    </x:row>
    <x:row r="17">
      <x:c r="A17" s="18"/>
      <x:c r="B17" s="18"/>
      <x:c r="C17" s="18"/>
      <x:c r="D17" s="18"/>
      <x:c r="E17" s="18"/>
      <x:c r="F17" s="18"/>
      <x:c r="G17" s="18"/>
      <x:c r="H17" s="19"/>
      <x:c r="I17" s="18"/>
    </x:row>
    <x:row r="18">
      <x:c r="A18" s="18"/>
      <x:c r="B18" s="18"/>
      <x:c r="C18" s="18"/>
      <x:c r="D18" s="18"/>
      <x:c r="E18" s="18"/>
      <x:c r="F18" s="18"/>
      <x:c r="G18" s="18"/>
      <x:c r="H18" s="19"/>
      <x:c r="I18" s="18"/>
    </x:row>
    <x:row r="19">
      <x:c r="A19" s="18"/>
      <x:c r="B19" s="18"/>
      <x:c r="C19" s="18"/>
      <x:c r="D19" s="18"/>
      <x:c r="E19" s="18"/>
      <x:c r="F19" s="18"/>
      <x:c r="G19" s="18"/>
      <x:c r="H19" s="19"/>
      <x:c r="I19" s="18"/>
    </x:row>
    <x:row r="20">
      <x:c r="A20" s="18"/>
      <x:c r="B20" s="18"/>
      <x:c r="C20" s="18"/>
      <x:c r="D20" s="18"/>
      <x:c r="E20" s="18"/>
      <x:c r="F20" s="18"/>
      <x:c r="G20" s="18"/>
      <x:c r="H20" s="19"/>
      <x:c r="I20" s="18"/>
    </x:row>
    <x:row r="21">
      <x:c r="A21" s="18"/>
      <x:c r="B21" s="18"/>
      <x:c r="C21" s="18"/>
      <x:c r="D21" s="18"/>
      <x:c r="E21" s="18"/>
      <x:c r="F21" s="18"/>
      <x:c r="G21" s="18"/>
      <x:c r="H21" s="19"/>
      <x:c r="I21" s="18"/>
    </x:row>
    <x:row r="22">
      <x:c r="A22" s="18"/>
      <x:c r="B22" s="18"/>
      <x:c r="C22" s="18"/>
      <x:c r="D22" s="18"/>
      <x:c r="E22" s="18"/>
      <x:c r="F22" s="18"/>
      <x:c r="G22" s="18"/>
      <x:c r="H22" s="19"/>
      <x:c r="I22" s="18"/>
    </x:row>
    <x:row r="23">
      <x:c r="A23" s="18"/>
      <x:c r="B23" s="18"/>
      <x:c r="C23" s="18"/>
      <x:c r="D23" s="18"/>
      <x:c r="E23" s="18"/>
      <x:c r="F23" s="18"/>
      <x:c r="G23" s="18"/>
      <x:c r="H23" s="19"/>
      <x:c r="I23" s="18"/>
    </x:row>
    <x:row r="24">
      <x:c r="A24" s="18"/>
      <x:c r="B24" s="18"/>
      <x:c r="C24" s="18"/>
      <x:c r="D24" s="18"/>
      <x:c r="E24" s="18"/>
      <x:c r="F24" s="18"/>
      <x:c r="G24" s="18"/>
      <x:c r="H24" s="19"/>
      <x:c r="I24" s="18"/>
    </x:row>
    <x:row r="25">
      <x:c r="A25" s="18"/>
      <x:c r="B25" s="18"/>
      <x:c r="C25" s="18"/>
      <x:c r="D25" s="18"/>
      <x:c r="E25" s="18"/>
      <x:c r="F25" s="18"/>
      <x:c r="G25" s="18"/>
      <x:c r="H25" s="19"/>
      <x:c r="I25" s="18"/>
    </x:row>
    <x:row r="26">
      <x:c r="A26" s="18"/>
      <x:c r="B26" s="18"/>
      <x:c r="C26" s="18"/>
      <x:c r="D26" s="18"/>
      <x:c r="E26" s="18"/>
      <x:c r="F26" s="18"/>
      <x:c r="G26" s="18"/>
      <x:c r="H26" s="19"/>
      <x:c r="I26" s="18"/>
    </x:row>
    <x:row r="27">
      <x:c r="A27" s="18"/>
      <x:c r="B27" s="18"/>
      <x:c r="C27" s="18"/>
      <x:c r="D27" s="18"/>
      <x:c r="E27" s="18"/>
      <x:c r="F27" s="18"/>
      <x:c r="G27" s="18"/>
      <x:c r="H27" s="19"/>
      <x:c r="I27" s="18"/>
    </x:row>
    <x:row r="28">
      <x:c r="A28" s="18"/>
      <x:c r="B28" s="18"/>
      <x:c r="C28" s="18"/>
      <x:c r="D28" s="18"/>
      <x:c r="E28" s="18"/>
      <x:c r="F28" s="18"/>
      <x:c r="G28" s="18"/>
      <x:c r="H28" s="19"/>
      <x:c r="I28" s="18"/>
    </x:row>
    <x:row r="29">
      <x:c r="A29" s="18"/>
      <x:c r="B29" s="18"/>
      <x:c r="C29" s="18"/>
      <x:c r="D29" s="18"/>
      <x:c r="E29" s="18"/>
      <x:c r="F29" s="18"/>
      <x:c r="G29" s="18"/>
      <x:c r="H29" s="19"/>
      <x:c r="I29" s="18"/>
    </x:row>
    <x:row r="30">
      <x:c r="A30" s="18"/>
      <x:c r="B30" s="18"/>
      <x:c r="C30" s="18"/>
      <x:c r="D30" s="18"/>
      <x:c r="E30" s="18"/>
      <x:c r="F30" s="18"/>
      <x:c r="G30" s="18"/>
      <x:c r="H30" s="19"/>
      <x:c r="I30" s="18"/>
    </x:row>
    <x:row r="31">
      <x:c r="A31" s="18"/>
      <x:c r="B31" s="18"/>
      <x:c r="C31" s="18"/>
      <x:c r="D31" s="18"/>
      <x:c r="E31" s="18"/>
      <x:c r="F31" s="18"/>
      <x:c r="G31" s="18"/>
      <x:c r="H31" s="19"/>
      <x:c r="I31" s="18"/>
    </x:row>
    <x:row r="32">
      <x:c r="A32" s="18"/>
      <x:c r="B32" s="18"/>
      <x:c r="C32" s="18"/>
      <x:c r="D32" s="18"/>
      <x:c r="E32" s="18"/>
      <x:c r="F32" s="18"/>
      <x:c r="G32" s="18"/>
      <x:c r="H32" s="19"/>
      <x:c r="I32" s="18"/>
    </x:row>
    <x:row r="33">
      <x:c r="A33" s="18"/>
      <x:c r="B33" s="18"/>
      <x:c r="C33" s="18"/>
      <x:c r="D33" s="18"/>
      <x:c r="E33" s="18"/>
      <x:c r="F33" s="18"/>
      <x:c r="G33" s="18"/>
      <x:c r="H33" s="19"/>
      <x:c r="I33" s="18"/>
    </x:row>
    <x:row r="34">
      <x:c r="A34" s="18"/>
      <x:c r="B34" s="18"/>
      <x:c r="C34" s="18"/>
      <x:c r="D34" s="18"/>
      <x:c r="E34" s="18"/>
      <x:c r="F34" s="18"/>
      <x:c r="G34" s="18"/>
      <x:c r="H34" s="19"/>
      <x:c r="I34" s="18"/>
    </x:row>
    <x:row r="35">
      <x:c r="A35" s="18"/>
      <x:c r="B35" s="18"/>
      <x:c r="C35" s="18"/>
      <x:c r="D35" s="18"/>
      <x:c r="E35" s="18"/>
      <x:c r="F35" s="18"/>
      <x:c r="G35" s="18"/>
      <x:c r="H35" s="19"/>
      <x:c r="I35" s="18"/>
    </x:row>
    <x:row r="36">
      <x:c r="A36" s="18"/>
      <x:c r="B36" s="18"/>
      <x:c r="C36" s="18"/>
      <x:c r="D36" s="18"/>
      <x:c r="E36" s="18"/>
      <x:c r="F36" s="18"/>
      <x:c r="G36" s="18"/>
      <x:c r="H36" s="19"/>
      <x:c r="I36" s="18"/>
    </x:row>
    <x:row r="37">
      <x:c r="A37" s="18"/>
      <x:c r="B37" s="18"/>
      <x:c r="C37" s="18"/>
      <x:c r="D37" s="18"/>
      <x:c r="E37" s="18"/>
      <x:c r="F37" s="18"/>
      <x:c r="G37" s="18"/>
      <x:c r="H37" s="19"/>
      <x:c r="I37" s="18"/>
    </x:row>
    <x:row r="38">
      <x:c r="A38" s="18"/>
      <x:c r="B38" s="18"/>
      <x:c r="C38" s="18"/>
      <x:c r="D38" s="18"/>
      <x:c r="E38" s="18"/>
      <x:c r="F38" s="18"/>
      <x:c r="G38" s="18"/>
      <x:c r="H38" s="19"/>
      <x:c r="I38" s="18"/>
    </x:row>
    <x:row r="39">
      <x:c r="A39" s="18"/>
      <x:c r="B39" s="18"/>
      <x:c r="C39" s="18"/>
      <x:c r="D39" s="18"/>
      <x:c r="E39" s="18"/>
      <x:c r="F39" s="18"/>
      <x:c r="G39" s="18"/>
      <x:c r="H39" s="19"/>
      <x:c r="I39" s="18"/>
    </x:row>
    <x:row r="40">
      <x:c r="A40" s="18"/>
      <x:c r="B40" s="18"/>
      <x:c r="C40" s="18"/>
      <x:c r="D40" s="18"/>
      <x:c r="E40" s="18"/>
      <x:c r="F40" s="18"/>
      <x:c r="G40" s="18"/>
      <x:c r="H40" s="19"/>
      <x:c r="I40" s="18"/>
    </x:row>
    <x:row r="41">
      <x:c r="A41" s="18"/>
      <x:c r="B41" s="18"/>
      <x:c r="C41" s="18"/>
      <x:c r="D41" s="18"/>
      <x:c r="E41" s="18"/>
      <x:c r="F41" s="18"/>
      <x:c r="G41" s="18"/>
      <x:c r="H41" s="19"/>
      <x:c r="I41" s="18"/>
    </x:row>
    <x:row r="42">
      <x:c r="A42" s="18"/>
      <x:c r="B42" s="18"/>
      <x:c r="C42" s="18"/>
      <x:c r="D42" s="18"/>
      <x:c r="E42" s="18"/>
      <x:c r="F42" s="18"/>
      <x:c r="G42" s="18"/>
      <x:c r="H42" s="19"/>
      <x:c r="I42" s="18"/>
    </x:row>
    <x:row r="43">
      <x:c r="A43" s="18"/>
      <x:c r="B43" s="18"/>
      <x:c r="C43" s="18"/>
      <x:c r="D43" s="18"/>
      <x:c r="E43" s="18"/>
      <x:c r="F43" s="18"/>
      <x:c r="G43" s="18"/>
      <x:c r="H43" s="19"/>
      <x:c r="I43" s="18"/>
    </x:row>
    <x:row r="44">
      <x:c r="A44" s="18"/>
      <x:c r="B44" s="18"/>
      <x:c r="C44" s="18"/>
      <x:c r="D44" s="18"/>
      <x:c r="E44" s="18"/>
      <x:c r="F44" s="18"/>
      <x:c r="G44" s="18"/>
      <x:c r="H44" s="19"/>
      <x:c r="I44" s="18"/>
    </x:row>
  </x:sheetData>
  <x:mergeCells>
    <x:mergeCell ref="A1:J1"/>
    <x:mergeCell ref="A2:J2"/>
  </x:mergeCells>
  <x:dataValidations count="1">
    <x:dataValidation type="list" errorStyle="warning" showInputMessage="1" showErrorMessage="1" errorTitle="Valeur inattendue" error="Cette colonne utilise une liste controlee." promptTitle="Liste controlee" prompt="Choisir une valeur dans la liste." sqref="F5:F44">
      <x:formula1>"Oui,Non,Partiel,Non applicable"</x:formula1>
    </x:dataValidation>
  </x:dataValidations>
  <x:pageMargins left="0.7" right="0.7" top="0.75" bottom="0.75" header="0.3" footer="0.3"/>
  <x:tableParts count="1">
    <x:tablePart xmlns:r="http://schemas.openxmlformats.org/officeDocument/2006/relationships" r:id="R9890bd380c6146d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7.5" hidden="0" customWidth="1"/>
    <x:col min="3" max="3" width="15" hidden="0" customWidth="1"/>
    <x:col min="4" max="4" width="21.25" hidden="0" customWidth="1"/>
    <x:col min="5" max="5" width="23.75" hidden="0" customWidth="1"/>
    <x:col min="6" max="6" width="16.25" hidden="0" customWidth="1"/>
    <x:col min="7" max="7" width="13.75" hidden="0" customWidth="1"/>
    <x:col min="8" max="8" width="23.75" hidden="0" customWidth="1"/>
    <x:col min="9" max="9" width="18.1299991607666" hidden="0" customWidth="1"/>
    <x:col min="10" max="10" width="14.380000114440918" hidden="0" customWidth="1"/>
    <x:col min="11" max="11" width="14.380000114440918" hidden="0" customWidth="1"/>
    <x:col min="12" max="12" width="15" hidden="0" customWidth="1"/>
    <x:col min="13" max="13" width="28.75" hidden="0" customWidth="1"/>
    <x:col min="14" max="14" width="18.75" hidden="0" customWidth="1"/>
  </x:cols>
  <x:sheetData>
    <x:row r="1" ht="25.5" customHeight="1">
      <x:c r="A1" s="2" t="str">
        <x:v>Registre des sources de donnees</x:v>
      </x:c>
      <x:c r="B1" s="2"/>
      <x:c r="C1" s="2"/>
      <x:c r="D1" s="2"/>
      <x:c r="E1" s="2"/>
      <x:c r="F1" s="2"/>
      <x:c r="G1" s="2"/>
      <x:c r="H1" s="2"/>
      <x:c r="I1" s="2"/>
      <x:c r="J1" s="2"/>
    </x:row>
    <x:row r="2" ht="31.5" customHeight="1">
      <x:c r="A2" s="5" t="str">
        <x:v>Suivi des proprietaires, frequences, formats, qualite et echeances de mise a jour.</x:v>
      </x:c>
      <x:c r="B2" s="5"/>
      <x:c r="C2" s="5"/>
      <x:c r="D2" s="5"/>
      <x:c r="E2" s="5"/>
      <x:c r="F2" s="5"/>
      <x:c r="G2" s="5"/>
      <x:c r="H2" s="5"/>
      <x:c r="I2" s="5"/>
      <x:c r="J2" s="5"/>
    </x:row>
    <x:row r="4" ht="28.5" customHeight="1">
      <x:c r="A4" s="16" t="str">
        <x:v>Source_ID</x:v>
      </x:c>
      <x:c r="B4" s="16" t="str">
        <x:v>Nom_source</x:v>
      </x:c>
      <x:c r="C4" s="16" t="str">
        <x:v>Domaine</x:v>
      </x:c>
      <x:c r="D4" s="16" t="str">
        <x:v>Proprietaire</x:v>
      </x:c>
      <x:c r="E4" s="16" t="str">
        <x:v>Contact</x:v>
      </x:c>
      <x:c r="F4" s="16" t="str">
        <x:v>Frequence</x:v>
      </x:c>
      <x:c r="G4" s="16" t="str">
        <x:v>Format</x:v>
      </x:c>
      <x:c r="H4" s="16" t="str">
        <x:v>Localisation_fichier</x:v>
      </x:c>
      <x:c r="I4" s="16" t="str">
        <x:v>Niveau_qualite</x:v>
      </x:c>
      <x:c r="J4" s="16" t="str">
        <x:v>Derniere_MAJ</x:v>
      </x:c>
      <x:c r="K4" s="16" t="str">
        <x:v>Prochaine_MAJ</x:v>
      </x:c>
      <x:c r="L4" s="16" t="str">
        <x:v>Statut_source</x:v>
      </x:c>
      <x:c r="M4" s="16" t="str">
        <x:v>Commentaires</x:v>
      </x:c>
      <x:c r="N4" s="16" t="str">
        <x:v>Alerte_MAJ</x:v>
      </x:c>
    </x:row>
    <x:row r="5">
      <x:c r="A5" s="18" t="str">
        <x:v>SRC-001</x:v>
      </x:c>
      <x:c r="B5" s="18" t="str">
        <x:v>Registre projets climat Dakar</x:v>
      </x:c>
      <x:c r="C5" s="18" t="str">
        <x:v>Reporting</x:v>
      </x:c>
      <x:c r="D5" s="18" t="str">
        <x:v>Cellule climat</x:v>
      </x:c>
      <x:c r="E5" s="18" t="str">
        <x:v>climat@villededakar.sn</x:v>
      </x:c>
      <x:c r="F5" s="18" t="str">
        <x:v>Mensuelle</x:v>
      </x:c>
      <x:c r="G5" s="18" t="str">
        <x:v>Excel</x:v>
      </x:c>
      <x:c r="H5" s="18" t="str">
        <x:v>Interne</x:v>
      </x:c>
      <x:c r="I5" s="18" t="str">
        <x:v>B - Bonne</x:v>
      </x:c>
      <x:c r="J5" s="19" t="n">
        <x:v>46157</x:v>
      </x:c>
      <x:c r="K5" s="19" t="n">
        <x:v>46188</x:v>
      </x:c>
      <x:c r="L5" s="18" t="str">
        <x:v>Actif</x:v>
      </x:c>
      <x:c r="M5" s="18" t="str"/>
      <x:c r="N5" s="18" t="str">
        <x:f>IF(A5="","",IF(K5&lt;TODAY(),"MAJ en retard",IF(K5&lt;=TODAY()+15,"MAJ proche","OK")))</x:f>
        <x:v>MAJ proche</x:v>
      </x:c>
    </x:row>
    <x:row r="6">
      <x:c r="A6" s="18" t="str">
        <x:v>SRC-002</x:v>
      </x:c>
      <x:c r="B6" s="18" t="str">
        <x:v>Inventaire GES municipal</x:v>
      </x:c>
      <x:c r="C6" s="18" t="str">
        <x:v>GES</x:v>
      </x:c>
      <x:c r="D6" s="18" t="str">
        <x:v>Referent GES</x:v>
      </x:c>
      <x:c r="E6" s="18" t="str">
        <x:v>ges@villededakar.sn</x:v>
      </x:c>
      <x:c r="F6" s="18" t="str">
        <x:v>Annuelle</x:v>
      </x:c>
      <x:c r="G6" s="18" t="str">
        <x:v>Excel</x:v>
      </x:c>
      <x:c r="H6" s="18" t="str">
        <x:v>Interne</x:v>
      </x:c>
      <x:c r="I6" s="18" t="str">
        <x:v>C - Estimee</x:v>
      </x:c>
      <x:c r="J6" s="19" t="n">
        <x:v>46142</x:v>
      </x:c>
      <x:c r="K6" s="19" t="n">
        <x:v>46507</x:v>
      </x:c>
      <x:c r="L6" s="18" t="str">
        <x:v>Actif</x:v>
      </x:c>
      <x:c r="M6" s="18" t="str"/>
      <x:c r="N6" s="18" t="str">
        <x:f>IF(A6="","",IF(K6&lt;TODAY(),"MAJ en retard",IF(K6&lt;=TODAY()+15,"MAJ proche","OK")))</x:f>
        <x:v>OK</x:v>
      </x:c>
    </x:row>
    <x:row r="7">
      <x:c r="A7" s="18" t="str">
        <x:v>SRC-003</x:v>
      </x:c>
      <x:c r="B7" s="18" t="str">
        <x:v>Stations qualite de l'air</x:v>
      </x:c>
      <x:c r="C7" s="18" t="str">
        <x:v>Air</x:v>
      </x:c>
      <x:c r="D7" s="18" t="str">
        <x:v>Partenaire technique</x:v>
      </x:c>
      <x:c r="E7" s="18" t="str">
        <x:v>air@partenaire.org</x:v>
      </x:c>
      <x:c r="F7" s="18" t="str">
        <x:v>Mensuelle</x:v>
      </x:c>
      <x:c r="G7" s="18" t="str">
        <x:v>CSV/API</x:v>
      </x:c>
      <x:c r="H7" s="18" t="str">
        <x:v>Capteurs</x:v>
      </x:c>
      <x:c r="I7" s="18" t="str">
        <x:v>C - Estimee</x:v>
      </x:c>
      <x:c r="J7" s="19" t="n">
        <x:v>46143</x:v>
      </x:c>
      <x:c r="K7" s="19" t="n">
        <x:v>46174</x:v>
      </x:c>
      <x:c r="L7" s="18" t="str">
        <x:v>Actif</x:v>
      </x:c>
      <x:c r="M7" s="18" t="str"/>
      <x:c r="N7" s="18" t="str">
        <x:f>IF(A7="","",IF(K7&lt;TODAY(),"MAJ en retard",IF(K7&lt;=TODAY()+15,"MAJ proche","OK")))</x:f>
        <x:v>MAJ proche</x:v>
      </x:c>
    </x:row>
    <x:row r="8">
      <x:c r="A8" s="18" t="str">
        <x:v>SRC-004</x:v>
      </x:c>
      <x:c r="B8" s="18" t="str">
        <x:v>Direction mobilite</x:v>
      </x:c>
      <x:c r="C8" s="18" t="str">
        <x:v>Mobilite</x:v>
      </x:c>
      <x:c r="D8" s="18" t="str">
        <x:v>Direction Mobilite</x:v>
      </x:c>
      <x:c r="E8" s="18" t="str">
        <x:v>mobilite@villededakar.sn</x:v>
      </x:c>
      <x:c r="F8" s="18" t="str">
        <x:v>Trimestrielle</x:v>
      </x:c>
      <x:c r="G8" s="18" t="str">
        <x:v>Excel</x:v>
      </x:c>
      <x:c r="H8" s="18" t="str">
        <x:v>Service municipal</x:v>
      </x:c>
      <x:c r="I8" s="18" t="str">
        <x:v>B - Bonne</x:v>
      </x:c>
      <x:c r="J8" s="19" t="n">
        <x:v>46112</x:v>
      </x:c>
      <x:c r="K8" s="19" t="n">
        <x:v>46203</x:v>
      </x:c>
      <x:c r="L8" s="18" t="str">
        <x:v>Actif</x:v>
      </x:c>
      <x:c r="M8" s="18" t="str"/>
      <x:c r="N8" s="18" t="str">
        <x:f>IF(A8="","",IF(K8&lt;TODAY(),"MAJ en retard",IF(K8&lt;=TODAY()+15,"MAJ proche","OK")))</x:f>
        <x:v>OK</x:v>
      </x:c>
    </x:row>
    <x:row r="9">
      <x:c r="A9" s="18" t="str">
        <x:v>SRC-005</x:v>
      </x:c>
      <x:c r="B9" s="18" t="str">
        <x:v>Direction finances</x:v>
      </x:c>
      <x:c r="C9" s="18" t="str">
        <x:v>Budget</x:v>
      </x:c>
      <x:c r="D9" s="18" t="str">
        <x:v>Direction Finance</x:v>
      </x:c>
      <x:c r="E9" s="18" t="str">
        <x:v>finance@villededakar.sn</x:v>
      </x:c>
      <x:c r="F9" s="18" t="str">
        <x:v>Mensuelle</x:v>
      </x:c>
      <x:c r="G9" s="18" t="str">
        <x:v>Excel</x:v>
      </x:c>
      <x:c r="H9" s="18" t="str">
        <x:v>Interne</x:v>
      </x:c>
      <x:c r="I9" s="18" t="str">
        <x:v>A - Verifiee</x:v>
      </x:c>
      <x:c r="J9" s="19" t="n">
        <x:v>46162</x:v>
      </x:c>
      <x:c r="K9" s="19" t="n">
        <x:v>46193</x:v>
      </x:c>
      <x:c r="L9" s="18" t="str">
        <x:v>Actif</x:v>
      </x:c>
      <x:c r="M9" s="18" t="str"/>
      <x:c r="N9" s="18" t="str">
        <x:f>IF(A9="","",IF(K9&lt;TODAY(),"MAJ en retard",IF(K9&lt;=TODAY()+15,"MAJ proche","OK")))</x:f>
        <x:v>OK</x:v>
      </x:c>
    </x:row>
    <x:row r="10">
      <x:c r="A10" s="18"/>
      <x:c r="B10" s="18"/>
      <x:c r="C10" s="18"/>
      <x:c r="D10" s="18"/>
      <x:c r="E10" s="18"/>
      <x:c r="F10" s="18"/>
      <x:c r="G10" s="18"/>
      <x:c r="H10" s="18"/>
      <x:c r="I10" s="18"/>
      <x:c r="J10" s="19"/>
      <x:c r="K10" s="19"/>
      <x:c r="L10" s="18"/>
      <x:c r="M10" s="18"/>
      <x:c r="N10" s="18" t="str">
        <x:f>IF(A10="","",IF(K10&lt;TODAY(),"MAJ en retard",IF(K10&lt;=TODAY()+15,"MAJ proche","OK")))</x:f>
      </x:c>
    </x:row>
    <x:row r="11">
      <x:c r="A11" s="18"/>
      <x:c r="B11" s="18"/>
      <x:c r="C11" s="18"/>
      <x:c r="D11" s="18"/>
      <x:c r="E11" s="18"/>
      <x:c r="F11" s="18"/>
      <x:c r="G11" s="18"/>
      <x:c r="H11" s="18"/>
      <x:c r="I11" s="18"/>
      <x:c r="J11" s="19"/>
      <x:c r="K11" s="19"/>
      <x:c r="L11" s="18"/>
      <x:c r="M11" s="18"/>
      <x:c r="N11" s="18" t="str">
        <x:f>IF(A11="","",IF(K11&lt;TODAY(),"MAJ en retard",IF(K11&lt;=TODAY()+15,"MAJ proche","OK")))</x:f>
      </x:c>
    </x:row>
    <x:row r="12">
      <x:c r="A12" s="18"/>
      <x:c r="B12" s="18"/>
      <x:c r="C12" s="18"/>
      <x:c r="D12" s="18"/>
      <x:c r="E12" s="18"/>
      <x:c r="F12" s="18"/>
      <x:c r="G12" s="18"/>
      <x:c r="H12" s="18"/>
      <x:c r="I12" s="18"/>
      <x:c r="J12" s="19"/>
      <x:c r="K12" s="19"/>
      <x:c r="L12" s="18"/>
      <x:c r="M12" s="18"/>
      <x:c r="N12" s="18" t="str">
        <x:f>IF(A12="","",IF(K12&lt;TODAY(),"MAJ en retard",IF(K12&lt;=TODAY()+15,"MAJ proche","OK")))</x:f>
      </x:c>
    </x:row>
    <x:row r="13">
      <x:c r="A13" s="18"/>
      <x:c r="B13" s="18"/>
      <x:c r="C13" s="18"/>
      <x:c r="D13" s="18"/>
      <x:c r="E13" s="18"/>
      <x:c r="F13" s="18"/>
      <x:c r="G13" s="18"/>
      <x:c r="H13" s="18"/>
      <x:c r="I13" s="18"/>
      <x:c r="J13" s="19"/>
      <x:c r="K13" s="19"/>
      <x:c r="L13" s="18"/>
      <x:c r="M13" s="18"/>
      <x:c r="N13" s="18" t="str">
        <x:f>IF(A13="","",IF(K13&lt;TODAY(),"MAJ en retard",IF(K13&lt;=TODAY()+15,"MAJ proche","OK")))</x:f>
      </x:c>
    </x:row>
    <x:row r="14">
      <x:c r="A14" s="18"/>
      <x:c r="B14" s="18"/>
      <x:c r="C14" s="18"/>
      <x:c r="D14" s="18"/>
      <x:c r="E14" s="18"/>
      <x:c r="F14" s="18"/>
      <x:c r="G14" s="18"/>
      <x:c r="H14" s="18"/>
      <x:c r="I14" s="18"/>
      <x:c r="J14" s="19"/>
      <x:c r="K14" s="19"/>
      <x:c r="L14" s="18"/>
      <x:c r="M14" s="18"/>
      <x:c r="N14" s="18" t="str">
        <x:f>IF(A14="","",IF(K14&lt;TODAY(),"MAJ en retard",IF(K14&lt;=TODAY()+15,"MAJ proche","OK")))</x:f>
      </x:c>
    </x:row>
    <x:row r="15">
      <x:c r="A15" s="18"/>
      <x:c r="B15" s="18"/>
      <x:c r="C15" s="18"/>
      <x:c r="D15" s="18"/>
      <x:c r="E15" s="18"/>
      <x:c r="F15" s="18"/>
      <x:c r="G15" s="18"/>
      <x:c r="H15" s="18"/>
      <x:c r="I15" s="18"/>
      <x:c r="J15" s="19"/>
      <x:c r="K15" s="19"/>
      <x:c r="L15" s="18"/>
      <x:c r="M15" s="18"/>
      <x:c r="N15" s="18" t="str">
        <x:f>IF(A15="","",IF(K15&lt;TODAY(),"MAJ en retard",IF(K15&lt;=TODAY()+15,"MAJ proche","OK")))</x:f>
      </x:c>
    </x:row>
    <x:row r="16">
      <x:c r="A16" s="18"/>
      <x:c r="B16" s="18"/>
      <x:c r="C16" s="18"/>
      <x:c r="D16" s="18"/>
      <x:c r="E16" s="18"/>
      <x:c r="F16" s="18"/>
      <x:c r="G16" s="18"/>
      <x:c r="H16" s="18"/>
      <x:c r="I16" s="18"/>
      <x:c r="J16" s="19"/>
      <x:c r="K16" s="19"/>
      <x:c r="L16" s="18"/>
      <x:c r="M16" s="18"/>
      <x:c r="N16" s="18" t="str">
        <x:f>IF(A16="","",IF(K16&lt;TODAY(),"MAJ en retard",IF(K16&lt;=TODAY()+15,"MAJ proche","OK")))</x:f>
      </x:c>
    </x:row>
    <x:row r="17">
      <x:c r="A17" s="18"/>
      <x:c r="B17" s="18"/>
      <x:c r="C17" s="18"/>
      <x:c r="D17" s="18"/>
      <x:c r="E17" s="18"/>
      <x:c r="F17" s="18"/>
      <x:c r="G17" s="18"/>
      <x:c r="H17" s="18"/>
      <x:c r="I17" s="18"/>
      <x:c r="J17" s="19"/>
      <x:c r="K17" s="19"/>
      <x:c r="L17" s="18"/>
      <x:c r="M17" s="18"/>
      <x:c r="N17" s="18" t="str">
        <x:f>IF(A17="","",IF(K17&lt;TODAY(),"MAJ en retard",IF(K17&lt;=TODAY()+15,"MAJ proche","OK")))</x:f>
      </x:c>
    </x:row>
    <x:row r="18">
      <x:c r="A18" s="18"/>
      <x:c r="B18" s="18"/>
      <x:c r="C18" s="18"/>
      <x:c r="D18" s="18"/>
      <x:c r="E18" s="18"/>
      <x:c r="F18" s="18"/>
      <x:c r="G18" s="18"/>
      <x:c r="H18" s="18"/>
      <x:c r="I18" s="18"/>
      <x:c r="J18" s="19"/>
      <x:c r="K18" s="19"/>
      <x:c r="L18" s="18"/>
      <x:c r="M18" s="18"/>
      <x:c r="N18" s="18" t="str">
        <x:f>IF(A18="","",IF(K18&lt;TODAY(),"MAJ en retard",IF(K18&lt;=TODAY()+15,"MAJ proche","OK")))</x:f>
      </x:c>
    </x:row>
    <x:row r="19">
      <x:c r="A19" s="18"/>
      <x:c r="B19" s="18"/>
      <x:c r="C19" s="18"/>
      <x:c r="D19" s="18"/>
      <x:c r="E19" s="18"/>
      <x:c r="F19" s="18"/>
      <x:c r="G19" s="18"/>
      <x:c r="H19" s="18"/>
      <x:c r="I19" s="18"/>
      <x:c r="J19" s="19"/>
      <x:c r="K19" s="19"/>
      <x:c r="L19" s="18"/>
      <x:c r="M19" s="18"/>
      <x:c r="N19" s="18" t="str">
        <x:f>IF(A19="","",IF(K19&lt;TODAY(),"MAJ en retard",IF(K19&lt;=TODAY()+15,"MAJ proche","OK")))</x:f>
      </x:c>
    </x:row>
    <x:row r="20">
      <x:c r="A20" s="18"/>
      <x:c r="B20" s="18"/>
      <x:c r="C20" s="18"/>
      <x:c r="D20" s="18"/>
      <x:c r="E20" s="18"/>
      <x:c r="F20" s="18"/>
      <x:c r="G20" s="18"/>
      <x:c r="H20" s="18"/>
      <x:c r="I20" s="18"/>
      <x:c r="J20" s="19"/>
      <x:c r="K20" s="19"/>
      <x:c r="L20" s="18"/>
      <x:c r="M20" s="18"/>
      <x:c r="N20" s="18" t="str">
        <x:f>IF(A20="","",IF(K20&lt;TODAY(),"MAJ en retard",IF(K20&lt;=TODAY()+15,"MAJ proche","OK")))</x:f>
      </x:c>
    </x:row>
    <x:row r="21">
      <x:c r="A21" s="18"/>
      <x:c r="B21" s="18"/>
      <x:c r="C21" s="18"/>
      <x:c r="D21" s="18"/>
      <x:c r="E21" s="18"/>
      <x:c r="F21" s="18"/>
      <x:c r="G21" s="18"/>
      <x:c r="H21" s="18"/>
      <x:c r="I21" s="18"/>
      <x:c r="J21" s="19"/>
      <x:c r="K21" s="19"/>
      <x:c r="L21" s="18"/>
      <x:c r="M21" s="18"/>
      <x:c r="N21" s="18" t="str">
        <x:f>IF(A21="","",IF(K21&lt;TODAY(),"MAJ en retard",IF(K21&lt;=TODAY()+15,"MAJ proche","OK")))</x:f>
      </x:c>
    </x:row>
    <x:row r="22">
      <x:c r="A22" s="18"/>
      <x:c r="B22" s="18"/>
      <x:c r="C22" s="18"/>
      <x:c r="D22" s="18"/>
      <x:c r="E22" s="18"/>
      <x:c r="F22" s="18"/>
      <x:c r="G22" s="18"/>
      <x:c r="H22" s="18"/>
      <x:c r="I22" s="18"/>
      <x:c r="J22" s="19"/>
      <x:c r="K22" s="19"/>
      <x:c r="L22" s="18"/>
      <x:c r="M22" s="18"/>
      <x:c r="N22" s="18" t="str">
        <x:f>IF(A22="","",IF(K22&lt;TODAY(),"MAJ en retard",IF(K22&lt;=TODAY()+15,"MAJ proche","OK")))</x:f>
      </x:c>
    </x:row>
    <x:row r="23">
      <x:c r="A23" s="18"/>
      <x:c r="B23" s="18"/>
      <x:c r="C23" s="18"/>
      <x:c r="D23" s="18"/>
      <x:c r="E23" s="18"/>
      <x:c r="F23" s="18"/>
      <x:c r="G23" s="18"/>
      <x:c r="H23" s="18"/>
      <x:c r="I23" s="18"/>
      <x:c r="J23" s="19"/>
      <x:c r="K23" s="19"/>
      <x:c r="L23" s="18"/>
      <x:c r="M23" s="18"/>
      <x:c r="N23" s="18" t="str">
        <x:f>IF(A23="","",IF(K23&lt;TODAY(),"MAJ en retard",IF(K23&lt;=TODAY()+15,"MAJ proche","OK")))</x:f>
      </x:c>
    </x:row>
    <x:row r="24">
      <x:c r="A24" s="18"/>
      <x:c r="B24" s="18"/>
      <x:c r="C24" s="18"/>
      <x:c r="D24" s="18"/>
      <x:c r="E24" s="18"/>
      <x:c r="F24" s="18"/>
      <x:c r="G24" s="18"/>
      <x:c r="H24" s="18"/>
      <x:c r="I24" s="18"/>
      <x:c r="J24" s="19"/>
      <x:c r="K24" s="19"/>
      <x:c r="L24" s="18"/>
      <x:c r="M24" s="18"/>
      <x:c r="N24" s="18" t="str">
        <x:f>IF(A24="","",IF(K24&lt;TODAY(),"MAJ en retard",IF(K24&lt;=TODAY()+15,"MAJ proche","OK")))</x:f>
      </x:c>
    </x:row>
    <x:row r="25">
      <x:c r="A25" s="18"/>
      <x:c r="B25" s="18"/>
      <x:c r="C25" s="18"/>
      <x:c r="D25" s="18"/>
      <x:c r="E25" s="18"/>
      <x:c r="F25" s="18"/>
      <x:c r="G25" s="18"/>
      <x:c r="H25" s="18"/>
      <x:c r="I25" s="18"/>
      <x:c r="J25" s="19"/>
      <x:c r="K25" s="19"/>
      <x:c r="L25" s="18"/>
      <x:c r="M25" s="18"/>
      <x:c r="N25" s="18" t="str">
        <x:f>IF(A25="","",IF(K25&lt;TODAY(),"MAJ en retard",IF(K25&lt;=TODAY()+15,"MAJ proche","OK")))</x:f>
      </x:c>
    </x:row>
    <x:row r="26">
      <x:c r="A26" s="18"/>
      <x:c r="B26" s="18"/>
      <x:c r="C26" s="18"/>
      <x:c r="D26" s="18"/>
      <x:c r="E26" s="18"/>
      <x:c r="F26" s="18"/>
      <x:c r="G26" s="18"/>
      <x:c r="H26" s="18"/>
      <x:c r="I26" s="18"/>
      <x:c r="J26" s="19"/>
      <x:c r="K26" s="19"/>
      <x:c r="L26" s="18"/>
      <x:c r="M26" s="18"/>
      <x:c r="N26" s="18" t="str">
        <x:f>IF(A26="","",IF(K26&lt;TODAY(),"MAJ en retard",IF(K26&lt;=TODAY()+15,"MAJ proche","OK")))</x:f>
      </x:c>
    </x:row>
    <x:row r="27">
      <x:c r="A27" s="18"/>
      <x:c r="B27" s="18"/>
      <x:c r="C27" s="18"/>
      <x:c r="D27" s="18"/>
      <x:c r="E27" s="18"/>
      <x:c r="F27" s="18"/>
      <x:c r="G27" s="18"/>
      <x:c r="H27" s="18"/>
      <x:c r="I27" s="18"/>
      <x:c r="J27" s="19"/>
      <x:c r="K27" s="19"/>
      <x:c r="L27" s="18"/>
      <x:c r="M27" s="18"/>
      <x:c r="N27" s="18" t="str">
        <x:f>IF(A27="","",IF(K27&lt;TODAY(),"MAJ en retard",IF(K27&lt;=TODAY()+15,"MAJ proche","OK")))</x:f>
      </x:c>
    </x:row>
    <x:row r="28">
      <x:c r="A28" s="18"/>
      <x:c r="B28" s="18"/>
      <x:c r="C28" s="18"/>
      <x:c r="D28" s="18"/>
      <x:c r="E28" s="18"/>
      <x:c r="F28" s="18"/>
      <x:c r="G28" s="18"/>
      <x:c r="H28" s="18"/>
      <x:c r="I28" s="18"/>
      <x:c r="J28" s="19"/>
      <x:c r="K28" s="19"/>
      <x:c r="L28" s="18"/>
      <x:c r="M28" s="18"/>
      <x:c r="N28" s="18" t="str">
        <x:f>IF(A28="","",IF(K28&lt;TODAY(),"MAJ en retard",IF(K28&lt;=TODAY()+15,"MAJ proche","OK")))</x:f>
      </x:c>
    </x:row>
    <x:row r="29">
      <x:c r="A29" s="18"/>
      <x:c r="B29" s="18"/>
      <x:c r="C29" s="18"/>
      <x:c r="D29" s="18"/>
      <x:c r="E29" s="18"/>
      <x:c r="F29" s="18"/>
      <x:c r="G29" s="18"/>
      <x:c r="H29" s="18"/>
      <x:c r="I29" s="18"/>
      <x:c r="J29" s="19"/>
      <x:c r="K29" s="19"/>
      <x:c r="L29" s="18"/>
      <x:c r="M29" s="18"/>
      <x:c r="N29" s="18" t="str">
        <x:f>IF(A29="","",IF(K29&lt;TODAY(),"MAJ en retard",IF(K29&lt;=TODAY()+15,"MAJ proche","OK")))</x:f>
      </x:c>
    </x:row>
    <x:row r="30">
      <x:c r="A30" s="18"/>
      <x:c r="B30" s="18"/>
      <x:c r="C30" s="18"/>
      <x:c r="D30" s="18"/>
      <x:c r="E30" s="18"/>
      <x:c r="F30" s="18"/>
      <x:c r="G30" s="18"/>
      <x:c r="H30" s="18"/>
      <x:c r="I30" s="18"/>
      <x:c r="J30" s="19"/>
      <x:c r="K30" s="19"/>
      <x:c r="L30" s="18"/>
      <x:c r="M30" s="18"/>
      <x:c r="N30" s="18" t="str">
        <x:f>IF(A30="","",IF(K30&lt;TODAY(),"MAJ en retard",IF(K30&lt;=TODAY()+15,"MAJ proche","OK")))</x:f>
      </x:c>
    </x:row>
    <x:row r="31">
      <x:c r="A31" s="18"/>
      <x:c r="B31" s="18"/>
      <x:c r="C31" s="18"/>
      <x:c r="D31" s="18"/>
      <x:c r="E31" s="18"/>
      <x:c r="F31" s="18"/>
      <x:c r="G31" s="18"/>
      <x:c r="H31" s="18"/>
      <x:c r="I31" s="18"/>
      <x:c r="J31" s="19"/>
      <x:c r="K31" s="19"/>
      <x:c r="L31" s="18"/>
      <x:c r="M31" s="18"/>
      <x:c r="N31" s="18" t="str">
        <x:f>IF(A31="","",IF(K31&lt;TODAY(),"MAJ en retard",IF(K31&lt;=TODAY()+15,"MAJ proche","OK")))</x:f>
      </x:c>
    </x:row>
    <x:row r="32">
      <x:c r="A32" s="18"/>
      <x:c r="B32" s="18"/>
      <x:c r="C32" s="18"/>
      <x:c r="D32" s="18"/>
      <x:c r="E32" s="18"/>
      <x:c r="F32" s="18"/>
      <x:c r="G32" s="18"/>
      <x:c r="H32" s="18"/>
      <x:c r="I32" s="18"/>
      <x:c r="J32" s="19"/>
      <x:c r="K32" s="19"/>
      <x:c r="L32" s="18"/>
      <x:c r="M32" s="18"/>
      <x:c r="N32" s="18" t="str">
        <x:f>IF(A32="","",IF(K32&lt;TODAY(),"MAJ en retard",IF(K32&lt;=TODAY()+15,"MAJ proche","OK")))</x:f>
      </x:c>
    </x:row>
    <x:row r="33">
      <x:c r="A33" s="18"/>
      <x:c r="B33" s="18"/>
      <x:c r="C33" s="18"/>
      <x:c r="D33" s="18"/>
      <x:c r="E33" s="18"/>
      <x:c r="F33" s="18"/>
      <x:c r="G33" s="18"/>
      <x:c r="H33" s="18"/>
      <x:c r="I33" s="18"/>
      <x:c r="J33" s="19"/>
      <x:c r="K33" s="19"/>
      <x:c r="L33" s="18"/>
      <x:c r="M33" s="18"/>
      <x:c r="N33" s="18" t="str">
        <x:f>IF(A33="","",IF(K33&lt;TODAY(),"MAJ en retard",IF(K33&lt;=TODAY()+15,"MAJ proche","OK")))</x:f>
      </x:c>
    </x:row>
    <x:row r="34">
      <x:c r="A34" s="18"/>
      <x:c r="B34" s="18"/>
      <x:c r="C34" s="18"/>
      <x:c r="D34" s="18"/>
      <x:c r="E34" s="18"/>
      <x:c r="F34" s="18"/>
      <x:c r="G34" s="18"/>
      <x:c r="H34" s="18"/>
      <x:c r="I34" s="18"/>
      <x:c r="J34" s="19"/>
      <x:c r="K34" s="19"/>
      <x:c r="L34" s="18"/>
      <x:c r="M34" s="18"/>
      <x:c r="N34" s="18" t="str">
        <x:f>IF(A34="","",IF(K34&lt;TODAY(),"MAJ en retard",IF(K34&lt;=TODAY()+15,"MAJ proche","OK")))</x:f>
      </x:c>
    </x:row>
    <x:row r="35">
      <x:c r="A35" s="18"/>
      <x:c r="B35" s="18"/>
      <x:c r="C35" s="18"/>
      <x:c r="D35" s="18"/>
      <x:c r="E35" s="18"/>
      <x:c r="F35" s="18"/>
      <x:c r="G35" s="18"/>
      <x:c r="H35" s="18"/>
      <x:c r="I35" s="18"/>
      <x:c r="J35" s="19"/>
      <x:c r="K35" s="19"/>
      <x:c r="L35" s="18"/>
      <x:c r="M35" s="18"/>
      <x:c r="N35" s="18" t="str">
        <x:f>IF(A35="","",IF(K35&lt;TODAY(),"MAJ en retard",IF(K35&lt;=TODAY()+15,"MAJ proche","OK")))</x:f>
      </x:c>
    </x:row>
    <x:row r="36">
      <x:c r="A36" s="18"/>
      <x:c r="B36" s="18"/>
      <x:c r="C36" s="18"/>
      <x:c r="D36" s="18"/>
      <x:c r="E36" s="18"/>
      <x:c r="F36" s="18"/>
      <x:c r="G36" s="18"/>
      <x:c r="H36" s="18"/>
      <x:c r="I36" s="18"/>
      <x:c r="J36" s="19"/>
      <x:c r="K36" s="19"/>
      <x:c r="L36" s="18"/>
      <x:c r="M36" s="18"/>
      <x:c r="N36" s="18" t="str">
        <x:f>IF(A36="","",IF(K36&lt;TODAY(),"MAJ en retard",IF(K36&lt;=TODAY()+15,"MAJ proche","OK")))</x:f>
      </x:c>
    </x:row>
    <x:row r="37">
      <x:c r="A37" s="18"/>
      <x:c r="B37" s="18"/>
      <x:c r="C37" s="18"/>
      <x:c r="D37" s="18"/>
      <x:c r="E37" s="18"/>
      <x:c r="F37" s="18"/>
      <x:c r="G37" s="18"/>
      <x:c r="H37" s="18"/>
      <x:c r="I37" s="18"/>
      <x:c r="J37" s="19"/>
      <x:c r="K37" s="19"/>
      <x:c r="L37" s="18"/>
      <x:c r="M37" s="18"/>
      <x:c r="N37" s="18" t="str">
        <x:f>IF(A37="","",IF(K37&lt;TODAY(),"MAJ en retard",IF(K37&lt;=TODAY()+15,"MAJ proche","OK")))</x:f>
      </x:c>
    </x:row>
    <x:row r="38">
      <x:c r="A38" s="18"/>
      <x:c r="B38" s="18"/>
      <x:c r="C38" s="18"/>
      <x:c r="D38" s="18"/>
      <x:c r="E38" s="18"/>
      <x:c r="F38" s="18"/>
      <x:c r="G38" s="18"/>
      <x:c r="H38" s="18"/>
      <x:c r="I38" s="18"/>
      <x:c r="J38" s="19"/>
      <x:c r="K38" s="19"/>
      <x:c r="L38" s="18"/>
      <x:c r="M38" s="18"/>
      <x:c r="N38" s="18" t="str">
        <x:f>IF(A38="","",IF(K38&lt;TODAY(),"MAJ en retard",IF(K38&lt;=TODAY()+15,"MAJ proche","OK")))</x:f>
      </x:c>
    </x:row>
    <x:row r="39">
      <x:c r="A39" s="18"/>
      <x:c r="B39" s="18"/>
      <x:c r="C39" s="18"/>
      <x:c r="D39" s="18"/>
      <x:c r="E39" s="18"/>
      <x:c r="F39" s="18"/>
      <x:c r="G39" s="18"/>
      <x:c r="H39" s="18"/>
      <x:c r="I39" s="18"/>
      <x:c r="J39" s="19"/>
      <x:c r="K39" s="19"/>
      <x:c r="L39" s="18"/>
      <x:c r="M39" s="18"/>
      <x:c r="N39" s="18" t="str">
        <x:f>IF(A39="","",IF(K39&lt;TODAY(),"MAJ en retard",IF(K39&lt;=TODAY()+15,"MAJ proche","OK")))</x:f>
      </x:c>
    </x:row>
    <x:row r="40">
      <x:c r="A40" s="18"/>
      <x:c r="B40" s="18"/>
      <x:c r="C40" s="18"/>
      <x:c r="D40" s="18"/>
      <x:c r="E40" s="18"/>
      <x:c r="F40" s="18"/>
      <x:c r="G40" s="18"/>
      <x:c r="H40" s="18"/>
      <x:c r="I40" s="18"/>
      <x:c r="J40" s="19"/>
      <x:c r="K40" s="19"/>
      <x:c r="L40" s="18"/>
      <x:c r="M40" s="18"/>
      <x:c r="N40" s="18" t="str">
        <x:f>IF(A40="","",IF(K40&lt;TODAY(),"MAJ en retard",IF(K40&lt;=TODAY()+15,"MAJ proche","OK")))</x:f>
      </x:c>
    </x:row>
    <x:row r="41">
      <x:c r="A41" s="18"/>
      <x:c r="B41" s="18"/>
      <x:c r="C41" s="18"/>
      <x:c r="D41" s="18"/>
      <x:c r="E41" s="18"/>
      <x:c r="F41" s="18"/>
      <x:c r="G41" s="18"/>
      <x:c r="H41" s="18"/>
      <x:c r="I41" s="18"/>
      <x:c r="J41" s="19"/>
      <x:c r="K41" s="19"/>
      <x:c r="L41" s="18"/>
      <x:c r="M41" s="18"/>
      <x:c r="N41" s="18" t="str">
        <x:f>IF(A41="","",IF(K41&lt;TODAY(),"MAJ en retard",IF(K41&lt;=TODAY()+15,"MAJ proche","OK")))</x:f>
      </x:c>
    </x:row>
    <x:row r="42">
      <x:c r="A42" s="18"/>
      <x:c r="B42" s="18"/>
      <x:c r="C42" s="18"/>
      <x:c r="D42" s="18"/>
      <x:c r="E42" s="18"/>
      <x:c r="F42" s="18"/>
      <x:c r="G42" s="18"/>
      <x:c r="H42" s="18"/>
      <x:c r="I42" s="18"/>
      <x:c r="J42" s="19"/>
      <x:c r="K42" s="19"/>
      <x:c r="L42" s="18"/>
      <x:c r="M42" s="18"/>
      <x:c r="N42" s="18" t="str">
        <x:f>IF(A42="","",IF(K42&lt;TODAY(),"MAJ en retard",IF(K42&lt;=TODAY()+15,"MAJ proche","OK")))</x:f>
      </x:c>
    </x:row>
    <x:row r="43">
      <x:c r="A43" s="18"/>
      <x:c r="B43" s="18"/>
      <x:c r="C43" s="18"/>
      <x:c r="D43" s="18"/>
      <x:c r="E43" s="18"/>
      <x:c r="F43" s="18"/>
      <x:c r="G43" s="18"/>
      <x:c r="H43" s="18"/>
      <x:c r="I43" s="18"/>
      <x:c r="J43" s="19"/>
      <x:c r="K43" s="19"/>
      <x:c r="L43" s="18"/>
      <x:c r="M43" s="18"/>
      <x:c r="N43" s="18" t="str">
        <x:f>IF(A43="","",IF(K43&lt;TODAY(),"MAJ en retard",IF(K43&lt;=TODAY()+15,"MAJ proche","OK")))</x:f>
      </x:c>
    </x:row>
    <x:row r="44">
      <x:c r="A44" s="18"/>
      <x:c r="B44" s="18"/>
      <x:c r="C44" s="18"/>
      <x:c r="D44" s="18"/>
      <x:c r="E44" s="18"/>
      <x:c r="F44" s="18"/>
      <x:c r="G44" s="18"/>
      <x:c r="H44" s="18"/>
      <x:c r="I44" s="18"/>
      <x:c r="J44" s="19"/>
      <x:c r="K44" s="19"/>
      <x:c r="L44" s="18"/>
      <x:c r="M44" s="18"/>
      <x:c r="N44" s="18" t="str">
        <x:f>IF(A44="","",IF(K44&lt;TODAY(),"MAJ en retard",IF(K44&lt;=TODAY()+15,"MAJ proche","OK")))</x:f>
      </x:c>
    </x:row>
  </x:sheetData>
  <x:mergeCells>
    <x:mergeCell ref="A1:J1"/>
    <x:mergeCell ref="A2:J2"/>
  </x:mergeCells>
  <x:conditionalFormatting sqref="N5:N44">
    <x:cfRule type="containsText" dxfId="0" priority="1" operator="containsText" text="Retard"/>
    <x:cfRule type="containsText" dxfId="1" priority="2" operator="containsText" text="critique"/>
    <x:cfRule type="containsText" dxfId="2" priority="3" operator="containsText" text="manquant"/>
    <x:cfRule type="containsText" dxfId="3"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F5:F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L5:L44">
      <x:formula1>"Actif,A actualiser,Archive,Suspendu"</x:formula1>
    </x:dataValidation>
  </x:dataValidations>
  <x:pageMargins left="0.7" right="0.7" top="0.75" bottom="0.75" header="0.3" footer="0.3"/>
  <x:tableParts count="1">
    <x:tablePart xmlns:r="http://schemas.openxmlformats.org/officeDocument/2006/relationships" r:id="Rbf8ee3bef3004e2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11.880000114440918" hidden="0" customWidth="1"/>
    <x:col min="3" max="3" width="40" hidden="0" customWidth="1"/>
    <x:col min="4" max="4" width="28.75" hidden="0" customWidth="1"/>
    <x:col min="5" max="5" width="4.5" hidden="0" customWidth="1"/>
    <x:col min="6" max="6" width="23.75" hidden="0" customWidth="1"/>
    <x:col min="7" max="7" width="18.75" hidden="0" customWidth="1"/>
    <x:col min="8" max="8" width="4.5" hidden="0" customWidth="1"/>
    <x:col min="9" max="9" width="28.75" hidden="0" customWidth="1"/>
    <x:col min="10" max="10" width="21.8799991607666" hidden="0" customWidth="1"/>
    <x:col min="11" max="11" width="11.25" hidden="0" customWidth="1"/>
    <x:col min="12" max="12" width="32.5" hidden="0" customWidth="1"/>
    <x:col min="13" max="13" width="16.25" hidden="0" customWidth="1"/>
    <x:col min="14" max="14" width="16.25" hidden="0" customWidth="1"/>
  </x:cols>
  <x:sheetData>
    <x:row r="1" ht="25.5" customHeight="1">
      <x:c r="A1" s="2" t="str">
        <x:v>Tableau de bord executif climat - Ville de Dakar</x:v>
      </x:c>
      <x:c r="B1" s="2"/>
      <x:c r="C1" s="2"/>
      <x:c r="D1" s="2"/>
      <x:c r="E1" s="2"/>
      <x:c r="F1" s="2"/>
      <x:c r="G1" s="2"/>
      <x:c r="H1" s="2"/>
      <x:c r="I1" s="2"/>
      <x:c r="J1" s="2"/>
    </x:row>
    <x:row r="2" ht="31.5" customHeight="1">
      <x:c r="A2" s="5" t="str">
        <x:v>Synthese automatique des projets, emissions, budgets, financements, donnees sectorielles et alertes.</x:v>
      </x:c>
      <x:c r="B2" s="5"/>
      <x:c r="C2" s="5"/>
      <x:c r="D2" s="5"/>
      <x:c r="E2" s="5"/>
      <x:c r="F2" s="5"/>
      <x:c r="G2" s="5"/>
      <x:c r="H2" s="5"/>
      <x:c r="I2" s="5"/>
      <x:c r="J2" s="5"/>
    </x:row>
    <x:row r="4">
      <x:c r="A4" s="29" t="str">
        <x:v>Projets actifs</x:v>
      </x:c>
      <x:c r="B4" s="29"/>
      <x:c r="D4" s="29" t="str">
        <x:v>Budget total</x:v>
      </x:c>
      <x:c r="E4" s="29"/>
      <x:c r="G4" s="29" t="str">
        <x:v>Emissions inventaire</x:v>
      </x:c>
      <x:c r="H4" s="29"/>
      <x:c r="J4" s="29" t="str">
        <x:v>Alertes donnees</x:v>
      </x:c>
      <x:c r="K4" s="29"/>
    </x:row>
    <x:row r="5">
      <x:c r="A5" s="30" t="n">
        <x:f>COUNTA('05_PROJETS_CLIMAT'!$A$5:$A$104)</x:f>
        <x:v>6</x:v>
      </x:c>
      <x:c r="B5" s="30"/>
      <x:c r="C5" s="31"/>
      <x:c r="D5" s="32" t="n">
        <x:f>SUM('05_PROJETS_CLIMAT'!$P$5:$P$104)</x:f>
        <x:v>11930000000</x:v>
      </x:c>
      <x:c r="E5" s="30"/>
      <x:c r="F5" s="31"/>
      <x:c r="G5" s="33" t="n">
        <x:f>SUM('08_INVENTAIRE_GES'!$H$5:$H$104)</x:f>
        <x:v>1515200</x:v>
      </x:c>
      <x:c r="H5" s="30"/>
      <x:c r="I5" s="31"/>
      <x:c r="J5" s="30" t="n">
        <x:f>COUNTIF('05_PROJETS_CLIMAT'!$AG$5:$AG$104,"*manquantes*")+COUNTIF('09_DONNEES_GES_ACTIVITE'!$Q$5:$Q$104,"*manquantes*")+COUNTIF('11_QUALITE_AIR'!$O$5:$O$104,"*manquantes*")+COUNTIF('12_MOBILITE'!$Q$5:$Q$104,"*manquantes*")+COUNTIF('13_ENERGIE'!$P$5:$P$104,"*manquantes*")+COUNTIF('14_DECHETS'!$Q$5:$Q$104,"*manquantes*")</x:f>
        <x:v>0</x:v>
      </x:c>
      <x:c r="K5" s="29"/>
    </x:row>
    <x:row r="6">
      <x:c r="A6" s="30" t="str">
        <x:v>Retards projets</x:v>
      </x:c>
      <x:c r="B6" s="30"/>
      <x:c r="C6" s="31"/>
      <x:c r="D6" s="32" t="str">
        <x:v>Besoin financement</x:v>
      </x:c>
      <x:c r="E6" s="30"/>
      <x:c r="F6" s="31"/>
      <x:c r="G6" s="33" t="str">
        <x:v>Emissions evitees/an</x:v>
      </x:c>
      <x:c r="H6" s="30"/>
      <x:c r="I6" s="31"/>
      <x:c r="J6" s="30" t="str">
        <x:v>Financements critiques</x:v>
      </x:c>
      <x:c r="K6" s="29"/>
    </x:row>
    <x:row r="7">
      <x:c r="A7" s="30" t="n">
        <x:f>COUNTIF('05_PROJETS_CLIMAT'!$AE$5:$AE$104,"Retard")</x:f>
        <x:v>0</x:v>
      </x:c>
      <x:c r="B7" s="30"/>
      <x:c r="C7" s="31"/>
      <x:c r="D7" s="32" t="n">
        <x:f>SUM('05_PROJETS_CLIMAT'!$T$5:$T$104)</x:f>
        <x:v>8290000000</x:v>
      </x:c>
      <x:c r="E7" s="30"/>
      <x:c r="F7" s="31"/>
      <x:c r="G7" s="33" t="n">
        <x:f>SUM('05_PROJETS_CLIMAT'!$U$5:$U$104)</x:f>
        <x:v>23900</x:v>
      </x:c>
      <x:c r="H7" s="30"/>
      <x:c r="I7" s="31"/>
      <x:c r="J7" s="30" t="n">
        <x:f>COUNTIF('05_PROJETS_CLIMAT'!$AF$5:$AF$104,"*critique*")+COUNTIF('17_FINANCEMENTS'!$O$5:$O$104,"*critique*")</x:f>
        <x:v>0</x:v>
      </x:c>
      <x:c r="K7" s="29"/>
    </x:row>
    <x:row r="10">
      <x:c r="A10" s="7" t="str">
        <x:v>Alertes prioritaires</x:v>
      </x:c>
      <x:c r="B10" s="7" t="str">
        <x:v>Nombre</x:v>
      </x:c>
      <x:c r="C10" s="7" t="str">
        <x:v>Interpretation</x:v>
      </x:c>
      <x:c r="D10" s="7" t="str">
        <x:v>Action attendue</x:v>
      </x:c>
      <x:c r="F10" s="16" t="str">
        <x:v>Secteur</x:v>
      </x:c>
      <x:c r="G10" s="16" t="str">
        <x:v>Emissions tCO2e</x:v>
      </x:c>
      <x:c r="I10" s="16" t="str">
        <x:v>Secteur projet</x:v>
      </x:c>
      <x:c r="J10" s="16" t="str">
        <x:v>Budget total XOF</x:v>
      </x:c>
    </x:row>
    <x:row r="11">
      <x:c r="A11" s="9" t="str">
        <x:f>"Retards projets"</x:f>
        <x:v>Retards projets</x:v>
      </x:c>
      <x:c r="B11" s="9" t="n">
        <x:f>COUNTIF('05_PROJETS_CLIMAT'!$AE$5:$AE$104,"Retard")</x:f>
        <x:v>0</x:v>
      </x:c>
      <x:c r="C11" s="9" t="str">
        <x:f>"Echeances depassees hors projets termines"</x:f>
        <x:v>Echeances depassees hors projets termines</x:v>
      </x:c>
      <x:c r="D11" s="9" t="str">
        <x:f>"Replanifier ou arbitrer"</x:f>
        <x:v>Replanifier ou arbitrer</x:v>
      </x:c>
      <x:c r="F11" s="9" t="str">
        <x:f>"Stationary energy"</x:f>
        <x:v>Stationary energy</x:v>
      </x:c>
      <x:c r="G11" s="35" t="n">
        <x:f>SUMIF('08_INVENTAIRE_GES'!$D$5:$D$104,F11,'08_INVENTAIRE_GES'!$H$5:$H$104)</x:f>
        <x:v>458000</x:v>
      </x:c>
      <x:c r="I11" s="9" t="str">
        <x:f>"Energie"</x:f>
        <x:v>Energie</x:v>
      </x:c>
      <x:c r="J11" s="36" t="n">
        <x:f>SUMIF('05_PROJETS_CLIMAT'!$D$5:$D$104,I11,'05_PROJETS_CLIMAT'!$P$5:$P$104)</x:f>
        <x:v>4600000000</x:v>
      </x:c>
    </x:row>
    <x:row r="12">
      <x:c r="A12" s="9" t="str">
        <x:f>"Financement critique"</x:f>
        <x:v>Financement critique</x:v>
      </x:c>
      <x:c r="B12" s="9" t="n">
        <x:f>COUNTIF('05_PROJETS_CLIMAT'!$AF$5:$AF$104,"*critique*")</x:f>
        <x:v>0</x:v>
      </x:c>
      <x:c r="C12" s="9" t="str">
        <x:f>"Moins de 50% du budget finance"</x:f>
        <x:v>Moins de 50% du budget finance</x:v>
      </x:c>
      <x:c r="D12" s="9" t="str">
        <x:f>"Mobiliser bailleurs / budget"</x:f>
        <x:v>Mobiliser bailleurs / budget</x:v>
      </x:c>
      <x:c r="F12" s="9" t="str">
        <x:f>"Transportation"</x:f>
        <x:v>Transportation</x:v>
      </x:c>
      <x:c r="G12" s="35" t="n">
        <x:f>SUMIF('08_INVENTAIRE_GES'!$D$5:$D$104,F12,'08_INVENTAIRE_GES'!$H$5:$H$104)</x:f>
        <x:v>792200</x:v>
      </x:c>
      <x:c r="I12" s="9" t="str">
        <x:f>"Transport et mobilite"</x:f>
        <x:v>Transport et mobilite</x:v>
      </x:c>
      <x:c r="J12" s="36" t="n">
        <x:f>SUMIF('05_PROJETS_CLIMAT'!$D$5:$D$104,I12,'05_PROJETS_CLIMAT'!$P$5:$P$104)</x:f>
        <x:v>950000000</x:v>
      </x:c>
    </x:row>
    <x:row r="13">
      <x:c r="A13" s="9" t="str">
        <x:f>"Donnees manquantes"</x:f>
        <x:v>Donnees manquantes</x:v>
      </x:c>
      <x:c r="B13" s="9" t="n">
        <x:f>J5</x:f>
        <x:v>0</x:v>
      </x:c>
      <x:c r="C13" s="9" t="str">
        <x:f>"Sources ou champs incomplets"</x:f>
        <x:v>Sources ou champs incomplets</x:v>
      </x:c>
      <x:c r="D13" s="9" t="str">
        <x:f>"Completer onglets sources"</x:f>
        <x:v>Completer onglets sources</x:v>
      </x:c>
      <x:c r="F13" s="9" t="str">
        <x:f>"Waste"</x:f>
        <x:v>Waste</x:v>
      </x:c>
      <x:c r="G13" s="35" t="n">
        <x:f>SUMIF('08_INVENTAIRE_GES'!$D$5:$D$104,F13,'08_INVENTAIRE_GES'!$H$5:$H$104)</x:f>
        <x:v>265000</x:v>
      </x:c>
      <x:c r="I13" s="9" t="str">
        <x:f>"Dechets"</x:f>
        <x:v>Dechets</x:v>
      </x:c>
      <x:c r="J13" s="36" t="n">
        <x:f>SUMIF('05_PROJETS_CLIMAT'!$D$5:$D$104,I13,'05_PROJETS_CLIMAT'!$P$5:$P$104)</x:f>
        <x:v>1800000000</x:v>
      </x:c>
    </x:row>
    <x:row r="14">
      <x:c r="A14" s="9" t="str">
        <x:f>"QA/QC en retard"</x:f>
        <x:v>QA/QC en retard</x:v>
      </x:c>
      <x:c r="B14" s="9" t="n">
        <x:f>COUNTIF('19_QA_QC'!$N$5:$N$104,"Retard")</x:f>
        <x:v>0</x:v>
      </x:c>
      <x:c r="C14" s="9" t="str">
        <x:f>"Corrections QA non cloturees"</x:f>
        <x:v>Corrections QA non cloturees</x:v>
      </x:c>
      <x:c r="D14" s="9" t="str">
        <x:f>"Traiter anomalies"</x:f>
        <x:v>Traiter anomalies</x:v>
      </x:c>
      <x:c r="F14" s="9" t="str">
        <x:f>"IPPU"</x:f>
        <x:v>IPPU</x:v>
      </x:c>
      <x:c r="G14" s="35" t="n">
        <x:f>SUMIF('08_INVENTAIRE_GES'!$D$5:$D$104,F14,'08_INVENTAIRE_GES'!$H$5:$H$104)</x:f>
        <x:v>0</x:v>
      </x:c>
      <x:c r="I14" s="9" t="str">
        <x:f>"Qualite de l'air"</x:f>
        <x:v>Qualite de l'air</x:v>
      </x:c>
      <x:c r="J14" s="36" t="n">
        <x:f>SUMIF('05_PROJETS_CLIMAT'!$D$5:$D$104,I14,'05_PROJETS_CLIMAT'!$P$5:$P$104)</x:f>
        <x:v>380000000</x:v>
      </x:c>
    </x:row>
    <x:row r="15">
      <x:c r="A15" s="9" t="str">
        <x:f>"Risques critiques"</x:f>
        <x:v>Risques critiques</x:v>
      </x:c>
      <x:c r="B15" s="9" t="n">
        <x:f>COUNTIF('18_RISQUES_HYPOTHESES'!$H$5:$H$104,"Critique")</x:f>
        <x:v>2</x:v>
      </x:c>
      <x:c r="C15" s="9" t="str">
        <x:f>"Risques a arbitrer"</x:f>
        <x:v>Risques a arbitrer</x:v>
      </x:c>
      <x:c r="D15" s="9" t="str">
        <x:f>"Comite de pilotage"</x:f>
        <x:v>Comite de pilotage</x:v>
      </x:c>
      <x:c r="F15" s="9" t="str">
        <x:f>"AFOLU"</x:f>
        <x:v>AFOLU</x:v>
      </x:c>
      <x:c r="G15" s="35" t="n">
        <x:f>SUMIF('08_INVENTAIRE_GES'!$D$5:$D$104,F15,'08_INVENTAIRE_GES'!$H$5:$H$104)</x:f>
        <x:v>0</x:v>
      </x:c>
      <x:c r="I15" s="9" t="str">
        <x:f>"Batiments"</x:f>
        <x:v>Batiments</x:v>
      </x:c>
      <x:c r="J15" s="36" t="n">
        <x:f>SUMIF('05_PROJETS_CLIMAT'!$D$5:$D$104,I15,'05_PROJETS_CLIMAT'!$P$5:$P$104)</x:f>
        <x:v>0</x:v>
      </x:c>
    </x:row>
    <x:row r="16">
      <x:c r="A16" s="9" t="str">
        <x:f>"Depassements air"</x:f>
        <x:v>Depassements air</x:v>
      </x:c>
      <x:c r="B16" s="9" t="n">
        <x:f>COUNTIF('11_QUALITE_AIR'!$N$5:$N$104,"Oui")</x:f>
        <x:v>4</x:v>
      </x:c>
      <x:c r="C16" s="9" t="str">
        <x:f>"Mesures au-dessus du seuil reference"</x:f>
        <x:v>Mesures au-dessus du seuil reference</x:v>
      </x:c>
      <x:c r="D16" s="9" t="str">
        <x:f>"Analyser zones prioritaires"</x:f>
        <x:v>Analyser zones prioritaires</x:v>
      </x:c>
      <x:c r="F16" s="9" t="str">
        <x:f>"Other Scope 3"</x:f>
        <x:v>Other Scope 3</x:v>
      </x:c>
      <x:c r="G16" s="35" t="n">
        <x:f>SUMIF('08_INVENTAIRE_GES'!$D$5:$D$104,F16,'08_INVENTAIRE_GES'!$H$5:$H$104)</x:f>
        <x:v>0</x:v>
      </x:c>
      <x:c r="I16" s="9" t="str">
        <x:f>"Urbanisme et resilience"</x:f>
        <x:v>Urbanisme et resilience</x:v>
      </x:c>
      <x:c r="J16" s="36" t="n">
        <x:f>SUMIF('05_PROJETS_CLIMAT'!$D$5:$D$104,I16,'05_PROJETS_CLIMAT'!$P$5:$P$104)</x:f>
        <x:v>4200000000</x:v>
      </x:c>
    </x:row>
    <x:row r="17">
      <x:c r="I17" s="9" t="str">
        <x:f>"Eau et assainissement"</x:f>
        <x:v>Eau et assainissement</x:v>
      </x:c>
      <x:c r="J17" s="36" t="n">
        <x:f>SUMIF('05_PROJETS_CLIMAT'!$D$5:$D$104,I17,'05_PROJETS_CLIMAT'!$P$5:$P$104)</x:f>
        <x:v>0</x:v>
      </x:c>
    </x:row>
    <x:row r="18">
      <x:c r="I18" s="9" t="str">
        <x:f>"Nature et littoral"</x:f>
        <x:v>Nature et littoral</x:v>
      </x:c>
      <x:c r="J18" s="36" t="n">
        <x:f>SUMIF('05_PROJETS_CLIMAT'!$D$5:$D$104,I18,'05_PROJETS_CLIMAT'!$P$5:$P$104)</x:f>
        <x:v>0</x:v>
      </x:c>
    </x:row>
    <x:row r="19">
      <x:c r="A19" s="7" t="str">
        <x:v>Synthese visuelle - emissions GES</x:v>
      </x:c>
      <x:c r="B19" s="7"/>
      <x:c r="C19" s="7"/>
      <x:c r="D19" s="7"/>
      <x:c r="I19" s="9" t="str">
        <x:f>"Gouvernance climat"</x:f>
        <x:v>Gouvernance climat</x:v>
      </x:c>
      <x:c r="J19" s="36" t="n">
        <x:f>SUMIF('05_PROJETS_CLIMAT'!$D$5:$D$104,I19,'05_PROJETS_CLIMAT'!$P$5:$P$104)</x:f>
        <x:v>0</x:v>
      </x:c>
    </x:row>
    <x:row r="20">
      <x:c r="A20" s="37" t="str">
        <x:f>F11</x:f>
        <x:v>Stationary energy</x:v>
      </x:c>
      <x:c r="B20" s="38" t="n">
        <x:f>G11</x:f>
        <x:v>458000</x:v>
      </x:c>
      <x:c r="C20" s="39" t="n">
        <x:f>IFERROR(G11/MAX($G$11:$G$16),0)</x:f>
        <x:v>0.5781368341327947</x:v>
      </x:c>
      <x:c r="D20" s="37" t="str">
        <x:f>REPT("|",ROUND(C20*30,0))</x:f>
        <x:v>|||||||||||||||||</x:v>
      </x:c>
      <x:c r="I20" s="9" t="str">
        <x:f>"Finance climat"</x:f>
        <x:v>Finance climat</x:v>
      </x:c>
      <x:c r="J20" s="36" t="n">
        <x:f>SUMIF('05_PROJETS_CLIMAT'!$D$5:$D$104,I20,'05_PROJETS_CLIMAT'!$P$5:$P$104)</x:f>
        <x:v>0</x:v>
      </x:c>
    </x:row>
    <x:row r="21">
      <x:c r="A21" s="37" t="str">
        <x:f>F12</x:f>
        <x:v>Transportation</x:v>
      </x:c>
      <x:c r="B21" s="38" t="n">
        <x:f>G12</x:f>
        <x:v>792200</x:v>
      </x:c>
      <x:c r="C21" s="39" t="n">
        <x:f>IFERROR(G12/MAX($G$11:$G$16),0)</x:f>
        <x:v>1</x:v>
      </x:c>
      <x:c r="D21" s="37" t="str">
        <x:f>REPT("|",ROUND(C21*30,0))</x:f>
        <x:v>||||||||||||||||||||||||||||||</x:v>
      </x:c>
    </x:row>
    <x:row r="22">
      <x:c r="A22" s="37" t="str">
        <x:f>F13</x:f>
        <x:v>Waste</x:v>
      </x:c>
      <x:c r="B22" s="38" t="n">
        <x:f>G13</x:f>
        <x:v>265000</x:v>
      </x:c>
      <x:c r="C22" s="39" t="n">
        <x:f>IFERROR(G13/MAX($G$11:$G$16),0)</x:f>
        <x:v>0.33451148699823274</x:v>
      </x:c>
      <x:c r="D22" s="37" t="str">
        <x:f>REPT("|",ROUND(C22*30,0))</x:f>
        <x:v>||||||||||</x:v>
      </x:c>
      <x:c r="I22" s="7" t="str">
        <x:v>Synthese visuelle - budgets climat</x:v>
      </x:c>
      <x:c r="J22" s="7"/>
      <x:c r="K22" s="7"/>
      <x:c r="L22" s="7"/>
    </x:row>
    <x:row r="23">
      <x:c r="A23" s="37" t="str">
        <x:f>F14</x:f>
        <x:v>IPPU</x:v>
      </x:c>
      <x:c r="B23" s="38" t="n">
        <x:f>G14</x:f>
        <x:v>0</x:v>
      </x:c>
      <x:c r="C23" s="39" t="n">
        <x:f>IFERROR(G14/MAX($G$11:$G$16),0)</x:f>
        <x:v>0</x:v>
      </x:c>
      <x:c r="D23" s="37" t="str">
        <x:f>REPT("|",ROUND(C23*30,0))</x:f>
      </x:c>
      <x:c r="I23" s="37" t="str">
        <x:f>"Energie"</x:f>
        <x:v>Energie</x:v>
      </x:c>
      <x:c r="J23" s="40" t="n">
        <x:f>SUMIF('05_PROJETS_CLIMAT'!$D$5:$D$104,I23,'05_PROJETS_CLIMAT'!$P$5:$P$104)</x:f>
        <x:v>4600000000</x:v>
      </x:c>
      <x:c r="K23" s="39" t="n">
        <x:f>IFERROR(J23/MAX($J$23:$J$32),0)</x:f>
        <x:v>1</x:v>
      </x:c>
      <x:c r="L23" s="37" t="str">
        <x:f>REPT("|",ROUND(K23*30,0))</x:f>
        <x:v>||||||||||||||||||||||||||||||</x:v>
      </x:c>
    </x:row>
    <x:row r="24">
      <x:c r="A24" s="37" t="str">
        <x:f>F15</x:f>
        <x:v>AFOLU</x:v>
      </x:c>
      <x:c r="B24" s="38" t="n">
        <x:f>G15</x:f>
        <x:v>0</x:v>
      </x:c>
      <x:c r="C24" s="39" t="n">
        <x:f>IFERROR(G15/MAX($G$11:$G$16),0)</x:f>
        <x:v>0</x:v>
      </x:c>
      <x:c r="D24" s="37" t="str">
        <x:f>REPT("|",ROUND(C24*30,0))</x:f>
      </x:c>
      <x:c r="I24" s="37" t="str">
        <x:f>"Transport et mobilite"</x:f>
        <x:v>Transport et mobilite</x:v>
      </x:c>
      <x:c r="J24" s="40" t="n">
        <x:f>SUMIF('05_PROJETS_CLIMAT'!$D$5:$D$104,I24,'05_PROJETS_CLIMAT'!$P$5:$P$104)</x:f>
        <x:v>950000000</x:v>
      </x:c>
      <x:c r="K24" s="39" t="n">
        <x:f>IFERROR(J24/MAX($J$23:$J$32),0)</x:f>
        <x:v>0.20652173913043478</x:v>
      </x:c>
      <x:c r="L24" s="37" t="str">
        <x:f>REPT("|",ROUND(K24*30,0))</x:f>
        <x:v>||||||</x:v>
      </x:c>
    </x:row>
    <x:row r="25">
      <x:c r="A25" s="37" t="str">
        <x:f>F16</x:f>
        <x:v>Other Scope 3</x:v>
      </x:c>
      <x:c r="B25" s="38" t="n">
        <x:f>G16</x:f>
        <x:v>0</x:v>
      </x:c>
      <x:c r="C25" s="39" t="n">
        <x:f>IFERROR(G16/MAX($G$11:$G$16),0)</x:f>
        <x:v>0</x:v>
      </x:c>
      <x:c r="D25" s="37" t="str">
        <x:f>REPT("|",ROUND(C25*30,0))</x:f>
      </x:c>
      <x:c r="I25" s="37" t="str">
        <x:f>"Dechets"</x:f>
        <x:v>Dechets</x:v>
      </x:c>
      <x:c r="J25" s="40" t="n">
        <x:f>SUMIF('05_PROJETS_CLIMAT'!$D$5:$D$104,I25,'05_PROJETS_CLIMAT'!$P$5:$P$104)</x:f>
        <x:v>1800000000</x:v>
      </x:c>
      <x:c r="K25" s="39" t="n">
        <x:f>IFERROR(J25/MAX($J$23:$J$32),0)</x:f>
        <x:v>0.391304347826087</x:v>
      </x:c>
      <x:c r="L25" s="37" t="str">
        <x:f>REPT("|",ROUND(K25*30,0))</x:f>
        <x:v>||||||||||||</x:v>
      </x:c>
    </x:row>
    <x:row r="26">
      <x:c r="I26" s="37" t="str">
        <x:f>"Qualite de l'air"</x:f>
        <x:v>Qualite de l'air</x:v>
      </x:c>
      <x:c r="J26" s="40" t="n">
        <x:f>SUMIF('05_PROJETS_CLIMAT'!$D$5:$D$104,I26,'05_PROJETS_CLIMAT'!$P$5:$P$104)</x:f>
        <x:v>380000000</x:v>
      </x:c>
      <x:c r="K26" s="39" t="n">
        <x:f>IFERROR(J26/MAX($J$23:$J$32),0)</x:f>
        <x:v>0.08260869565217391</x:v>
      </x:c>
      <x:c r="L26" s="37" t="str">
        <x:f>REPT("|",ROUND(K26*30,0))</x:f>
        <x:v>||</x:v>
      </x:c>
    </x:row>
    <x:row r="27">
      <x:c r="I27" s="37" t="str">
        <x:f>"Batiments"</x:f>
        <x:v>Batiments</x:v>
      </x:c>
      <x:c r="J27" s="40" t="n">
        <x:f>SUMIF('05_PROJETS_CLIMAT'!$D$5:$D$104,I27,'05_PROJETS_CLIMAT'!$P$5:$P$104)</x:f>
        <x:v>0</x:v>
      </x:c>
      <x:c r="K27" s="39" t="n">
        <x:f>IFERROR(J27/MAX($J$23:$J$32),0)</x:f>
        <x:v>0</x:v>
      </x:c>
      <x:c r="L27" s="37" t="str">
        <x:f>REPT("|",ROUND(K27*30,0))</x:f>
      </x:c>
    </x:row>
    <x:row r="28">
      <x:c r="I28" s="37" t="str">
        <x:f>"Urbanisme et resilience"</x:f>
        <x:v>Urbanisme et resilience</x:v>
      </x:c>
      <x:c r="J28" s="40" t="n">
        <x:f>SUMIF('05_PROJETS_CLIMAT'!$D$5:$D$104,I28,'05_PROJETS_CLIMAT'!$P$5:$P$104)</x:f>
        <x:v>4200000000</x:v>
      </x:c>
      <x:c r="K28" s="39" t="n">
        <x:f>IFERROR(J28/MAX($J$23:$J$32),0)</x:f>
        <x:v>0.9130434782608695</x:v>
      </x:c>
      <x:c r="L28" s="37" t="str">
        <x:f>REPT("|",ROUND(K28*30,0))</x:f>
        <x:v>|||||||||||||||||||||||||||</x:v>
      </x:c>
    </x:row>
    <x:row r="29">
      <x:c r="I29" s="37" t="str">
        <x:f>"Eau et assainissement"</x:f>
        <x:v>Eau et assainissement</x:v>
      </x:c>
      <x:c r="J29" s="40" t="n">
        <x:f>SUMIF('05_PROJETS_CLIMAT'!$D$5:$D$104,I29,'05_PROJETS_CLIMAT'!$P$5:$P$104)</x:f>
        <x:v>0</x:v>
      </x:c>
      <x:c r="K29" s="39" t="n">
        <x:f>IFERROR(J29/MAX($J$23:$J$32),0)</x:f>
        <x:v>0</x:v>
      </x:c>
      <x:c r="L29" s="37" t="str">
        <x:f>REPT("|",ROUND(K29*30,0))</x:f>
      </x:c>
    </x:row>
    <x:row r="30">
      <x:c r="I30" s="37" t="str">
        <x:f>"Nature et littoral"</x:f>
        <x:v>Nature et littoral</x:v>
      </x:c>
      <x:c r="J30" s="40" t="n">
        <x:f>SUMIF('05_PROJETS_CLIMAT'!$D$5:$D$104,I30,'05_PROJETS_CLIMAT'!$P$5:$P$104)</x:f>
        <x:v>0</x:v>
      </x:c>
      <x:c r="K30" s="39" t="n">
        <x:f>IFERROR(J30/MAX($J$23:$J$32),0)</x:f>
        <x:v>0</x:v>
      </x:c>
      <x:c r="L30" s="37" t="str">
        <x:f>REPT("|",ROUND(K30*30,0))</x:f>
      </x:c>
    </x:row>
    <x:row r="31">
      <x:c r="I31" s="37" t="str">
        <x:f>"Gouvernance climat"</x:f>
        <x:v>Gouvernance climat</x:v>
      </x:c>
      <x:c r="J31" s="40" t="n">
        <x:f>SUMIF('05_PROJETS_CLIMAT'!$D$5:$D$104,I31,'05_PROJETS_CLIMAT'!$P$5:$P$104)</x:f>
        <x:v>0</x:v>
      </x:c>
      <x:c r="K31" s="39" t="n">
        <x:f>IFERROR(J31/MAX($J$23:$J$32),0)</x:f>
        <x:v>0</x:v>
      </x:c>
      <x:c r="L31" s="37" t="str">
        <x:f>REPT("|",ROUND(K31*30,0))</x:f>
      </x:c>
    </x:row>
    <x:row r="32">
      <x:c r="I32" s="37" t="str">
        <x:f>"Finance climat"</x:f>
        <x:v>Finance climat</x:v>
      </x:c>
      <x:c r="J32" s="40" t="n">
        <x:f>SUMIF('05_PROJETS_CLIMAT'!$D$5:$D$104,I32,'05_PROJETS_CLIMAT'!$P$5:$P$104)</x:f>
        <x:v>0</x:v>
      </x:c>
      <x:c r="K32" s="39" t="n">
        <x:f>IFERROR(J32/MAX($J$23:$J$32),0)</x:f>
        <x:v>0</x:v>
      </x:c>
      <x:c r="L32" s="37" t="str">
        <x:f>REPT("|",ROUND(K32*30,0))</x:f>
      </x:c>
    </x:row>
    <x:row r="38">
      <x:c r="A38" s="15" t="str">
        <x:v>Lecture rapide</x:v>
      </x:c>
      <x:c r="B38" s="15" t="str">
        <x:v>Lecture rapide</x:v>
      </x:c>
      <x:c r="C38" s="15" t="str">
        <x:v>Lecture rapide</x:v>
      </x:c>
      <x:c r="D38" s="15" t="str">
        <x:v>Lecture rapide</x:v>
      </x:c>
      <x:c r="E38" s="15" t="str">
        <x:v>Lecture rapide</x:v>
      </x:c>
      <x:c r="F38" s="15" t="str">
        <x:v>Lecture rapide</x:v>
      </x:c>
      <x:c r="G38" s="15" t="str">
        <x:v>Lecture rapide</x:v>
      </x:c>
      <x:c r="H38" s="15" t="str">
        <x:v>Lecture rapide</x:v>
      </x:c>
      <x:c r="I38" s="15" t="str">
        <x:v>Lecture rapide</x:v>
      </x:c>
      <x:c r="J38" s="15" t="str">
        <x:v>Lecture rapide</x:v>
      </x:c>
      <x:c r="K38" s="15" t="str">
        <x:v>Lecture rapide</x:v>
      </x:c>
      <x:c r="L38" s="15" t="str">
        <x:v>Lecture rapide</x:v>
      </x:c>
    </x:row>
    <x:row r="39">
      <x:c r="A39" s="43" t="str">
        <x:v>Ce tableau de bord est alimente par les onglets sources. Les indicateurs financiers, GES et alertes se recalculent automatiquement lorsque les tables de donnees sont mises a jour.</x:v>
      </x:c>
      <x:c r="B39" s="43"/>
      <x:c r="C39" s="43"/>
      <x:c r="D39" s="43"/>
      <x:c r="E39" s="43"/>
      <x:c r="F39" s="43"/>
      <x:c r="G39" s="43"/>
      <x:c r="H39" s="43"/>
      <x:c r="I39" s="43"/>
      <x:c r="J39" s="43"/>
      <x:c r="K39" s="43"/>
      <x:c r="L39" s="43"/>
    </x:row>
    <x:row r="40">
      <x:c r="A40" s="43"/>
      <x:c r="B40" s="43"/>
      <x:c r="C40" s="43"/>
      <x:c r="D40" s="43"/>
      <x:c r="E40" s="43"/>
      <x:c r="F40" s="43"/>
      <x:c r="G40" s="43"/>
      <x:c r="H40" s="43"/>
      <x:c r="I40" s="43"/>
      <x:c r="J40" s="43"/>
      <x:c r="K40" s="43"/>
      <x:c r="L40" s="43"/>
    </x:row>
    <x:row r="41">
      <x:c r="A41" s="43"/>
      <x:c r="B41" s="43"/>
      <x:c r="C41" s="43"/>
      <x:c r="D41" s="43"/>
      <x:c r="E41" s="43"/>
      <x:c r="F41" s="43"/>
      <x:c r="G41" s="43"/>
      <x:c r="H41" s="43"/>
      <x:c r="I41" s="43"/>
      <x:c r="J41" s="43"/>
      <x:c r="K41" s="43"/>
      <x:c r="L41" s="43"/>
    </x:row>
    <x:row r="42">
      <x:c r="A42" s="43"/>
      <x:c r="B42" s="43"/>
      <x:c r="C42" s="43"/>
      <x:c r="D42" s="43"/>
      <x:c r="E42" s="43"/>
      <x:c r="F42" s="43"/>
      <x:c r="G42" s="43"/>
      <x:c r="H42" s="43"/>
      <x:c r="I42" s="43"/>
      <x:c r="J42" s="43"/>
      <x:c r="K42" s="43"/>
      <x:c r="L42" s="43"/>
    </x:row>
  </x:sheetData>
  <x:mergeCells>
    <x:mergeCell ref="A1:J1"/>
    <x:mergeCell ref="A2:J2"/>
    <x:mergeCell ref="A19:D19"/>
    <x:mergeCell ref="I22:L22"/>
    <x:mergeCell ref="A38:L38"/>
    <x:mergeCell ref="A39:L42"/>
  </x:mergeCells>
  <x:conditionalFormatting sqref="A11:D16">
    <x:cfRule type="containsText" dxfId="92" priority="1" operator="containsText" text="Retard"/>
    <x:cfRule type="containsText" dxfId="93" priority="2" operator="containsText" text="critique"/>
    <x:cfRule type="containsText" dxfId="94" priority="3" operator="containsText" text="manquant"/>
    <x:cfRule type="containsText" dxfId="95" priority="4" operator="containsText" text="O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2.5" hidden="0" customWidth="1"/>
    <x:col min="3" max="3" width="14.380000114440918" hidden="0" customWidth="1"/>
    <x:col min="4" max="4" width="18.75" hidden="0" customWidth="1"/>
    <x:col min="5" max="5" width="18.75" hidden="0" customWidth="1"/>
    <x:col min="6" max="6" width="16.25" hidden="0" customWidth="1"/>
    <x:col min="7" max="7" width="20" hidden="0" customWidth="1"/>
    <x:col min="8" max="8" width="21.25" hidden="0" customWidth="1"/>
    <x:col min="9" max="9" width="22.5" hidden="0" customWidth="1"/>
    <x:col min="10" max="10" width="15.630000114440918" hidden="0" customWidth="1"/>
    <x:col min="11" max="11" width="21.25" hidden="0" customWidth="1"/>
    <x:col min="12" max="12" width="12.5" hidden="0" customWidth="1"/>
    <x:col min="13" max="13" width="13.75" hidden="0" customWidth="1"/>
    <x:col min="14" max="14" width="14.380000114440918" hidden="0" customWidth="1"/>
    <x:col min="15" max="15" width="13.130000114440918" hidden="0" customWidth="1"/>
    <x:col min="16" max="16" width="18.1299991607666" hidden="0" customWidth="1"/>
    <x:col min="17" max="17" width="18.1299991607666" hidden="0" customWidth="1"/>
    <x:col min="18" max="18" width="18.1299991607666" hidden="0" customWidth="1"/>
    <x:col min="19" max="19" width="19.3799991607666" hidden="0" customWidth="1"/>
    <x:col min="20" max="20" width="18.75" hidden="0" customWidth="1"/>
    <x:col min="21" max="21" width="18.1299991607666" hidden="0" customWidth="1"/>
    <x:col min="22" max="22" width="14.380000114440918" hidden="0" customWidth="1"/>
    <x:col min="23" max="23" width="11.25" hidden="0" customWidth="1"/>
    <x:col min="24" max="24" width="11.25" hidden="0" customWidth="1"/>
    <x:col min="25" max="25" width="11.25" hidden="0" customWidth="1"/>
    <x:col min="26" max="26" width="11.25" hidden="0" customWidth="1"/>
    <x:col min="27" max="27" width="11.880000114440918" hidden="0" customWidth="1"/>
    <x:col min="28" max="28" width="23.75" hidden="0" customWidth="1"/>
    <x:col min="29" max="29" width="25" hidden="0" customWidth="1"/>
    <x:col min="30" max="30" width="14.380000114440918" hidden="0" customWidth="1"/>
    <x:col min="31" max="31" width="16.8799991607666" hidden="0" customWidth="1"/>
    <x:col min="32" max="32" width="19.3799991607666" hidden="0" customWidth="1"/>
    <x:col min="33" max="33" width="18.1299991607666" hidden="0" customWidth="1"/>
    <x:col min="34" max="34" width="28.75" hidden="0" customWidth="1"/>
  </x:cols>
  <x:sheetData>
    <x:row r="1" ht="25.5" customHeight="1">
      <x:c r="A1" s="2" t="str">
        <x:v>Portefeuille des projets climat</x:v>
      </x:c>
      <x:c r="B1" s="2"/>
      <x:c r="C1" s="2"/>
      <x:c r="D1" s="2"/>
      <x:c r="E1" s="2"/>
      <x:c r="F1" s="2"/>
      <x:c r="G1" s="2"/>
      <x:c r="H1" s="2"/>
      <x:c r="I1" s="2"/>
      <x:c r="J1" s="2"/>
    </x:row>
    <x:row r="2" ht="31.5" customHeight="1">
      <x:c r="A2" s="5" t="str">
        <x:v>Table maitre des projets de la Ville de Dakar avec maturite, budget, financement et alertes.</x:v>
      </x:c>
      <x:c r="B2" s="5"/>
      <x:c r="C2" s="5"/>
      <x:c r="D2" s="5"/>
      <x:c r="E2" s="5"/>
      <x:c r="F2" s="5"/>
      <x:c r="G2" s="5"/>
      <x:c r="H2" s="5"/>
      <x:c r="I2" s="5"/>
      <x:c r="J2" s="5"/>
    </x:row>
    <x:row r="4" ht="28.5" customHeight="1">
      <x:c r="A4" s="16" t="str">
        <x:v>Project_ID</x:v>
      </x:c>
      <x:c r="B4" s="16" t="str">
        <x:v>Nom_projet</x:v>
      </x:c>
      <x:c r="C4" s="16" t="str">
        <x:v>Axe_climat</x:v>
      </x:c>
      <x:c r="D4" s="16" t="str">
        <x:v>Secteur</x:v>
      </x:c>
      <x:c r="E4" s="16" t="str">
        <x:v>Sous_secteur</x:v>
      </x:c>
      <x:c r="F4" s="16" t="str">
        <x:v>Type_action</x:v>
      </x:c>
      <x:c r="G4" s="16" t="str">
        <x:v>Quartier_zone</x:v>
      </x:c>
      <x:c r="H4" s="16" t="str">
        <x:v>Service_responsable</x:v>
      </x:c>
      <x:c r="I4" s="16" t="str">
        <x:v>Partenaire_principal</x:v>
      </x:c>
      <x:c r="J4" s="16" t="str">
        <x:v>Statut</x:v>
      </x:c>
      <x:c r="K4" s="16" t="str">
        <x:v>Niveau_maturite</x:v>
      </x:c>
      <x:c r="L4" s="16" t="str">
        <x:v>Priorite</x:v>
      </x:c>
      <x:c r="M4" s="16" t="str">
        <x:v>Date_debut</x:v>
      </x:c>
      <x:c r="N4" s="16" t="str">
        <x:v>Date_fin_prevue</x:v>
      </x:c>
      <x:c r="O4" s="16" t="str">
        <x:v>Avancement_pct</x:v>
      </x:c>
      <x:c r="P4" s="16" t="str">
        <x:v>Budget_total_XOF</x:v>
      </x:c>
      <x:c r="Q4" s="16" t="str">
        <x:v>Budget_engage_XOF</x:v>
      </x:c>
      <x:c r="R4" s="16" t="str">
        <x:v>Budget_execute_XOF</x:v>
      </x:c>
      <x:c r="S4" s="16" t="str">
        <x:v>Financement_securise_XOF</x:v>
      </x:c>
      <x:c r="T4" s="16" t="str">
        <x:v>Besoin_financement_XOF</x:v>
      </x:c>
      <x:c r="U4" s="16" t="str">
        <x:v>Emissions_evitees_tCO2e_an</x:v>
      </x:c>
      <x:c r="V4" s="16" t="str">
        <x:v>Beneficiaires</x:v>
      </x:c>
      <x:c r="W4" s="16" t="str">
        <x:v>Lien_CDN</x:v>
      </x:c>
      <x:c r="X4" s="16" t="str">
        <x:v>Lien_CDP</x:v>
      </x:c>
      <x:c r="Y4" s="16" t="str">
        <x:v>Lien_C40</x:v>
      </x:c>
      <x:c r="Z4" s="16" t="str">
        <x:v>Lien_ICLEI</x:v>
      </x:c>
      <x:c r="AA4" s="16" t="str">
        <x:v>Lien_COMSSA</x:v>
      </x:c>
      <x:c r="AB4" s="16" t="str">
        <x:v>Risque_principal</x:v>
      </x:c>
      <x:c r="AC4" s="16" t="str">
        <x:v>Prochaine_etape</x:v>
      </x:c>
      <x:c r="AD4" s="16" t="str">
        <x:v>Date_prochaine_revue</x:v>
      </x:c>
      <x:c r="AE4" s="16" t="str">
        <x:v>Alerte_retard</x:v>
      </x:c>
      <x:c r="AF4" s="16" t="str">
        <x:v>Alerte_financement</x:v>
      </x:c>
      <x:c r="AG4" s="16" t="str">
        <x:v>Alerte_donnees</x:v>
      </x:c>
      <x:c r="AH4" s="16" t="str">
        <x:v>Commentaires</x:v>
      </x:c>
    </x:row>
    <x:row r="5">
      <x:c r="A5" s="18" t="str">
        <x:v>PRJ-001</x:v>
      </x:c>
      <x:c r="B5" s="18" t="str">
        <x:v>Programme solaire sur batiments municipaux</x:v>
      </x:c>
      <x:c r="C5" s="18" t="str">
        <x:v>Mitigation</x:v>
      </x:c>
      <x:c r="D5" s="18" t="str">
        <x:v>Energie</x:v>
      </x:c>
      <x:c r="E5" s="18" t="str">
        <x:v>Solaire PV</x:v>
      </x:c>
      <x:c r="F5" s="18" t="str">
        <x:v>Infrastructure</x:v>
      </x:c>
      <x:c r="G5" s="18" t="str">
        <x:v>Dakar - Ensemble ville</x:v>
      </x:c>
      <x:c r="H5" s="18" t="str">
        <x:v>Direction Energie</x:v>
      </x:c>
      <x:c r="I5" s="18" t="str">
        <x:v>SENELEC / partenaires</x:v>
      </x:c>
      <x:c r="J5" s="18" t="str">
        <x:v>En cours</x:v>
      </x:c>
      <x:c r="K5" s="18" t="str">
        <x:v>5 - En mise en oeuvre</x:v>
      </x:c>
      <x:c r="L5" s="18" t="str">
        <x:v>Haute</x:v>
      </x:c>
      <x:c r="M5" s="19" t="n">
        <x:v>45672</x:v>
      </x:c>
      <x:c r="N5" s="19" t="n">
        <x:v>46752</x:v>
      </x:c>
      <x:c r="O5" s="20" t="n">
        <x:v>0.42</x:v>
      </x:c>
      <x:c r="P5" s="21" t="n">
        <x:v>2500000000</x:v>
      </x:c>
      <x:c r="Q5" s="21" t="n">
        <x:v>900000000</x:v>
      </x:c>
      <x:c r="R5" s="21" t="n">
        <x:v>500000000</x:v>
      </x:c>
      <x:c r="S5" s="21" t="n">
        <x:v>1500000000</x:v>
      </x:c>
      <x:c r="T5" s="21" t="n">
        <x:f>IF(A5="","",MAX(0,P5-S5))</x:f>
        <x:v>1000000000</x:v>
      </x:c>
      <x:c r="U5" s="22" t="n">
        <x:v>6200</x:v>
      </x:c>
      <x:c r="V5" s="22" t="n">
        <x:v>120000</x:v>
      </x:c>
      <x:c r="W5" s="18" t="str">
        <x:v>Oui</x:v>
      </x:c>
      <x:c r="X5" s="18" t="str">
        <x:v>Oui</x:v>
      </x:c>
      <x:c r="Y5" s="18" t="str">
        <x:v>Oui</x:v>
      </x:c>
      <x:c r="Z5" s="18" t="str">
        <x:v>Oui</x:v>
      </x:c>
      <x:c r="AA5" s="18" t="str">
        <x:v>Oui</x:v>
      </x:c>
      <x:c r="AB5" s="18" t="str">
        <x:v>Raccordement et maintenance</x:v>
      </x:c>
      <x:c r="AC5" s="18" t="str">
        <x:v>Finaliser phase 2</x:v>
      </x:c>
      <x:c r="AD5" s="19" t="n">
        <x:v>46203</x:v>
      </x:c>
      <x:c r="AE5" s="18" t="str">
        <x:f>IF(A5="","",IF(AND(N5&lt;TODAY(),J5&lt;&gt;"Termine"),"Retard","OK"))</x:f>
        <x:v>OK</x:v>
      </x:c>
      <x:c r="AF5" s="18" t="str">
        <x:f>IF(A5="","",IF(P5=0,"Budget manquant",IF(S5/P5&lt;0.5,"Financement critique",IF(S5/P5&lt;0.8,"Financement partiel","OK"))))</x:f>
        <x:v>Financement partiel</x:v>
      </x:c>
      <x:c r="AG5" s="18" t="str">
        <x:f>IF(A5="","",IF(OR(B5="",D5="",J5="",P5="",H5=""),"Donnees manquantes","OK"))</x:f>
        <x:v>OK</x:v>
      </x:c>
      <x:c r="AH5" s="18" t="str"/>
    </x:row>
    <x:row r="6">
      <x:c r="A6" s="18" t="str">
        <x:v>PRJ-002</x:v>
      </x:c>
      <x:c r="B6" s="18" t="str">
        <x:v>Modernisation collecte et valorisation des dechets</x:v>
      </x:c>
      <x:c r="C6" s="18" t="str">
        <x:v>Mitigation</x:v>
      </x:c>
      <x:c r="D6" s="18" t="str">
        <x:v>Dechets</x:v>
      </x:c>
      <x:c r="E6" s="18" t="str">
        <x:v>Tri et compostage</x:v>
      </x:c>
      <x:c r="F6" s="18" t="str">
        <x:v>Programme</x:v>
      </x:c>
      <x:c r="G6" s="18" t="str">
        <x:v>Hann Bel-Air</x:v>
      </x:c>
      <x:c r="H6" s="18" t="str">
        <x:v>Direction Dechets</x:v>
      </x:c>
      <x:c r="I6" s="18" t="str">
        <x:v>UCG / ONG locales</x:v>
      </x:c>
      <x:c r="J6" s="18" t="str">
        <x:v>Finance</x:v>
      </x:c>
      <x:c r="K6" s="18" t="str">
        <x:v>4 - Pret a demarrer</x:v>
      </x:c>
      <x:c r="L6" s="18" t="str">
        <x:v>Critique</x:v>
      </x:c>
      <x:c r="M6" s="19" t="n">
        <x:v>46082</x:v>
      </x:c>
      <x:c r="N6" s="19" t="n">
        <x:v>46934</x:v>
      </x:c>
      <x:c r="O6" s="20" t="n">
        <x:v>0.18</x:v>
      </x:c>
      <x:c r="P6" s="21" t="n">
        <x:v>1800000000</x:v>
      </x:c>
      <x:c r="Q6" s="21" t="n">
        <x:v>350000000</x:v>
      </x:c>
      <x:c r="R6" s="21" t="n">
        <x:v>120000000</x:v>
      </x:c>
      <x:c r="S6" s="21" t="n">
        <x:v>700000000</x:v>
      </x:c>
      <x:c r="T6" s="21" t="n">
        <x:f>IF(A6="","",MAX(0,P6-S6))</x:f>
        <x:v>1100000000</x:v>
      </x:c>
      <x:c r="U6" s="22" t="n">
        <x:v>9400</x:v>
      </x:c>
      <x:c r="V6" s="22" t="n">
        <x:v>250000</x:v>
      </x:c>
      <x:c r="W6" s="18" t="str">
        <x:v>Oui</x:v>
      </x:c>
      <x:c r="X6" s="18" t="str">
        <x:v>Oui</x:v>
      </x:c>
      <x:c r="Y6" s="18" t="str">
        <x:v>Oui</x:v>
      </x:c>
      <x:c r="Z6" s="18" t="str">
        <x:v>Oui</x:v>
      </x:c>
      <x:c r="AA6" s="18" t="str">
        <x:v>Oui</x:v>
      </x:c>
      <x:c r="AB6" s="18" t="str">
        <x:v>Disponibilite fonciere</x:v>
      </x:c>
      <x:c r="AC6" s="18" t="str">
        <x:v>Signer conventions quartiers pilotes</x:v>
      </x:c>
      <x:c r="AD6" s="19" t="n">
        <x:v>46188</x:v>
      </x:c>
      <x:c r="AE6" s="18" t="str">
        <x:f>IF(A6="","",IF(AND(N6&lt;TODAY(),J6&lt;&gt;"Termine"),"Retard","OK"))</x:f>
        <x:v>OK</x:v>
      </x:c>
      <x:c r="AF6" s="18" t="str">
        <x:f>IF(A6="","",IF(P6=0,"Budget manquant",IF(S6/P6&lt;0.5,"Financement critique",IF(S6/P6&lt;0.8,"Financement partiel","OK"))))</x:f>
        <x:v>Financement critique</x:v>
      </x:c>
      <x:c r="AG6" s="18" t="str">
        <x:f>IF(A6="","",IF(OR(B6="",D6="",J6="",P6="",H6=""),"Donnees manquantes","OK"))</x:f>
        <x:v>OK</x:v>
      </x:c>
      <x:c r="AH6" s="18" t="str"/>
    </x:row>
    <x:row r="7">
      <x:c r="A7" s="18" t="str">
        <x:v>PRJ-003</x:v>
      </x:c>
      <x:c r="B7" s="18" t="str">
        <x:v>Couloirs de mobilite active et apaisement traffic</x:v>
      </x:c>
      <x:c r="C7" s="18" t="str">
        <x:v>Mixte</x:v>
      </x:c>
      <x:c r="D7" s="18" t="str">
        <x:v>Transport et mobilite</x:v>
      </x:c>
      <x:c r="E7" s="18" t="str">
        <x:v>Marche et velo</x:v>
      </x:c>
      <x:c r="F7" s="18" t="str">
        <x:v>Amenagement</x:v>
      </x:c>
      <x:c r="G7" s="18" t="str">
        <x:v>Medina</x:v>
      </x:c>
      <x:c r="H7" s="18" t="str">
        <x:v>Direction Mobilite</x:v>
      </x:c>
      <x:c r="I7" s="18" t="str">
        <x:v>CETUD / associations</x:v>
      </x:c>
      <x:c r="J7" s="18" t="str">
        <x:v>En preparation</x:v>
      </x:c>
      <x:c r="K7" s="18" t="str">
        <x:v>2 - Etude faisabilite</x:v>
      </x:c>
      <x:c r="L7" s="18" t="str">
        <x:v>Haute</x:v>
      </x:c>
      <x:c r="M7" s="19" t="n">
        <x:v>46054</x:v>
      </x:c>
      <x:c r="N7" s="19" t="n">
        <x:v>46660</x:v>
      </x:c>
      <x:c r="O7" s="20" t="n">
        <x:v>0.1</x:v>
      </x:c>
      <x:c r="P7" s="21" t="n">
        <x:v>950000000</x:v>
      </x:c>
      <x:c r="Q7" s="21" t="n">
        <x:v>80000000</x:v>
      </x:c>
      <x:c r="R7" s="21" t="n">
        <x:v>30000000</x:v>
      </x:c>
      <x:c r="S7" s="21" t="n">
        <x:v>180000000</x:v>
      </x:c>
      <x:c r="T7" s="21" t="n">
        <x:f>IF(A7="","",MAX(0,P7-S7))</x:f>
        <x:v>770000000</x:v>
      </x:c>
      <x:c r="U7" s="22" t="n">
        <x:v>3100</x:v>
      </x:c>
      <x:c r="V7" s="22" t="n">
        <x:v>180000</x:v>
      </x:c>
      <x:c r="W7" s="18" t="str">
        <x:v>Partiel</x:v>
      </x:c>
      <x:c r="X7" s="18" t="str">
        <x:v>Oui</x:v>
      </x:c>
      <x:c r="Y7" s="18" t="str">
        <x:v>Oui</x:v>
      </x:c>
      <x:c r="Z7" s="18" t="str">
        <x:v>Oui</x:v>
      </x:c>
      <x:c r="AA7" s="18" t="str">
        <x:v>Partiel</x:v>
      </x:c>
      <x:c r="AB7" s="18" t="str">
        <x:v>Acceptabilite locale</x:v>
      </x:c>
      <x:c r="AC7" s="18" t="str">
        <x:v>Lancer etudes APS</x:v>
      </x:c>
      <x:c r="AD7" s="19" t="n">
        <x:v>46162</x:v>
      </x:c>
      <x:c r="AE7" s="18" t="str">
        <x:f>IF(A7="","",IF(AND(N7&lt;TODAY(),J7&lt;&gt;"Termine"),"Retard","OK"))</x:f>
        <x:v>OK</x:v>
      </x:c>
      <x:c r="AF7" s="18" t="str">
        <x:f>IF(A7="","",IF(P7=0,"Budget manquant",IF(S7/P7&lt;0.5,"Financement critique",IF(S7/P7&lt;0.8,"Financement partiel","OK"))))</x:f>
        <x:v>Financement critique</x:v>
      </x:c>
      <x:c r="AG7" s="18" t="str">
        <x:f>IF(A7="","",IF(OR(B7="",D7="",J7="",P7="",H7=""),"Donnees manquantes","OK"))</x:f>
        <x:v>OK</x:v>
      </x:c>
      <x:c r="AH7" s="18" t="str"/>
    </x:row>
    <x:row r="8">
      <x:c r="A8" s="18" t="str">
        <x:v>PRJ-004</x:v>
      </x:c>
      <x:c r="B8" s="18" t="str">
        <x:v>Resilience littorale et drainage urbain</x:v>
      </x:c>
      <x:c r="C8" s="18" t="str">
        <x:v>Adaptation</x:v>
      </x:c>
      <x:c r="D8" s="18" t="str">
        <x:v>Urbanisme et resilience</x:v>
      </x:c>
      <x:c r="E8" s="18" t="str">
        <x:v>Inondations et littoral</x:v>
      </x:c>
      <x:c r="F8" s="18" t="str">
        <x:v>Infrastructure</x:v>
      </x:c>
      <x:c r="G8" s="18" t="str">
        <x:v>Yoff</x:v>
      </x:c>
      <x:c r="H8" s="18" t="str">
        <x:v>Direction Assainissement</x:v>
      </x:c>
      <x:c r="I8" s="18" t="str">
        <x:v>ONAS / Etat</x:v>
      </x:c>
      <x:c r="J8" s="18" t="str">
        <x:v>En validation</x:v>
      </x:c>
      <x:c r="K8" s="18" t="str">
        <x:v>3 - Montage financier</x:v>
      </x:c>
      <x:c r="L8" s="18" t="str">
        <x:v>Critique</x:v>
      </x:c>
      <x:c r="M8" s="19" t="n">
        <x:v>45901</x:v>
      </x:c>
      <x:c r="N8" s="19" t="n">
        <x:v>47483</x:v>
      </x:c>
      <x:c r="O8" s="20" t="n">
        <x:v>0.22</x:v>
      </x:c>
      <x:c r="P8" s="21" t="n">
        <x:v>4200000000</x:v>
      </x:c>
      <x:c r="Q8" s="21" t="n">
        <x:v>500000000</x:v>
      </x:c>
      <x:c r="R8" s="21" t="n">
        <x:v>150000000</x:v>
      </x:c>
      <x:c r="S8" s="21" t="n">
        <x:v>1000000000</x:v>
      </x:c>
      <x:c r="T8" s="21" t="n">
        <x:f>IF(A8="","",MAX(0,P8-S8))</x:f>
        <x:v>3200000000</x:v>
      </x:c>
      <x:c r="U8" s="22" t="n">
        <x:v>0</x:v>
      </x:c>
      <x:c r="V8" s="22" t="n">
        <x:v>90000</x:v>
      </x:c>
      <x:c r="W8" s="18" t="str">
        <x:v>Oui</x:v>
      </x:c>
      <x:c r="X8" s="18" t="str">
        <x:v>Oui</x:v>
      </x:c>
      <x:c r="Y8" s="18" t="str">
        <x:v>Oui</x:v>
      </x:c>
      <x:c r="Z8" s="18" t="str">
        <x:v>Partiel</x:v>
      </x:c>
      <x:c r="AA8" s="18" t="str">
        <x:v>Oui</x:v>
      </x:c>
      <x:c r="AB8" s="18" t="str">
        <x:v>Financement lourd</x:v>
      </x:c>
      <x:c r="AC8" s="18" t="str">
        <x:v>Boucler dossier bailleurs</x:v>
      </x:c>
      <x:c r="AD8" s="19" t="n">
        <x:v>46213</x:v>
      </x:c>
      <x:c r="AE8" s="18" t="str">
        <x:f>IF(A8="","",IF(AND(N8&lt;TODAY(),J8&lt;&gt;"Termine"),"Retard","OK"))</x:f>
        <x:v>OK</x:v>
      </x:c>
      <x:c r="AF8" s="18" t="str">
        <x:f>IF(A8="","",IF(P8=0,"Budget manquant",IF(S8/P8&lt;0.5,"Financement critique",IF(S8/P8&lt;0.8,"Financement partiel","OK"))))</x:f>
        <x:v>Financement critique</x:v>
      </x:c>
      <x:c r="AG8" s="18" t="str">
        <x:f>IF(A8="","",IF(OR(B8="",D8="",J8="",P8="",H8=""),"Donnees manquantes","OK"))</x:f>
        <x:v>OK</x:v>
      </x:c>
      <x:c r="AH8" s="18" t="str"/>
    </x:row>
    <x:row r="9">
      <x:c r="A9" s="18" t="str">
        <x:v>PRJ-005</x:v>
      </x:c>
      <x:c r="B9" s="18" t="str">
        <x:v>Reseau de capteurs qualite de l'air</x:v>
      </x:c>
      <x:c r="C9" s="18" t="str">
        <x:v>MRV</x:v>
      </x:c>
      <x:c r="D9" s="18" t="str">
        <x:v>Qualite de l'air</x:v>
      </x:c>
      <x:c r="E9" s="18" t="str">
        <x:v>Mesure PM2.5/NO2</x:v>
      </x:c>
      <x:c r="F9" s="18" t="str">
        <x:v>Systeme de donnees</x:v>
      </x:c>
      <x:c r="G9" s="18" t="str">
        <x:v>Plateau</x:v>
      </x:c>
      <x:c r="H9" s="18" t="str">
        <x:v>Direction Environnement</x:v>
      </x:c>
      <x:c r="I9" s="18" t="str">
        <x:v>Universite / startups</x:v>
      </x:c>
      <x:c r="J9" s="18" t="str">
        <x:v>En cours</x:v>
      </x:c>
      <x:c r="K9" s="18" t="str">
        <x:v>5 - En mise en oeuvre</x:v>
      </x:c>
      <x:c r="L9" s="18" t="str">
        <x:v>Moyenne</x:v>
      </x:c>
      <x:c r="M9" s="19" t="n">
        <x:v>45809</x:v>
      </x:c>
      <x:c r="N9" s="19" t="n">
        <x:v>46387</x:v>
      </x:c>
      <x:c r="O9" s="20" t="n">
        <x:v>0.55</x:v>
      </x:c>
      <x:c r="P9" s="21" t="n">
        <x:v>380000000</x:v>
      </x:c>
      <x:c r="Q9" s="21" t="n">
        <x:v>180000000</x:v>
      </x:c>
      <x:c r="R9" s="21" t="n">
        <x:v>110000000</x:v>
      </x:c>
      <x:c r="S9" s="21" t="n">
        <x:v>260000000</x:v>
      </x:c>
      <x:c r="T9" s="21" t="n">
        <x:f>IF(A9="","",MAX(0,P9-S9))</x:f>
        <x:v>120000000</x:v>
      </x:c>
      <x:c r="U9" s="22" t="n">
        <x:v>0</x:v>
      </x:c>
      <x:c r="V9" s="22" t="n">
        <x:v>1100000</x:v>
      </x:c>
      <x:c r="W9" s="18" t="str">
        <x:v>Partiel</x:v>
      </x:c>
      <x:c r="X9" s="18" t="str">
        <x:v>Oui</x:v>
      </x:c>
      <x:c r="Y9" s="18" t="str">
        <x:v>Oui</x:v>
      </x:c>
      <x:c r="Z9" s="18" t="str">
        <x:v>Partiel</x:v>
      </x:c>
      <x:c r="AA9" s="18" t="str">
        <x:v>Partiel</x:v>
      </x:c>
      <x:c r="AB9" s="18" t="str">
        <x:v>Calibration capteurs</x:v>
      </x:c>
      <x:c r="AC9" s="18" t="str">
        <x:v>Publier tableau mensuel</x:v>
      </x:c>
      <x:c r="AD9" s="19" t="n">
        <x:v>46178</x:v>
      </x:c>
      <x:c r="AE9" s="18" t="str">
        <x:f>IF(A9="","",IF(AND(N9&lt;TODAY(),J9&lt;&gt;"Termine"),"Retard","OK"))</x:f>
        <x:v>OK</x:v>
      </x:c>
      <x:c r="AF9" s="18" t="str">
        <x:f>IF(A9="","",IF(P9=0,"Budget manquant",IF(S9/P9&lt;0.5,"Financement critique",IF(S9/P9&lt;0.8,"Financement partiel","OK"))))</x:f>
        <x:v>Financement partiel</x:v>
      </x:c>
      <x:c r="AG9" s="18" t="str">
        <x:f>IF(A9="","",IF(OR(B9="",D9="",J9="",P9="",H9=""),"Donnees manquantes","OK"))</x:f>
        <x:v>OK</x:v>
      </x:c>
      <x:c r="AH9" s="18" t="str"/>
    </x:row>
    <x:row r="10">
      <x:c r="A10" s="18" t="str">
        <x:v>PRJ-006</x:v>
      </x:c>
      <x:c r="B10" s="18" t="str">
        <x:v>Eclairage public LED intelligent</x:v>
      </x:c>
      <x:c r="C10" s="18" t="str">
        <x:v>Mitigation</x:v>
      </x:c>
      <x:c r="D10" s="18" t="str">
        <x:v>Energie</x:v>
      </x:c>
      <x:c r="E10" s="18" t="str">
        <x:v>Efficacite energetique</x:v>
      </x:c>
      <x:c r="F10" s="18" t="str">
        <x:v>Infrastructure</x:v>
      </x:c>
      <x:c r="G10" s="18" t="str">
        <x:v>Grand Dakar</x:v>
      </x:c>
      <x:c r="H10" s="18" t="str">
        <x:v>Direction Energie</x:v>
      </x:c>
      <x:c r="I10" s="18" t="str">
        <x:v>ESCO / bailleur</x:v>
      </x:c>
      <x:c r="J10" s="18" t="str">
        <x:v>Idee</x:v>
      </x:c>
      <x:c r="K10" s="18" t="str">
        <x:v>1 - Cadrage</x:v>
      </x:c>
      <x:c r="L10" s="18" t="str">
        <x:v>Moyenne</x:v>
      </x:c>
      <x:c r="M10" s="19" t="n">
        <x:v>46174</x:v>
      </x:c>
      <x:c r="N10" s="19" t="n">
        <x:v>47118</x:v>
      </x:c>
      <x:c r="O10" s="20" t="n">
        <x:v>0.02</x:v>
      </x:c>
      <x:c r="P10" s="21" t="n">
        <x:v>2100000000</x:v>
      </x:c>
      <x:c r="Q10" s="21" t="n">
        <x:v>0</x:v>
      </x:c>
      <x:c r="R10" s="21" t="n">
        <x:v>0</x:v>
      </x:c>
      <x:c r="S10" s="21" t="n">
        <x:v>0</x:v>
      </x:c>
      <x:c r="T10" s="21" t="n">
        <x:f>IF(A10="","",MAX(0,P10-S10))</x:f>
        <x:v>2100000000</x:v>
      </x:c>
      <x:c r="U10" s="22" t="n">
        <x:v>5200</x:v>
      </x:c>
      <x:c r="V10" s="22" t="n">
        <x:v>350000</x:v>
      </x:c>
      <x:c r="W10" s="18" t="str">
        <x:v>Oui</x:v>
      </x:c>
      <x:c r="X10" s="18" t="str">
        <x:v>Oui</x:v>
      </x:c>
      <x:c r="Y10" s="18" t="str">
        <x:v>Oui</x:v>
      </x:c>
      <x:c r="Z10" s="18" t="str">
        <x:v>Oui</x:v>
      </x:c>
      <x:c r="AA10" s="18" t="str">
        <x:v>Oui</x:v>
      </x:c>
      <x:c r="AB10" s="18" t="str">
        <x:v>Modele economique</x:v>
      </x:c>
      <x:c r="AC10" s="18" t="str">
        <x:v>Cadrer PPP</x:v>
      </x:c>
      <x:c r="AD10" s="19" t="n">
        <x:v>46203</x:v>
      </x:c>
      <x:c r="AE10" s="18" t="str">
        <x:f>IF(A10="","",IF(AND(N10&lt;TODAY(),J10&lt;&gt;"Termine"),"Retard","OK"))</x:f>
        <x:v>OK</x:v>
      </x:c>
      <x:c r="AF10" s="18" t="str">
        <x:f>IF(A10="","",IF(P10=0,"Budget manquant",IF(S10/P10&lt;0.5,"Financement critique",IF(S10/P10&lt;0.8,"Financement partiel","OK"))))</x:f>
        <x:v>Financement critique</x:v>
      </x:c>
      <x:c r="AG10" s="18" t="str">
        <x:f>IF(A10="","",IF(OR(B10="",D10="",J10="",P10="",H10=""),"Donnees manquantes","OK"))</x:f>
        <x:v>OK</x:v>
      </x:c>
      <x:c r="AH10" s="18" t="str"/>
    </x:row>
    <x:row r="11">
      <x:c r="A11" s="18"/>
      <x:c r="B11" s="18"/>
      <x:c r="C11" s="18"/>
      <x:c r="D11" s="18"/>
      <x:c r="E11" s="18"/>
      <x:c r="F11" s="18"/>
      <x:c r="G11" s="18"/>
      <x:c r="H11" s="18"/>
      <x:c r="I11" s="18"/>
      <x:c r="J11" s="18"/>
      <x:c r="K11" s="18"/>
      <x:c r="L11" s="18"/>
      <x:c r="M11" s="19"/>
      <x:c r="N11" s="19"/>
      <x:c r="O11" s="20"/>
      <x:c r="P11" s="21"/>
      <x:c r="Q11" s="21"/>
      <x:c r="R11" s="21"/>
      <x:c r="S11" s="21"/>
      <x:c r="T11" s="21" t="str">
        <x:f>IF(A11="","",MAX(0,P11-S11))</x:f>
      </x:c>
      <x:c r="U11" s="22"/>
      <x:c r="V11" s="22"/>
      <x:c r="W11" s="18"/>
      <x:c r="X11" s="18"/>
      <x:c r="Y11" s="18"/>
      <x:c r="Z11" s="18"/>
      <x:c r="AA11" s="18"/>
      <x:c r="AB11" s="18"/>
      <x:c r="AC11" s="18"/>
      <x:c r="AD11" s="19"/>
      <x:c r="AE11" s="18" t="str">
        <x:f>IF(A11="","",IF(AND(N11&lt;TODAY(),J11&lt;&gt;"Termine"),"Retard","OK"))</x:f>
      </x:c>
      <x:c r="AF11" s="18" t="str">
        <x:f>IF(A11="","",IF(P11=0,"Budget manquant",IF(S11/P11&lt;0.5,"Financement critique",IF(S11/P11&lt;0.8,"Financement partiel","OK"))))</x:f>
      </x:c>
      <x:c r="AG11" s="18" t="str">
        <x:f>IF(A11="","",IF(OR(B11="",D11="",J11="",P11="",H11=""),"Donnees manquantes","OK"))</x:f>
      </x:c>
      <x:c r="AH11" s="18"/>
    </x:row>
    <x:row r="12">
      <x:c r="A12" s="18"/>
      <x:c r="B12" s="18"/>
      <x:c r="C12" s="18"/>
      <x:c r="D12" s="18"/>
      <x:c r="E12" s="18"/>
      <x:c r="F12" s="18"/>
      <x:c r="G12" s="18"/>
      <x:c r="H12" s="18"/>
      <x:c r="I12" s="18"/>
      <x:c r="J12" s="18"/>
      <x:c r="K12" s="18"/>
      <x:c r="L12" s="18"/>
      <x:c r="M12" s="19"/>
      <x:c r="N12" s="19"/>
      <x:c r="O12" s="20"/>
      <x:c r="P12" s="21"/>
      <x:c r="Q12" s="21"/>
      <x:c r="R12" s="21"/>
      <x:c r="S12" s="21"/>
      <x:c r="T12" s="21" t="str">
        <x:f>IF(A12="","",MAX(0,P12-S12))</x:f>
      </x:c>
      <x:c r="U12" s="22"/>
      <x:c r="V12" s="22"/>
      <x:c r="W12" s="18"/>
      <x:c r="X12" s="18"/>
      <x:c r="Y12" s="18"/>
      <x:c r="Z12" s="18"/>
      <x:c r="AA12" s="18"/>
      <x:c r="AB12" s="18"/>
      <x:c r="AC12" s="18"/>
      <x:c r="AD12" s="19"/>
      <x:c r="AE12" s="18" t="str">
        <x:f>IF(A12="","",IF(AND(N12&lt;TODAY(),J12&lt;&gt;"Termine"),"Retard","OK"))</x:f>
      </x:c>
      <x:c r="AF12" s="18" t="str">
        <x:f>IF(A12="","",IF(P12=0,"Budget manquant",IF(S12/P12&lt;0.5,"Financement critique",IF(S12/P12&lt;0.8,"Financement partiel","OK"))))</x:f>
      </x:c>
      <x:c r="AG12" s="18" t="str">
        <x:f>IF(A12="","",IF(OR(B12="",D12="",J12="",P12="",H12=""),"Donnees manquantes","OK"))</x:f>
      </x:c>
      <x:c r="AH12" s="18"/>
    </x:row>
    <x:row r="13">
      <x:c r="A13" s="18"/>
      <x:c r="B13" s="18"/>
      <x:c r="C13" s="18"/>
      <x:c r="D13" s="18"/>
      <x:c r="E13" s="18"/>
      <x:c r="F13" s="18"/>
      <x:c r="G13" s="18"/>
      <x:c r="H13" s="18"/>
      <x:c r="I13" s="18"/>
      <x:c r="J13" s="18"/>
      <x:c r="K13" s="18"/>
      <x:c r="L13" s="18"/>
      <x:c r="M13" s="19"/>
      <x:c r="N13" s="19"/>
      <x:c r="O13" s="20"/>
      <x:c r="P13" s="21"/>
      <x:c r="Q13" s="21"/>
      <x:c r="R13" s="21"/>
      <x:c r="S13" s="21"/>
      <x:c r="T13" s="21" t="str">
        <x:f>IF(A13="","",MAX(0,P13-S13))</x:f>
      </x:c>
      <x:c r="U13" s="22"/>
      <x:c r="V13" s="22"/>
      <x:c r="W13" s="18"/>
      <x:c r="X13" s="18"/>
      <x:c r="Y13" s="18"/>
      <x:c r="Z13" s="18"/>
      <x:c r="AA13" s="18"/>
      <x:c r="AB13" s="18"/>
      <x:c r="AC13" s="18"/>
      <x:c r="AD13" s="19"/>
      <x:c r="AE13" s="18" t="str">
        <x:f>IF(A13="","",IF(AND(N13&lt;TODAY(),J13&lt;&gt;"Termine"),"Retard","OK"))</x:f>
      </x:c>
      <x:c r="AF13" s="18" t="str">
        <x:f>IF(A13="","",IF(P13=0,"Budget manquant",IF(S13/P13&lt;0.5,"Financement critique",IF(S13/P13&lt;0.8,"Financement partiel","OK"))))</x:f>
      </x:c>
      <x:c r="AG13" s="18" t="str">
        <x:f>IF(A13="","",IF(OR(B13="",D13="",J13="",P13="",H13=""),"Donnees manquantes","OK"))</x:f>
      </x:c>
      <x:c r="AH13" s="18"/>
    </x:row>
    <x:row r="14">
      <x:c r="A14" s="18"/>
      <x:c r="B14" s="18"/>
      <x:c r="C14" s="18"/>
      <x:c r="D14" s="18"/>
      <x:c r="E14" s="18"/>
      <x:c r="F14" s="18"/>
      <x:c r="G14" s="18"/>
      <x:c r="H14" s="18"/>
      <x:c r="I14" s="18"/>
      <x:c r="J14" s="18"/>
      <x:c r="K14" s="18"/>
      <x:c r="L14" s="18"/>
      <x:c r="M14" s="19"/>
      <x:c r="N14" s="19"/>
      <x:c r="O14" s="20"/>
      <x:c r="P14" s="21"/>
      <x:c r="Q14" s="21"/>
      <x:c r="R14" s="21"/>
      <x:c r="S14" s="21"/>
      <x:c r="T14" s="21" t="str">
        <x:f>IF(A14="","",MAX(0,P14-S14))</x:f>
      </x:c>
      <x:c r="U14" s="22"/>
      <x:c r="V14" s="22"/>
      <x:c r="W14" s="18"/>
      <x:c r="X14" s="18"/>
      <x:c r="Y14" s="18"/>
      <x:c r="Z14" s="18"/>
      <x:c r="AA14" s="18"/>
      <x:c r="AB14" s="18"/>
      <x:c r="AC14" s="18"/>
      <x:c r="AD14" s="19"/>
      <x:c r="AE14" s="18" t="str">
        <x:f>IF(A14="","",IF(AND(N14&lt;TODAY(),J14&lt;&gt;"Termine"),"Retard","OK"))</x:f>
      </x:c>
      <x:c r="AF14" s="18" t="str">
        <x:f>IF(A14="","",IF(P14=0,"Budget manquant",IF(S14/P14&lt;0.5,"Financement critique",IF(S14/P14&lt;0.8,"Financement partiel","OK"))))</x:f>
      </x:c>
      <x:c r="AG14" s="18" t="str">
        <x:f>IF(A14="","",IF(OR(B14="",D14="",J14="",P14="",H14=""),"Donnees manquantes","OK"))</x:f>
      </x:c>
      <x:c r="AH14" s="18"/>
    </x:row>
    <x:row r="15">
      <x:c r="A15" s="18"/>
      <x:c r="B15" s="18"/>
      <x:c r="C15" s="18"/>
      <x:c r="D15" s="18"/>
      <x:c r="E15" s="18"/>
      <x:c r="F15" s="18"/>
      <x:c r="G15" s="18"/>
      <x:c r="H15" s="18"/>
      <x:c r="I15" s="18"/>
      <x:c r="J15" s="18"/>
      <x:c r="K15" s="18"/>
      <x:c r="L15" s="18"/>
      <x:c r="M15" s="19"/>
      <x:c r="N15" s="19"/>
      <x:c r="O15" s="20"/>
      <x:c r="P15" s="21"/>
      <x:c r="Q15" s="21"/>
      <x:c r="R15" s="21"/>
      <x:c r="S15" s="21"/>
      <x:c r="T15" s="21" t="str">
        <x:f>IF(A15="","",MAX(0,P15-S15))</x:f>
      </x:c>
      <x:c r="U15" s="22"/>
      <x:c r="V15" s="22"/>
      <x:c r="W15" s="18"/>
      <x:c r="X15" s="18"/>
      <x:c r="Y15" s="18"/>
      <x:c r="Z15" s="18"/>
      <x:c r="AA15" s="18"/>
      <x:c r="AB15" s="18"/>
      <x:c r="AC15" s="18"/>
      <x:c r="AD15" s="19"/>
      <x:c r="AE15" s="18" t="str">
        <x:f>IF(A15="","",IF(AND(N15&lt;TODAY(),J15&lt;&gt;"Termine"),"Retard","OK"))</x:f>
      </x:c>
      <x:c r="AF15" s="18" t="str">
        <x:f>IF(A15="","",IF(P15=0,"Budget manquant",IF(S15/P15&lt;0.5,"Financement critique",IF(S15/P15&lt;0.8,"Financement partiel","OK"))))</x:f>
      </x:c>
      <x:c r="AG15" s="18" t="str">
        <x:f>IF(A15="","",IF(OR(B15="",D15="",J15="",P15="",H15=""),"Donnees manquantes","OK"))</x:f>
      </x:c>
      <x:c r="AH15" s="18"/>
    </x:row>
    <x:row r="16">
      <x:c r="A16" s="18"/>
      <x:c r="B16" s="18"/>
      <x:c r="C16" s="18"/>
      <x:c r="D16" s="18"/>
      <x:c r="E16" s="18"/>
      <x:c r="F16" s="18"/>
      <x:c r="G16" s="18"/>
      <x:c r="H16" s="18"/>
      <x:c r="I16" s="18"/>
      <x:c r="J16" s="18"/>
      <x:c r="K16" s="18"/>
      <x:c r="L16" s="18"/>
      <x:c r="M16" s="19"/>
      <x:c r="N16" s="19"/>
      <x:c r="O16" s="20"/>
      <x:c r="P16" s="21"/>
      <x:c r="Q16" s="21"/>
      <x:c r="R16" s="21"/>
      <x:c r="S16" s="21"/>
      <x:c r="T16" s="21" t="str">
        <x:f>IF(A16="","",MAX(0,P16-S16))</x:f>
      </x:c>
      <x:c r="U16" s="22"/>
      <x:c r="V16" s="22"/>
      <x:c r="W16" s="18"/>
      <x:c r="X16" s="18"/>
      <x:c r="Y16" s="18"/>
      <x:c r="Z16" s="18"/>
      <x:c r="AA16" s="18"/>
      <x:c r="AB16" s="18"/>
      <x:c r="AC16" s="18"/>
      <x:c r="AD16" s="19"/>
      <x:c r="AE16" s="18" t="str">
        <x:f>IF(A16="","",IF(AND(N16&lt;TODAY(),J16&lt;&gt;"Termine"),"Retard","OK"))</x:f>
      </x:c>
      <x:c r="AF16" s="18" t="str">
        <x:f>IF(A16="","",IF(P16=0,"Budget manquant",IF(S16/P16&lt;0.5,"Financement critique",IF(S16/P16&lt;0.8,"Financement partiel","OK"))))</x:f>
      </x:c>
      <x:c r="AG16" s="18" t="str">
        <x:f>IF(A16="","",IF(OR(B16="",D16="",J16="",P16="",H16=""),"Donnees manquantes","OK"))</x:f>
      </x:c>
      <x:c r="AH16" s="18"/>
    </x:row>
    <x:row r="17">
      <x:c r="A17" s="18"/>
      <x:c r="B17" s="18"/>
      <x:c r="C17" s="18"/>
      <x:c r="D17" s="18"/>
      <x:c r="E17" s="18"/>
      <x:c r="F17" s="18"/>
      <x:c r="G17" s="18"/>
      <x:c r="H17" s="18"/>
      <x:c r="I17" s="18"/>
      <x:c r="J17" s="18"/>
      <x:c r="K17" s="18"/>
      <x:c r="L17" s="18"/>
      <x:c r="M17" s="19"/>
      <x:c r="N17" s="19"/>
      <x:c r="O17" s="20"/>
      <x:c r="P17" s="21"/>
      <x:c r="Q17" s="21"/>
      <x:c r="R17" s="21"/>
      <x:c r="S17" s="21"/>
      <x:c r="T17" s="21" t="str">
        <x:f>IF(A17="","",MAX(0,P17-S17))</x:f>
      </x:c>
      <x:c r="U17" s="22"/>
      <x:c r="V17" s="22"/>
      <x:c r="W17" s="18"/>
      <x:c r="X17" s="18"/>
      <x:c r="Y17" s="18"/>
      <x:c r="Z17" s="18"/>
      <x:c r="AA17" s="18"/>
      <x:c r="AB17" s="18"/>
      <x:c r="AC17" s="18"/>
      <x:c r="AD17" s="19"/>
      <x:c r="AE17" s="18" t="str">
        <x:f>IF(A17="","",IF(AND(N17&lt;TODAY(),J17&lt;&gt;"Termine"),"Retard","OK"))</x:f>
      </x:c>
      <x:c r="AF17" s="18" t="str">
        <x:f>IF(A17="","",IF(P17=0,"Budget manquant",IF(S17/P17&lt;0.5,"Financement critique",IF(S17/P17&lt;0.8,"Financement partiel","OK"))))</x:f>
      </x:c>
      <x:c r="AG17" s="18" t="str">
        <x:f>IF(A17="","",IF(OR(B17="",D17="",J17="",P17="",H17=""),"Donnees manquantes","OK"))</x:f>
      </x:c>
      <x:c r="AH17" s="18"/>
    </x:row>
    <x:row r="18">
      <x:c r="A18" s="18"/>
      <x:c r="B18" s="18"/>
      <x:c r="C18" s="18"/>
      <x:c r="D18" s="18"/>
      <x:c r="E18" s="18"/>
      <x:c r="F18" s="18"/>
      <x:c r="G18" s="18"/>
      <x:c r="H18" s="18"/>
      <x:c r="I18" s="18"/>
      <x:c r="J18" s="18"/>
      <x:c r="K18" s="18"/>
      <x:c r="L18" s="18"/>
      <x:c r="M18" s="19"/>
      <x:c r="N18" s="19"/>
      <x:c r="O18" s="20"/>
      <x:c r="P18" s="21"/>
      <x:c r="Q18" s="21"/>
      <x:c r="R18" s="21"/>
      <x:c r="S18" s="21"/>
      <x:c r="T18" s="21" t="str">
        <x:f>IF(A18="","",MAX(0,P18-S18))</x:f>
      </x:c>
      <x:c r="U18" s="22"/>
      <x:c r="V18" s="22"/>
      <x:c r="W18" s="18"/>
      <x:c r="X18" s="18"/>
      <x:c r="Y18" s="18"/>
      <x:c r="Z18" s="18"/>
      <x:c r="AA18" s="18"/>
      <x:c r="AB18" s="18"/>
      <x:c r="AC18" s="18"/>
      <x:c r="AD18" s="19"/>
      <x:c r="AE18" s="18" t="str">
        <x:f>IF(A18="","",IF(AND(N18&lt;TODAY(),J18&lt;&gt;"Termine"),"Retard","OK"))</x:f>
      </x:c>
      <x:c r="AF18" s="18" t="str">
        <x:f>IF(A18="","",IF(P18=0,"Budget manquant",IF(S18/P18&lt;0.5,"Financement critique",IF(S18/P18&lt;0.8,"Financement partiel","OK"))))</x:f>
      </x:c>
      <x:c r="AG18" s="18" t="str">
        <x:f>IF(A18="","",IF(OR(B18="",D18="",J18="",P18="",H18=""),"Donnees manquantes","OK"))</x:f>
      </x:c>
      <x:c r="AH18" s="18"/>
    </x:row>
    <x:row r="19">
      <x:c r="A19" s="18"/>
      <x:c r="B19" s="18"/>
      <x:c r="C19" s="18"/>
      <x:c r="D19" s="18"/>
      <x:c r="E19" s="18"/>
      <x:c r="F19" s="18"/>
      <x:c r="G19" s="18"/>
      <x:c r="H19" s="18"/>
      <x:c r="I19" s="18"/>
      <x:c r="J19" s="18"/>
      <x:c r="K19" s="18"/>
      <x:c r="L19" s="18"/>
      <x:c r="M19" s="19"/>
      <x:c r="N19" s="19"/>
      <x:c r="O19" s="20"/>
      <x:c r="P19" s="21"/>
      <x:c r="Q19" s="21"/>
      <x:c r="R19" s="21"/>
      <x:c r="S19" s="21"/>
      <x:c r="T19" s="21" t="str">
        <x:f>IF(A19="","",MAX(0,P19-S19))</x:f>
      </x:c>
      <x:c r="U19" s="22"/>
      <x:c r="V19" s="22"/>
      <x:c r="W19" s="18"/>
      <x:c r="X19" s="18"/>
      <x:c r="Y19" s="18"/>
      <x:c r="Z19" s="18"/>
      <x:c r="AA19" s="18"/>
      <x:c r="AB19" s="18"/>
      <x:c r="AC19" s="18"/>
      <x:c r="AD19" s="19"/>
      <x:c r="AE19" s="18" t="str">
        <x:f>IF(A19="","",IF(AND(N19&lt;TODAY(),J19&lt;&gt;"Termine"),"Retard","OK"))</x:f>
      </x:c>
      <x:c r="AF19" s="18" t="str">
        <x:f>IF(A19="","",IF(P19=0,"Budget manquant",IF(S19/P19&lt;0.5,"Financement critique",IF(S19/P19&lt;0.8,"Financement partiel","OK"))))</x:f>
      </x:c>
      <x:c r="AG19" s="18" t="str">
        <x:f>IF(A19="","",IF(OR(B19="",D19="",J19="",P19="",H19=""),"Donnees manquantes","OK"))</x:f>
      </x:c>
      <x:c r="AH19" s="18"/>
    </x:row>
    <x:row r="20">
      <x:c r="A20" s="18"/>
      <x:c r="B20" s="18"/>
      <x:c r="C20" s="18"/>
      <x:c r="D20" s="18"/>
      <x:c r="E20" s="18"/>
      <x:c r="F20" s="18"/>
      <x:c r="G20" s="18"/>
      <x:c r="H20" s="18"/>
      <x:c r="I20" s="18"/>
      <x:c r="J20" s="18"/>
      <x:c r="K20" s="18"/>
      <x:c r="L20" s="18"/>
      <x:c r="M20" s="19"/>
      <x:c r="N20" s="19"/>
      <x:c r="O20" s="20"/>
      <x:c r="P20" s="21"/>
      <x:c r="Q20" s="21"/>
      <x:c r="R20" s="21"/>
      <x:c r="S20" s="21"/>
      <x:c r="T20" s="21" t="str">
        <x:f>IF(A20="","",MAX(0,P20-S20))</x:f>
      </x:c>
      <x:c r="U20" s="22"/>
      <x:c r="V20" s="22"/>
      <x:c r="W20" s="18"/>
      <x:c r="X20" s="18"/>
      <x:c r="Y20" s="18"/>
      <x:c r="Z20" s="18"/>
      <x:c r="AA20" s="18"/>
      <x:c r="AB20" s="18"/>
      <x:c r="AC20" s="18"/>
      <x:c r="AD20" s="19"/>
      <x:c r="AE20" s="18" t="str">
        <x:f>IF(A20="","",IF(AND(N20&lt;TODAY(),J20&lt;&gt;"Termine"),"Retard","OK"))</x:f>
      </x:c>
      <x:c r="AF20" s="18" t="str">
        <x:f>IF(A20="","",IF(P20=0,"Budget manquant",IF(S20/P20&lt;0.5,"Financement critique",IF(S20/P20&lt;0.8,"Financement partiel","OK"))))</x:f>
      </x:c>
      <x:c r="AG20" s="18" t="str">
        <x:f>IF(A20="","",IF(OR(B20="",D20="",J20="",P20="",H20=""),"Donnees manquantes","OK"))</x:f>
      </x:c>
      <x:c r="AH20" s="18"/>
    </x:row>
    <x:row r="21">
      <x:c r="A21" s="18"/>
      <x:c r="B21" s="18"/>
      <x:c r="C21" s="18"/>
      <x:c r="D21" s="18"/>
      <x:c r="E21" s="18"/>
      <x:c r="F21" s="18"/>
      <x:c r="G21" s="18"/>
      <x:c r="H21" s="18"/>
      <x:c r="I21" s="18"/>
      <x:c r="J21" s="18"/>
      <x:c r="K21" s="18"/>
      <x:c r="L21" s="18"/>
      <x:c r="M21" s="19"/>
      <x:c r="N21" s="19"/>
      <x:c r="O21" s="20"/>
      <x:c r="P21" s="21"/>
      <x:c r="Q21" s="21"/>
      <x:c r="R21" s="21"/>
      <x:c r="S21" s="21"/>
      <x:c r="T21" s="21" t="str">
        <x:f>IF(A21="","",MAX(0,P21-S21))</x:f>
      </x:c>
      <x:c r="U21" s="22"/>
      <x:c r="V21" s="22"/>
      <x:c r="W21" s="18"/>
      <x:c r="X21" s="18"/>
      <x:c r="Y21" s="18"/>
      <x:c r="Z21" s="18"/>
      <x:c r="AA21" s="18"/>
      <x:c r="AB21" s="18"/>
      <x:c r="AC21" s="18"/>
      <x:c r="AD21" s="19"/>
      <x:c r="AE21" s="18" t="str">
        <x:f>IF(A21="","",IF(AND(N21&lt;TODAY(),J21&lt;&gt;"Termine"),"Retard","OK"))</x:f>
      </x:c>
      <x:c r="AF21" s="18" t="str">
        <x:f>IF(A21="","",IF(P21=0,"Budget manquant",IF(S21/P21&lt;0.5,"Financement critique",IF(S21/P21&lt;0.8,"Financement partiel","OK"))))</x:f>
      </x:c>
      <x:c r="AG21" s="18" t="str">
        <x:f>IF(A21="","",IF(OR(B21="",D21="",J21="",P21="",H21=""),"Donnees manquantes","OK"))</x:f>
      </x:c>
      <x:c r="AH21" s="18"/>
    </x:row>
    <x:row r="22">
      <x:c r="A22" s="18"/>
      <x:c r="B22" s="18"/>
      <x:c r="C22" s="18"/>
      <x:c r="D22" s="18"/>
      <x:c r="E22" s="18"/>
      <x:c r="F22" s="18"/>
      <x:c r="G22" s="18"/>
      <x:c r="H22" s="18"/>
      <x:c r="I22" s="18"/>
      <x:c r="J22" s="18"/>
      <x:c r="K22" s="18"/>
      <x:c r="L22" s="18"/>
      <x:c r="M22" s="19"/>
      <x:c r="N22" s="19"/>
      <x:c r="O22" s="20"/>
      <x:c r="P22" s="21"/>
      <x:c r="Q22" s="21"/>
      <x:c r="R22" s="21"/>
      <x:c r="S22" s="21"/>
      <x:c r="T22" s="21" t="str">
        <x:f>IF(A22="","",MAX(0,P22-S22))</x:f>
      </x:c>
      <x:c r="U22" s="22"/>
      <x:c r="V22" s="22"/>
      <x:c r="W22" s="18"/>
      <x:c r="X22" s="18"/>
      <x:c r="Y22" s="18"/>
      <x:c r="Z22" s="18"/>
      <x:c r="AA22" s="18"/>
      <x:c r="AB22" s="18"/>
      <x:c r="AC22" s="18"/>
      <x:c r="AD22" s="19"/>
      <x:c r="AE22" s="18" t="str">
        <x:f>IF(A22="","",IF(AND(N22&lt;TODAY(),J22&lt;&gt;"Termine"),"Retard","OK"))</x:f>
      </x:c>
      <x:c r="AF22" s="18" t="str">
        <x:f>IF(A22="","",IF(P22=0,"Budget manquant",IF(S22/P22&lt;0.5,"Financement critique",IF(S22/P22&lt;0.8,"Financement partiel","OK"))))</x:f>
      </x:c>
      <x:c r="AG22" s="18" t="str">
        <x:f>IF(A22="","",IF(OR(B22="",D22="",J22="",P22="",H22=""),"Donnees manquantes","OK"))</x:f>
      </x:c>
      <x:c r="AH22" s="18"/>
    </x:row>
    <x:row r="23">
      <x:c r="A23" s="18"/>
      <x:c r="B23" s="18"/>
      <x:c r="C23" s="18"/>
      <x:c r="D23" s="18"/>
      <x:c r="E23" s="18"/>
      <x:c r="F23" s="18"/>
      <x:c r="G23" s="18"/>
      <x:c r="H23" s="18"/>
      <x:c r="I23" s="18"/>
      <x:c r="J23" s="18"/>
      <x:c r="K23" s="18"/>
      <x:c r="L23" s="18"/>
      <x:c r="M23" s="19"/>
      <x:c r="N23" s="19"/>
      <x:c r="O23" s="20"/>
      <x:c r="P23" s="21"/>
      <x:c r="Q23" s="21"/>
      <x:c r="R23" s="21"/>
      <x:c r="S23" s="21"/>
      <x:c r="T23" s="21" t="str">
        <x:f>IF(A23="","",MAX(0,P23-S23))</x:f>
      </x:c>
      <x:c r="U23" s="22"/>
      <x:c r="V23" s="22"/>
      <x:c r="W23" s="18"/>
      <x:c r="X23" s="18"/>
      <x:c r="Y23" s="18"/>
      <x:c r="Z23" s="18"/>
      <x:c r="AA23" s="18"/>
      <x:c r="AB23" s="18"/>
      <x:c r="AC23" s="18"/>
      <x:c r="AD23" s="19"/>
      <x:c r="AE23" s="18" t="str">
        <x:f>IF(A23="","",IF(AND(N23&lt;TODAY(),J23&lt;&gt;"Termine"),"Retard","OK"))</x:f>
      </x:c>
      <x:c r="AF23" s="18" t="str">
        <x:f>IF(A23="","",IF(P23=0,"Budget manquant",IF(S23/P23&lt;0.5,"Financement critique",IF(S23/P23&lt;0.8,"Financement partiel","OK"))))</x:f>
      </x:c>
      <x:c r="AG23" s="18" t="str">
        <x:f>IF(A23="","",IF(OR(B23="",D23="",J23="",P23="",H23=""),"Donnees manquantes","OK"))</x:f>
      </x:c>
      <x:c r="AH23" s="18"/>
    </x:row>
    <x:row r="24">
      <x:c r="A24" s="18"/>
      <x:c r="B24" s="18"/>
      <x:c r="C24" s="18"/>
      <x:c r="D24" s="18"/>
      <x:c r="E24" s="18"/>
      <x:c r="F24" s="18"/>
      <x:c r="G24" s="18"/>
      <x:c r="H24" s="18"/>
      <x:c r="I24" s="18"/>
      <x:c r="J24" s="18"/>
      <x:c r="K24" s="18"/>
      <x:c r="L24" s="18"/>
      <x:c r="M24" s="19"/>
      <x:c r="N24" s="19"/>
      <x:c r="O24" s="20"/>
      <x:c r="P24" s="21"/>
      <x:c r="Q24" s="21"/>
      <x:c r="R24" s="21"/>
      <x:c r="S24" s="21"/>
      <x:c r="T24" s="21" t="str">
        <x:f>IF(A24="","",MAX(0,P24-S24))</x:f>
      </x:c>
      <x:c r="U24" s="22"/>
      <x:c r="V24" s="22"/>
      <x:c r="W24" s="18"/>
      <x:c r="X24" s="18"/>
      <x:c r="Y24" s="18"/>
      <x:c r="Z24" s="18"/>
      <x:c r="AA24" s="18"/>
      <x:c r="AB24" s="18"/>
      <x:c r="AC24" s="18"/>
      <x:c r="AD24" s="19"/>
      <x:c r="AE24" s="18" t="str">
        <x:f>IF(A24="","",IF(AND(N24&lt;TODAY(),J24&lt;&gt;"Termine"),"Retard","OK"))</x:f>
      </x:c>
      <x:c r="AF24" s="18" t="str">
        <x:f>IF(A24="","",IF(P24=0,"Budget manquant",IF(S24/P24&lt;0.5,"Financement critique",IF(S24/P24&lt;0.8,"Financement partiel","OK"))))</x:f>
      </x:c>
      <x:c r="AG24" s="18" t="str">
        <x:f>IF(A24="","",IF(OR(B24="",D24="",J24="",P24="",H24=""),"Donnees manquantes","OK"))</x:f>
      </x:c>
      <x:c r="AH24" s="18"/>
    </x:row>
    <x:row r="25">
      <x:c r="A25" s="18"/>
      <x:c r="B25" s="18"/>
      <x:c r="C25" s="18"/>
      <x:c r="D25" s="18"/>
      <x:c r="E25" s="18"/>
      <x:c r="F25" s="18"/>
      <x:c r="G25" s="18"/>
      <x:c r="H25" s="18"/>
      <x:c r="I25" s="18"/>
      <x:c r="J25" s="18"/>
      <x:c r="K25" s="18"/>
      <x:c r="L25" s="18"/>
      <x:c r="M25" s="19"/>
      <x:c r="N25" s="19"/>
      <x:c r="O25" s="20"/>
      <x:c r="P25" s="21"/>
      <x:c r="Q25" s="21"/>
      <x:c r="R25" s="21"/>
      <x:c r="S25" s="21"/>
      <x:c r="T25" s="21" t="str">
        <x:f>IF(A25="","",MAX(0,P25-S25))</x:f>
      </x:c>
      <x:c r="U25" s="22"/>
      <x:c r="V25" s="22"/>
      <x:c r="W25" s="18"/>
      <x:c r="X25" s="18"/>
      <x:c r="Y25" s="18"/>
      <x:c r="Z25" s="18"/>
      <x:c r="AA25" s="18"/>
      <x:c r="AB25" s="18"/>
      <x:c r="AC25" s="18"/>
      <x:c r="AD25" s="19"/>
      <x:c r="AE25" s="18" t="str">
        <x:f>IF(A25="","",IF(AND(N25&lt;TODAY(),J25&lt;&gt;"Termine"),"Retard","OK"))</x:f>
      </x:c>
      <x:c r="AF25" s="18" t="str">
        <x:f>IF(A25="","",IF(P25=0,"Budget manquant",IF(S25/P25&lt;0.5,"Financement critique",IF(S25/P25&lt;0.8,"Financement partiel","OK"))))</x:f>
      </x:c>
      <x:c r="AG25" s="18" t="str">
        <x:f>IF(A25="","",IF(OR(B25="",D25="",J25="",P25="",H25=""),"Donnees manquantes","OK"))</x:f>
      </x:c>
      <x:c r="AH25" s="18"/>
    </x:row>
    <x:row r="26">
      <x:c r="A26" s="18"/>
      <x:c r="B26" s="18"/>
      <x:c r="C26" s="18"/>
      <x:c r="D26" s="18"/>
      <x:c r="E26" s="18"/>
      <x:c r="F26" s="18"/>
      <x:c r="G26" s="18"/>
      <x:c r="H26" s="18"/>
      <x:c r="I26" s="18"/>
      <x:c r="J26" s="18"/>
      <x:c r="K26" s="18"/>
      <x:c r="L26" s="18"/>
      <x:c r="M26" s="19"/>
      <x:c r="N26" s="19"/>
      <x:c r="O26" s="20"/>
      <x:c r="P26" s="21"/>
      <x:c r="Q26" s="21"/>
      <x:c r="R26" s="21"/>
      <x:c r="S26" s="21"/>
      <x:c r="T26" s="21" t="str">
        <x:f>IF(A26="","",MAX(0,P26-S26))</x:f>
      </x:c>
      <x:c r="U26" s="22"/>
      <x:c r="V26" s="22"/>
      <x:c r="W26" s="18"/>
      <x:c r="X26" s="18"/>
      <x:c r="Y26" s="18"/>
      <x:c r="Z26" s="18"/>
      <x:c r="AA26" s="18"/>
      <x:c r="AB26" s="18"/>
      <x:c r="AC26" s="18"/>
      <x:c r="AD26" s="19"/>
      <x:c r="AE26" s="18" t="str">
        <x:f>IF(A26="","",IF(AND(N26&lt;TODAY(),J26&lt;&gt;"Termine"),"Retard","OK"))</x:f>
      </x:c>
      <x:c r="AF26" s="18" t="str">
        <x:f>IF(A26="","",IF(P26=0,"Budget manquant",IF(S26/P26&lt;0.5,"Financement critique",IF(S26/P26&lt;0.8,"Financement partiel","OK"))))</x:f>
      </x:c>
      <x:c r="AG26" s="18" t="str">
        <x:f>IF(A26="","",IF(OR(B26="",D26="",J26="",P26="",H26=""),"Donnees manquantes","OK"))</x:f>
      </x:c>
      <x:c r="AH26" s="18"/>
    </x:row>
    <x:row r="27">
      <x:c r="A27" s="18"/>
      <x:c r="B27" s="18"/>
      <x:c r="C27" s="18"/>
      <x:c r="D27" s="18"/>
      <x:c r="E27" s="18"/>
      <x:c r="F27" s="18"/>
      <x:c r="G27" s="18"/>
      <x:c r="H27" s="18"/>
      <x:c r="I27" s="18"/>
      <x:c r="J27" s="18"/>
      <x:c r="K27" s="18"/>
      <x:c r="L27" s="18"/>
      <x:c r="M27" s="19"/>
      <x:c r="N27" s="19"/>
      <x:c r="O27" s="20"/>
      <x:c r="P27" s="21"/>
      <x:c r="Q27" s="21"/>
      <x:c r="R27" s="21"/>
      <x:c r="S27" s="21"/>
      <x:c r="T27" s="21" t="str">
        <x:f>IF(A27="","",MAX(0,P27-S27))</x:f>
      </x:c>
      <x:c r="U27" s="22"/>
      <x:c r="V27" s="22"/>
      <x:c r="W27" s="18"/>
      <x:c r="X27" s="18"/>
      <x:c r="Y27" s="18"/>
      <x:c r="Z27" s="18"/>
      <x:c r="AA27" s="18"/>
      <x:c r="AB27" s="18"/>
      <x:c r="AC27" s="18"/>
      <x:c r="AD27" s="19"/>
      <x:c r="AE27" s="18" t="str">
        <x:f>IF(A27="","",IF(AND(N27&lt;TODAY(),J27&lt;&gt;"Termine"),"Retard","OK"))</x:f>
      </x:c>
      <x:c r="AF27" s="18" t="str">
        <x:f>IF(A27="","",IF(P27=0,"Budget manquant",IF(S27/P27&lt;0.5,"Financement critique",IF(S27/P27&lt;0.8,"Financement partiel","OK"))))</x:f>
      </x:c>
      <x:c r="AG27" s="18" t="str">
        <x:f>IF(A27="","",IF(OR(B27="",D27="",J27="",P27="",H27=""),"Donnees manquantes","OK"))</x:f>
      </x:c>
      <x:c r="AH27" s="18"/>
    </x:row>
    <x:row r="28">
      <x:c r="A28" s="18"/>
      <x:c r="B28" s="18"/>
      <x:c r="C28" s="18"/>
      <x:c r="D28" s="18"/>
      <x:c r="E28" s="18"/>
      <x:c r="F28" s="18"/>
      <x:c r="G28" s="18"/>
      <x:c r="H28" s="18"/>
      <x:c r="I28" s="18"/>
      <x:c r="J28" s="18"/>
      <x:c r="K28" s="18"/>
      <x:c r="L28" s="18"/>
      <x:c r="M28" s="19"/>
      <x:c r="N28" s="19"/>
      <x:c r="O28" s="20"/>
      <x:c r="P28" s="21"/>
      <x:c r="Q28" s="21"/>
      <x:c r="R28" s="21"/>
      <x:c r="S28" s="21"/>
      <x:c r="T28" s="21" t="str">
        <x:f>IF(A28="","",MAX(0,P28-S28))</x:f>
      </x:c>
      <x:c r="U28" s="22"/>
      <x:c r="V28" s="22"/>
      <x:c r="W28" s="18"/>
      <x:c r="X28" s="18"/>
      <x:c r="Y28" s="18"/>
      <x:c r="Z28" s="18"/>
      <x:c r="AA28" s="18"/>
      <x:c r="AB28" s="18"/>
      <x:c r="AC28" s="18"/>
      <x:c r="AD28" s="19"/>
      <x:c r="AE28" s="18" t="str">
        <x:f>IF(A28="","",IF(AND(N28&lt;TODAY(),J28&lt;&gt;"Termine"),"Retard","OK"))</x:f>
      </x:c>
      <x:c r="AF28" s="18" t="str">
        <x:f>IF(A28="","",IF(P28=0,"Budget manquant",IF(S28/P28&lt;0.5,"Financement critique",IF(S28/P28&lt;0.8,"Financement partiel","OK"))))</x:f>
      </x:c>
      <x:c r="AG28" s="18" t="str">
        <x:f>IF(A28="","",IF(OR(B28="",D28="",J28="",P28="",H28=""),"Donnees manquantes","OK"))</x:f>
      </x:c>
      <x:c r="AH28" s="18"/>
    </x:row>
    <x:row r="29">
      <x:c r="A29" s="18"/>
      <x:c r="B29" s="18"/>
      <x:c r="C29" s="18"/>
      <x:c r="D29" s="18"/>
      <x:c r="E29" s="18"/>
      <x:c r="F29" s="18"/>
      <x:c r="G29" s="18"/>
      <x:c r="H29" s="18"/>
      <x:c r="I29" s="18"/>
      <x:c r="J29" s="18"/>
      <x:c r="K29" s="18"/>
      <x:c r="L29" s="18"/>
      <x:c r="M29" s="19"/>
      <x:c r="N29" s="19"/>
      <x:c r="O29" s="20"/>
      <x:c r="P29" s="21"/>
      <x:c r="Q29" s="21"/>
      <x:c r="R29" s="21"/>
      <x:c r="S29" s="21"/>
      <x:c r="T29" s="21" t="str">
        <x:f>IF(A29="","",MAX(0,P29-S29))</x:f>
      </x:c>
      <x:c r="U29" s="22"/>
      <x:c r="V29" s="22"/>
      <x:c r="W29" s="18"/>
      <x:c r="X29" s="18"/>
      <x:c r="Y29" s="18"/>
      <x:c r="Z29" s="18"/>
      <x:c r="AA29" s="18"/>
      <x:c r="AB29" s="18"/>
      <x:c r="AC29" s="18"/>
      <x:c r="AD29" s="19"/>
      <x:c r="AE29" s="18" t="str">
        <x:f>IF(A29="","",IF(AND(N29&lt;TODAY(),J29&lt;&gt;"Termine"),"Retard","OK"))</x:f>
      </x:c>
      <x:c r="AF29" s="18" t="str">
        <x:f>IF(A29="","",IF(P29=0,"Budget manquant",IF(S29/P29&lt;0.5,"Financement critique",IF(S29/P29&lt;0.8,"Financement partiel","OK"))))</x:f>
      </x:c>
      <x:c r="AG29" s="18" t="str">
        <x:f>IF(A29="","",IF(OR(B29="",D29="",J29="",P29="",H29=""),"Donnees manquantes","OK"))</x:f>
      </x:c>
      <x:c r="AH29" s="18"/>
    </x:row>
    <x:row r="30">
      <x:c r="A30" s="18"/>
      <x:c r="B30" s="18"/>
      <x:c r="C30" s="18"/>
      <x:c r="D30" s="18"/>
      <x:c r="E30" s="18"/>
      <x:c r="F30" s="18"/>
      <x:c r="G30" s="18"/>
      <x:c r="H30" s="18"/>
      <x:c r="I30" s="18"/>
      <x:c r="J30" s="18"/>
      <x:c r="K30" s="18"/>
      <x:c r="L30" s="18"/>
      <x:c r="M30" s="19"/>
      <x:c r="N30" s="19"/>
      <x:c r="O30" s="20"/>
      <x:c r="P30" s="21"/>
      <x:c r="Q30" s="21"/>
      <x:c r="R30" s="21"/>
      <x:c r="S30" s="21"/>
      <x:c r="T30" s="21" t="str">
        <x:f>IF(A30="","",MAX(0,P30-S30))</x:f>
      </x:c>
      <x:c r="U30" s="22"/>
      <x:c r="V30" s="22"/>
      <x:c r="W30" s="18"/>
      <x:c r="X30" s="18"/>
      <x:c r="Y30" s="18"/>
      <x:c r="Z30" s="18"/>
      <x:c r="AA30" s="18"/>
      <x:c r="AB30" s="18"/>
      <x:c r="AC30" s="18"/>
      <x:c r="AD30" s="19"/>
      <x:c r="AE30" s="18" t="str">
        <x:f>IF(A30="","",IF(AND(N30&lt;TODAY(),J30&lt;&gt;"Termine"),"Retard","OK"))</x:f>
      </x:c>
      <x:c r="AF30" s="18" t="str">
        <x:f>IF(A30="","",IF(P30=0,"Budget manquant",IF(S30/P30&lt;0.5,"Financement critique",IF(S30/P30&lt;0.8,"Financement partiel","OK"))))</x:f>
      </x:c>
      <x:c r="AG30" s="18" t="str">
        <x:f>IF(A30="","",IF(OR(B30="",D30="",J30="",P30="",H30=""),"Donnees manquantes","OK"))</x:f>
      </x:c>
      <x:c r="AH30" s="18"/>
    </x:row>
    <x:row r="31">
      <x:c r="A31" s="18"/>
      <x:c r="B31" s="18"/>
      <x:c r="C31" s="18"/>
      <x:c r="D31" s="18"/>
      <x:c r="E31" s="18"/>
      <x:c r="F31" s="18"/>
      <x:c r="G31" s="18"/>
      <x:c r="H31" s="18"/>
      <x:c r="I31" s="18"/>
      <x:c r="J31" s="18"/>
      <x:c r="K31" s="18"/>
      <x:c r="L31" s="18"/>
      <x:c r="M31" s="19"/>
      <x:c r="N31" s="19"/>
      <x:c r="O31" s="20"/>
      <x:c r="P31" s="21"/>
      <x:c r="Q31" s="21"/>
      <x:c r="R31" s="21"/>
      <x:c r="S31" s="21"/>
      <x:c r="T31" s="21" t="str">
        <x:f>IF(A31="","",MAX(0,P31-S31))</x:f>
      </x:c>
      <x:c r="U31" s="22"/>
      <x:c r="V31" s="22"/>
      <x:c r="W31" s="18"/>
      <x:c r="X31" s="18"/>
      <x:c r="Y31" s="18"/>
      <x:c r="Z31" s="18"/>
      <x:c r="AA31" s="18"/>
      <x:c r="AB31" s="18"/>
      <x:c r="AC31" s="18"/>
      <x:c r="AD31" s="19"/>
      <x:c r="AE31" s="18" t="str">
        <x:f>IF(A31="","",IF(AND(N31&lt;TODAY(),J31&lt;&gt;"Termine"),"Retard","OK"))</x:f>
      </x:c>
      <x:c r="AF31" s="18" t="str">
        <x:f>IF(A31="","",IF(P31=0,"Budget manquant",IF(S31/P31&lt;0.5,"Financement critique",IF(S31/P31&lt;0.8,"Financement partiel","OK"))))</x:f>
      </x:c>
      <x:c r="AG31" s="18" t="str">
        <x:f>IF(A31="","",IF(OR(B31="",D31="",J31="",P31="",H31=""),"Donnees manquantes","OK"))</x:f>
      </x:c>
      <x:c r="AH31" s="18"/>
    </x:row>
    <x:row r="32">
      <x:c r="A32" s="18"/>
      <x:c r="B32" s="18"/>
      <x:c r="C32" s="18"/>
      <x:c r="D32" s="18"/>
      <x:c r="E32" s="18"/>
      <x:c r="F32" s="18"/>
      <x:c r="G32" s="18"/>
      <x:c r="H32" s="18"/>
      <x:c r="I32" s="18"/>
      <x:c r="J32" s="18"/>
      <x:c r="K32" s="18"/>
      <x:c r="L32" s="18"/>
      <x:c r="M32" s="19"/>
      <x:c r="N32" s="19"/>
      <x:c r="O32" s="20"/>
      <x:c r="P32" s="21"/>
      <x:c r="Q32" s="21"/>
      <x:c r="R32" s="21"/>
      <x:c r="S32" s="21"/>
      <x:c r="T32" s="21" t="str">
        <x:f>IF(A32="","",MAX(0,P32-S32))</x:f>
      </x:c>
      <x:c r="U32" s="22"/>
      <x:c r="V32" s="22"/>
      <x:c r="W32" s="18"/>
      <x:c r="X32" s="18"/>
      <x:c r="Y32" s="18"/>
      <x:c r="Z32" s="18"/>
      <x:c r="AA32" s="18"/>
      <x:c r="AB32" s="18"/>
      <x:c r="AC32" s="18"/>
      <x:c r="AD32" s="19"/>
      <x:c r="AE32" s="18" t="str">
        <x:f>IF(A32="","",IF(AND(N32&lt;TODAY(),J32&lt;&gt;"Termine"),"Retard","OK"))</x:f>
      </x:c>
      <x:c r="AF32" s="18" t="str">
        <x:f>IF(A32="","",IF(P32=0,"Budget manquant",IF(S32/P32&lt;0.5,"Financement critique",IF(S32/P32&lt;0.8,"Financement partiel","OK"))))</x:f>
      </x:c>
      <x:c r="AG32" s="18" t="str">
        <x:f>IF(A32="","",IF(OR(B32="",D32="",J32="",P32="",H32=""),"Donnees manquantes","OK"))</x:f>
      </x:c>
      <x:c r="AH32" s="18"/>
    </x:row>
    <x:row r="33">
      <x:c r="A33" s="18"/>
      <x:c r="B33" s="18"/>
      <x:c r="C33" s="18"/>
      <x:c r="D33" s="18"/>
      <x:c r="E33" s="18"/>
      <x:c r="F33" s="18"/>
      <x:c r="G33" s="18"/>
      <x:c r="H33" s="18"/>
      <x:c r="I33" s="18"/>
      <x:c r="J33" s="18"/>
      <x:c r="K33" s="18"/>
      <x:c r="L33" s="18"/>
      <x:c r="M33" s="19"/>
      <x:c r="N33" s="19"/>
      <x:c r="O33" s="20"/>
      <x:c r="P33" s="21"/>
      <x:c r="Q33" s="21"/>
      <x:c r="R33" s="21"/>
      <x:c r="S33" s="21"/>
      <x:c r="T33" s="21" t="str">
        <x:f>IF(A33="","",MAX(0,P33-S33))</x:f>
      </x:c>
      <x:c r="U33" s="22"/>
      <x:c r="V33" s="22"/>
      <x:c r="W33" s="18"/>
      <x:c r="X33" s="18"/>
      <x:c r="Y33" s="18"/>
      <x:c r="Z33" s="18"/>
      <x:c r="AA33" s="18"/>
      <x:c r="AB33" s="18"/>
      <x:c r="AC33" s="18"/>
      <x:c r="AD33" s="19"/>
      <x:c r="AE33" s="18" t="str">
        <x:f>IF(A33="","",IF(AND(N33&lt;TODAY(),J33&lt;&gt;"Termine"),"Retard","OK"))</x:f>
      </x:c>
      <x:c r="AF33" s="18" t="str">
        <x:f>IF(A33="","",IF(P33=0,"Budget manquant",IF(S33/P33&lt;0.5,"Financement critique",IF(S33/P33&lt;0.8,"Financement partiel","OK"))))</x:f>
      </x:c>
      <x:c r="AG33" s="18" t="str">
        <x:f>IF(A33="","",IF(OR(B33="",D33="",J33="",P33="",H33=""),"Donnees manquantes","OK"))</x:f>
      </x:c>
      <x:c r="AH33" s="18"/>
    </x:row>
    <x:row r="34">
      <x:c r="A34" s="18"/>
      <x:c r="B34" s="18"/>
      <x:c r="C34" s="18"/>
      <x:c r="D34" s="18"/>
      <x:c r="E34" s="18"/>
      <x:c r="F34" s="18"/>
      <x:c r="G34" s="18"/>
      <x:c r="H34" s="18"/>
      <x:c r="I34" s="18"/>
      <x:c r="J34" s="18"/>
      <x:c r="K34" s="18"/>
      <x:c r="L34" s="18"/>
      <x:c r="M34" s="19"/>
      <x:c r="N34" s="19"/>
      <x:c r="O34" s="20"/>
      <x:c r="P34" s="21"/>
      <x:c r="Q34" s="21"/>
      <x:c r="R34" s="21"/>
      <x:c r="S34" s="21"/>
      <x:c r="T34" s="21" t="str">
        <x:f>IF(A34="","",MAX(0,P34-S34))</x:f>
      </x:c>
      <x:c r="U34" s="22"/>
      <x:c r="V34" s="22"/>
      <x:c r="W34" s="18"/>
      <x:c r="X34" s="18"/>
      <x:c r="Y34" s="18"/>
      <x:c r="Z34" s="18"/>
      <x:c r="AA34" s="18"/>
      <x:c r="AB34" s="18"/>
      <x:c r="AC34" s="18"/>
      <x:c r="AD34" s="19"/>
      <x:c r="AE34" s="18" t="str">
        <x:f>IF(A34="","",IF(AND(N34&lt;TODAY(),J34&lt;&gt;"Termine"),"Retard","OK"))</x:f>
      </x:c>
      <x:c r="AF34" s="18" t="str">
        <x:f>IF(A34="","",IF(P34=0,"Budget manquant",IF(S34/P34&lt;0.5,"Financement critique",IF(S34/P34&lt;0.8,"Financement partiel","OK"))))</x:f>
      </x:c>
      <x:c r="AG34" s="18" t="str">
        <x:f>IF(A34="","",IF(OR(B34="",D34="",J34="",P34="",H34=""),"Donnees manquantes","OK"))</x:f>
      </x:c>
      <x:c r="AH34" s="18"/>
    </x:row>
    <x:row r="35">
      <x:c r="A35" s="18"/>
      <x:c r="B35" s="18"/>
      <x:c r="C35" s="18"/>
      <x:c r="D35" s="18"/>
      <x:c r="E35" s="18"/>
      <x:c r="F35" s="18"/>
      <x:c r="G35" s="18"/>
      <x:c r="H35" s="18"/>
      <x:c r="I35" s="18"/>
      <x:c r="J35" s="18"/>
      <x:c r="K35" s="18"/>
      <x:c r="L35" s="18"/>
      <x:c r="M35" s="19"/>
      <x:c r="N35" s="19"/>
      <x:c r="O35" s="20"/>
      <x:c r="P35" s="21"/>
      <x:c r="Q35" s="21"/>
      <x:c r="R35" s="21"/>
      <x:c r="S35" s="21"/>
      <x:c r="T35" s="21" t="str">
        <x:f>IF(A35="","",MAX(0,P35-S35))</x:f>
      </x:c>
      <x:c r="U35" s="22"/>
      <x:c r="V35" s="22"/>
      <x:c r="W35" s="18"/>
      <x:c r="X35" s="18"/>
      <x:c r="Y35" s="18"/>
      <x:c r="Z35" s="18"/>
      <x:c r="AA35" s="18"/>
      <x:c r="AB35" s="18"/>
      <x:c r="AC35" s="18"/>
      <x:c r="AD35" s="19"/>
      <x:c r="AE35" s="18" t="str">
        <x:f>IF(A35="","",IF(AND(N35&lt;TODAY(),J35&lt;&gt;"Termine"),"Retard","OK"))</x:f>
      </x:c>
      <x:c r="AF35" s="18" t="str">
        <x:f>IF(A35="","",IF(P35=0,"Budget manquant",IF(S35/P35&lt;0.5,"Financement critique",IF(S35/P35&lt;0.8,"Financement partiel","OK"))))</x:f>
      </x:c>
      <x:c r="AG35" s="18" t="str">
        <x:f>IF(A35="","",IF(OR(B35="",D35="",J35="",P35="",H35=""),"Donnees manquantes","OK"))</x:f>
      </x:c>
      <x:c r="AH35" s="18"/>
    </x:row>
    <x:row r="36">
      <x:c r="A36" s="18"/>
      <x:c r="B36" s="18"/>
      <x:c r="C36" s="18"/>
      <x:c r="D36" s="18"/>
      <x:c r="E36" s="18"/>
      <x:c r="F36" s="18"/>
      <x:c r="G36" s="18"/>
      <x:c r="H36" s="18"/>
      <x:c r="I36" s="18"/>
      <x:c r="J36" s="18"/>
      <x:c r="K36" s="18"/>
      <x:c r="L36" s="18"/>
      <x:c r="M36" s="19"/>
      <x:c r="N36" s="19"/>
      <x:c r="O36" s="20"/>
      <x:c r="P36" s="21"/>
      <x:c r="Q36" s="21"/>
      <x:c r="R36" s="21"/>
      <x:c r="S36" s="21"/>
      <x:c r="T36" s="21" t="str">
        <x:f>IF(A36="","",MAX(0,P36-S36))</x:f>
      </x:c>
      <x:c r="U36" s="22"/>
      <x:c r="V36" s="22"/>
      <x:c r="W36" s="18"/>
      <x:c r="X36" s="18"/>
      <x:c r="Y36" s="18"/>
      <x:c r="Z36" s="18"/>
      <x:c r="AA36" s="18"/>
      <x:c r="AB36" s="18"/>
      <x:c r="AC36" s="18"/>
      <x:c r="AD36" s="19"/>
      <x:c r="AE36" s="18" t="str">
        <x:f>IF(A36="","",IF(AND(N36&lt;TODAY(),J36&lt;&gt;"Termine"),"Retard","OK"))</x:f>
      </x:c>
      <x:c r="AF36" s="18" t="str">
        <x:f>IF(A36="","",IF(P36=0,"Budget manquant",IF(S36/P36&lt;0.5,"Financement critique",IF(S36/P36&lt;0.8,"Financement partiel","OK"))))</x:f>
      </x:c>
      <x:c r="AG36" s="18" t="str">
        <x:f>IF(A36="","",IF(OR(B36="",D36="",J36="",P36="",H36=""),"Donnees manquantes","OK"))</x:f>
      </x:c>
      <x:c r="AH36" s="18"/>
    </x:row>
    <x:row r="37">
      <x:c r="A37" s="18"/>
      <x:c r="B37" s="18"/>
      <x:c r="C37" s="18"/>
      <x:c r="D37" s="18"/>
      <x:c r="E37" s="18"/>
      <x:c r="F37" s="18"/>
      <x:c r="G37" s="18"/>
      <x:c r="H37" s="18"/>
      <x:c r="I37" s="18"/>
      <x:c r="J37" s="18"/>
      <x:c r="K37" s="18"/>
      <x:c r="L37" s="18"/>
      <x:c r="M37" s="19"/>
      <x:c r="N37" s="19"/>
      <x:c r="O37" s="20"/>
      <x:c r="P37" s="21"/>
      <x:c r="Q37" s="21"/>
      <x:c r="R37" s="21"/>
      <x:c r="S37" s="21"/>
      <x:c r="T37" s="21" t="str">
        <x:f>IF(A37="","",MAX(0,P37-S37))</x:f>
      </x:c>
      <x:c r="U37" s="22"/>
      <x:c r="V37" s="22"/>
      <x:c r="W37" s="18"/>
      <x:c r="X37" s="18"/>
      <x:c r="Y37" s="18"/>
      <x:c r="Z37" s="18"/>
      <x:c r="AA37" s="18"/>
      <x:c r="AB37" s="18"/>
      <x:c r="AC37" s="18"/>
      <x:c r="AD37" s="19"/>
      <x:c r="AE37" s="18" t="str">
        <x:f>IF(A37="","",IF(AND(N37&lt;TODAY(),J37&lt;&gt;"Termine"),"Retard","OK"))</x:f>
      </x:c>
      <x:c r="AF37" s="18" t="str">
        <x:f>IF(A37="","",IF(P37=0,"Budget manquant",IF(S37/P37&lt;0.5,"Financement critique",IF(S37/P37&lt;0.8,"Financement partiel","OK"))))</x:f>
      </x:c>
      <x:c r="AG37" s="18" t="str">
        <x:f>IF(A37="","",IF(OR(B37="",D37="",J37="",P37="",H37=""),"Donnees manquantes","OK"))</x:f>
      </x:c>
      <x:c r="AH37" s="18"/>
    </x:row>
    <x:row r="38">
      <x:c r="A38" s="18"/>
      <x:c r="B38" s="18"/>
      <x:c r="C38" s="18"/>
      <x:c r="D38" s="18"/>
      <x:c r="E38" s="18"/>
      <x:c r="F38" s="18"/>
      <x:c r="G38" s="18"/>
      <x:c r="H38" s="18"/>
      <x:c r="I38" s="18"/>
      <x:c r="J38" s="18"/>
      <x:c r="K38" s="18"/>
      <x:c r="L38" s="18"/>
      <x:c r="M38" s="19"/>
      <x:c r="N38" s="19"/>
      <x:c r="O38" s="20"/>
      <x:c r="P38" s="21"/>
      <x:c r="Q38" s="21"/>
      <x:c r="R38" s="21"/>
      <x:c r="S38" s="21"/>
      <x:c r="T38" s="21" t="str">
        <x:f>IF(A38="","",MAX(0,P38-S38))</x:f>
      </x:c>
      <x:c r="U38" s="22"/>
      <x:c r="V38" s="22"/>
      <x:c r="W38" s="18"/>
      <x:c r="X38" s="18"/>
      <x:c r="Y38" s="18"/>
      <x:c r="Z38" s="18"/>
      <x:c r="AA38" s="18"/>
      <x:c r="AB38" s="18"/>
      <x:c r="AC38" s="18"/>
      <x:c r="AD38" s="19"/>
      <x:c r="AE38" s="18" t="str">
        <x:f>IF(A38="","",IF(AND(N38&lt;TODAY(),J38&lt;&gt;"Termine"),"Retard","OK"))</x:f>
      </x:c>
      <x:c r="AF38" s="18" t="str">
        <x:f>IF(A38="","",IF(P38=0,"Budget manquant",IF(S38/P38&lt;0.5,"Financement critique",IF(S38/P38&lt;0.8,"Financement partiel","OK"))))</x:f>
      </x:c>
      <x:c r="AG38" s="18" t="str">
        <x:f>IF(A38="","",IF(OR(B38="",D38="",J38="",P38="",H38=""),"Donnees manquantes","OK"))</x:f>
      </x:c>
      <x:c r="AH38" s="18"/>
    </x:row>
    <x:row r="39">
      <x:c r="A39" s="18"/>
      <x:c r="B39" s="18"/>
      <x:c r="C39" s="18"/>
      <x:c r="D39" s="18"/>
      <x:c r="E39" s="18"/>
      <x:c r="F39" s="18"/>
      <x:c r="G39" s="18"/>
      <x:c r="H39" s="18"/>
      <x:c r="I39" s="18"/>
      <x:c r="J39" s="18"/>
      <x:c r="K39" s="18"/>
      <x:c r="L39" s="18"/>
      <x:c r="M39" s="19"/>
      <x:c r="N39" s="19"/>
      <x:c r="O39" s="20"/>
      <x:c r="P39" s="21"/>
      <x:c r="Q39" s="21"/>
      <x:c r="R39" s="21"/>
      <x:c r="S39" s="21"/>
      <x:c r="T39" s="21" t="str">
        <x:f>IF(A39="","",MAX(0,P39-S39))</x:f>
      </x:c>
      <x:c r="U39" s="22"/>
      <x:c r="V39" s="22"/>
      <x:c r="W39" s="18"/>
      <x:c r="X39" s="18"/>
      <x:c r="Y39" s="18"/>
      <x:c r="Z39" s="18"/>
      <x:c r="AA39" s="18"/>
      <x:c r="AB39" s="18"/>
      <x:c r="AC39" s="18"/>
      <x:c r="AD39" s="19"/>
      <x:c r="AE39" s="18" t="str">
        <x:f>IF(A39="","",IF(AND(N39&lt;TODAY(),J39&lt;&gt;"Termine"),"Retard","OK"))</x:f>
      </x:c>
      <x:c r="AF39" s="18" t="str">
        <x:f>IF(A39="","",IF(P39=0,"Budget manquant",IF(S39/P39&lt;0.5,"Financement critique",IF(S39/P39&lt;0.8,"Financement partiel","OK"))))</x:f>
      </x:c>
      <x:c r="AG39" s="18" t="str">
        <x:f>IF(A39="","",IF(OR(B39="",D39="",J39="",P39="",H39=""),"Donnees manquantes","OK"))</x:f>
      </x:c>
      <x:c r="AH39" s="18"/>
    </x:row>
    <x:row r="40">
      <x:c r="A40" s="18"/>
      <x:c r="B40" s="18"/>
      <x:c r="C40" s="18"/>
      <x:c r="D40" s="18"/>
      <x:c r="E40" s="18"/>
      <x:c r="F40" s="18"/>
      <x:c r="G40" s="18"/>
      <x:c r="H40" s="18"/>
      <x:c r="I40" s="18"/>
      <x:c r="J40" s="18"/>
      <x:c r="K40" s="18"/>
      <x:c r="L40" s="18"/>
      <x:c r="M40" s="19"/>
      <x:c r="N40" s="19"/>
      <x:c r="O40" s="20"/>
      <x:c r="P40" s="21"/>
      <x:c r="Q40" s="21"/>
      <x:c r="R40" s="21"/>
      <x:c r="S40" s="21"/>
      <x:c r="T40" s="21" t="str">
        <x:f>IF(A40="","",MAX(0,P40-S40))</x:f>
      </x:c>
      <x:c r="U40" s="22"/>
      <x:c r="V40" s="22"/>
      <x:c r="W40" s="18"/>
      <x:c r="X40" s="18"/>
      <x:c r="Y40" s="18"/>
      <x:c r="Z40" s="18"/>
      <x:c r="AA40" s="18"/>
      <x:c r="AB40" s="18"/>
      <x:c r="AC40" s="18"/>
      <x:c r="AD40" s="19"/>
      <x:c r="AE40" s="18" t="str">
        <x:f>IF(A40="","",IF(AND(N40&lt;TODAY(),J40&lt;&gt;"Termine"),"Retard","OK"))</x:f>
      </x:c>
      <x:c r="AF40" s="18" t="str">
        <x:f>IF(A40="","",IF(P40=0,"Budget manquant",IF(S40/P40&lt;0.5,"Financement critique",IF(S40/P40&lt;0.8,"Financement partiel","OK"))))</x:f>
      </x:c>
      <x:c r="AG40" s="18" t="str">
        <x:f>IF(A40="","",IF(OR(B40="",D40="",J40="",P40="",H40=""),"Donnees manquantes","OK"))</x:f>
      </x:c>
      <x:c r="AH40" s="18"/>
    </x:row>
    <x:row r="41">
      <x:c r="A41" s="18"/>
      <x:c r="B41" s="18"/>
      <x:c r="C41" s="18"/>
      <x:c r="D41" s="18"/>
      <x:c r="E41" s="18"/>
      <x:c r="F41" s="18"/>
      <x:c r="G41" s="18"/>
      <x:c r="H41" s="18"/>
      <x:c r="I41" s="18"/>
      <x:c r="J41" s="18"/>
      <x:c r="K41" s="18"/>
      <x:c r="L41" s="18"/>
      <x:c r="M41" s="19"/>
      <x:c r="N41" s="19"/>
      <x:c r="O41" s="20"/>
      <x:c r="P41" s="21"/>
      <x:c r="Q41" s="21"/>
      <x:c r="R41" s="21"/>
      <x:c r="S41" s="21"/>
      <x:c r="T41" s="21" t="str">
        <x:f>IF(A41="","",MAX(0,P41-S41))</x:f>
      </x:c>
      <x:c r="U41" s="22"/>
      <x:c r="V41" s="22"/>
      <x:c r="W41" s="18"/>
      <x:c r="X41" s="18"/>
      <x:c r="Y41" s="18"/>
      <x:c r="Z41" s="18"/>
      <x:c r="AA41" s="18"/>
      <x:c r="AB41" s="18"/>
      <x:c r="AC41" s="18"/>
      <x:c r="AD41" s="19"/>
      <x:c r="AE41" s="18" t="str">
        <x:f>IF(A41="","",IF(AND(N41&lt;TODAY(),J41&lt;&gt;"Termine"),"Retard","OK"))</x:f>
      </x:c>
      <x:c r="AF41" s="18" t="str">
        <x:f>IF(A41="","",IF(P41=0,"Budget manquant",IF(S41/P41&lt;0.5,"Financement critique",IF(S41/P41&lt;0.8,"Financement partiel","OK"))))</x:f>
      </x:c>
      <x:c r="AG41" s="18" t="str">
        <x:f>IF(A41="","",IF(OR(B41="",D41="",J41="",P41="",H41=""),"Donnees manquantes","OK"))</x:f>
      </x:c>
      <x:c r="AH41" s="18"/>
    </x:row>
    <x:row r="42">
      <x:c r="A42" s="18"/>
      <x:c r="B42" s="18"/>
      <x:c r="C42" s="18"/>
      <x:c r="D42" s="18"/>
      <x:c r="E42" s="18"/>
      <x:c r="F42" s="18"/>
      <x:c r="G42" s="18"/>
      <x:c r="H42" s="18"/>
      <x:c r="I42" s="18"/>
      <x:c r="J42" s="18"/>
      <x:c r="K42" s="18"/>
      <x:c r="L42" s="18"/>
      <x:c r="M42" s="19"/>
      <x:c r="N42" s="19"/>
      <x:c r="O42" s="20"/>
      <x:c r="P42" s="21"/>
      <x:c r="Q42" s="21"/>
      <x:c r="R42" s="21"/>
      <x:c r="S42" s="21"/>
      <x:c r="T42" s="21" t="str">
        <x:f>IF(A42="","",MAX(0,P42-S42))</x:f>
      </x:c>
      <x:c r="U42" s="22"/>
      <x:c r="V42" s="22"/>
      <x:c r="W42" s="18"/>
      <x:c r="X42" s="18"/>
      <x:c r="Y42" s="18"/>
      <x:c r="Z42" s="18"/>
      <x:c r="AA42" s="18"/>
      <x:c r="AB42" s="18"/>
      <x:c r="AC42" s="18"/>
      <x:c r="AD42" s="19"/>
      <x:c r="AE42" s="18" t="str">
        <x:f>IF(A42="","",IF(AND(N42&lt;TODAY(),J42&lt;&gt;"Termine"),"Retard","OK"))</x:f>
      </x:c>
      <x:c r="AF42" s="18" t="str">
        <x:f>IF(A42="","",IF(P42=0,"Budget manquant",IF(S42/P42&lt;0.5,"Financement critique",IF(S42/P42&lt;0.8,"Financement partiel","OK"))))</x:f>
      </x:c>
      <x:c r="AG42" s="18" t="str">
        <x:f>IF(A42="","",IF(OR(B42="",D42="",J42="",P42="",H42=""),"Donnees manquantes","OK"))</x:f>
      </x:c>
      <x:c r="AH42" s="18"/>
    </x:row>
    <x:row r="43">
      <x:c r="A43" s="18"/>
      <x:c r="B43" s="18"/>
      <x:c r="C43" s="18"/>
      <x:c r="D43" s="18"/>
      <x:c r="E43" s="18"/>
      <x:c r="F43" s="18"/>
      <x:c r="G43" s="18"/>
      <x:c r="H43" s="18"/>
      <x:c r="I43" s="18"/>
      <x:c r="J43" s="18"/>
      <x:c r="K43" s="18"/>
      <x:c r="L43" s="18"/>
      <x:c r="M43" s="19"/>
      <x:c r="N43" s="19"/>
      <x:c r="O43" s="20"/>
      <x:c r="P43" s="21"/>
      <x:c r="Q43" s="21"/>
      <x:c r="R43" s="21"/>
      <x:c r="S43" s="21"/>
      <x:c r="T43" s="21" t="str">
        <x:f>IF(A43="","",MAX(0,P43-S43))</x:f>
      </x:c>
      <x:c r="U43" s="22"/>
      <x:c r="V43" s="22"/>
      <x:c r="W43" s="18"/>
      <x:c r="X43" s="18"/>
      <x:c r="Y43" s="18"/>
      <x:c r="Z43" s="18"/>
      <x:c r="AA43" s="18"/>
      <x:c r="AB43" s="18"/>
      <x:c r="AC43" s="18"/>
      <x:c r="AD43" s="19"/>
      <x:c r="AE43" s="18" t="str">
        <x:f>IF(A43="","",IF(AND(N43&lt;TODAY(),J43&lt;&gt;"Termine"),"Retard","OK"))</x:f>
      </x:c>
      <x:c r="AF43" s="18" t="str">
        <x:f>IF(A43="","",IF(P43=0,"Budget manquant",IF(S43/P43&lt;0.5,"Financement critique",IF(S43/P43&lt;0.8,"Financement partiel","OK"))))</x:f>
      </x:c>
      <x:c r="AG43" s="18" t="str">
        <x:f>IF(A43="","",IF(OR(B43="",D43="",J43="",P43="",H43=""),"Donnees manquantes","OK"))</x:f>
      </x:c>
      <x:c r="AH43" s="18"/>
    </x:row>
    <x:row r="44">
      <x:c r="A44" s="18"/>
      <x:c r="B44" s="18"/>
      <x:c r="C44" s="18"/>
      <x:c r="D44" s="18"/>
      <x:c r="E44" s="18"/>
      <x:c r="F44" s="18"/>
      <x:c r="G44" s="18"/>
      <x:c r="H44" s="18"/>
      <x:c r="I44" s="18"/>
      <x:c r="J44" s="18"/>
      <x:c r="K44" s="18"/>
      <x:c r="L44" s="18"/>
      <x:c r="M44" s="19"/>
      <x:c r="N44" s="19"/>
      <x:c r="O44" s="20"/>
      <x:c r="P44" s="21"/>
      <x:c r="Q44" s="21"/>
      <x:c r="R44" s="21"/>
      <x:c r="S44" s="21"/>
      <x:c r="T44" s="21" t="str">
        <x:f>IF(A44="","",MAX(0,P44-S44))</x:f>
      </x:c>
      <x:c r="U44" s="22"/>
      <x:c r="V44" s="22"/>
      <x:c r="W44" s="18"/>
      <x:c r="X44" s="18"/>
      <x:c r="Y44" s="18"/>
      <x:c r="Z44" s="18"/>
      <x:c r="AA44" s="18"/>
      <x:c r="AB44" s="18"/>
      <x:c r="AC44" s="18"/>
      <x:c r="AD44" s="19"/>
      <x:c r="AE44" s="18" t="str">
        <x:f>IF(A44="","",IF(AND(N44&lt;TODAY(),J44&lt;&gt;"Termine"),"Retard","OK"))</x:f>
      </x:c>
      <x:c r="AF44" s="18" t="str">
        <x:f>IF(A44="","",IF(P44=0,"Budget manquant",IF(S44/P44&lt;0.5,"Financement critique",IF(S44/P44&lt;0.8,"Financement partiel","OK"))))</x:f>
      </x:c>
      <x:c r="AG44" s="18" t="str">
        <x:f>IF(A44="","",IF(OR(B44="",D44="",J44="",P44="",H44=""),"Donnees manquantes","OK"))</x:f>
      </x:c>
      <x:c r="AH44" s="18"/>
    </x:row>
    <x:row r="45">
      <x:c r="A45" s="18"/>
      <x:c r="B45" s="18"/>
      <x:c r="C45" s="18"/>
      <x:c r="D45" s="18"/>
      <x:c r="E45" s="18"/>
      <x:c r="F45" s="18"/>
      <x:c r="G45" s="18"/>
      <x:c r="H45" s="18"/>
      <x:c r="I45" s="18"/>
      <x:c r="J45" s="18"/>
      <x:c r="K45" s="18"/>
      <x:c r="L45" s="18"/>
      <x:c r="M45" s="19"/>
      <x:c r="N45" s="19"/>
      <x:c r="O45" s="20"/>
      <x:c r="P45" s="21"/>
      <x:c r="Q45" s="21"/>
      <x:c r="R45" s="21"/>
      <x:c r="S45" s="21"/>
      <x:c r="T45" s="21" t="str">
        <x:f>IF(A45="","",MAX(0,P45-S45))</x:f>
      </x:c>
      <x:c r="U45" s="22"/>
      <x:c r="V45" s="22"/>
      <x:c r="W45" s="18"/>
      <x:c r="X45" s="18"/>
      <x:c r="Y45" s="18"/>
      <x:c r="Z45" s="18"/>
      <x:c r="AA45" s="18"/>
      <x:c r="AB45" s="18"/>
      <x:c r="AC45" s="18"/>
      <x:c r="AD45" s="19"/>
      <x:c r="AE45" s="18" t="str">
        <x:f>IF(A45="","",IF(AND(N45&lt;TODAY(),J45&lt;&gt;"Termine"),"Retard","OK"))</x:f>
      </x:c>
      <x:c r="AF45" s="18" t="str">
        <x:f>IF(A45="","",IF(P45=0,"Budget manquant",IF(S45/P45&lt;0.5,"Financement critique",IF(S45/P45&lt;0.8,"Financement partiel","OK"))))</x:f>
      </x:c>
      <x:c r="AG45" s="18" t="str">
        <x:f>IF(A45="","",IF(OR(B45="",D45="",J45="",P45="",H45=""),"Donnees manquantes","OK"))</x:f>
      </x:c>
      <x:c r="AH45" s="18"/>
    </x:row>
    <x:row r="46">
      <x:c r="A46" s="18"/>
      <x:c r="B46" s="18"/>
      <x:c r="C46" s="18"/>
      <x:c r="D46" s="18"/>
      <x:c r="E46" s="18"/>
      <x:c r="F46" s="18"/>
      <x:c r="G46" s="18"/>
      <x:c r="H46" s="18"/>
      <x:c r="I46" s="18"/>
      <x:c r="J46" s="18"/>
      <x:c r="K46" s="18"/>
      <x:c r="L46" s="18"/>
      <x:c r="M46" s="19"/>
      <x:c r="N46" s="19"/>
      <x:c r="O46" s="20"/>
      <x:c r="P46" s="21"/>
      <x:c r="Q46" s="21"/>
      <x:c r="R46" s="21"/>
      <x:c r="S46" s="21"/>
      <x:c r="T46" s="21" t="str">
        <x:f>IF(A46="","",MAX(0,P46-S46))</x:f>
      </x:c>
      <x:c r="U46" s="22"/>
      <x:c r="V46" s="22"/>
      <x:c r="W46" s="18"/>
      <x:c r="X46" s="18"/>
      <x:c r="Y46" s="18"/>
      <x:c r="Z46" s="18"/>
      <x:c r="AA46" s="18"/>
      <x:c r="AB46" s="18"/>
      <x:c r="AC46" s="18"/>
      <x:c r="AD46" s="19"/>
      <x:c r="AE46" s="18" t="str">
        <x:f>IF(A46="","",IF(AND(N46&lt;TODAY(),J46&lt;&gt;"Termine"),"Retard","OK"))</x:f>
      </x:c>
      <x:c r="AF46" s="18" t="str">
        <x:f>IF(A46="","",IF(P46=0,"Budget manquant",IF(S46/P46&lt;0.5,"Financement critique",IF(S46/P46&lt;0.8,"Financement partiel","OK"))))</x:f>
      </x:c>
      <x:c r="AG46" s="18" t="str">
        <x:f>IF(A46="","",IF(OR(B46="",D46="",J46="",P46="",H46=""),"Donnees manquantes","OK"))</x:f>
      </x:c>
      <x:c r="AH46" s="18"/>
    </x:row>
    <x:row r="47">
      <x:c r="A47" s="18"/>
      <x:c r="B47" s="18"/>
      <x:c r="C47" s="18"/>
      <x:c r="D47" s="18"/>
      <x:c r="E47" s="18"/>
      <x:c r="F47" s="18"/>
      <x:c r="G47" s="18"/>
      <x:c r="H47" s="18"/>
      <x:c r="I47" s="18"/>
      <x:c r="J47" s="18"/>
      <x:c r="K47" s="18"/>
      <x:c r="L47" s="18"/>
      <x:c r="M47" s="19"/>
      <x:c r="N47" s="19"/>
      <x:c r="O47" s="20"/>
      <x:c r="P47" s="21"/>
      <x:c r="Q47" s="21"/>
      <x:c r="R47" s="21"/>
      <x:c r="S47" s="21"/>
      <x:c r="T47" s="21" t="str">
        <x:f>IF(A47="","",MAX(0,P47-S47))</x:f>
      </x:c>
      <x:c r="U47" s="22"/>
      <x:c r="V47" s="22"/>
      <x:c r="W47" s="18"/>
      <x:c r="X47" s="18"/>
      <x:c r="Y47" s="18"/>
      <x:c r="Z47" s="18"/>
      <x:c r="AA47" s="18"/>
      <x:c r="AB47" s="18"/>
      <x:c r="AC47" s="18"/>
      <x:c r="AD47" s="19"/>
      <x:c r="AE47" s="18" t="str">
        <x:f>IF(A47="","",IF(AND(N47&lt;TODAY(),J47&lt;&gt;"Termine"),"Retard","OK"))</x:f>
      </x:c>
      <x:c r="AF47" s="18" t="str">
        <x:f>IF(A47="","",IF(P47=0,"Budget manquant",IF(S47/P47&lt;0.5,"Financement critique",IF(S47/P47&lt;0.8,"Financement partiel","OK"))))</x:f>
      </x:c>
      <x:c r="AG47" s="18" t="str">
        <x:f>IF(A47="","",IF(OR(B47="",D47="",J47="",P47="",H47=""),"Donnees manquantes","OK"))</x:f>
      </x:c>
      <x:c r="AH47" s="18"/>
    </x:row>
    <x:row r="48">
      <x:c r="A48" s="18"/>
      <x:c r="B48" s="18"/>
      <x:c r="C48" s="18"/>
      <x:c r="D48" s="18"/>
      <x:c r="E48" s="18"/>
      <x:c r="F48" s="18"/>
      <x:c r="G48" s="18"/>
      <x:c r="H48" s="18"/>
      <x:c r="I48" s="18"/>
      <x:c r="J48" s="18"/>
      <x:c r="K48" s="18"/>
      <x:c r="L48" s="18"/>
      <x:c r="M48" s="19"/>
      <x:c r="N48" s="19"/>
      <x:c r="O48" s="20"/>
      <x:c r="P48" s="21"/>
      <x:c r="Q48" s="21"/>
      <x:c r="R48" s="21"/>
      <x:c r="S48" s="21"/>
      <x:c r="T48" s="21" t="str">
        <x:f>IF(A48="","",MAX(0,P48-S48))</x:f>
      </x:c>
      <x:c r="U48" s="22"/>
      <x:c r="V48" s="22"/>
      <x:c r="W48" s="18"/>
      <x:c r="X48" s="18"/>
      <x:c r="Y48" s="18"/>
      <x:c r="Z48" s="18"/>
      <x:c r="AA48" s="18"/>
      <x:c r="AB48" s="18"/>
      <x:c r="AC48" s="18"/>
      <x:c r="AD48" s="19"/>
      <x:c r="AE48" s="18" t="str">
        <x:f>IF(A48="","",IF(AND(N48&lt;TODAY(),J48&lt;&gt;"Termine"),"Retard","OK"))</x:f>
      </x:c>
      <x:c r="AF48" s="18" t="str">
        <x:f>IF(A48="","",IF(P48=0,"Budget manquant",IF(S48/P48&lt;0.5,"Financement critique",IF(S48/P48&lt;0.8,"Financement partiel","OK"))))</x:f>
      </x:c>
      <x:c r="AG48" s="18" t="str">
        <x:f>IF(A48="","",IF(OR(B48="",D48="",J48="",P48="",H48=""),"Donnees manquantes","OK"))</x:f>
      </x:c>
      <x:c r="AH48" s="18"/>
    </x:row>
    <x:row r="49">
      <x:c r="A49" s="18"/>
      <x:c r="B49" s="18"/>
      <x:c r="C49" s="18"/>
      <x:c r="D49" s="18"/>
      <x:c r="E49" s="18"/>
      <x:c r="F49" s="18"/>
      <x:c r="G49" s="18"/>
      <x:c r="H49" s="18"/>
      <x:c r="I49" s="18"/>
      <x:c r="J49" s="18"/>
      <x:c r="K49" s="18"/>
      <x:c r="L49" s="18"/>
      <x:c r="M49" s="19"/>
      <x:c r="N49" s="19"/>
      <x:c r="O49" s="20"/>
      <x:c r="P49" s="21"/>
      <x:c r="Q49" s="21"/>
      <x:c r="R49" s="21"/>
      <x:c r="S49" s="21"/>
      <x:c r="T49" s="21" t="str">
        <x:f>IF(A49="","",MAX(0,P49-S49))</x:f>
      </x:c>
      <x:c r="U49" s="22"/>
      <x:c r="V49" s="22"/>
      <x:c r="W49" s="18"/>
      <x:c r="X49" s="18"/>
      <x:c r="Y49" s="18"/>
      <x:c r="Z49" s="18"/>
      <x:c r="AA49" s="18"/>
      <x:c r="AB49" s="18"/>
      <x:c r="AC49" s="18"/>
      <x:c r="AD49" s="19"/>
      <x:c r="AE49" s="18" t="str">
        <x:f>IF(A49="","",IF(AND(N49&lt;TODAY(),J49&lt;&gt;"Termine"),"Retard","OK"))</x:f>
      </x:c>
      <x:c r="AF49" s="18" t="str">
        <x:f>IF(A49="","",IF(P49=0,"Budget manquant",IF(S49/P49&lt;0.5,"Financement critique",IF(S49/P49&lt;0.8,"Financement partiel","OK"))))</x:f>
      </x:c>
      <x:c r="AG49" s="18" t="str">
        <x:f>IF(A49="","",IF(OR(B49="",D49="",J49="",P49="",H49=""),"Donnees manquantes","OK"))</x:f>
      </x:c>
      <x:c r="AH49" s="18"/>
    </x:row>
    <x:row r="50">
      <x:c r="A50" s="18"/>
      <x:c r="B50" s="18"/>
      <x:c r="C50" s="18"/>
      <x:c r="D50" s="18"/>
      <x:c r="E50" s="18"/>
      <x:c r="F50" s="18"/>
      <x:c r="G50" s="18"/>
      <x:c r="H50" s="18"/>
      <x:c r="I50" s="18"/>
      <x:c r="J50" s="18"/>
      <x:c r="K50" s="18"/>
      <x:c r="L50" s="18"/>
      <x:c r="M50" s="19"/>
      <x:c r="N50" s="19"/>
      <x:c r="O50" s="20"/>
      <x:c r="P50" s="21"/>
      <x:c r="Q50" s="21"/>
      <x:c r="R50" s="21"/>
      <x:c r="S50" s="21"/>
      <x:c r="T50" s="21" t="str">
        <x:f>IF(A50="","",MAX(0,P50-S50))</x:f>
      </x:c>
      <x:c r="U50" s="22"/>
      <x:c r="V50" s="22"/>
      <x:c r="W50" s="18"/>
      <x:c r="X50" s="18"/>
      <x:c r="Y50" s="18"/>
      <x:c r="Z50" s="18"/>
      <x:c r="AA50" s="18"/>
      <x:c r="AB50" s="18"/>
      <x:c r="AC50" s="18"/>
      <x:c r="AD50" s="19"/>
      <x:c r="AE50" s="18" t="str">
        <x:f>IF(A50="","",IF(AND(N50&lt;TODAY(),J50&lt;&gt;"Termine"),"Retard","OK"))</x:f>
      </x:c>
      <x:c r="AF50" s="18" t="str">
        <x:f>IF(A50="","",IF(P50=0,"Budget manquant",IF(S50/P50&lt;0.5,"Financement critique",IF(S50/P50&lt;0.8,"Financement partiel","OK"))))</x:f>
      </x:c>
      <x:c r="AG50" s="18" t="str">
        <x:f>IF(A50="","",IF(OR(B50="",D50="",J50="",P50="",H50=""),"Donnees manquantes","OK"))</x:f>
      </x:c>
      <x:c r="AH50" s="18"/>
    </x:row>
    <x:row r="51">
      <x:c r="A51" s="18"/>
      <x:c r="B51" s="18"/>
      <x:c r="C51" s="18"/>
      <x:c r="D51" s="18"/>
      <x:c r="E51" s="18"/>
      <x:c r="F51" s="18"/>
      <x:c r="G51" s="18"/>
      <x:c r="H51" s="18"/>
      <x:c r="I51" s="18"/>
      <x:c r="J51" s="18"/>
      <x:c r="K51" s="18"/>
      <x:c r="L51" s="18"/>
      <x:c r="M51" s="19"/>
      <x:c r="N51" s="19"/>
      <x:c r="O51" s="20"/>
      <x:c r="P51" s="21"/>
      <x:c r="Q51" s="21"/>
      <x:c r="R51" s="21"/>
      <x:c r="S51" s="21"/>
      <x:c r="T51" s="21" t="str">
        <x:f>IF(A51="","",MAX(0,P51-S51))</x:f>
      </x:c>
      <x:c r="U51" s="22"/>
      <x:c r="V51" s="22"/>
      <x:c r="W51" s="18"/>
      <x:c r="X51" s="18"/>
      <x:c r="Y51" s="18"/>
      <x:c r="Z51" s="18"/>
      <x:c r="AA51" s="18"/>
      <x:c r="AB51" s="18"/>
      <x:c r="AC51" s="18"/>
      <x:c r="AD51" s="19"/>
      <x:c r="AE51" s="18" t="str">
        <x:f>IF(A51="","",IF(AND(N51&lt;TODAY(),J51&lt;&gt;"Termine"),"Retard","OK"))</x:f>
      </x:c>
      <x:c r="AF51" s="18" t="str">
        <x:f>IF(A51="","",IF(P51=0,"Budget manquant",IF(S51/P51&lt;0.5,"Financement critique",IF(S51/P51&lt;0.8,"Financement partiel","OK"))))</x:f>
      </x:c>
      <x:c r="AG51" s="18" t="str">
        <x:f>IF(A51="","",IF(OR(B51="",D51="",J51="",P51="",H51=""),"Donnees manquantes","OK"))</x:f>
      </x:c>
      <x:c r="AH51" s="18"/>
    </x:row>
    <x:row r="52">
      <x:c r="A52" s="18"/>
      <x:c r="B52" s="18"/>
      <x:c r="C52" s="18"/>
      <x:c r="D52" s="18"/>
      <x:c r="E52" s="18"/>
      <x:c r="F52" s="18"/>
      <x:c r="G52" s="18"/>
      <x:c r="H52" s="18"/>
      <x:c r="I52" s="18"/>
      <x:c r="J52" s="18"/>
      <x:c r="K52" s="18"/>
      <x:c r="L52" s="18"/>
      <x:c r="M52" s="19"/>
      <x:c r="N52" s="19"/>
      <x:c r="O52" s="20"/>
      <x:c r="P52" s="21"/>
      <x:c r="Q52" s="21"/>
      <x:c r="R52" s="21"/>
      <x:c r="S52" s="21"/>
      <x:c r="T52" s="21" t="str">
        <x:f>IF(A52="","",MAX(0,P52-S52))</x:f>
      </x:c>
      <x:c r="U52" s="22"/>
      <x:c r="V52" s="22"/>
      <x:c r="W52" s="18"/>
      <x:c r="X52" s="18"/>
      <x:c r="Y52" s="18"/>
      <x:c r="Z52" s="18"/>
      <x:c r="AA52" s="18"/>
      <x:c r="AB52" s="18"/>
      <x:c r="AC52" s="18"/>
      <x:c r="AD52" s="19"/>
      <x:c r="AE52" s="18" t="str">
        <x:f>IF(A52="","",IF(AND(N52&lt;TODAY(),J52&lt;&gt;"Termine"),"Retard","OK"))</x:f>
      </x:c>
      <x:c r="AF52" s="18" t="str">
        <x:f>IF(A52="","",IF(P52=0,"Budget manquant",IF(S52/P52&lt;0.5,"Financement critique",IF(S52/P52&lt;0.8,"Financement partiel","OK"))))</x:f>
      </x:c>
      <x:c r="AG52" s="18" t="str">
        <x:f>IF(A52="","",IF(OR(B52="",D52="",J52="",P52="",H52=""),"Donnees manquantes","OK"))</x:f>
      </x:c>
      <x:c r="AH52" s="18"/>
    </x:row>
    <x:row r="53">
      <x:c r="A53" s="18"/>
      <x:c r="B53" s="18"/>
      <x:c r="C53" s="18"/>
      <x:c r="D53" s="18"/>
      <x:c r="E53" s="18"/>
      <x:c r="F53" s="18"/>
      <x:c r="G53" s="18"/>
      <x:c r="H53" s="18"/>
      <x:c r="I53" s="18"/>
      <x:c r="J53" s="18"/>
      <x:c r="K53" s="18"/>
      <x:c r="L53" s="18"/>
      <x:c r="M53" s="19"/>
      <x:c r="N53" s="19"/>
      <x:c r="O53" s="20"/>
      <x:c r="P53" s="21"/>
      <x:c r="Q53" s="21"/>
      <x:c r="R53" s="21"/>
      <x:c r="S53" s="21"/>
      <x:c r="T53" s="21" t="str">
        <x:f>IF(A53="","",MAX(0,P53-S53))</x:f>
      </x:c>
      <x:c r="U53" s="22"/>
      <x:c r="V53" s="22"/>
      <x:c r="W53" s="18"/>
      <x:c r="X53" s="18"/>
      <x:c r="Y53" s="18"/>
      <x:c r="Z53" s="18"/>
      <x:c r="AA53" s="18"/>
      <x:c r="AB53" s="18"/>
      <x:c r="AC53" s="18"/>
      <x:c r="AD53" s="19"/>
      <x:c r="AE53" s="18" t="str">
        <x:f>IF(A53="","",IF(AND(N53&lt;TODAY(),J53&lt;&gt;"Termine"),"Retard","OK"))</x:f>
      </x:c>
      <x:c r="AF53" s="18" t="str">
        <x:f>IF(A53="","",IF(P53=0,"Budget manquant",IF(S53/P53&lt;0.5,"Financement critique",IF(S53/P53&lt;0.8,"Financement partiel","OK"))))</x:f>
      </x:c>
      <x:c r="AG53" s="18" t="str">
        <x:f>IF(A53="","",IF(OR(B53="",D53="",J53="",P53="",H53=""),"Donnees manquantes","OK"))</x:f>
      </x:c>
      <x:c r="AH53" s="18"/>
    </x:row>
    <x:row r="54">
      <x:c r="A54" s="18"/>
      <x:c r="B54" s="18"/>
      <x:c r="C54" s="18"/>
      <x:c r="D54" s="18"/>
      <x:c r="E54" s="18"/>
      <x:c r="F54" s="18"/>
      <x:c r="G54" s="18"/>
      <x:c r="H54" s="18"/>
      <x:c r="I54" s="18"/>
      <x:c r="J54" s="18"/>
      <x:c r="K54" s="18"/>
      <x:c r="L54" s="18"/>
      <x:c r="M54" s="19"/>
      <x:c r="N54" s="19"/>
      <x:c r="O54" s="20"/>
      <x:c r="P54" s="21"/>
      <x:c r="Q54" s="21"/>
      <x:c r="R54" s="21"/>
      <x:c r="S54" s="21"/>
      <x:c r="T54" s="21" t="str">
        <x:f>IF(A54="","",MAX(0,P54-S54))</x:f>
      </x:c>
      <x:c r="U54" s="22"/>
      <x:c r="V54" s="22"/>
      <x:c r="W54" s="18"/>
      <x:c r="X54" s="18"/>
      <x:c r="Y54" s="18"/>
      <x:c r="Z54" s="18"/>
      <x:c r="AA54" s="18"/>
      <x:c r="AB54" s="18"/>
      <x:c r="AC54" s="18"/>
      <x:c r="AD54" s="19"/>
      <x:c r="AE54" s="18" t="str">
        <x:f>IF(A54="","",IF(AND(N54&lt;TODAY(),J54&lt;&gt;"Termine"),"Retard","OK"))</x:f>
      </x:c>
      <x:c r="AF54" s="18" t="str">
        <x:f>IF(A54="","",IF(P54=0,"Budget manquant",IF(S54/P54&lt;0.5,"Financement critique",IF(S54/P54&lt;0.8,"Financement partiel","OK"))))</x:f>
      </x:c>
      <x:c r="AG54" s="18" t="str">
        <x:f>IF(A54="","",IF(OR(B54="",D54="",J54="",P54="",H54=""),"Donnees manquantes","OK"))</x:f>
      </x:c>
      <x:c r="AH54" s="18"/>
    </x:row>
    <x:row r="55">
      <x:c r="A55" s="18"/>
      <x:c r="B55" s="18"/>
      <x:c r="C55" s="18"/>
      <x:c r="D55" s="18"/>
      <x:c r="E55" s="18"/>
      <x:c r="F55" s="18"/>
      <x:c r="G55" s="18"/>
      <x:c r="H55" s="18"/>
      <x:c r="I55" s="18"/>
      <x:c r="J55" s="18"/>
      <x:c r="K55" s="18"/>
      <x:c r="L55" s="18"/>
      <x:c r="M55" s="19"/>
      <x:c r="N55" s="19"/>
      <x:c r="O55" s="20"/>
      <x:c r="P55" s="21"/>
      <x:c r="Q55" s="21"/>
      <x:c r="R55" s="21"/>
      <x:c r="S55" s="21"/>
      <x:c r="T55" s="21" t="str">
        <x:f>IF(A55="","",MAX(0,P55-S55))</x:f>
      </x:c>
      <x:c r="U55" s="22"/>
      <x:c r="V55" s="22"/>
      <x:c r="W55" s="18"/>
      <x:c r="X55" s="18"/>
      <x:c r="Y55" s="18"/>
      <x:c r="Z55" s="18"/>
      <x:c r="AA55" s="18"/>
      <x:c r="AB55" s="18"/>
      <x:c r="AC55" s="18"/>
      <x:c r="AD55" s="19"/>
      <x:c r="AE55" s="18" t="str">
        <x:f>IF(A55="","",IF(AND(N55&lt;TODAY(),J55&lt;&gt;"Termine"),"Retard","OK"))</x:f>
      </x:c>
      <x:c r="AF55" s="18" t="str">
        <x:f>IF(A55="","",IF(P55=0,"Budget manquant",IF(S55/P55&lt;0.5,"Financement critique",IF(S55/P55&lt;0.8,"Financement partiel","OK"))))</x:f>
      </x:c>
      <x:c r="AG55" s="18" t="str">
        <x:f>IF(A55="","",IF(OR(B55="",D55="",J55="",P55="",H55=""),"Donnees manquantes","OK"))</x:f>
      </x:c>
      <x:c r="AH55" s="18"/>
    </x:row>
    <x:row r="56">
      <x:c r="A56" s="18"/>
      <x:c r="B56" s="18"/>
      <x:c r="C56" s="18"/>
      <x:c r="D56" s="18"/>
      <x:c r="E56" s="18"/>
      <x:c r="F56" s="18"/>
      <x:c r="G56" s="18"/>
      <x:c r="H56" s="18"/>
      <x:c r="I56" s="18"/>
      <x:c r="J56" s="18"/>
      <x:c r="K56" s="18"/>
      <x:c r="L56" s="18"/>
      <x:c r="M56" s="19"/>
      <x:c r="N56" s="19"/>
      <x:c r="O56" s="20"/>
      <x:c r="P56" s="21"/>
      <x:c r="Q56" s="21"/>
      <x:c r="R56" s="21"/>
      <x:c r="S56" s="21"/>
      <x:c r="T56" s="21" t="str">
        <x:f>IF(A56="","",MAX(0,P56-S56))</x:f>
      </x:c>
      <x:c r="U56" s="22"/>
      <x:c r="V56" s="22"/>
      <x:c r="W56" s="18"/>
      <x:c r="X56" s="18"/>
      <x:c r="Y56" s="18"/>
      <x:c r="Z56" s="18"/>
      <x:c r="AA56" s="18"/>
      <x:c r="AB56" s="18"/>
      <x:c r="AC56" s="18"/>
      <x:c r="AD56" s="19"/>
      <x:c r="AE56" s="18" t="str">
        <x:f>IF(A56="","",IF(AND(N56&lt;TODAY(),J56&lt;&gt;"Termine"),"Retard","OK"))</x:f>
      </x:c>
      <x:c r="AF56" s="18" t="str">
        <x:f>IF(A56="","",IF(P56=0,"Budget manquant",IF(S56/P56&lt;0.5,"Financement critique",IF(S56/P56&lt;0.8,"Financement partiel","OK"))))</x:f>
      </x:c>
      <x:c r="AG56" s="18" t="str">
        <x:f>IF(A56="","",IF(OR(B56="",D56="",J56="",P56="",H56=""),"Donnees manquantes","OK"))</x:f>
      </x:c>
      <x:c r="AH56" s="18"/>
    </x:row>
    <x:row r="57">
      <x:c r="A57" s="18"/>
      <x:c r="B57" s="18"/>
      <x:c r="C57" s="18"/>
      <x:c r="D57" s="18"/>
      <x:c r="E57" s="18"/>
      <x:c r="F57" s="18"/>
      <x:c r="G57" s="18"/>
      <x:c r="H57" s="18"/>
      <x:c r="I57" s="18"/>
      <x:c r="J57" s="18"/>
      <x:c r="K57" s="18"/>
      <x:c r="L57" s="18"/>
      <x:c r="M57" s="19"/>
      <x:c r="N57" s="19"/>
      <x:c r="O57" s="20"/>
      <x:c r="P57" s="21"/>
      <x:c r="Q57" s="21"/>
      <x:c r="R57" s="21"/>
      <x:c r="S57" s="21"/>
      <x:c r="T57" s="21" t="str">
        <x:f>IF(A57="","",MAX(0,P57-S57))</x:f>
      </x:c>
      <x:c r="U57" s="22"/>
      <x:c r="V57" s="22"/>
      <x:c r="W57" s="18"/>
      <x:c r="X57" s="18"/>
      <x:c r="Y57" s="18"/>
      <x:c r="Z57" s="18"/>
      <x:c r="AA57" s="18"/>
      <x:c r="AB57" s="18"/>
      <x:c r="AC57" s="18"/>
      <x:c r="AD57" s="19"/>
      <x:c r="AE57" s="18" t="str">
        <x:f>IF(A57="","",IF(AND(N57&lt;TODAY(),J57&lt;&gt;"Termine"),"Retard","OK"))</x:f>
      </x:c>
      <x:c r="AF57" s="18" t="str">
        <x:f>IF(A57="","",IF(P57=0,"Budget manquant",IF(S57/P57&lt;0.5,"Financement critique",IF(S57/P57&lt;0.8,"Financement partiel","OK"))))</x:f>
      </x:c>
      <x:c r="AG57" s="18" t="str">
        <x:f>IF(A57="","",IF(OR(B57="",D57="",J57="",P57="",H57=""),"Donnees manquantes","OK"))</x:f>
      </x:c>
      <x:c r="AH57" s="18"/>
    </x:row>
    <x:row r="58">
      <x:c r="A58" s="18"/>
      <x:c r="B58" s="18"/>
      <x:c r="C58" s="18"/>
      <x:c r="D58" s="18"/>
      <x:c r="E58" s="18"/>
      <x:c r="F58" s="18"/>
      <x:c r="G58" s="18"/>
      <x:c r="H58" s="18"/>
      <x:c r="I58" s="18"/>
      <x:c r="J58" s="18"/>
      <x:c r="K58" s="18"/>
      <x:c r="L58" s="18"/>
      <x:c r="M58" s="19"/>
      <x:c r="N58" s="19"/>
      <x:c r="O58" s="20"/>
      <x:c r="P58" s="21"/>
      <x:c r="Q58" s="21"/>
      <x:c r="R58" s="21"/>
      <x:c r="S58" s="21"/>
      <x:c r="T58" s="21" t="str">
        <x:f>IF(A58="","",MAX(0,P58-S58))</x:f>
      </x:c>
      <x:c r="U58" s="22"/>
      <x:c r="V58" s="22"/>
      <x:c r="W58" s="18"/>
      <x:c r="X58" s="18"/>
      <x:c r="Y58" s="18"/>
      <x:c r="Z58" s="18"/>
      <x:c r="AA58" s="18"/>
      <x:c r="AB58" s="18"/>
      <x:c r="AC58" s="18"/>
      <x:c r="AD58" s="19"/>
      <x:c r="AE58" s="18" t="str">
        <x:f>IF(A58="","",IF(AND(N58&lt;TODAY(),J58&lt;&gt;"Termine"),"Retard","OK"))</x:f>
      </x:c>
      <x:c r="AF58" s="18" t="str">
        <x:f>IF(A58="","",IF(P58=0,"Budget manquant",IF(S58/P58&lt;0.5,"Financement critique",IF(S58/P58&lt;0.8,"Financement partiel","OK"))))</x:f>
      </x:c>
      <x:c r="AG58" s="18" t="str">
        <x:f>IF(A58="","",IF(OR(B58="",D58="",J58="",P58="",H58=""),"Donnees manquantes","OK"))</x:f>
      </x:c>
      <x:c r="AH58" s="18"/>
    </x:row>
    <x:row r="59">
      <x:c r="A59" s="18"/>
      <x:c r="B59" s="18"/>
      <x:c r="C59" s="18"/>
      <x:c r="D59" s="18"/>
      <x:c r="E59" s="18"/>
      <x:c r="F59" s="18"/>
      <x:c r="G59" s="18"/>
      <x:c r="H59" s="18"/>
      <x:c r="I59" s="18"/>
      <x:c r="J59" s="18"/>
      <x:c r="K59" s="18"/>
      <x:c r="L59" s="18"/>
      <x:c r="M59" s="19"/>
      <x:c r="N59" s="19"/>
      <x:c r="O59" s="20"/>
      <x:c r="P59" s="21"/>
      <x:c r="Q59" s="21"/>
      <x:c r="R59" s="21"/>
      <x:c r="S59" s="21"/>
      <x:c r="T59" s="21" t="str">
        <x:f>IF(A59="","",MAX(0,P59-S59))</x:f>
      </x:c>
      <x:c r="U59" s="22"/>
      <x:c r="V59" s="22"/>
      <x:c r="W59" s="18"/>
      <x:c r="X59" s="18"/>
      <x:c r="Y59" s="18"/>
      <x:c r="Z59" s="18"/>
      <x:c r="AA59" s="18"/>
      <x:c r="AB59" s="18"/>
      <x:c r="AC59" s="18"/>
      <x:c r="AD59" s="19"/>
      <x:c r="AE59" s="18" t="str">
        <x:f>IF(A59="","",IF(AND(N59&lt;TODAY(),J59&lt;&gt;"Termine"),"Retard","OK"))</x:f>
      </x:c>
      <x:c r="AF59" s="18" t="str">
        <x:f>IF(A59="","",IF(P59=0,"Budget manquant",IF(S59/P59&lt;0.5,"Financement critique",IF(S59/P59&lt;0.8,"Financement partiel","OK"))))</x:f>
      </x:c>
      <x:c r="AG59" s="18" t="str">
        <x:f>IF(A59="","",IF(OR(B59="",D59="",J59="",P59="",H59=""),"Donnees manquantes","OK"))</x:f>
      </x:c>
      <x:c r="AH59" s="18"/>
    </x:row>
    <x:row r="60">
      <x:c r="A60" s="18"/>
      <x:c r="B60" s="18"/>
      <x:c r="C60" s="18"/>
      <x:c r="D60" s="18"/>
      <x:c r="E60" s="18"/>
      <x:c r="F60" s="18"/>
      <x:c r="G60" s="18"/>
      <x:c r="H60" s="18"/>
      <x:c r="I60" s="18"/>
      <x:c r="J60" s="18"/>
      <x:c r="K60" s="18"/>
      <x:c r="L60" s="18"/>
      <x:c r="M60" s="19"/>
      <x:c r="N60" s="19"/>
      <x:c r="O60" s="20"/>
      <x:c r="P60" s="21"/>
      <x:c r="Q60" s="21"/>
      <x:c r="R60" s="21"/>
      <x:c r="S60" s="21"/>
      <x:c r="T60" s="21" t="str">
        <x:f>IF(A60="","",MAX(0,P60-S60))</x:f>
      </x:c>
      <x:c r="U60" s="22"/>
      <x:c r="V60" s="22"/>
      <x:c r="W60" s="18"/>
      <x:c r="X60" s="18"/>
      <x:c r="Y60" s="18"/>
      <x:c r="Z60" s="18"/>
      <x:c r="AA60" s="18"/>
      <x:c r="AB60" s="18"/>
      <x:c r="AC60" s="18"/>
      <x:c r="AD60" s="19"/>
      <x:c r="AE60" s="18" t="str">
        <x:f>IF(A60="","",IF(AND(N60&lt;TODAY(),J60&lt;&gt;"Termine"),"Retard","OK"))</x:f>
      </x:c>
      <x:c r="AF60" s="18" t="str">
        <x:f>IF(A60="","",IF(P60=0,"Budget manquant",IF(S60/P60&lt;0.5,"Financement critique",IF(S60/P60&lt;0.8,"Financement partiel","OK"))))</x:f>
      </x:c>
      <x:c r="AG60" s="18" t="str">
        <x:f>IF(A60="","",IF(OR(B60="",D60="",J60="",P60="",H60=""),"Donnees manquantes","OK"))</x:f>
      </x:c>
      <x:c r="AH60" s="18"/>
    </x:row>
    <x:row r="61">
      <x:c r="A61" s="18"/>
      <x:c r="B61" s="18"/>
      <x:c r="C61" s="18"/>
      <x:c r="D61" s="18"/>
      <x:c r="E61" s="18"/>
      <x:c r="F61" s="18"/>
      <x:c r="G61" s="18"/>
      <x:c r="H61" s="18"/>
      <x:c r="I61" s="18"/>
      <x:c r="J61" s="18"/>
      <x:c r="K61" s="18"/>
      <x:c r="L61" s="18"/>
      <x:c r="M61" s="19"/>
      <x:c r="N61" s="19"/>
      <x:c r="O61" s="20"/>
      <x:c r="P61" s="21"/>
      <x:c r="Q61" s="21"/>
      <x:c r="R61" s="21"/>
      <x:c r="S61" s="21"/>
      <x:c r="T61" s="21" t="str">
        <x:f>IF(A61="","",MAX(0,P61-S61))</x:f>
      </x:c>
      <x:c r="U61" s="22"/>
      <x:c r="V61" s="22"/>
      <x:c r="W61" s="18"/>
      <x:c r="X61" s="18"/>
      <x:c r="Y61" s="18"/>
      <x:c r="Z61" s="18"/>
      <x:c r="AA61" s="18"/>
      <x:c r="AB61" s="18"/>
      <x:c r="AC61" s="18"/>
      <x:c r="AD61" s="19"/>
      <x:c r="AE61" s="18" t="str">
        <x:f>IF(A61="","",IF(AND(N61&lt;TODAY(),J61&lt;&gt;"Termine"),"Retard","OK"))</x:f>
      </x:c>
      <x:c r="AF61" s="18" t="str">
        <x:f>IF(A61="","",IF(P61=0,"Budget manquant",IF(S61/P61&lt;0.5,"Financement critique",IF(S61/P61&lt;0.8,"Financement partiel","OK"))))</x:f>
      </x:c>
      <x:c r="AG61" s="18" t="str">
        <x:f>IF(A61="","",IF(OR(B61="",D61="",J61="",P61="",H61=""),"Donnees manquantes","OK"))</x:f>
      </x:c>
      <x:c r="AH61" s="18"/>
    </x:row>
    <x:row r="62">
      <x:c r="A62" s="18"/>
      <x:c r="B62" s="18"/>
      <x:c r="C62" s="18"/>
      <x:c r="D62" s="18"/>
      <x:c r="E62" s="18"/>
      <x:c r="F62" s="18"/>
      <x:c r="G62" s="18"/>
      <x:c r="H62" s="18"/>
      <x:c r="I62" s="18"/>
      <x:c r="J62" s="18"/>
      <x:c r="K62" s="18"/>
      <x:c r="L62" s="18"/>
      <x:c r="M62" s="19"/>
      <x:c r="N62" s="19"/>
      <x:c r="O62" s="20"/>
      <x:c r="P62" s="21"/>
      <x:c r="Q62" s="21"/>
      <x:c r="R62" s="21"/>
      <x:c r="S62" s="21"/>
      <x:c r="T62" s="21" t="str">
        <x:f>IF(A62="","",MAX(0,P62-S62))</x:f>
      </x:c>
      <x:c r="U62" s="22"/>
      <x:c r="V62" s="22"/>
      <x:c r="W62" s="18"/>
      <x:c r="X62" s="18"/>
      <x:c r="Y62" s="18"/>
      <x:c r="Z62" s="18"/>
      <x:c r="AA62" s="18"/>
      <x:c r="AB62" s="18"/>
      <x:c r="AC62" s="18"/>
      <x:c r="AD62" s="19"/>
      <x:c r="AE62" s="18" t="str">
        <x:f>IF(A62="","",IF(AND(N62&lt;TODAY(),J62&lt;&gt;"Termine"),"Retard","OK"))</x:f>
      </x:c>
      <x:c r="AF62" s="18" t="str">
        <x:f>IF(A62="","",IF(P62=0,"Budget manquant",IF(S62/P62&lt;0.5,"Financement critique",IF(S62/P62&lt;0.8,"Financement partiel","OK"))))</x:f>
      </x:c>
      <x:c r="AG62" s="18" t="str">
        <x:f>IF(A62="","",IF(OR(B62="",D62="",J62="",P62="",H62=""),"Donnees manquantes","OK"))</x:f>
      </x:c>
      <x:c r="AH62" s="18"/>
    </x:row>
    <x:row r="63">
      <x:c r="A63" s="18"/>
      <x:c r="B63" s="18"/>
      <x:c r="C63" s="18"/>
      <x:c r="D63" s="18"/>
      <x:c r="E63" s="18"/>
      <x:c r="F63" s="18"/>
      <x:c r="G63" s="18"/>
      <x:c r="H63" s="18"/>
      <x:c r="I63" s="18"/>
      <x:c r="J63" s="18"/>
      <x:c r="K63" s="18"/>
      <x:c r="L63" s="18"/>
      <x:c r="M63" s="19"/>
      <x:c r="N63" s="19"/>
      <x:c r="O63" s="20"/>
      <x:c r="P63" s="21"/>
      <x:c r="Q63" s="21"/>
      <x:c r="R63" s="21"/>
      <x:c r="S63" s="21"/>
      <x:c r="T63" s="21" t="str">
        <x:f>IF(A63="","",MAX(0,P63-S63))</x:f>
      </x:c>
      <x:c r="U63" s="22"/>
      <x:c r="V63" s="22"/>
      <x:c r="W63" s="18"/>
      <x:c r="X63" s="18"/>
      <x:c r="Y63" s="18"/>
      <x:c r="Z63" s="18"/>
      <x:c r="AA63" s="18"/>
      <x:c r="AB63" s="18"/>
      <x:c r="AC63" s="18"/>
      <x:c r="AD63" s="19"/>
      <x:c r="AE63" s="18" t="str">
        <x:f>IF(A63="","",IF(AND(N63&lt;TODAY(),J63&lt;&gt;"Termine"),"Retard","OK"))</x:f>
      </x:c>
      <x:c r="AF63" s="18" t="str">
        <x:f>IF(A63="","",IF(P63=0,"Budget manquant",IF(S63/P63&lt;0.5,"Financement critique",IF(S63/P63&lt;0.8,"Financement partiel","OK"))))</x:f>
      </x:c>
      <x:c r="AG63" s="18" t="str">
        <x:f>IF(A63="","",IF(OR(B63="",D63="",J63="",P63="",H63=""),"Donnees manquantes","OK"))</x:f>
      </x:c>
      <x:c r="AH63" s="18"/>
    </x:row>
    <x:row r="64">
      <x:c r="A64" s="18"/>
      <x:c r="B64" s="18"/>
      <x:c r="C64" s="18"/>
      <x:c r="D64" s="18"/>
      <x:c r="E64" s="18"/>
      <x:c r="F64" s="18"/>
      <x:c r="G64" s="18"/>
      <x:c r="H64" s="18"/>
      <x:c r="I64" s="18"/>
      <x:c r="J64" s="18"/>
      <x:c r="K64" s="18"/>
      <x:c r="L64" s="18"/>
      <x:c r="M64" s="19"/>
      <x:c r="N64" s="19"/>
      <x:c r="O64" s="20"/>
      <x:c r="P64" s="21"/>
      <x:c r="Q64" s="21"/>
      <x:c r="R64" s="21"/>
      <x:c r="S64" s="21"/>
      <x:c r="T64" s="21" t="str">
        <x:f>IF(A64="","",MAX(0,P64-S64))</x:f>
      </x:c>
      <x:c r="U64" s="22"/>
      <x:c r="V64" s="22"/>
      <x:c r="W64" s="18"/>
      <x:c r="X64" s="18"/>
      <x:c r="Y64" s="18"/>
      <x:c r="Z64" s="18"/>
      <x:c r="AA64" s="18"/>
      <x:c r="AB64" s="18"/>
      <x:c r="AC64" s="18"/>
      <x:c r="AD64" s="19"/>
      <x:c r="AE64" s="18" t="str">
        <x:f>IF(A64="","",IF(AND(N64&lt;TODAY(),J64&lt;&gt;"Termine"),"Retard","OK"))</x:f>
      </x:c>
      <x:c r="AF64" s="18" t="str">
        <x:f>IF(A64="","",IF(P64=0,"Budget manquant",IF(S64/P64&lt;0.5,"Financement critique",IF(S64/P64&lt;0.8,"Financement partiel","OK"))))</x:f>
      </x:c>
      <x:c r="AG64" s="18" t="str">
        <x:f>IF(A64="","",IF(OR(B64="",D64="",J64="",P64="",H64=""),"Donnees manquantes","OK"))</x:f>
      </x:c>
      <x:c r="AH64" s="18"/>
    </x:row>
  </x:sheetData>
  <x:mergeCells>
    <x:mergeCell ref="A1:J1"/>
    <x:mergeCell ref="A2:J2"/>
  </x:mergeCells>
  <x:conditionalFormatting sqref="AE5:AE64">
    <x:cfRule type="containsText" dxfId="4" priority="1" operator="containsText" text="Retard"/>
    <x:cfRule type="containsText" dxfId="5" priority="2" operator="containsText" text="critique"/>
    <x:cfRule type="containsText" dxfId="6" priority="3" operator="containsText" text="manquant"/>
    <x:cfRule type="containsText" dxfId="7" priority="4" operator="containsText" text="OK"/>
  </x:conditionalFormatting>
  <x:conditionalFormatting sqref="AF5:AF64">
    <x:cfRule type="containsText" dxfId="8" priority="5" operator="containsText" text="Retard"/>
    <x:cfRule type="containsText" dxfId="9" priority="6" operator="containsText" text="critique"/>
    <x:cfRule type="containsText" dxfId="10" priority="7" operator="containsText" text="manquant"/>
    <x:cfRule type="containsText" dxfId="11" priority="8" operator="containsText" text="OK"/>
  </x:conditionalFormatting>
  <x:conditionalFormatting sqref="AG5:AG64">
    <x:cfRule type="containsText" dxfId="12" priority="9" operator="containsText" text="Retard"/>
    <x:cfRule type="containsText" dxfId="13" priority="10" operator="containsText" text="critique"/>
    <x:cfRule type="containsText" dxfId="14" priority="11" operator="containsText" text="manquant"/>
    <x:cfRule type="containsText" dxfId="15" priority="12" operator="containsText" text="OK"/>
  </x:conditionalFormatting>
  <x:dataValidations count="12">
    <x:dataValidation type="list" errorStyle="warning" showInputMessage="1" showErrorMessage="1" errorTitle="Valeur inattendue" error="Cette colonne utilise une liste controlee." promptTitle="Liste controlee" prompt="Choisir une valeur dans la liste." sqref="C5:C64">
      <x:formula1>"Mitigation,Adaptation,Mixte,Gouvernance,MRV"</x:formula1>
    </x:dataValidation>
    <x:dataValidation type="list" errorStyle="warning" showInputMessage="1" showErrorMessage="1" errorTitle="Valeur inattendue" error="Cette colonne utilise une liste controlee." promptTitle="Liste controlee" prompt="Choisir une valeur dans la liste." sqref="D5:D6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6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64">
      <x:formula1>"Direction Environnement,Direction Planification,Direction Mobilite,Direction Energie,Direction Finance,Direction Dechets,Direction Assainissement,Cabinet du Maire"</x:formula1>
    </x:dataValidation>
    <x:dataValidation type="list" errorStyle="warning" showInputMessage="1" showErrorMessage="1" errorTitle="Valeur inattendue" error="Cette colonne utilise une liste controlee." promptTitle="Liste controlee" prompt="Choisir une valeur dans la liste." sqref="J5:J6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K5:K6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L5:L64">
      <x:formula1>"Critique,Haute,Moyenne,Basse"</x:formula1>
    </x:dataValidation>
    <x:dataValidation type="list" errorStyle="warning" showInputMessage="1" showErrorMessage="1" errorTitle="Valeur inattendue" error="Cette colonne utilise une liste controlee." promptTitle="Liste controlee" prompt="Choisir une valeur dans la liste." sqref="W5:W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X5:X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Y5:Y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Z5:Z6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AA5:AA64">
      <x:formula1>"Oui,Non,Partiel,Non applicable"</x:formula1>
    </x:dataValidation>
  </x:dataValidations>
  <x:pageMargins left="0.7" right="0.7" top="0.75" bottom="0.75" header="0.3" footer="0.3"/>
  <x:tableParts count="1">
    <x:tablePart xmlns:r="http://schemas.openxmlformats.org/officeDocument/2006/relationships" r:id="R91d1c29edec041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14.380000114440918" hidden="0" customWidth="1"/>
    <x:col min="5" max="5" width="18.1299991607666" hidden="0" customWidth="1"/>
    <x:col min="6" max="6" width="38.75" hidden="0" customWidth="1"/>
    <x:col min="7" max="7" width="11.25" hidden="0" customWidth="1"/>
    <x:col min="8" max="8" width="12.5" hidden="0" customWidth="1"/>
    <x:col min="9" max="9" width="15" hidden="0" customWidth="1"/>
    <x:col min="10" max="10" width="12.5" hidden="0" customWidth="1"/>
    <x:col min="11" max="11" width="15" hidden="0" customWidth="1"/>
    <x:col min="12" max="12" width="15" hidden="0" customWidth="1"/>
    <x:col min="13" max="13" width="14.380000114440918" hidden="0" customWidth="1"/>
    <x:col min="14" max="14" width="16.25" hidden="0" customWidth="1"/>
    <x:col min="15" max="15" width="21.25" hidden="0" customWidth="1"/>
    <x:col min="16" max="16" width="16.25" hidden="0" customWidth="1"/>
    <x:col min="17" max="17" width="13.130000114440918" hidden="0" customWidth="1"/>
    <x:col min="18" max="18" width="13.75" hidden="0" customWidth="1"/>
    <x:col min="19" max="19" width="18.1299991607666" hidden="0" customWidth="1"/>
    <x:col min="20" max="20" width="28.75" hidden="0" customWidth="1"/>
  </x:cols>
  <x:sheetData>
    <x:row r="1" ht="25.5" customHeight="1">
      <x:c r="A1" s="2" t="str">
        <x:v>Indicateurs MRV</x:v>
      </x:c>
      <x:c r="B1" s="2"/>
      <x:c r="C1" s="2"/>
      <x:c r="D1" s="2"/>
      <x:c r="E1" s="2"/>
      <x:c r="F1" s="2"/>
      <x:c r="G1" s="2"/>
      <x:c r="H1" s="2"/>
      <x:c r="I1" s="2"/>
      <x:c r="J1" s="2"/>
    </x:row>
    <x:row r="2" ht="31.5" customHeight="1">
      <x:c r="A2" s="5" t="str">
        <x:v>Indicateurs de suivi-evaluation, lignes de base, cibles, valeurs actuelles et alertes donnees.</x:v>
      </x:c>
      <x:c r="B2" s="5"/>
      <x:c r="C2" s="5"/>
      <x:c r="D2" s="5"/>
      <x:c r="E2" s="5"/>
      <x:c r="F2" s="5"/>
      <x:c r="G2" s="5"/>
      <x:c r="H2" s="5"/>
      <x:c r="I2" s="5"/>
      <x:c r="J2" s="5"/>
    </x:row>
    <x:row r="4" ht="28.5" customHeight="1">
      <x:c r="A4" s="16" t="str">
        <x:v>Indicator_ID</x:v>
      </x:c>
      <x:c r="B4" s="16" t="str">
        <x:v>Project_ID</x:v>
      </x:c>
      <x:c r="C4" s="16" t="str">
        <x:v>Cadre</x:v>
      </x:c>
      <x:c r="D4" s="16" t="str">
        <x:v>Pilier</x:v>
      </x:c>
      <x:c r="E4" s="16" t="str">
        <x:v>Secteur</x:v>
      </x:c>
      <x:c r="F4" s="16" t="str">
        <x:v>Indicateur</x:v>
      </x:c>
      <x:c r="G4" s="16" t="str">
        <x:v>Unite</x:v>
      </x:c>
      <x:c r="H4" s="16" t="str">
        <x:v>Baseline_annee</x:v>
      </x:c>
      <x:c r="I4" s="16" t="str">
        <x:v>Baseline_valeur</x:v>
      </x:c>
      <x:c r="J4" s="16" t="str">
        <x:v>Cible_annee</x:v>
      </x:c>
      <x:c r="K4" s="16" t="str">
        <x:v>Cible_valeur</x:v>
      </x:c>
      <x:c r="L4" s="16" t="str">
        <x:v>Valeur_actuelle</x:v>
      </x:c>
      <x:c r="M4" s="16" t="str">
        <x:v>Date_valeur</x:v>
      </x:c>
      <x:c r="N4" s="16" t="str">
        <x:v>Frequence</x:v>
      </x:c>
      <x:c r="O4" s="16" t="str">
        <x:v>Responsable</x:v>
      </x:c>
      <x:c r="P4" s="16" t="str">
        <x:v>Statut_donnees</x:v>
      </x:c>
      <x:c r="Q4" s="16" t="str">
        <x:v>Progres_pct</x:v>
      </x:c>
      <x:c r="R4" s="16" t="str">
        <x:v>Ecart_cible</x:v>
      </x:c>
      <x:c r="S4" s="16" t="str">
        <x:v>Alerte_donnees</x:v>
      </x:c>
      <x:c r="T4" s="16" t="str">
        <x:v>Commentaires</x:v>
      </x:c>
    </x:row>
    <x:row r="5">
      <x:c r="A5" s="18" t="str">
        <x:v>IND-001</x:v>
      </x:c>
      <x:c r="B5" s="18" t="str">
        <x:v>PRJ-001</x:v>
      </x:c>
      <x:c r="C5" s="18" t="str">
        <x:v>CDP-ICLEI</x:v>
      </x:c>
      <x:c r="D5" s="18" t="str">
        <x:v>Mitigation</x:v>
      </x:c>
      <x:c r="E5" s="18" t="str">
        <x:v>Energie</x:v>
      </x:c>
      <x:c r="F5" s="18" t="str">
        <x:v>Capacite solaire installee sur patrimoine municipal</x:v>
      </x:c>
      <x:c r="G5" s="18" t="str">
        <x:v>kWc</x:v>
      </x:c>
      <x:c r="H5" s="18" t="n">
        <x:v>2024</x:v>
      </x:c>
      <x:c r="I5" s="23" t="n">
        <x:v>0</x:v>
      </x:c>
      <x:c r="J5" s="23" t="n">
        <x:v>2030</x:v>
      </x:c>
      <x:c r="K5" s="23" t="n">
        <x:v>5000</x:v>
      </x:c>
      <x:c r="L5" s="23" t="n">
        <x:v>850</x:v>
      </x:c>
      <x:c r="M5" s="19" t="n">
        <x:v>46157</x:v>
      </x:c>
      <x:c r="N5" s="18" t="str">
        <x:v>Trimestrielle</x:v>
      </x:c>
      <x:c r="O5" s="18" t="str">
        <x:v>Direction Energie</x:v>
      </x:c>
      <x:c r="P5" s="18" t="str">
        <x:v>B - Bonne</x:v>
      </x:c>
      <x:c r="Q5" s="20" t="n">
        <x:f>IF(A5="","",IFERROR(IF(K5=I5,"",MAX(0,MIN(1,(L5-I5)/(K5-I5)))),""))</x:f>
        <x:v>0.17</x:v>
      </x:c>
      <x:c r="R5" s="23" t="n">
        <x:f>IF(A5="","",IF(OR(K5="",L5=""),"",K5-L5))</x:f>
        <x:v>4150</x:v>
      </x:c>
      <x:c r="S5" s="18" t="str">
        <x:f>IF(A5="","",IF(OR(L5="",M5="",P5="D - Faible"),"Donnees manquantes","OK"))</x:f>
        <x:v>OK</x:v>
      </x:c>
      <x:c r="T5" s="18" t="str"/>
    </x:row>
    <x:row r="6">
      <x:c r="A6" s="18" t="str">
        <x:v>IND-002</x:v>
      </x:c>
      <x:c r="B6" s="18" t="str">
        <x:v>PRJ-002</x:v>
      </x:c>
      <x:c r="C6" s="18" t="str">
        <x:v>C40</x:v>
      </x:c>
      <x:c r="D6" s="18" t="str">
        <x:v>Mitigation</x:v>
      </x:c>
      <x:c r="E6" s="18" t="str">
        <x:v>Dechets</x:v>
      </x:c>
      <x:c r="F6" s="18" t="str">
        <x:v>Taux de valorisation des dechets municipaux</x:v>
      </x:c>
      <x:c r="G6" s="18" t="str">
        <x:v>%</x:v>
      </x:c>
      <x:c r="H6" s="18" t="n">
        <x:v>2024</x:v>
      </x:c>
      <x:c r="I6" s="23" t="n">
        <x:v>0.05</x:v>
      </x:c>
      <x:c r="J6" s="23" t="n">
        <x:v>2030</x:v>
      </x:c>
      <x:c r="K6" s="23" t="n">
        <x:v>0.35</x:v>
      </x:c>
      <x:c r="L6" s="23" t="n">
        <x:v>0.12</x:v>
      </x:c>
      <x:c r="M6" s="19" t="n">
        <x:v>46142</x:v>
      </x:c>
      <x:c r="N6" s="18" t="str">
        <x:v>Trimestrielle</x:v>
      </x:c>
      <x:c r="O6" s="18" t="str">
        <x:v>Direction Dechets</x:v>
      </x:c>
      <x:c r="P6" s="18" t="str">
        <x:v>C - Estimee</x:v>
      </x:c>
      <x:c r="Q6" s="20" t="n">
        <x:f>IF(A6="","",IFERROR(IF(K6=I6,"",MAX(0,MIN(1,(L6-I6)/(K6-I6)))),""))</x:f>
        <x:v>0.2333333333333333</x:v>
      </x:c>
      <x:c r="R6" s="23" t="n">
        <x:f>IF(A6="","",IF(OR(K6="",L6=""),"",K6-L6))</x:f>
        <x:v>0.22999999999999998</x:v>
      </x:c>
      <x:c r="S6" s="18" t="str">
        <x:f>IF(A6="","",IF(OR(L6="",M6="",P6="D - Faible"),"Donnees manquantes","OK"))</x:f>
        <x:v>OK</x:v>
      </x:c>
      <x:c r="T6" s="18" t="str"/>
    </x:row>
    <x:row r="7">
      <x:c r="A7" s="18" t="str">
        <x:v>IND-003</x:v>
      </x:c>
      <x:c r="B7" s="18" t="str">
        <x:v>PRJ-005</x:v>
      </x:c>
      <x:c r="C7" s="18" t="str">
        <x:v>CDP-ICLEI</x:v>
      </x:c>
      <x:c r="D7" s="18" t="str">
        <x:v>Air</x:v>
      </x:c>
      <x:c r="E7" s="18" t="str">
        <x:v>Qualite de l'air</x:v>
      </x:c>
      <x:c r="F7" s="18" t="str">
        <x:v>Moyenne annuelle PM2.5</x:v>
      </x:c>
      <x:c r="G7" s="18" t="str">
        <x:v>ug/m3</x:v>
      </x:c>
      <x:c r="H7" s="18" t="n">
        <x:v>2024</x:v>
      </x:c>
      <x:c r="I7" s="23" t="n">
        <x:v>32</x:v>
      </x:c>
      <x:c r="J7" s="23" t="n">
        <x:v>2030</x:v>
      </x:c>
      <x:c r="K7" s="23" t="n">
        <x:v>15</x:v>
      </x:c>
      <x:c r="L7" s="23" t="n">
        <x:v>28</x:v>
      </x:c>
      <x:c r="M7" s="19" t="n">
        <x:v>46143</x:v>
      </x:c>
      <x:c r="N7" s="18" t="str">
        <x:v>Mensuelle</x:v>
      </x:c>
      <x:c r="O7" s="18" t="str">
        <x:v>Direction Environnement</x:v>
      </x:c>
      <x:c r="P7" s="18" t="str">
        <x:v>C - Estimee</x:v>
      </x:c>
      <x:c r="Q7" s="20" t="n">
        <x:f>IF(A7="","",IFERROR(IF(K7=I7,"",MAX(0,MIN(1,(L7-I7)/(K7-I7)))),""))</x:f>
        <x:v>0.23529411764705882</x:v>
      </x:c>
      <x:c r="R7" s="23" t="n">
        <x:f>IF(A7="","",IF(OR(K7="",L7=""),"",K7-L7))</x:f>
        <x:v>-13</x:v>
      </x:c>
      <x:c r="S7" s="18" t="str">
        <x:f>IF(A7="","",IF(OR(L7="",M7="",P7="D - Faible"),"Donnees manquantes","OK"))</x:f>
        <x:v>OK</x:v>
      </x:c>
      <x:c r="T7" s="18" t="str"/>
    </x:row>
    <x:row r="8">
      <x:c r="A8" s="18" t="str">
        <x:v>IND-004</x:v>
      </x:c>
      <x:c r="B8" s="18" t="str">
        <x:v>PRJ-003</x:v>
      </x:c>
      <x:c r="C8" s="18" t="str">
        <x:v>CoM SSA</x:v>
      </x:c>
      <x:c r="D8" s="18" t="str">
        <x:v>Mobilite</x:v>
      </x:c>
      <x:c r="E8" s="18" t="str">
        <x:v>Transport et mobilite</x:v>
      </x:c>
      <x:c r="F8" s="18" t="str">
        <x:v>Part modale mobilite active</x:v>
      </x:c>
      <x:c r="G8" s="18" t="str">
        <x:v>%</x:v>
      </x:c>
      <x:c r="H8" s="18" t="n">
        <x:v>2024</x:v>
      </x:c>
      <x:c r="I8" s="23" t="n">
        <x:v>0.18</x:v>
      </x:c>
      <x:c r="J8" s="23" t="n">
        <x:v>2030</x:v>
      </x:c>
      <x:c r="K8" s="23" t="n">
        <x:v>0.3</x:v>
      </x:c>
      <x:c r="L8" s="23" t="n">
        <x:v>0.2</x:v>
      </x:c>
      <x:c r="M8" s="19" t="n">
        <x:v>46112</x:v>
      </x:c>
      <x:c r="N8" s="18" t="str">
        <x:v>Annuelle</x:v>
      </x:c>
      <x:c r="O8" s="18" t="str">
        <x:v>Direction Mobilite</x:v>
      </x:c>
      <x:c r="P8" s="18" t="str">
        <x:v>D - Faible</x:v>
      </x:c>
      <x:c r="Q8" s="20" t="n">
        <x:f>IF(A8="","",IFERROR(IF(K8=I8,"",MAX(0,MIN(1,(L8-I8)/(K8-I8)))),""))</x:f>
        <x:v>0.16666666666666682</x:v>
      </x:c>
      <x:c r="R8" s="23" t="n">
        <x:f>IF(A8="","",IF(OR(K8="",L8=""),"",K8-L8))</x:f>
        <x:v>0.09999999999999998</x:v>
      </x:c>
      <x:c r="S8" s="18" t="str">
        <x:f>IF(A8="","",IF(OR(L8="",M8="",P8="D - Faible"),"Donnees manquantes","OK"))</x:f>
        <x:v>Donnees manquantes</x:v>
      </x:c>
      <x:c r="T8" s="18" t="str"/>
    </x:row>
    <x:row r="9">
      <x:c r="A9" s="18" t="str">
        <x:v>IND-005</x:v>
      </x:c>
      <x:c r="B9" s="18" t="str">
        <x:v>PRJ-004</x:v>
      </x:c>
      <x:c r="C9" s="18" t="str">
        <x:v>CDN Senegal</x:v>
      </x:c>
      <x:c r="D9" s="18" t="str">
        <x:v>Adaptation</x:v>
      </x:c>
      <x:c r="E9" s="18" t="str">
        <x:v>Urbanisme et resilience</x:v>
      </x:c>
      <x:c r="F9" s="18" t="str">
        <x:v>Population protegee contre les inondations</x:v>
      </x:c>
      <x:c r="G9" s="18" t="str">
        <x:v>personnes</x:v>
      </x:c>
      <x:c r="H9" s="18" t="n">
        <x:v>2024</x:v>
      </x:c>
      <x:c r="I9" s="23" t="n">
        <x:v>0</x:v>
      </x:c>
      <x:c r="J9" s="23" t="n">
        <x:v>2030</x:v>
      </x:c>
      <x:c r="K9" s="23" t="n">
        <x:v>120000</x:v>
      </x:c>
      <x:c r="L9" s="23" t="n">
        <x:v>15000</x:v>
      </x:c>
      <x:c r="M9" s="19" t="n">
        <x:v>46112</x:v>
      </x:c>
      <x:c r="N9" s="18" t="str">
        <x:v>Semestrielle</x:v>
      </x:c>
      <x:c r="O9" s="18" t="str">
        <x:v>Direction Assainissement</x:v>
      </x:c>
      <x:c r="P9" s="18" t="str">
        <x:v>C - Estimee</x:v>
      </x:c>
      <x:c r="Q9" s="20" t="n">
        <x:f>IF(A9="","",IFERROR(IF(K9=I9,"",MAX(0,MIN(1,(L9-I9)/(K9-I9)))),""))</x:f>
        <x:v>0.125</x:v>
      </x:c>
      <x:c r="R9" s="23" t="n">
        <x:f>IF(A9="","",IF(OR(K9="",L9=""),"",K9-L9))</x:f>
        <x:v>105000</x:v>
      </x:c>
      <x:c r="S9" s="18" t="str">
        <x:f>IF(A9="","",IF(OR(L9="",M9="",P9="D - Faible"),"Donnees manquantes","OK"))</x:f>
        <x:v>OK</x:v>
      </x:c>
      <x:c r="T9" s="18" t="str"/>
    </x:row>
    <x:row r="10">
      <x:c r="A10" s="18"/>
      <x:c r="B10" s="18"/>
      <x:c r="C10" s="18"/>
      <x:c r="D10" s="18"/>
      <x:c r="E10" s="18"/>
      <x:c r="F10" s="18"/>
      <x:c r="G10" s="18"/>
      <x:c r="H10" s="18"/>
      <x:c r="I10" s="23"/>
      <x:c r="J10" s="23"/>
      <x:c r="K10" s="23"/>
      <x:c r="L10" s="23"/>
      <x:c r="M10" s="19"/>
      <x:c r="N10" s="18"/>
      <x:c r="O10" s="18"/>
      <x:c r="P10" s="18"/>
      <x:c r="Q10" s="20" t="str">
        <x:f>IF(A10="","",IFERROR(IF(K10=I10,"",MAX(0,MIN(1,(L10-I10)/(K10-I10)))),""))</x:f>
      </x:c>
      <x:c r="R10" s="23" t="str">
        <x:f>IF(A10="","",IF(OR(K10="",L10=""),"",K10-L10))</x:f>
      </x:c>
      <x:c r="S10" s="18" t="str">
        <x:f>IF(A10="","",IF(OR(L10="",M10="",P10="D - Faible"),"Donnees manquantes","OK"))</x:f>
      </x:c>
      <x:c r="T10" s="18"/>
    </x:row>
    <x:row r="11">
      <x:c r="A11" s="18"/>
      <x:c r="B11" s="18"/>
      <x:c r="C11" s="18"/>
      <x:c r="D11" s="18"/>
      <x:c r="E11" s="18"/>
      <x:c r="F11" s="18"/>
      <x:c r="G11" s="18"/>
      <x:c r="H11" s="18"/>
      <x:c r="I11" s="23"/>
      <x:c r="J11" s="23"/>
      <x:c r="K11" s="23"/>
      <x:c r="L11" s="23"/>
      <x:c r="M11" s="19"/>
      <x:c r="N11" s="18"/>
      <x:c r="O11" s="18"/>
      <x:c r="P11" s="18"/>
      <x:c r="Q11" s="20" t="str">
        <x:f>IF(A11="","",IFERROR(IF(K11=I11,"",MAX(0,MIN(1,(L11-I11)/(K11-I11)))),""))</x:f>
      </x:c>
      <x:c r="R11" s="23" t="str">
        <x:f>IF(A11="","",IF(OR(K11="",L11=""),"",K11-L11))</x:f>
      </x:c>
      <x:c r="S11" s="18" t="str">
        <x:f>IF(A11="","",IF(OR(L11="",M11="",P11="D - Faible"),"Donnees manquantes","OK"))</x:f>
      </x:c>
      <x:c r="T11" s="18"/>
    </x:row>
    <x:row r="12">
      <x:c r="A12" s="18"/>
      <x:c r="B12" s="18"/>
      <x:c r="C12" s="18"/>
      <x:c r="D12" s="18"/>
      <x:c r="E12" s="18"/>
      <x:c r="F12" s="18"/>
      <x:c r="G12" s="18"/>
      <x:c r="H12" s="18"/>
      <x:c r="I12" s="23"/>
      <x:c r="J12" s="23"/>
      <x:c r="K12" s="23"/>
      <x:c r="L12" s="23"/>
      <x:c r="M12" s="19"/>
      <x:c r="N12" s="18"/>
      <x:c r="O12" s="18"/>
      <x:c r="P12" s="18"/>
      <x:c r="Q12" s="20" t="str">
        <x:f>IF(A12="","",IFERROR(IF(K12=I12,"",MAX(0,MIN(1,(L12-I12)/(K12-I12)))),""))</x:f>
      </x:c>
      <x:c r="R12" s="23" t="str">
        <x:f>IF(A12="","",IF(OR(K12="",L12=""),"",K12-L12))</x:f>
      </x:c>
      <x:c r="S12" s="18" t="str">
        <x:f>IF(A12="","",IF(OR(L12="",M12="",P12="D - Faible"),"Donnees manquantes","OK"))</x:f>
      </x:c>
      <x:c r="T12" s="18"/>
    </x:row>
    <x:row r="13">
      <x:c r="A13" s="18"/>
      <x:c r="B13" s="18"/>
      <x:c r="C13" s="18"/>
      <x:c r="D13" s="18"/>
      <x:c r="E13" s="18"/>
      <x:c r="F13" s="18"/>
      <x:c r="G13" s="18"/>
      <x:c r="H13" s="18"/>
      <x:c r="I13" s="23"/>
      <x:c r="J13" s="23"/>
      <x:c r="K13" s="23"/>
      <x:c r="L13" s="23"/>
      <x:c r="M13" s="19"/>
      <x:c r="N13" s="18"/>
      <x:c r="O13" s="18"/>
      <x:c r="P13" s="18"/>
      <x:c r="Q13" s="20" t="str">
        <x:f>IF(A13="","",IFERROR(IF(K13=I13,"",MAX(0,MIN(1,(L13-I13)/(K13-I13)))),""))</x:f>
      </x:c>
      <x:c r="R13" s="23" t="str">
        <x:f>IF(A13="","",IF(OR(K13="",L13=""),"",K13-L13))</x:f>
      </x:c>
      <x:c r="S13" s="18" t="str">
        <x:f>IF(A13="","",IF(OR(L13="",M13="",P13="D - Faible"),"Donnees manquantes","OK"))</x:f>
      </x:c>
      <x:c r="T13" s="18"/>
    </x:row>
    <x:row r="14">
      <x:c r="A14" s="18"/>
      <x:c r="B14" s="18"/>
      <x:c r="C14" s="18"/>
      <x:c r="D14" s="18"/>
      <x:c r="E14" s="18"/>
      <x:c r="F14" s="18"/>
      <x:c r="G14" s="18"/>
      <x:c r="H14" s="18"/>
      <x:c r="I14" s="23"/>
      <x:c r="J14" s="23"/>
      <x:c r="K14" s="23"/>
      <x:c r="L14" s="23"/>
      <x:c r="M14" s="19"/>
      <x:c r="N14" s="18"/>
      <x:c r="O14" s="18"/>
      <x:c r="P14" s="18"/>
      <x:c r="Q14" s="20" t="str">
        <x:f>IF(A14="","",IFERROR(IF(K14=I14,"",MAX(0,MIN(1,(L14-I14)/(K14-I14)))),""))</x:f>
      </x:c>
      <x:c r="R14" s="23" t="str">
        <x:f>IF(A14="","",IF(OR(K14="",L14=""),"",K14-L14))</x:f>
      </x:c>
      <x:c r="S14" s="18" t="str">
        <x:f>IF(A14="","",IF(OR(L14="",M14="",P14="D - Faible"),"Donnees manquantes","OK"))</x:f>
      </x:c>
      <x:c r="T14" s="18"/>
    </x:row>
    <x:row r="15">
      <x:c r="A15" s="18"/>
      <x:c r="B15" s="18"/>
      <x:c r="C15" s="18"/>
      <x:c r="D15" s="18"/>
      <x:c r="E15" s="18"/>
      <x:c r="F15" s="18"/>
      <x:c r="G15" s="18"/>
      <x:c r="H15" s="18"/>
      <x:c r="I15" s="23"/>
      <x:c r="J15" s="23"/>
      <x:c r="K15" s="23"/>
      <x:c r="L15" s="23"/>
      <x:c r="M15" s="19"/>
      <x:c r="N15" s="18"/>
      <x:c r="O15" s="18"/>
      <x:c r="P15" s="18"/>
      <x:c r="Q15" s="20" t="str">
        <x:f>IF(A15="","",IFERROR(IF(K15=I15,"",MAX(0,MIN(1,(L15-I15)/(K15-I15)))),""))</x:f>
      </x:c>
      <x:c r="R15" s="23" t="str">
        <x:f>IF(A15="","",IF(OR(K15="",L15=""),"",K15-L15))</x:f>
      </x:c>
      <x:c r="S15" s="18" t="str">
        <x:f>IF(A15="","",IF(OR(L15="",M15="",P15="D - Faible"),"Donnees manquantes","OK"))</x:f>
      </x:c>
      <x:c r="T15" s="18"/>
    </x:row>
    <x:row r="16">
      <x:c r="A16" s="18"/>
      <x:c r="B16" s="18"/>
      <x:c r="C16" s="18"/>
      <x:c r="D16" s="18"/>
      <x:c r="E16" s="18"/>
      <x:c r="F16" s="18"/>
      <x:c r="G16" s="18"/>
      <x:c r="H16" s="18"/>
      <x:c r="I16" s="23"/>
      <x:c r="J16" s="23"/>
      <x:c r="K16" s="23"/>
      <x:c r="L16" s="23"/>
      <x:c r="M16" s="19"/>
      <x:c r="N16" s="18"/>
      <x:c r="O16" s="18"/>
      <x:c r="P16" s="18"/>
      <x:c r="Q16" s="20" t="str">
        <x:f>IF(A16="","",IFERROR(IF(K16=I16,"",MAX(0,MIN(1,(L16-I16)/(K16-I16)))),""))</x:f>
      </x:c>
      <x:c r="R16" s="23" t="str">
        <x:f>IF(A16="","",IF(OR(K16="",L16=""),"",K16-L16))</x:f>
      </x:c>
      <x:c r="S16" s="18" t="str">
        <x:f>IF(A16="","",IF(OR(L16="",M16="",P16="D - Faible"),"Donnees manquantes","OK"))</x:f>
      </x:c>
      <x:c r="T16" s="18"/>
    </x:row>
    <x:row r="17">
      <x:c r="A17" s="18"/>
      <x:c r="B17" s="18"/>
      <x:c r="C17" s="18"/>
      <x:c r="D17" s="18"/>
      <x:c r="E17" s="18"/>
      <x:c r="F17" s="18"/>
      <x:c r="G17" s="18"/>
      <x:c r="H17" s="18"/>
      <x:c r="I17" s="23"/>
      <x:c r="J17" s="23"/>
      <x:c r="K17" s="23"/>
      <x:c r="L17" s="23"/>
      <x:c r="M17" s="19"/>
      <x:c r="N17" s="18"/>
      <x:c r="O17" s="18"/>
      <x:c r="P17" s="18"/>
      <x:c r="Q17" s="20" t="str">
        <x:f>IF(A17="","",IFERROR(IF(K17=I17,"",MAX(0,MIN(1,(L17-I17)/(K17-I17)))),""))</x:f>
      </x:c>
      <x:c r="R17" s="23" t="str">
        <x:f>IF(A17="","",IF(OR(K17="",L17=""),"",K17-L17))</x:f>
      </x:c>
      <x:c r="S17" s="18" t="str">
        <x:f>IF(A17="","",IF(OR(L17="",M17="",P17="D - Faible"),"Donnees manquantes","OK"))</x:f>
      </x:c>
      <x:c r="T17" s="18"/>
    </x:row>
    <x:row r="18">
      <x:c r="A18" s="18"/>
      <x:c r="B18" s="18"/>
      <x:c r="C18" s="18"/>
      <x:c r="D18" s="18"/>
      <x:c r="E18" s="18"/>
      <x:c r="F18" s="18"/>
      <x:c r="G18" s="18"/>
      <x:c r="H18" s="18"/>
      <x:c r="I18" s="23"/>
      <x:c r="J18" s="23"/>
      <x:c r="K18" s="23"/>
      <x:c r="L18" s="23"/>
      <x:c r="M18" s="19"/>
      <x:c r="N18" s="18"/>
      <x:c r="O18" s="18"/>
      <x:c r="P18" s="18"/>
      <x:c r="Q18" s="20" t="str">
        <x:f>IF(A18="","",IFERROR(IF(K18=I18,"",MAX(0,MIN(1,(L18-I18)/(K18-I18)))),""))</x:f>
      </x:c>
      <x:c r="R18" s="23" t="str">
        <x:f>IF(A18="","",IF(OR(K18="",L18=""),"",K18-L18))</x:f>
      </x:c>
      <x:c r="S18" s="18" t="str">
        <x:f>IF(A18="","",IF(OR(L18="",M18="",P18="D - Faible"),"Donnees manquantes","OK"))</x:f>
      </x:c>
      <x:c r="T18" s="18"/>
    </x:row>
    <x:row r="19">
      <x:c r="A19" s="18"/>
      <x:c r="B19" s="18"/>
      <x:c r="C19" s="18"/>
      <x:c r="D19" s="18"/>
      <x:c r="E19" s="18"/>
      <x:c r="F19" s="18"/>
      <x:c r="G19" s="18"/>
      <x:c r="H19" s="18"/>
      <x:c r="I19" s="23"/>
      <x:c r="J19" s="23"/>
      <x:c r="K19" s="23"/>
      <x:c r="L19" s="23"/>
      <x:c r="M19" s="19"/>
      <x:c r="N19" s="18"/>
      <x:c r="O19" s="18"/>
      <x:c r="P19" s="18"/>
      <x:c r="Q19" s="20" t="str">
        <x:f>IF(A19="","",IFERROR(IF(K19=I19,"",MAX(0,MIN(1,(L19-I19)/(K19-I19)))),""))</x:f>
      </x:c>
      <x:c r="R19" s="23" t="str">
        <x:f>IF(A19="","",IF(OR(K19="",L19=""),"",K19-L19))</x:f>
      </x:c>
      <x:c r="S19" s="18" t="str">
        <x:f>IF(A19="","",IF(OR(L19="",M19="",P19="D - Faible"),"Donnees manquantes","OK"))</x:f>
      </x:c>
      <x:c r="T19" s="18"/>
    </x:row>
    <x:row r="20">
      <x:c r="A20" s="18"/>
      <x:c r="B20" s="18"/>
      <x:c r="C20" s="18"/>
      <x:c r="D20" s="18"/>
      <x:c r="E20" s="18"/>
      <x:c r="F20" s="18"/>
      <x:c r="G20" s="18"/>
      <x:c r="H20" s="18"/>
      <x:c r="I20" s="23"/>
      <x:c r="J20" s="23"/>
      <x:c r="K20" s="23"/>
      <x:c r="L20" s="23"/>
      <x:c r="M20" s="19"/>
      <x:c r="N20" s="18"/>
      <x:c r="O20" s="18"/>
      <x:c r="P20" s="18"/>
      <x:c r="Q20" s="20" t="str">
        <x:f>IF(A20="","",IFERROR(IF(K20=I20,"",MAX(0,MIN(1,(L20-I20)/(K20-I20)))),""))</x:f>
      </x:c>
      <x:c r="R20" s="23" t="str">
        <x:f>IF(A20="","",IF(OR(K20="",L20=""),"",K20-L20))</x:f>
      </x:c>
      <x:c r="S20" s="18" t="str">
        <x:f>IF(A20="","",IF(OR(L20="",M20="",P20="D - Faible"),"Donnees manquantes","OK"))</x:f>
      </x:c>
      <x:c r="T20" s="18"/>
    </x:row>
    <x:row r="21">
      <x:c r="A21" s="18"/>
      <x:c r="B21" s="18"/>
      <x:c r="C21" s="18"/>
      <x:c r="D21" s="18"/>
      <x:c r="E21" s="18"/>
      <x:c r="F21" s="18"/>
      <x:c r="G21" s="18"/>
      <x:c r="H21" s="18"/>
      <x:c r="I21" s="23"/>
      <x:c r="J21" s="23"/>
      <x:c r="K21" s="23"/>
      <x:c r="L21" s="23"/>
      <x:c r="M21" s="19"/>
      <x:c r="N21" s="18"/>
      <x:c r="O21" s="18"/>
      <x:c r="P21" s="18"/>
      <x:c r="Q21" s="20" t="str">
        <x:f>IF(A21="","",IFERROR(IF(K21=I21,"",MAX(0,MIN(1,(L21-I21)/(K21-I21)))),""))</x:f>
      </x:c>
      <x:c r="R21" s="23" t="str">
        <x:f>IF(A21="","",IF(OR(K21="",L21=""),"",K21-L21))</x:f>
      </x:c>
      <x:c r="S21" s="18" t="str">
        <x:f>IF(A21="","",IF(OR(L21="",M21="",P21="D - Faible"),"Donnees manquantes","OK"))</x:f>
      </x:c>
      <x:c r="T21" s="18"/>
    </x:row>
    <x:row r="22">
      <x:c r="A22" s="18"/>
      <x:c r="B22" s="18"/>
      <x:c r="C22" s="18"/>
      <x:c r="D22" s="18"/>
      <x:c r="E22" s="18"/>
      <x:c r="F22" s="18"/>
      <x:c r="G22" s="18"/>
      <x:c r="H22" s="18"/>
      <x:c r="I22" s="23"/>
      <x:c r="J22" s="23"/>
      <x:c r="K22" s="23"/>
      <x:c r="L22" s="23"/>
      <x:c r="M22" s="19"/>
      <x:c r="N22" s="18"/>
      <x:c r="O22" s="18"/>
      <x:c r="P22" s="18"/>
      <x:c r="Q22" s="20" t="str">
        <x:f>IF(A22="","",IFERROR(IF(K22=I22,"",MAX(0,MIN(1,(L22-I22)/(K22-I22)))),""))</x:f>
      </x:c>
      <x:c r="R22" s="23" t="str">
        <x:f>IF(A22="","",IF(OR(K22="",L22=""),"",K22-L22))</x:f>
      </x:c>
      <x:c r="S22" s="18" t="str">
        <x:f>IF(A22="","",IF(OR(L22="",M22="",P22="D - Faible"),"Donnees manquantes","OK"))</x:f>
      </x:c>
      <x:c r="T22" s="18"/>
    </x:row>
    <x:row r="23">
      <x:c r="A23" s="18"/>
      <x:c r="B23" s="18"/>
      <x:c r="C23" s="18"/>
      <x:c r="D23" s="18"/>
      <x:c r="E23" s="18"/>
      <x:c r="F23" s="18"/>
      <x:c r="G23" s="18"/>
      <x:c r="H23" s="18"/>
      <x:c r="I23" s="23"/>
      <x:c r="J23" s="23"/>
      <x:c r="K23" s="23"/>
      <x:c r="L23" s="23"/>
      <x:c r="M23" s="19"/>
      <x:c r="N23" s="18"/>
      <x:c r="O23" s="18"/>
      <x:c r="P23" s="18"/>
      <x:c r="Q23" s="20" t="str">
        <x:f>IF(A23="","",IFERROR(IF(K23=I23,"",MAX(0,MIN(1,(L23-I23)/(K23-I23)))),""))</x:f>
      </x:c>
      <x:c r="R23" s="23" t="str">
        <x:f>IF(A23="","",IF(OR(K23="",L23=""),"",K23-L23))</x:f>
      </x:c>
      <x:c r="S23" s="18" t="str">
        <x:f>IF(A23="","",IF(OR(L23="",M23="",P23="D - Faible"),"Donnees manquantes","OK"))</x:f>
      </x:c>
      <x:c r="T23" s="18"/>
    </x:row>
    <x:row r="24">
      <x:c r="A24" s="18"/>
      <x:c r="B24" s="18"/>
      <x:c r="C24" s="18"/>
      <x:c r="D24" s="18"/>
      <x:c r="E24" s="18"/>
      <x:c r="F24" s="18"/>
      <x:c r="G24" s="18"/>
      <x:c r="H24" s="18"/>
      <x:c r="I24" s="23"/>
      <x:c r="J24" s="23"/>
      <x:c r="K24" s="23"/>
      <x:c r="L24" s="23"/>
      <x:c r="M24" s="19"/>
      <x:c r="N24" s="18"/>
      <x:c r="O24" s="18"/>
      <x:c r="P24" s="18"/>
      <x:c r="Q24" s="20" t="str">
        <x:f>IF(A24="","",IFERROR(IF(K24=I24,"",MAX(0,MIN(1,(L24-I24)/(K24-I24)))),""))</x:f>
      </x:c>
      <x:c r="R24" s="23" t="str">
        <x:f>IF(A24="","",IF(OR(K24="",L24=""),"",K24-L24))</x:f>
      </x:c>
      <x:c r="S24" s="18" t="str">
        <x:f>IF(A24="","",IF(OR(L24="",M24="",P24="D - Faible"),"Donnees manquantes","OK"))</x:f>
      </x:c>
      <x:c r="T24" s="18"/>
    </x:row>
    <x:row r="25">
      <x:c r="A25" s="18"/>
      <x:c r="B25" s="18"/>
      <x:c r="C25" s="18"/>
      <x:c r="D25" s="18"/>
      <x:c r="E25" s="18"/>
      <x:c r="F25" s="18"/>
      <x:c r="G25" s="18"/>
      <x:c r="H25" s="18"/>
      <x:c r="I25" s="23"/>
      <x:c r="J25" s="23"/>
      <x:c r="K25" s="23"/>
      <x:c r="L25" s="23"/>
      <x:c r="M25" s="19"/>
      <x:c r="N25" s="18"/>
      <x:c r="O25" s="18"/>
      <x:c r="P25" s="18"/>
      <x:c r="Q25" s="20" t="str">
        <x:f>IF(A25="","",IFERROR(IF(K25=I25,"",MAX(0,MIN(1,(L25-I25)/(K25-I25)))),""))</x:f>
      </x:c>
      <x:c r="R25" s="23" t="str">
        <x:f>IF(A25="","",IF(OR(K25="",L25=""),"",K25-L25))</x:f>
      </x:c>
      <x:c r="S25" s="18" t="str">
        <x:f>IF(A25="","",IF(OR(L25="",M25="",P25="D - Faible"),"Donnees manquantes","OK"))</x:f>
      </x:c>
      <x:c r="T25" s="18"/>
    </x:row>
    <x:row r="26">
      <x:c r="A26" s="18"/>
      <x:c r="B26" s="18"/>
      <x:c r="C26" s="18"/>
      <x:c r="D26" s="18"/>
      <x:c r="E26" s="18"/>
      <x:c r="F26" s="18"/>
      <x:c r="G26" s="18"/>
      <x:c r="H26" s="18"/>
      <x:c r="I26" s="23"/>
      <x:c r="J26" s="23"/>
      <x:c r="K26" s="23"/>
      <x:c r="L26" s="23"/>
      <x:c r="M26" s="19"/>
      <x:c r="N26" s="18"/>
      <x:c r="O26" s="18"/>
      <x:c r="P26" s="18"/>
      <x:c r="Q26" s="20" t="str">
        <x:f>IF(A26="","",IFERROR(IF(K26=I26,"",MAX(0,MIN(1,(L26-I26)/(K26-I26)))),""))</x:f>
      </x:c>
      <x:c r="R26" s="23" t="str">
        <x:f>IF(A26="","",IF(OR(K26="",L26=""),"",K26-L26))</x:f>
      </x:c>
      <x:c r="S26" s="18" t="str">
        <x:f>IF(A26="","",IF(OR(L26="",M26="",P26="D - Faible"),"Donnees manquantes","OK"))</x:f>
      </x:c>
      <x:c r="T26" s="18"/>
    </x:row>
    <x:row r="27">
      <x:c r="A27" s="18"/>
      <x:c r="B27" s="18"/>
      <x:c r="C27" s="18"/>
      <x:c r="D27" s="18"/>
      <x:c r="E27" s="18"/>
      <x:c r="F27" s="18"/>
      <x:c r="G27" s="18"/>
      <x:c r="H27" s="18"/>
      <x:c r="I27" s="23"/>
      <x:c r="J27" s="23"/>
      <x:c r="K27" s="23"/>
      <x:c r="L27" s="23"/>
      <x:c r="M27" s="19"/>
      <x:c r="N27" s="18"/>
      <x:c r="O27" s="18"/>
      <x:c r="P27" s="18"/>
      <x:c r="Q27" s="20" t="str">
        <x:f>IF(A27="","",IFERROR(IF(K27=I27,"",MAX(0,MIN(1,(L27-I27)/(K27-I27)))),""))</x:f>
      </x:c>
      <x:c r="R27" s="23" t="str">
        <x:f>IF(A27="","",IF(OR(K27="",L27=""),"",K27-L27))</x:f>
      </x:c>
      <x:c r="S27" s="18" t="str">
        <x:f>IF(A27="","",IF(OR(L27="",M27="",P27="D - Faible"),"Donnees manquantes","OK"))</x:f>
      </x:c>
      <x:c r="T27" s="18"/>
    </x:row>
    <x:row r="28">
      <x:c r="A28" s="18"/>
      <x:c r="B28" s="18"/>
      <x:c r="C28" s="18"/>
      <x:c r="D28" s="18"/>
      <x:c r="E28" s="18"/>
      <x:c r="F28" s="18"/>
      <x:c r="G28" s="18"/>
      <x:c r="H28" s="18"/>
      <x:c r="I28" s="23"/>
      <x:c r="J28" s="23"/>
      <x:c r="K28" s="23"/>
      <x:c r="L28" s="23"/>
      <x:c r="M28" s="19"/>
      <x:c r="N28" s="18"/>
      <x:c r="O28" s="18"/>
      <x:c r="P28" s="18"/>
      <x:c r="Q28" s="20" t="str">
        <x:f>IF(A28="","",IFERROR(IF(K28=I28,"",MAX(0,MIN(1,(L28-I28)/(K28-I28)))),""))</x:f>
      </x:c>
      <x:c r="R28" s="23" t="str">
        <x:f>IF(A28="","",IF(OR(K28="",L28=""),"",K28-L28))</x:f>
      </x:c>
      <x:c r="S28" s="18" t="str">
        <x:f>IF(A28="","",IF(OR(L28="",M28="",P28="D - Faible"),"Donnees manquantes","OK"))</x:f>
      </x:c>
      <x:c r="T28" s="18"/>
    </x:row>
    <x:row r="29">
      <x:c r="A29" s="18"/>
      <x:c r="B29" s="18"/>
      <x:c r="C29" s="18"/>
      <x:c r="D29" s="18"/>
      <x:c r="E29" s="18"/>
      <x:c r="F29" s="18"/>
      <x:c r="G29" s="18"/>
      <x:c r="H29" s="18"/>
      <x:c r="I29" s="23"/>
      <x:c r="J29" s="23"/>
      <x:c r="K29" s="23"/>
      <x:c r="L29" s="23"/>
      <x:c r="M29" s="19"/>
      <x:c r="N29" s="18"/>
      <x:c r="O29" s="18"/>
      <x:c r="P29" s="18"/>
      <x:c r="Q29" s="20" t="str">
        <x:f>IF(A29="","",IFERROR(IF(K29=I29,"",MAX(0,MIN(1,(L29-I29)/(K29-I29)))),""))</x:f>
      </x:c>
      <x:c r="R29" s="23" t="str">
        <x:f>IF(A29="","",IF(OR(K29="",L29=""),"",K29-L29))</x:f>
      </x:c>
      <x:c r="S29" s="18" t="str">
        <x:f>IF(A29="","",IF(OR(L29="",M29="",P29="D - Faible"),"Donnees manquantes","OK"))</x:f>
      </x:c>
      <x:c r="T29" s="18"/>
    </x:row>
    <x:row r="30">
      <x:c r="A30" s="18"/>
      <x:c r="B30" s="18"/>
      <x:c r="C30" s="18"/>
      <x:c r="D30" s="18"/>
      <x:c r="E30" s="18"/>
      <x:c r="F30" s="18"/>
      <x:c r="G30" s="18"/>
      <x:c r="H30" s="18"/>
      <x:c r="I30" s="23"/>
      <x:c r="J30" s="23"/>
      <x:c r="K30" s="23"/>
      <x:c r="L30" s="23"/>
      <x:c r="M30" s="19"/>
      <x:c r="N30" s="18"/>
      <x:c r="O30" s="18"/>
      <x:c r="P30" s="18"/>
      <x:c r="Q30" s="20" t="str">
        <x:f>IF(A30="","",IFERROR(IF(K30=I30,"",MAX(0,MIN(1,(L30-I30)/(K30-I30)))),""))</x:f>
      </x:c>
      <x:c r="R30" s="23" t="str">
        <x:f>IF(A30="","",IF(OR(K30="",L30=""),"",K30-L30))</x:f>
      </x:c>
      <x:c r="S30" s="18" t="str">
        <x:f>IF(A30="","",IF(OR(L30="",M30="",P30="D - Faible"),"Donnees manquantes","OK"))</x:f>
      </x:c>
      <x:c r="T30" s="18"/>
    </x:row>
    <x:row r="31">
      <x:c r="A31" s="18"/>
      <x:c r="B31" s="18"/>
      <x:c r="C31" s="18"/>
      <x:c r="D31" s="18"/>
      <x:c r="E31" s="18"/>
      <x:c r="F31" s="18"/>
      <x:c r="G31" s="18"/>
      <x:c r="H31" s="18"/>
      <x:c r="I31" s="23"/>
      <x:c r="J31" s="23"/>
      <x:c r="K31" s="23"/>
      <x:c r="L31" s="23"/>
      <x:c r="M31" s="19"/>
      <x:c r="N31" s="18"/>
      <x:c r="O31" s="18"/>
      <x:c r="P31" s="18"/>
      <x:c r="Q31" s="20" t="str">
        <x:f>IF(A31="","",IFERROR(IF(K31=I31,"",MAX(0,MIN(1,(L31-I31)/(K31-I31)))),""))</x:f>
      </x:c>
      <x:c r="R31" s="23" t="str">
        <x:f>IF(A31="","",IF(OR(K31="",L31=""),"",K31-L31))</x:f>
      </x:c>
      <x:c r="S31" s="18" t="str">
        <x:f>IF(A31="","",IF(OR(L31="",M31="",P31="D - Faible"),"Donnees manquantes","OK"))</x:f>
      </x:c>
      <x:c r="T31" s="18"/>
    </x:row>
    <x:row r="32">
      <x:c r="A32" s="18"/>
      <x:c r="B32" s="18"/>
      <x:c r="C32" s="18"/>
      <x:c r="D32" s="18"/>
      <x:c r="E32" s="18"/>
      <x:c r="F32" s="18"/>
      <x:c r="G32" s="18"/>
      <x:c r="H32" s="18"/>
      <x:c r="I32" s="23"/>
      <x:c r="J32" s="23"/>
      <x:c r="K32" s="23"/>
      <x:c r="L32" s="23"/>
      <x:c r="M32" s="19"/>
      <x:c r="N32" s="18"/>
      <x:c r="O32" s="18"/>
      <x:c r="P32" s="18"/>
      <x:c r="Q32" s="20" t="str">
        <x:f>IF(A32="","",IFERROR(IF(K32=I32,"",MAX(0,MIN(1,(L32-I32)/(K32-I32)))),""))</x:f>
      </x:c>
      <x:c r="R32" s="23" t="str">
        <x:f>IF(A32="","",IF(OR(K32="",L32=""),"",K32-L32))</x:f>
      </x:c>
      <x:c r="S32" s="18" t="str">
        <x:f>IF(A32="","",IF(OR(L32="",M32="",P32="D - Faible"),"Donnees manquantes","OK"))</x:f>
      </x:c>
      <x:c r="T32" s="18"/>
    </x:row>
    <x:row r="33">
      <x:c r="A33" s="18"/>
      <x:c r="B33" s="18"/>
      <x:c r="C33" s="18"/>
      <x:c r="D33" s="18"/>
      <x:c r="E33" s="18"/>
      <x:c r="F33" s="18"/>
      <x:c r="G33" s="18"/>
      <x:c r="H33" s="18"/>
      <x:c r="I33" s="23"/>
      <x:c r="J33" s="23"/>
      <x:c r="K33" s="23"/>
      <x:c r="L33" s="23"/>
      <x:c r="M33" s="19"/>
      <x:c r="N33" s="18"/>
      <x:c r="O33" s="18"/>
      <x:c r="P33" s="18"/>
      <x:c r="Q33" s="20" t="str">
        <x:f>IF(A33="","",IFERROR(IF(K33=I33,"",MAX(0,MIN(1,(L33-I33)/(K33-I33)))),""))</x:f>
      </x:c>
      <x:c r="R33" s="23" t="str">
        <x:f>IF(A33="","",IF(OR(K33="",L33=""),"",K33-L33))</x:f>
      </x:c>
      <x:c r="S33" s="18" t="str">
        <x:f>IF(A33="","",IF(OR(L33="",M33="",P33="D - Faible"),"Donnees manquantes","OK"))</x:f>
      </x:c>
      <x:c r="T33" s="18"/>
    </x:row>
    <x:row r="34">
      <x:c r="A34" s="18"/>
      <x:c r="B34" s="18"/>
      <x:c r="C34" s="18"/>
      <x:c r="D34" s="18"/>
      <x:c r="E34" s="18"/>
      <x:c r="F34" s="18"/>
      <x:c r="G34" s="18"/>
      <x:c r="H34" s="18"/>
      <x:c r="I34" s="23"/>
      <x:c r="J34" s="23"/>
      <x:c r="K34" s="23"/>
      <x:c r="L34" s="23"/>
      <x:c r="M34" s="19"/>
      <x:c r="N34" s="18"/>
      <x:c r="O34" s="18"/>
      <x:c r="P34" s="18"/>
      <x:c r="Q34" s="20" t="str">
        <x:f>IF(A34="","",IFERROR(IF(K34=I34,"",MAX(0,MIN(1,(L34-I34)/(K34-I34)))),""))</x:f>
      </x:c>
      <x:c r="R34" s="23" t="str">
        <x:f>IF(A34="","",IF(OR(K34="",L34=""),"",K34-L34))</x:f>
      </x:c>
      <x:c r="S34" s="18" t="str">
        <x:f>IF(A34="","",IF(OR(L34="",M34="",P34="D - Faible"),"Donnees manquantes","OK"))</x:f>
      </x:c>
      <x:c r="T34" s="18"/>
    </x:row>
    <x:row r="35">
      <x:c r="A35" s="18"/>
      <x:c r="B35" s="18"/>
      <x:c r="C35" s="18"/>
      <x:c r="D35" s="18"/>
      <x:c r="E35" s="18"/>
      <x:c r="F35" s="18"/>
      <x:c r="G35" s="18"/>
      <x:c r="H35" s="18"/>
      <x:c r="I35" s="23"/>
      <x:c r="J35" s="23"/>
      <x:c r="K35" s="23"/>
      <x:c r="L35" s="23"/>
      <x:c r="M35" s="19"/>
      <x:c r="N35" s="18"/>
      <x:c r="O35" s="18"/>
      <x:c r="P35" s="18"/>
      <x:c r="Q35" s="20" t="str">
        <x:f>IF(A35="","",IFERROR(IF(K35=I35,"",MAX(0,MIN(1,(L35-I35)/(K35-I35)))),""))</x:f>
      </x:c>
      <x:c r="R35" s="23" t="str">
        <x:f>IF(A35="","",IF(OR(K35="",L35=""),"",K35-L35))</x:f>
      </x:c>
      <x:c r="S35" s="18" t="str">
        <x:f>IF(A35="","",IF(OR(L35="",M35="",P35="D - Faible"),"Donnees manquantes","OK"))</x:f>
      </x:c>
      <x:c r="T35" s="18"/>
    </x:row>
    <x:row r="36">
      <x:c r="A36" s="18"/>
      <x:c r="B36" s="18"/>
      <x:c r="C36" s="18"/>
      <x:c r="D36" s="18"/>
      <x:c r="E36" s="18"/>
      <x:c r="F36" s="18"/>
      <x:c r="G36" s="18"/>
      <x:c r="H36" s="18"/>
      <x:c r="I36" s="23"/>
      <x:c r="J36" s="23"/>
      <x:c r="K36" s="23"/>
      <x:c r="L36" s="23"/>
      <x:c r="M36" s="19"/>
      <x:c r="N36" s="18"/>
      <x:c r="O36" s="18"/>
      <x:c r="P36" s="18"/>
      <x:c r="Q36" s="20" t="str">
        <x:f>IF(A36="","",IFERROR(IF(K36=I36,"",MAX(0,MIN(1,(L36-I36)/(K36-I36)))),""))</x:f>
      </x:c>
      <x:c r="R36" s="23" t="str">
        <x:f>IF(A36="","",IF(OR(K36="",L36=""),"",K36-L36))</x:f>
      </x:c>
      <x:c r="S36" s="18" t="str">
        <x:f>IF(A36="","",IF(OR(L36="",M36="",P36="D - Faible"),"Donnees manquantes","OK"))</x:f>
      </x:c>
      <x:c r="T36" s="18"/>
    </x:row>
    <x:row r="37">
      <x:c r="A37" s="18"/>
      <x:c r="B37" s="18"/>
      <x:c r="C37" s="18"/>
      <x:c r="D37" s="18"/>
      <x:c r="E37" s="18"/>
      <x:c r="F37" s="18"/>
      <x:c r="G37" s="18"/>
      <x:c r="H37" s="18"/>
      <x:c r="I37" s="23"/>
      <x:c r="J37" s="23"/>
      <x:c r="K37" s="23"/>
      <x:c r="L37" s="23"/>
      <x:c r="M37" s="19"/>
      <x:c r="N37" s="18"/>
      <x:c r="O37" s="18"/>
      <x:c r="P37" s="18"/>
      <x:c r="Q37" s="20" t="str">
        <x:f>IF(A37="","",IFERROR(IF(K37=I37,"",MAX(0,MIN(1,(L37-I37)/(K37-I37)))),""))</x:f>
      </x:c>
      <x:c r="R37" s="23" t="str">
        <x:f>IF(A37="","",IF(OR(K37="",L37=""),"",K37-L37))</x:f>
      </x:c>
      <x:c r="S37" s="18" t="str">
        <x:f>IF(A37="","",IF(OR(L37="",M37="",P37="D - Faible"),"Donnees manquantes","OK"))</x:f>
      </x:c>
      <x:c r="T37" s="18"/>
    </x:row>
    <x:row r="38">
      <x:c r="A38" s="18"/>
      <x:c r="B38" s="18"/>
      <x:c r="C38" s="18"/>
      <x:c r="D38" s="18"/>
      <x:c r="E38" s="18"/>
      <x:c r="F38" s="18"/>
      <x:c r="G38" s="18"/>
      <x:c r="H38" s="18"/>
      <x:c r="I38" s="23"/>
      <x:c r="J38" s="23"/>
      <x:c r="K38" s="23"/>
      <x:c r="L38" s="23"/>
      <x:c r="M38" s="19"/>
      <x:c r="N38" s="18"/>
      <x:c r="O38" s="18"/>
      <x:c r="P38" s="18"/>
      <x:c r="Q38" s="20" t="str">
        <x:f>IF(A38="","",IFERROR(IF(K38=I38,"",MAX(0,MIN(1,(L38-I38)/(K38-I38)))),""))</x:f>
      </x:c>
      <x:c r="R38" s="23" t="str">
        <x:f>IF(A38="","",IF(OR(K38="",L38=""),"",K38-L38))</x:f>
      </x:c>
      <x:c r="S38" s="18" t="str">
        <x:f>IF(A38="","",IF(OR(L38="",M38="",P38="D - Faible"),"Donnees manquantes","OK"))</x:f>
      </x:c>
      <x:c r="T38" s="18"/>
    </x:row>
    <x:row r="39">
      <x:c r="A39" s="18"/>
      <x:c r="B39" s="18"/>
      <x:c r="C39" s="18"/>
      <x:c r="D39" s="18"/>
      <x:c r="E39" s="18"/>
      <x:c r="F39" s="18"/>
      <x:c r="G39" s="18"/>
      <x:c r="H39" s="18"/>
      <x:c r="I39" s="23"/>
      <x:c r="J39" s="23"/>
      <x:c r="K39" s="23"/>
      <x:c r="L39" s="23"/>
      <x:c r="M39" s="19"/>
      <x:c r="N39" s="18"/>
      <x:c r="O39" s="18"/>
      <x:c r="P39" s="18"/>
      <x:c r="Q39" s="20" t="str">
        <x:f>IF(A39="","",IFERROR(IF(K39=I39,"",MAX(0,MIN(1,(L39-I39)/(K39-I39)))),""))</x:f>
      </x:c>
      <x:c r="R39" s="23" t="str">
        <x:f>IF(A39="","",IF(OR(K39="",L39=""),"",K39-L39))</x:f>
      </x:c>
      <x:c r="S39" s="18" t="str">
        <x:f>IF(A39="","",IF(OR(L39="",M39="",P39="D - Faible"),"Donnees manquantes","OK"))</x:f>
      </x:c>
      <x:c r="T39" s="18"/>
    </x:row>
    <x:row r="40">
      <x:c r="A40" s="18"/>
      <x:c r="B40" s="18"/>
      <x:c r="C40" s="18"/>
      <x:c r="D40" s="18"/>
      <x:c r="E40" s="18"/>
      <x:c r="F40" s="18"/>
      <x:c r="G40" s="18"/>
      <x:c r="H40" s="18"/>
      <x:c r="I40" s="23"/>
      <x:c r="J40" s="23"/>
      <x:c r="K40" s="23"/>
      <x:c r="L40" s="23"/>
      <x:c r="M40" s="19"/>
      <x:c r="N40" s="18"/>
      <x:c r="O40" s="18"/>
      <x:c r="P40" s="18"/>
      <x:c r="Q40" s="20" t="str">
        <x:f>IF(A40="","",IFERROR(IF(K40=I40,"",MAX(0,MIN(1,(L40-I40)/(K40-I40)))),""))</x:f>
      </x:c>
      <x:c r="R40" s="23" t="str">
        <x:f>IF(A40="","",IF(OR(K40="",L40=""),"",K40-L40))</x:f>
      </x:c>
      <x:c r="S40" s="18" t="str">
        <x:f>IF(A40="","",IF(OR(L40="",M40="",P40="D - Faible"),"Donnees manquantes","OK"))</x:f>
      </x:c>
      <x:c r="T40" s="18"/>
    </x:row>
    <x:row r="41">
      <x:c r="A41" s="18"/>
      <x:c r="B41" s="18"/>
      <x:c r="C41" s="18"/>
      <x:c r="D41" s="18"/>
      <x:c r="E41" s="18"/>
      <x:c r="F41" s="18"/>
      <x:c r="G41" s="18"/>
      <x:c r="H41" s="18"/>
      <x:c r="I41" s="23"/>
      <x:c r="J41" s="23"/>
      <x:c r="K41" s="23"/>
      <x:c r="L41" s="23"/>
      <x:c r="M41" s="19"/>
      <x:c r="N41" s="18"/>
      <x:c r="O41" s="18"/>
      <x:c r="P41" s="18"/>
      <x:c r="Q41" s="20" t="str">
        <x:f>IF(A41="","",IFERROR(IF(K41=I41,"",MAX(0,MIN(1,(L41-I41)/(K41-I41)))),""))</x:f>
      </x:c>
      <x:c r="R41" s="23" t="str">
        <x:f>IF(A41="","",IF(OR(K41="",L41=""),"",K41-L41))</x:f>
      </x:c>
      <x:c r="S41" s="18" t="str">
        <x:f>IF(A41="","",IF(OR(L41="",M41="",P41="D - Faible"),"Donnees manquantes","OK"))</x:f>
      </x:c>
      <x:c r="T41" s="18"/>
    </x:row>
    <x:row r="42">
      <x:c r="A42" s="18"/>
      <x:c r="B42" s="18"/>
      <x:c r="C42" s="18"/>
      <x:c r="D42" s="18"/>
      <x:c r="E42" s="18"/>
      <x:c r="F42" s="18"/>
      <x:c r="G42" s="18"/>
      <x:c r="H42" s="18"/>
      <x:c r="I42" s="23"/>
      <x:c r="J42" s="23"/>
      <x:c r="K42" s="23"/>
      <x:c r="L42" s="23"/>
      <x:c r="M42" s="19"/>
      <x:c r="N42" s="18"/>
      <x:c r="O42" s="18"/>
      <x:c r="P42" s="18"/>
      <x:c r="Q42" s="20" t="str">
        <x:f>IF(A42="","",IFERROR(IF(K42=I42,"",MAX(0,MIN(1,(L42-I42)/(K42-I42)))),""))</x:f>
      </x:c>
      <x:c r="R42" s="23" t="str">
        <x:f>IF(A42="","",IF(OR(K42="",L42=""),"",K42-L42))</x:f>
      </x:c>
      <x:c r="S42" s="18" t="str">
        <x:f>IF(A42="","",IF(OR(L42="",M42="",P42="D - Faible"),"Donnees manquantes","OK"))</x:f>
      </x:c>
      <x:c r="T42" s="18"/>
    </x:row>
    <x:row r="43">
      <x:c r="A43" s="18"/>
      <x:c r="B43" s="18"/>
      <x:c r="C43" s="18"/>
      <x:c r="D43" s="18"/>
      <x:c r="E43" s="18"/>
      <x:c r="F43" s="18"/>
      <x:c r="G43" s="18"/>
      <x:c r="H43" s="18"/>
      <x:c r="I43" s="23"/>
      <x:c r="J43" s="23"/>
      <x:c r="K43" s="23"/>
      <x:c r="L43" s="23"/>
      <x:c r="M43" s="19"/>
      <x:c r="N43" s="18"/>
      <x:c r="O43" s="18"/>
      <x:c r="P43" s="18"/>
      <x:c r="Q43" s="20" t="str">
        <x:f>IF(A43="","",IFERROR(IF(K43=I43,"",MAX(0,MIN(1,(L43-I43)/(K43-I43)))),""))</x:f>
      </x:c>
      <x:c r="R43" s="23" t="str">
        <x:f>IF(A43="","",IF(OR(K43="",L43=""),"",K43-L43))</x:f>
      </x:c>
      <x:c r="S43" s="18" t="str">
        <x:f>IF(A43="","",IF(OR(L43="",M43="",P43="D - Faible"),"Donnees manquantes","OK"))</x:f>
      </x:c>
      <x:c r="T43" s="18"/>
    </x:row>
    <x:row r="44">
      <x:c r="A44" s="18"/>
      <x:c r="B44" s="18"/>
      <x:c r="C44" s="18"/>
      <x:c r="D44" s="18"/>
      <x:c r="E44" s="18"/>
      <x:c r="F44" s="18"/>
      <x:c r="G44" s="18"/>
      <x:c r="H44" s="18"/>
      <x:c r="I44" s="23"/>
      <x:c r="J44" s="23"/>
      <x:c r="K44" s="23"/>
      <x:c r="L44" s="23"/>
      <x:c r="M44" s="19"/>
      <x:c r="N44" s="18"/>
      <x:c r="O44" s="18"/>
      <x:c r="P44" s="18"/>
      <x:c r="Q44" s="20" t="str">
        <x:f>IF(A44="","",IFERROR(IF(K44=I44,"",MAX(0,MIN(1,(L44-I44)/(K44-I44)))),""))</x:f>
      </x:c>
      <x:c r="R44" s="23" t="str">
        <x:f>IF(A44="","",IF(OR(K44="",L44=""),"",K44-L44))</x:f>
      </x:c>
      <x:c r="S44" s="18" t="str">
        <x:f>IF(A44="","",IF(OR(L44="",M44="",P44="D - Faible"),"Donnees manquantes","OK"))</x:f>
      </x:c>
      <x:c r="T44" s="18"/>
    </x:row>
  </x:sheetData>
  <x:mergeCells>
    <x:mergeCell ref="A1:J1"/>
    <x:mergeCell ref="A2:J2"/>
  </x:mergeCells>
  <x:conditionalFormatting sqref="S5:S44">
    <x:cfRule type="containsText" dxfId="16" priority="1" operator="containsText" text="Retard"/>
    <x:cfRule type="containsText" dxfId="17" priority="2" operator="containsText" text="critique"/>
    <x:cfRule type="containsText" dxfId="18" priority="3" operator="containsText" text="manquant"/>
    <x:cfRule type="containsText" dxfId="19"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C5:C44">
      <x:formula1>"CDP-ICLEI,C40,ICLEI/GPC,CoM SSA,CDN Senegal,Interne Dakar"</x:formula1>
    </x:dataValidation>
    <x:dataValidation type="list" errorStyle="warning" showInputMessage="1" showErrorMessage="1" errorTitle="Valeur inattendue" error="Cette colonne utilise une liste controlee." promptTitle="Liste controlee" prompt="Choisir une valeur dans la liste." sqref="D5:D44">
      <x:formula1>"Mitigation,Adaptation,Air,Mobilite,Energie,Dechets,Gouvernance"</x:formula1>
    </x:dataValidation>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N5:N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46a2620d3dad4b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38.75" hidden="0" customWidth="1"/>
    <x:col min="4" max="4" width="16.25" hidden="0" customWidth="1"/>
    <x:col min="5" max="5" width="18.75" hidden="0" customWidth="1"/>
    <x:col min="6" max="6" width="21.25" hidden="0" customWidth="1"/>
    <x:col min="7" max="7" width="15.630000114440918" hidden="0" customWidth="1"/>
    <x:col min="8" max="8" width="21.25" hidden="0" customWidth="1"/>
    <x:col min="9" max="9" width="12.5" hidden="0" customWidth="1"/>
    <x:col min="10" max="10" width="13.75" hidden="0" customWidth="1"/>
    <x:col min="11" max="11" width="14.380000114440918" hidden="0" customWidth="1"/>
    <x:col min="12" max="12" width="13.130000114440918" hidden="0" customWidth="1"/>
    <x:col min="13" max="13" width="22.5" hidden="0" customWidth="1"/>
    <x:col min="14" max="14" width="27.5" hidden="0" customWidth="1"/>
    <x:col min="15" max="15" width="15" hidden="0" customWidth="1"/>
    <x:col min="16" max="16" width="16.8799991607666" hidden="0" customWidth="1"/>
    <x:col min="17" max="17" width="18.1299991607666" hidden="0" customWidth="1"/>
    <x:col min="18" max="18" width="28.75" hidden="0" customWidth="1"/>
  </x:cols>
  <x:sheetData>
    <x:row r="1" ht="25.5" customHeight="1">
      <x:c r="A1" s="2" t="str">
        <x:v>Actions climat detaillees</x:v>
      </x:c>
      <x:c r="B1" s="2"/>
      <x:c r="C1" s="2"/>
      <x:c r="D1" s="2"/>
      <x:c r="E1" s="2"/>
      <x:c r="F1" s="2"/>
      <x:c r="G1" s="2"/>
      <x:c r="H1" s="2"/>
      <x:c r="I1" s="2"/>
      <x:c r="J1" s="2"/>
    </x:row>
    <x:row r="2" ht="31.5" customHeight="1">
      <x:c r="A2" s="5" t="str">
        <x:v>Actions operationnelles rattachees aux projets et aux engagements climat.</x:v>
      </x:c>
      <x:c r="B2" s="5"/>
      <x:c r="C2" s="5"/>
      <x:c r="D2" s="5"/>
      <x:c r="E2" s="5"/>
      <x:c r="F2" s="5"/>
      <x:c r="G2" s="5"/>
      <x:c r="H2" s="5"/>
      <x:c r="I2" s="5"/>
      <x:c r="J2" s="5"/>
    </x:row>
    <x:row r="4" ht="28.5" customHeight="1">
      <x:c r="A4" s="16" t="str">
        <x:v>Action_ID</x:v>
      </x:c>
      <x:c r="B4" s="16" t="str">
        <x:v>Project_ID</x:v>
      </x:c>
      <x:c r="C4" s="16" t="str">
        <x:v>Action</x:v>
      </x:c>
      <x:c r="D4" s="16" t="str">
        <x:v>Type_action</x:v>
      </x:c>
      <x:c r="E4" s="16" t="str">
        <x:v>Secteur</x:v>
      </x:c>
      <x:c r="F4" s="16" t="str">
        <x:v>Responsable</x:v>
      </x:c>
      <x:c r="G4" s="16" t="str">
        <x:v>Statut</x:v>
      </x:c>
      <x:c r="H4" s="16" t="str">
        <x:v>Maturite</x:v>
      </x:c>
      <x:c r="I4" s="16" t="str">
        <x:v>Priorite</x:v>
      </x:c>
      <x:c r="J4" s="16" t="str">
        <x:v>Date_debut</x:v>
      </x:c>
      <x:c r="K4" s="16" t="str">
        <x:v>Date_echeance</x:v>
      </x:c>
      <x:c r="L4" s="16" t="str">
        <x:v>Realisation_pct</x:v>
      </x:c>
      <x:c r="M4" s="16" t="str">
        <x:v>Dependance</x:v>
      </x:c>
      <x:c r="N4" s="16" t="str">
        <x:v>Co_benefices</x:v>
      </x:c>
      <x:c r="O4" s="16" t="str">
        <x:v>Population_cible</x:v>
      </x:c>
      <x:c r="P4" s="16" t="str">
        <x:v>Alerte_retard</x:v>
      </x:c>
      <x:c r="Q4" s="16" t="str">
        <x:v>Alerte_maturite</x:v>
      </x:c>
      <x:c r="R4" s="16" t="str">
        <x:v>Commentaires</x:v>
      </x:c>
    </x:row>
    <x:row r="5">
      <x:c r="A5" s="18" t="str">
        <x:v>ACT-001</x:v>
      </x:c>
      <x:c r="B5" s="18" t="str">
        <x:v>PRJ-001</x:v>
      </x:c>
      <x:c r="C5" s="18" t="str">
        <x:v>Auditer les toitures prioritaires</x:v>
      </x:c>
      <x:c r="D5" s="18" t="str">
        <x:v>Etude</x:v>
      </x:c>
      <x:c r="E5" s="18" t="str">
        <x:v>Energie</x:v>
      </x:c>
      <x:c r="F5" s="18" t="str">
        <x:v>Direction Energie</x:v>
      </x:c>
      <x:c r="G5" s="18" t="str">
        <x:v>En cours</x:v>
      </x:c>
      <x:c r="H5" s="18" t="str">
        <x:v>5 - En mise en oeuvre</x:v>
      </x:c>
      <x:c r="I5" s="18" t="str">
        <x:v>Haute</x:v>
      </x:c>
      <x:c r="J5" s="19" t="n">
        <x:v>45672</x:v>
      </x:c>
      <x:c r="K5" s="19" t="n">
        <x:v>46203</x:v>
      </x:c>
      <x:c r="L5" s="20" t="n">
        <x:v>0.7</x:v>
      </x:c>
      <x:c r="M5" s="18" t="str">
        <x:v>Acces batiments</x:v>
      </x:c>
      <x:c r="N5" s="18" t="str">
        <x:v>Reduction facture energie</x:v>
      </x:c>
      <x:c r="O5" s="22" t="n">
        <x:v>120000</x:v>
      </x:c>
      <x:c r="P5" s="18" t="str">
        <x:f>IF(A5="","",IF(AND(K5&lt;TODAY(),G5&lt;&gt;"Termine"),"Retard","OK"))</x:f>
        <x:v>OK</x:v>
      </x:c>
      <x:c r="Q5" s="18" t="str">
        <x:f>IF(A5="","",IF(AND(H5="0 - Idee",K5&lt;TODAY()+60),"Maturite critique","OK"))</x:f>
        <x:v>OK</x:v>
      </x:c>
      <x:c r="R5" s="18" t="str"/>
    </x:row>
    <x:row r="6">
      <x:c r="A6" s="18" t="str">
        <x:v>ACT-002</x:v>
      </x:c>
      <x:c r="B6" s="18" t="str">
        <x:v>PRJ-002</x:v>
      </x:c>
      <x:c r="C6" s="18" t="str">
        <x:v>Installer trois plateformes de compostage pilotes</x:v>
      </x:c>
      <x:c r="D6" s="18" t="str">
        <x:v>Infrastructure</x:v>
      </x:c>
      <x:c r="E6" s="18" t="str">
        <x:v>Dechets</x:v>
      </x:c>
      <x:c r="F6" s="18" t="str">
        <x:v>Direction Dechets</x:v>
      </x:c>
      <x:c r="G6" s="18" t="str">
        <x:v>Finance</x:v>
      </x:c>
      <x:c r="H6" s="18" t="str">
        <x:v>4 - Pret a demarrer</x:v>
      </x:c>
      <x:c r="I6" s="18" t="str">
        <x:v>Critique</x:v>
      </x:c>
      <x:c r="J6" s="19" t="n">
        <x:v>46113</x:v>
      </x:c>
      <x:c r="K6" s="19" t="n">
        <x:v>46477</x:v>
      </x:c>
      <x:c r="L6" s="20" t="n">
        <x:v>0.12</x:v>
      </x:c>
      <x:c r="M6" s="18" t="str">
        <x:v>Foncier</x:v>
      </x:c>
      <x:c r="N6" s="18" t="str">
        <x:v>Emploi vert, salubrite</x:v>
      </x:c>
      <x:c r="O6" s="22" t="n">
        <x:v>85000</x:v>
      </x:c>
      <x:c r="P6" s="18" t="str">
        <x:f>IF(A6="","",IF(AND(K6&lt;TODAY(),G6&lt;&gt;"Termine"),"Retard","OK"))</x:f>
        <x:v>OK</x:v>
      </x:c>
      <x:c r="Q6" s="18" t="str">
        <x:f>IF(A6="","",IF(AND(H6="0 - Idee",K6&lt;TODAY()+60),"Maturite critique","OK"))</x:f>
        <x:v>OK</x:v>
      </x:c>
      <x:c r="R6" s="18" t="str"/>
    </x:row>
    <x:row r="7">
      <x:c r="A7" s="18" t="str">
        <x:v>ACT-003</x:v>
      </x:c>
      <x:c r="B7" s="18" t="str">
        <x:v>PRJ-003</x:v>
      </x:c>
      <x:c r="C7" s="18" t="str">
        <x:v>Realiser le diagnostic securite pietonne</x:v>
      </x:c>
      <x:c r="D7" s="18" t="str">
        <x:v>Etude</x:v>
      </x:c>
      <x:c r="E7" s="18" t="str">
        <x:v>Transport et mobilite</x:v>
      </x:c>
      <x:c r="F7" s="18" t="str">
        <x:v>Direction Mobilite</x:v>
      </x:c>
      <x:c r="G7" s="18" t="str">
        <x:v>En preparation</x:v>
      </x:c>
      <x:c r="H7" s="18" t="str">
        <x:v>2 - Etude faisabilite</x:v>
      </x:c>
      <x:c r="I7" s="18" t="str">
        <x:v>Haute</x:v>
      </x:c>
      <x:c r="J7" s="19" t="n">
        <x:v>46054</x:v>
      </x:c>
      <x:c r="K7" s="19" t="n">
        <x:v>46157</x:v>
      </x:c>
      <x:c r="L7" s="20" t="n">
        <x:v>0.4</x:v>
      </x:c>
      <x:c r="M7" s="18" t="str">
        <x:v>Donnees accidentologie</x:v>
      </x:c>
      <x:c r="N7" s="18" t="str">
        <x:v>Sante, inclusion</x:v>
      </x:c>
      <x:c r="O7" s="22" t="n">
        <x:v>180000</x:v>
      </x:c>
      <x:c r="P7" s="18" t="str">
        <x:f>IF(A7="","",IF(AND(K7&lt;TODAY(),G7&lt;&gt;"Termine"),"Retard","OK"))</x:f>
        <x:v>Retard</x:v>
      </x:c>
      <x:c r="Q7" s="18" t="str">
        <x:f>IF(A7="","",IF(AND(H7="0 - Idee",K7&lt;TODAY()+60),"Maturite critique","OK"))</x:f>
        <x:v>OK</x:v>
      </x:c>
      <x:c r="R7" s="18" t="str"/>
    </x:row>
    <x:row r="8">
      <x:c r="A8" s="18" t="str">
        <x:v>ACT-004</x:v>
      </x:c>
      <x:c r="B8" s="18" t="str">
        <x:v>PRJ-005</x:v>
      </x:c>
      <x:c r="C8" s="18" t="str">
        <x:v>Calibrer les capteurs PM2.5 et NO2</x:v>
      </x:c>
      <x:c r="D8" s="18" t="str">
        <x:v>MRV</x:v>
      </x:c>
      <x:c r="E8" s="18" t="str">
        <x:v>Qualite de l'air</x:v>
      </x:c>
      <x:c r="F8" s="18" t="str">
        <x:v>Direction Environnement</x:v>
      </x:c>
      <x:c r="G8" s="18" t="str">
        <x:v>En cours</x:v>
      </x:c>
      <x:c r="H8" s="18" t="str">
        <x:v>5 - En mise en oeuvre</x:v>
      </x:c>
      <x:c r="I8" s="18" t="str">
        <x:v>Moyenne</x:v>
      </x:c>
      <x:c r="J8" s="19" t="n">
        <x:v>45870</x:v>
      </x:c>
      <x:c r="K8" s="19" t="n">
        <x:v>46183</x:v>
      </x:c>
      <x:c r="L8" s="20" t="n">
        <x:v>0.55</x:v>
      </x:c>
      <x:c r="M8" s="18" t="str">
        <x:v>Laboratoire partenaire</x:v>
      </x:c>
      <x:c r="N8" s="18" t="str">
        <x:v>Sante publique</x:v>
      </x:c>
      <x:c r="O8" s="22" t="n">
        <x:v>1100000</x:v>
      </x:c>
      <x:c r="P8" s="18" t="str">
        <x:f>IF(A8="","",IF(AND(K8&lt;TODAY(),G8&lt;&gt;"Termine"),"Retard","OK"))</x:f>
        <x:v>OK</x:v>
      </x:c>
      <x:c r="Q8" s="18" t="str">
        <x:f>IF(A8="","",IF(AND(H8="0 - Idee",K8&lt;TODAY()+60),"Maturite critique","OK"))</x:f>
        <x:v>OK</x:v>
      </x:c>
      <x:c r="R8" s="18" t="str"/>
    </x:row>
    <x:row r="9">
      <x:c r="A9" s="18"/>
      <x:c r="B9" s="18"/>
      <x:c r="C9" s="18"/>
      <x:c r="D9" s="18"/>
      <x:c r="E9" s="18"/>
      <x:c r="F9" s="18"/>
      <x:c r="G9" s="18"/>
      <x:c r="H9" s="18"/>
      <x:c r="I9" s="18"/>
      <x:c r="J9" s="19"/>
      <x:c r="K9" s="19"/>
      <x:c r="L9" s="20"/>
      <x:c r="M9" s="18"/>
      <x:c r="N9" s="18"/>
      <x:c r="O9" s="22"/>
      <x:c r="P9" s="18" t="str">
        <x:f>IF(A9="","",IF(AND(K9&lt;TODAY(),G9&lt;&gt;"Termine"),"Retard","OK"))</x:f>
      </x:c>
      <x:c r="Q9" s="18" t="str">
        <x:f>IF(A9="","",IF(AND(H9="0 - Idee",K9&lt;TODAY()+60),"Maturite critique","OK"))</x:f>
      </x:c>
      <x:c r="R9" s="18"/>
    </x:row>
    <x:row r="10">
      <x:c r="A10" s="18"/>
      <x:c r="B10" s="18"/>
      <x:c r="C10" s="18"/>
      <x:c r="D10" s="18"/>
      <x:c r="E10" s="18"/>
      <x:c r="F10" s="18"/>
      <x:c r="G10" s="18"/>
      <x:c r="H10" s="18"/>
      <x:c r="I10" s="18"/>
      <x:c r="J10" s="19"/>
      <x:c r="K10" s="19"/>
      <x:c r="L10" s="20"/>
      <x:c r="M10" s="18"/>
      <x:c r="N10" s="18"/>
      <x:c r="O10" s="22"/>
      <x:c r="P10" s="18" t="str">
        <x:f>IF(A10="","",IF(AND(K10&lt;TODAY(),G10&lt;&gt;"Termine"),"Retard","OK"))</x:f>
      </x:c>
      <x:c r="Q10" s="18" t="str">
        <x:f>IF(A10="","",IF(AND(H10="0 - Idee",K10&lt;TODAY()+60),"Maturite critique","OK"))</x:f>
      </x:c>
      <x:c r="R10" s="18"/>
    </x:row>
    <x:row r="11">
      <x:c r="A11" s="18"/>
      <x:c r="B11" s="18"/>
      <x:c r="C11" s="18"/>
      <x:c r="D11" s="18"/>
      <x:c r="E11" s="18"/>
      <x:c r="F11" s="18"/>
      <x:c r="G11" s="18"/>
      <x:c r="H11" s="18"/>
      <x:c r="I11" s="18"/>
      <x:c r="J11" s="19"/>
      <x:c r="K11" s="19"/>
      <x:c r="L11" s="20"/>
      <x:c r="M11" s="18"/>
      <x:c r="N11" s="18"/>
      <x:c r="O11" s="22"/>
      <x:c r="P11" s="18" t="str">
        <x:f>IF(A11="","",IF(AND(K11&lt;TODAY(),G11&lt;&gt;"Termine"),"Retard","OK"))</x:f>
      </x:c>
      <x:c r="Q11" s="18" t="str">
        <x:f>IF(A11="","",IF(AND(H11="0 - Idee",K11&lt;TODAY()+60),"Maturite critique","OK"))</x:f>
      </x:c>
      <x:c r="R11" s="18"/>
    </x:row>
    <x:row r="12">
      <x:c r="A12" s="18"/>
      <x:c r="B12" s="18"/>
      <x:c r="C12" s="18"/>
      <x:c r="D12" s="18"/>
      <x:c r="E12" s="18"/>
      <x:c r="F12" s="18"/>
      <x:c r="G12" s="18"/>
      <x:c r="H12" s="18"/>
      <x:c r="I12" s="18"/>
      <x:c r="J12" s="19"/>
      <x:c r="K12" s="19"/>
      <x:c r="L12" s="20"/>
      <x:c r="M12" s="18"/>
      <x:c r="N12" s="18"/>
      <x:c r="O12" s="22"/>
      <x:c r="P12" s="18" t="str">
        <x:f>IF(A12="","",IF(AND(K12&lt;TODAY(),G12&lt;&gt;"Termine"),"Retard","OK"))</x:f>
      </x:c>
      <x:c r="Q12" s="18" t="str">
        <x:f>IF(A12="","",IF(AND(H12="0 - Idee",K12&lt;TODAY()+60),"Maturite critique","OK"))</x:f>
      </x:c>
      <x:c r="R12" s="18"/>
    </x:row>
    <x:row r="13">
      <x:c r="A13" s="18"/>
      <x:c r="B13" s="18"/>
      <x:c r="C13" s="18"/>
      <x:c r="D13" s="18"/>
      <x:c r="E13" s="18"/>
      <x:c r="F13" s="18"/>
      <x:c r="G13" s="18"/>
      <x:c r="H13" s="18"/>
      <x:c r="I13" s="18"/>
      <x:c r="J13" s="19"/>
      <x:c r="K13" s="19"/>
      <x:c r="L13" s="20"/>
      <x:c r="M13" s="18"/>
      <x:c r="N13" s="18"/>
      <x:c r="O13" s="22"/>
      <x:c r="P13" s="18" t="str">
        <x:f>IF(A13="","",IF(AND(K13&lt;TODAY(),G13&lt;&gt;"Termine"),"Retard","OK"))</x:f>
      </x:c>
      <x:c r="Q13" s="18" t="str">
        <x:f>IF(A13="","",IF(AND(H13="0 - Idee",K13&lt;TODAY()+60),"Maturite critique","OK"))</x:f>
      </x:c>
      <x:c r="R13" s="18"/>
    </x:row>
    <x:row r="14">
      <x:c r="A14" s="18"/>
      <x:c r="B14" s="18"/>
      <x:c r="C14" s="18"/>
      <x:c r="D14" s="18"/>
      <x:c r="E14" s="18"/>
      <x:c r="F14" s="18"/>
      <x:c r="G14" s="18"/>
      <x:c r="H14" s="18"/>
      <x:c r="I14" s="18"/>
      <x:c r="J14" s="19"/>
      <x:c r="K14" s="19"/>
      <x:c r="L14" s="20"/>
      <x:c r="M14" s="18"/>
      <x:c r="N14" s="18"/>
      <x:c r="O14" s="22"/>
      <x:c r="P14" s="18" t="str">
        <x:f>IF(A14="","",IF(AND(K14&lt;TODAY(),G14&lt;&gt;"Termine"),"Retard","OK"))</x:f>
      </x:c>
      <x:c r="Q14" s="18" t="str">
        <x:f>IF(A14="","",IF(AND(H14="0 - Idee",K14&lt;TODAY()+60),"Maturite critique","OK"))</x:f>
      </x:c>
      <x:c r="R14" s="18"/>
    </x:row>
    <x:row r="15">
      <x:c r="A15" s="18"/>
      <x:c r="B15" s="18"/>
      <x:c r="C15" s="18"/>
      <x:c r="D15" s="18"/>
      <x:c r="E15" s="18"/>
      <x:c r="F15" s="18"/>
      <x:c r="G15" s="18"/>
      <x:c r="H15" s="18"/>
      <x:c r="I15" s="18"/>
      <x:c r="J15" s="19"/>
      <x:c r="K15" s="19"/>
      <x:c r="L15" s="20"/>
      <x:c r="M15" s="18"/>
      <x:c r="N15" s="18"/>
      <x:c r="O15" s="22"/>
      <x:c r="P15" s="18" t="str">
        <x:f>IF(A15="","",IF(AND(K15&lt;TODAY(),G15&lt;&gt;"Termine"),"Retard","OK"))</x:f>
      </x:c>
      <x:c r="Q15" s="18" t="str">
        <x:f>IF(A15="","",IF(AND(H15="0 - Idee",K15&lt;TODAY()+60),"Maturite critique","OK"))</x:f>
      </x:c>
      <x:c r="R15" s="18"/>
    </x:row>
    <x:row r="16">
      <x:c r="A16" s="18"/>
      <x:c r="B16" s="18"/>
      <x:c r="C16" s="18"/>
      <x:c r="D16" s="18"/>
      <x:c r="E16" s="18"/>
      <x:c r="F16" s="18"/>
      <x:c r="G16" s="18"/>
      <x:c r="H16" s="18"/>
      <x:c r="I16" s="18"/>
      <x:c r="J16" s="19"/>
      <x:c r="K16" s="19"/>
      <x:c r="L16" s="20"/>
      <x:c r="M16" s="18"/>
      <x:c r="N16" s="18"/>
      <x:c r="O16" s="22"/>
      <x:c r="P16" s="18" t="str">
        <x:f>IF(A16="","",IF(AND(K16&lt;TODAY(),G16&lt;&gt;"Termine"),"Retard","OK"))</x:f>
      </x:c>
      <x:c r="Q16" s="18" t="str">
        <x:f>IF(A16="","",IF(AND(H16="0 - Idee",K16&lt;TODAY()+60),"Maturite critique","OK"))</x:f>
      </x:c>
      <x:c r="R16" s="18"/>
    </x:row>
    <x:row r="17">
      <x:c r="A17" s="18"/>
      <x:c r="B17" s="18"/>
      <x:c r="C17" s="18"/>
      <x:c r="D17" s="18"/>
      <x:c r="E17" s="18"/>
      <x:c r="F17" s="18"/>
      <x:c r="G17" s="18"/>
      <x:c r="H17" s="18"/>
      <x:c r="I17" s="18"/>
      <x:c r="J17" s="19"/>
      <x:c r="K17" s="19"/>
      <x:c r="L17" s="20"/>
      <x:c r="M17" s="18"/>
      <x:c r="N17" s="18"/>
      <x:c r="O17" s="22"/>
      <x:c r="P17" s="18" t="str">
        <x:f>IF(A17="","",IF(AND(K17&lt;TODAY(),G17&lt;&gt;"Termine"),"Retard","OK"))</x:f>
      </x:c>
      <x:c r="Q17" s="18" t="str">
        <x:f>IF(A17="","",IF(AND(H17="0 - Idee",K17&lt;TODAY()+60),"Maturite critique","OK"))</x:f>
      </x:c>
      <x:c r="R17" s="18"/>
    </x:row>
    <x:row r="18">
      <x:c r="A18" s="18"/>
      <x:c r="B18" s="18"/>
      <x:c r="C18" s="18"/>
      <x:c r="D18" s="18"/>
      <x:c r="E18" s="18"/>
      <x:c r="F18" s="18"/>
      <x:c r="G18" s="18"/>
      <x:c r="H18" s="18"/>
      <x:c r="I18" s="18"/>
      <x:c r="J18" s="19"/>
      <x:c r="K18" s="19"/>
      <x:c r="L18" s="20"/>
      <x:c r="M18" s="18"/>
      <x:c r="N18" s="18"/>
      <x:c r="O18" s="22"/>
      <x:c r="P18" s="18" t="str">
        <x:f>IF(A18="","",IF(AND(K18&lt;TODAY(),G18&lt;&gt;"Termine"),"Retard","OK"))</x:f>
      </x:c>
      <x:c r="Q18" s="18" t="str">
        <x:f>IF(A18="","",IF(AND(H18="0 - Idee",K18&lt;TODAY()+60),"Maturite critique","OK"))</x:f>
      </x:c>
      <x:c r="R18" s="18"/>
    </x:row>
    <x:row r="19">
      <x:c r="A19" s="18"/>
      <x:c r="B19" s="18"/>
      <x:c r="C19" s="18"/>
      <x:c r="D19" s="18"/>
      <x:c r="E19" s="18"/>
      <x:c r="F19" s="18"/>
      <x:c r="G19" s="18"/>
      <x:c r="H19" s="18"/>
      <x:c r="I19" s="18"/>
      <x:c r="J19" s="19"/>
      <x:c r="K19" s="19"/>
      <x:c r="L19" s="20"/>
      <x:c r="M19" s="18"/>
      <x:c r="N19" s="18"/>
      <x:c r="O19" s="22"/>
      <x:c r="P19" s="18" t="str">
        <x:f>IF(A19="","",IF(AND(K19&lt;TODAY(),G19&lt;&gt;"Termine"),"Retard","OK"))</x:f>
      </x:c>
      <x:c r="Q19" s="18" t="str">
        <x:f>IF(A19="","",IF(AND(H19="0 - Idee",K19&lt;TODAY()+60),"Maturite critique","OK"))</x:f>
      </x:c>
      <x:c r="R19" s="18"/>
    </x:row>
    <x:row r="20">
      <x:c r="A20" s="18"/>
      <x:c r="B20" s="18"/>
      <x:c r="C20" s="18"/>
      <x:c r="D20" s="18"/>
      <x:c r="E20" s="18"/>
      <x:c r="F20" s="18"/>
      <x:c r="G20" s="18"/>
      <x:c r="H20" s="18"/>
      <x:c r="I20" s="18"/>
      <x:c r="J20" s="19"/>
      <x:c r="K20" s="19"/>
      <x:c r="L20" s="20"/>
      <x:c r="M20" s="18"/>
      <x:c r="N20" s="18"/>
      <x:c r="O20" s="22"/>
      <x:c r="P20" s="18" t="str">
        <x:f>IF(A20="","",IF(AND(K20&lt;TODAY(),G20&lt;&gt;"Termine"),"Retard","OK"))</x:f>
      </x:c>
      <x:c r="Q20" s="18" t="str">
        <x:f>IF(A20="","",IF(AND(H20="0 - Idee",K20&lt;TODAY()+60),"Maturite critique","OK"))</x:f>
      </x:c>
      <x:c r="R20" s="18"/>
    </x:row>
    <x:row r="21">
      <x:c r="A21" s="18"/>
      <x:c r="B21" s="18"/>
      <x:c r="C21" s="18"/>
      <x:c r="D21" s="18"/>
      <x:c r="E21" s="18"/>
      <x:c r="F21" s="18"/>
      <x:c r="G21" s="18"/>
      <x:c r="H21" s="18"/>
      <x:c r="I21" s="18"/>
      <x:c r="J21" s="19"/>
      <x:c r="K21" s="19"/>
      <x:c r="L21" s="20"/>
      <x:c r="M21" s="18"/>
      <x:c r="N21" s="18"/>
      <x:c r="O21" s="22"/>
      <x:c r="P21" s="18" t="str">
        <x:f>IF(A21="","",IF(AND(K21&lt;TODAY(),G21&lt;&gt;"Termine"),"Retard","OK"))</x:f>
      </x:c>
      <x:c r="Q21" s="18" t="str">
        <x:f>IF(A21="","",IF(AND(H21="0 - Idee",K21&lt;TODAY()+60),"Maturite critique","OK"))</x:f>
      </x:c>
      <x:c r="R21" s="18"/>
    </x:row>
    <x:row r="22">
      <x:c r="A22" s="18"/>
      <x:c r="B22" s="18"/>
      <x:c r="C22" s="18"/>
      <x:c r="D22" s="18"/>
      <x:c r="E22" s="18"/>
      <x:c r="F22" s="18"/>
      <x:c r="G22" s="18"/>
      <x:c r="H22" s="18"/>
      <x:c r="I22" s="18"/>
      <x:c r="J22" s="19"/>
      <x:c r="K22" s="19"/>
      <x:c r="L22" s="20"/>
      <x:c r="M22" s="18"/>
      <x:c r="N22" s="18"/>
      <x:c r="O22" s="22"/>
      <x:c r="P22" s="18" t="str">
        <x:f>IF(A22="","",IF(AND(K22&lt;TODAY(),G22&lt;&gt;"Termine"),"Retard","OK"))</x:f>
      </x:c>
      <x:c r="Q22" s="18" t="str">
        <x:f>IF(A22="","",IF(AND(H22="0 - Idee",K22&lt;TODAY()+60),"Maturite critique","OK"))</x:f>
      </x:c>
      <x:c r="R22" s="18"/>
    </x:row>
    <x:row r="23">
      <x:c r="A23" s="18"/>
      <x:c r="B23" s="18"/>
      <x:c r="C23" s="18"/>
      <x:c r="D23" s="18"/>
      <x:c r="E23" s="18"/>
      <x:c r="F23" s="18"/>
      <x:c r="G23" s="18"/>
      <x:c r="H23" s="18"/>
      <x:c r="I23" s="18"/>
      <x:c r="J23" s="19"/>
      <x:c r="K23" s="19"/>
      <x:c r="L23" s="20"/>
      <x:c r="M23" s="18"/>
      <x:c r="N23" s="18"/>
      <x:c r="O23" s="22"/>
      <x:c r="P23" s="18" t="str">
        <x:f>IF(A23="","",IF(AND(K23&lt;TODAY(),G23&lt;&gt;"Termine"),"Retard","OK"))</x:f>
      </x:c>
      <x:c r="Q23" s="18" t="str">
        <x:f>IF(A23="","",IF(AND(H23="0 - Idee",K23&lt;TODAY()+60),"Maturite critique","OK"))</x:f>
      </x:c>
      <x:c r="R23" s="18"/>
    </x:row>
    <x:row r="24">
      <x:c r="A24" s="18"/>
      <x:c r="B24" s="18"/>
      <x:c r="C24" s="18"/>
      <x:c r="D24" s="18"/>
      <x:c r="E24" s="18"/>
      <x:c r="F24" s="18"/>
      <x:c r="G24" s="18"/>
      <x:c r="H24" s="18"/>
      <x:c r="I24" s="18"/>
      <x:c r="J24" s="19"/>
      <x:c r="K24" s="19"/>
      <x:c r="L24" s="20"/>
      <x:c r="M24" s="18"/>
      <x:c r="N24" s="18"/>
      <x:c r="O24" s="22"/>
      <x:c r="P24" s="18" t="str">
        <x:f>IF(A24="","",IF(AND(K24&lt;TODAY(),G24&lt;&gt;"Termine"),"Retard","OK"))</x:f>
      </x:c>
      <x:c r="Q24" s="18" t="str">
        <x:f>IF(A24="","",IF(AND(H24="0 - Idee",K24&lt;TODAY()+60),"Maturite critique","OK"))</x:f>
      </x:c>
      <x:c r="R24" s="18"/>
    </x:row>
    <x:row r="25">
      <x:c r="A25" s="18"/>
      <x:c r="B25" s="18"/>
      <x:c r="C25" s="18"/>
      <x:c r="D25" s="18"/>
      <x:c r="E25" s="18"/>
      <x:c r="F25" s="18"/>
      <x:c r="G25" s="18"/>
      <x:c r="H25" s="18"/>
      <x:c r="I25" s="18"/>
      <x:c r="J25" s="19"/>
      <x:c r="K25" s="19"/>
      <x:c r="L25" s="20"/>
      <x:c r="M25" s="18"/>
      <x:c r="N25" s="18"/>
      <x:c r="O25" s="22"/>
      <x:c r="P25" s="18" t="str">
        <x:f>IF(A25="","",IF(AND(K25&lt;TODAY(),G25&lt;&gt;"Termine"),"Retard","OK"))</x:f>
      </x:c>
      <x:c r="Q25" s="18" t="str">
        <x:f>IF(A25="","",IF(AND(H25="0 - Idee",K25&lt;TODAY()+60),"Maturite critique","OK"))</x:f>
      </x:c>
      <x:c r="R25" s="18"/>
    </x:row>
    <x:row r="26">
      <x:c r="A26" s="18"/>
      <x:c r="B26" s="18"/>
      <x:c r="C26" s="18"/>
      <x:c r="D26" s="18"/>
      <x:c r="E26" s="18"/>
      <x:c r="F26" s="18"/>
      <x:c r="G26" s="18"/>
      <x:c r="H26" s="18"/>
      <x:c r="I26" s="18"/>
      <x:c r="J26" s="19"/>
      <x:c r="K26" s="19"/>
      <x:c r="L26" s="20"/>
      <x:c r="M26" s="18"/>
      <x:c r="N26" s="18"/>
      <x:c r="O26" s="22"/>
      <x:c r="P26" s="18" t="str">
        <x:f>IF(A26="","",IF(AND(K26&lt;TODAY(),G26&lt;&gt;"Termine"),"Retard","OK"))</x:f>
      </x:c>
      <x:c r="Q26" s="18" t="str">
        <x:f>IF(A26="","",IF(AND(H26="0 - Idee",K26&lt;TODAY()+60),"Maturite critique","OK"))</x:f>
      </x:c>
      <x:c r="R26" s="18"/>
    </x:row>
    <x:row r="27">
      <x:c r="A27" s="18"/>
      <x:c r="B27" s="18"/>
      <x:c r="C27" s="18"/>
      <x:c r="D27" s="18"/>
      <x:c r="E27" s="18"/>
      <x:c r="F27" s="18"/>
      <x:c r="G27" s="18"/>
      <x:c r="H27" s="18"/>
      <x:c r="I27" s="18"/>
      <x:c r="J27" s="19"/>
      <x:c r="K27" s="19"/>
      <x:c r="L27" s="20"/>
      <x:c r="M27" s="18"/>
      <x:c r="N27" s="18"/>
      <x:c r="O27" s="22"/>
      <x:c r="P27" s="18" t="str">
        <x:f>IF(A27="","",IF(AND(K27&lt;TODAY(),G27&lt;&gt;"Termine"),"Retard","OK"))</x:f>
      </x:c>
      <x:c r="Q27" s="18" t="str">
        <x:f>IF(A27="","",IF(AND(H27="0 - Idee",K27&lt;TODAY()+60),"Maturite critique","OK"))</x:f>
      </x:c>
      <x:c r="R27" s="18"/>
    </x:row>
    <x:row r="28">
      <x:c r="A28" s="18"/>
      <x:c r="B28" s="18"/>
      <x:c r="C28" s="18"/>
      <x:c r="D28" s="18"/>
      <x:c r="E28" s="18"/>
      <x:c r="F28" s="18"/>
      <x:c r="G28" s="18"/>
      <x:c r="H28" s="18"/>
      <x:c r="I28" s="18"/>
      <x:c r="J28" s="19"/>
      <x:c r="K28" s="19"/>
      <x:c r="L28" s="20"/>
      <x:c r="M28" s="18"/>
      <x:c r="N28" s="18"/>
      <x:c r="O28" s="22"/>
      <x:c r="P28" s="18" t="str">
        <x:f>IF(A28="","",IF(AND(K28&lt;TODAY(),G28&lt;&gt;"Termine"),"Retard","OK"))</x:f>
      </x:c>
      <x:c r="Q28" s="18" t="str">
        <x:f>IF(A28="","",IF(AND(H28="0 - Idee",K28&lt;TODAY()+60),"Maturite critique","OK"))</x:f>
      </x:c>
      <x:c r="R28" s="18"/>
    </x:row>
    <x:row r="29">
      <x:c r="A29" s="18"/>
      <x:c r="B29" s="18"/>
      <x:c r="C29" s="18"/>
      <x:c r="D29" s="18"/>
      <x:c r="E29" s="18"/>
      <x:c r="F29" s="18"/>
      <x:c r="G29" s="18"/>
      <x:c r="H29" s="18"/>
      <x:c r="I29" s="18"/>
      <x:c r="J29" s="19"/>
      <x:c r="K29" s="19"/>
      <x:c r="L29" s="20"/>
      <x:c r="M29" s="18"/>
      <x:c r="N29" s="18"/>
      <x:c r="O29" s="22"/>
      <x:c r="P29" s="18" t="str">
        <x:f>IF(A29="","",IF(AND(K29&lt;TODAY(),G29&lt;&gt;"Termine"),"Retard","OK"))</x:f>
      </x:c>
      <x:c r="Q29" s="18" t="str">
        <x:f>IF(A29="","",IF(AND(H29="0 - Idee",K29&lt;TODAY()+60),"Maturite critique","OK"))</x:f>
      </x:c>
      <x:c r="R29" s="18"/>
    </x:row>
    <x:row r="30">
      <x:c r="A30" s="18"/>
      <x:c r="B30" s="18"/>
      <x:c r="C30" s="18"/>
      <x:c r="D30" s="18"/>
      <x:c r="E30" s="18"/>
      <x:c r="F30" s="18"/>
      <x:c r="G30" s="18"/>
      <x:c r="H30" s="18"/>
      <x:c r="I30" s="18"/>
      <x:c r="J30" s="19"/>
      <x:c r="K30" s="19"/>
      <x:c r="L30" s="20"/>
      <x:c r="M30" s="18"/>
      <x:c r="N30" s="18"/>
      <x:c r="O30" s="22"/>
      <x:c r="P30" s="18" t="str">
        <x:f>IF(A30="","",IF(AND(K30&lt;TODAY(),G30&lt;&gt;"Termine"),"Retard","OK"))</x:f>
      </x:c>
      <x:c r="Q30" s="18" t="str">
        <x:f>IF(A30="","",IF(AND(H30="0 - Idee",K30&lt;TODAY()+60),"Maturite critique","OK"))</x:f>
      </x:c>
      <x:c r="R30" s="18"/>
    </x:row>
    <x:row r="31">
      <x:c r="A31" s="18"/>
      <x:c r="B31" s="18"/>
      <x:c r="C31" s="18"/>
      <x:c r="D31" s="18"/>
      <x:c r="E31" s="18"/>
      <x:c r="F31" s="18"/>
      <x:c r="G31" s="18"/>
      <x:c r="H31" s="18"/>
      <x:c r="I31" s="18"/>
      <x:c r="J31" s="19"/>
      <x:c r="K31" s="19"/>
      <x:c r="L31" s="20"/>
      <x:c r="M31" s="18"/>
      <x:c r="N31" s="18"/>
      <x:c r="O31" s="22"/>
      <x:c r="P31" s="18" t="str">
        <x:f>IF(A31="","",IF(AND(K31&lt;TODAY(),G31&lt;&gt;"Termine"),"Retard","OK"))</x:f>
      </x:c>
      <x:c r="Q31" s="18" t="str">
        <x:f>IF(A31="","",IF(AND(H31="0 - Idee",K31&lt;TODAY()+60),"Maturite critique","OK"))</x:f>
      </x:c>
      <x:c r="R31" s="18"/>
    </x:row>
    <x:row r="32">
      <x:c r="A32" s="18"/>
      <x:c r="B32" s="18"/>
      <x:c r="C32" s="18"/>
      <x:c r="D32" s="18"/>
      <x:c r="E32" s="18"/>
      <x:c r="F32" s="18"/>
      <x:c r="G32" s="18"/>
      <x:c r="H32" s="18"/>
      <x:c r="I32" s="18"/>
      <x:c r="J32" s="19"/>
      <x:c r="K32" s="19"/>
      <x:c r="L32" s="20"/>
      <x:c r="M32" s="18"/>
      <x:c r="N32" s="18"/>
      <x:c r="O32" s="22"/>
      <x:c r="P32" s="18" t="str">
        <x:f>IF(A32="","",IF(AND(K32&lt;TODAY(),G32&lt;&gt;"Termine"),"Retard","OK"))</x:f>
      </x:c>
      <x:c r="Q32" s="18" t="str">
        <x:f>IF(A32="","",IF(AND(H32="0 - Idee",K32&lt;TODAY()+60),"Maturite critique","OK"))</x:f>
      </x:c>
      <x:c r="R32" s="18"/>
    </x:row>
    <x:row r="33">
      <x:c r="A33" s="18"/>
      <x:c r="B33" s="18"/>
      <x:c r="C33" s="18"/>
      <x:c r="D33" s="18"/>
      <x:c r="E33" s="18"/>
      <x:c r="F33" s="18"/>
      <x:c r="G33" s="18"/>
      <x:c r="H33" s="18"/>
      <x:c r="I33" s="18"/>
      <x:c r="J33" s="19"/>
      <x:c r="K33" s="19"/>
      <x:c r="L33" s="20"/>
      <x:c r="M33" s="18"/>
      <x:c r="N33" s="18"/>
      <x:c r="O33" s="22"/>
      <x:c r="P33" s="18" t="str">
        <x:f>IF(A33="","",IF(AND(K33&lt;TODAY(),G33&lt;&gt;"Termine"),"Retard","OK"))</x:f>
      </x:c>
      <x:c r="Q33" s="18" t="str">
        <x:f>IF(A33="","",IF(AND(H33="0 - Idee",K33&lt;TODAY()+60),"Maturite critique","OK"))</x:f>
      </x:c>
      <x:c r="R33" s="18"/>
    </x:row>
    <x:row r="34">
      <x:c r="A34" s="18"/>
      <x:c r="B34" s="18"/>
      <x:c r="C34" s="18"/>
      <x:c r="D34" s="18"/>
      <x:c r="E34" s="18"/>
      <x:c r="F34" s="18"/>
      <x:c r="G34" s="18"/>
      <x:c r="H34" s="18"/>
      <x:c r="I34" s="18"/>
      <x:c r="J34" s="19"/>
      <x:c r="K34" s="19"/>
      <x:c r="L34" s="20"/>
      <x:c r="M34" s="18"/>
      <x:c r="N34" s="18"/>
      <x:c r="O34" s="22"/>
      <x:c r="P34" s="18" t="str">
        <x:f>IF(A34="","",IF(AND(K34&lt;TODAY(),G34&lt;&gt;"Termine"),"Retard","OK"))</x:f>
      </x:c>
      <x:c r="Q34" s="18" t="str">
        <x:f>IF(A34="","",IF(AND(H34="0 - Idee",K34&lt;TODAY()+60),"Maturite critique","OK"))</x:f>
      </x:c>
      <x:c r="R34" s="18"/>
    </x:row>
    <x:row r="35">
      <x:c r="A35" s="18"/>
      <x:c r="B35" s="18"/>
      <x:c r="C35" s="18"/>
      <x:c r="D35" s="18"/>
      <x:c r="E35" s="18"/>
      <x:c r="F35" s="18"/>
      <x:c r="G35" s="18"/>
      <x:c r="H35" s="18"/>
      <x:c r="I35" s="18"/>
      <x:c r="J35" s="19"/>
      <x:c r="K35" s="19"/>
      <x:c r="L35" s="20"/>
      <x:c r="M35" s="18"/>
      <x:c r="N35" s="18"/>
      <x:c r="O35" s="22"/>
      <x:c r="P35" s="18" t="str">
        <x:f>IF(A35="","",IF(AND(K35&lt;TODAY(),G35&lt;&gt;"Termine"),"Retard","OK"))</x:f>
      </x:c>
      <x:c r="Q35" s="18" t="str">
        <x:f>IF(A35="","",IF(AND(H35="0 - Idee",K35&lt;TODAY()+60),"Maturite critique","OK"))</x:f>
      </x:c>
      <x:c r="R35" s="18"/>
    </x:row>
    <x:row r="36">
      <x:c r="A36" s="18"/>
      <x:c r="B36" s="18"/>
      <x:c r="C36" s="18"/>
      <x:c r="D36" s="18"/>
      <x:c r="E36" s="18"/>
      <x:c r="F36" s="18"/>
      <x:c r="G36" s="18"/>
      <x:c r="H36" s="18"/>
      <x:c r="I36" s="18"/>
      <x:c r="J36" s="19"/>
      <x:c r="K36" s="19"/>
      <x:c r="L36" s="20"/>
      <x:c r="M36" s="18"/>
      <x:c r="N36" s="18"/>
      <x:c r="O36" s="22"/>
      <x:c r="P36" s="18" t="str">
        <x:f>IF(A36="","",IF(AND(K36&lt;TODAY(),G36&lt;&gt;"Termine"),"Retard","OK"))</x:f>
      </x:c>
      <x:c r="Q36" s="18" t="str">
        <x:f>IF(A36="","",IF(AND(H36="0 - Idee",K36&lt;TODAY()+60),"Maturite critique","OK"))</x:f>
      </x:c>
      <x:c r="R36" s="18"/>
    </x:row>
    <x:row r="37">
      <x:c r="A37" s="18"/>
      <x:c r="B37" s="18"/>
      <x:c r="C37" s="18"/>
      <x:c r="D37" s="18"/>
      <x:c r="E37" s="18"/>
      <x:c r="F37" s="18"/>
      <x:c r="G37" s="18"/>
      <x:c r="H37" s="18"/>
      <x:c r="I37" s="18"/>
      <x:c r="J37" s="19"/>
      <x:c r="K37" s="19"/>
      <x:c r="L37" s="20"/>
      <x:c r="M37" s="18"/>
      <x:c r="N37" s="18"/>
      <x:c r="O37" s="22"/>
      <x:c r="P37" s="18" t="str">
        <x:f>IF(A37="","",IF(AND(K37&lt;TODAY(),G37&lt;&gt;"Termine"),"Retard","OK"))</x:f>
      </x:c>
      <x:c r="Q37" s="18" t="str">
        <x:f>IF(A37="","",IF(AND(H37="0 - Idee",K37&lt;TODAY()+60),"Maturite critique","OK"))</x:f>
      </x:c>
      <x:c r="R37" s="18"/>
    </x:row>
    <x:row r="38">
      <x:c r="A38" s="18"/>
      <x:c r="B38" s="18"/>
      <x:c r="C38" s="18"/>
      <x:c r="D38" s="18"/>
      <x:c r="E38" s="18"/>
      <x:c r="F38" s="18"/>
      <x:c r="G38" s="18"/>
      <x:c r="H38" s="18"/>
      <x:c r="I38" s="18"/>
      <x:c r="J38" s="19"/>
      <x:c r="K38" s="19"/>
      <x:c r="L38" s="20"/>
      <x:c r="M38" s="18"/>
      <x:c r="N38" s="18"/>
      <x:c r="O38" s="22"/>
      <x:c r="P38" s="18" t="str">
        <x:f>IF(A38="","",IF(AND(K38&lt;TODAY(),G38&lt;&gt;"Termine"),"Retard","OK"))</x:f>
      </x:c>
      <x:c r="Q38" s="18" t="str">
        <x:f>IF(A38="","",IF(AND(H38="0 - Idee",K38&lt;TODAY()+60),"Maturite critique","OK"))</x:f>
      </x:c>
      <x:c r="R38" s="18"/>
    </x:row>
    <x:row r="39">
      <x:c r="A39" s="18"/>
      <x:c r="B39" s="18"/>
      <x:c r="C39" s="18"/>
      <x:c r="D39" s="18"/>
      <x:c r="E39" s="18"/>
      <x:c r="F39" s="18"/>
      <x:c r="G39" s="18"/>
      <x:c r="H39" s="18"/>
      <x:c r="I39" s="18"/>
      <x:c r="J39" s="19"/>
      <x:c r="K39" s="19"/>
      <x:c r="L39" s="20"/>
      <x:c r="M39" s="18"/>
      <x:c r="N39" s="18"/>
      <x:c r="O39" s="22"/>
      <x:c r="P39" s="18" t="str">
        <x:f>IF(A39="","",IF(AND(K39&lt;TODAY(),G39&lt;&gt;"Termine"),"Retard","OK"))</x:f>
      </x:c>
      <x:c r="Q39" s="18" t="str">
        <x:f>IF(A39="","",IF(AND(H39="0 - Idee",K39&lt;TODAY()+60),"Maturite critique","OK"))</x:f>
      </x:c>
      <x:c r="R39" s="18"/>
    </x:row>
    <x:row r="40">
      <x:c r="A40" s="18"/>
      <x:c r="B40" s="18"/>
      <x:c r="C40" s="18"/>
      <x:c r="D40" s="18"/>
      <x:c r="E40" s="18"/>
      <x:c r="F40" s="18"/>
      <x:c r="G40" s="18"/>
      <x:c r="H40" s="18"/>
      <x:c r="I40" s="18"/>
      <x:c r="J40" s="19"/>
      <x:c r="K40" s="19"/>
      <x:c r="L40" s="20"/>
      <x:c r="M40" s="18"/>
      <x:c r="N40" s="18"/>
      <x:c r="O40" s="22"/>
      <x:c r="P40" s="18" t="str">
        <x:f>IF(A40="","",IF(AND(K40&lt;TODAY(),G40&lt;&gt;"Termine"),"Retard","OK"))</x:f>
      </x:c>
      <x:c r="Q40" s="18" t="str">
        <x:f>IF(A40="","",IF(AND(H40="0 - Idee",K40&lt;TODAY()+60),"Maturite critique","OK"))</x:f>
      </x:c>
      <x:c r="R40" s="18"/>
    </x:row>
    <x:row r="41">
      <x:c r="A41" s="18"/>
      <x:c r="B41" s="18"/>
      <x:c r="C41" s="18"/>
      <x:c r="D41" s="18"/>
      <x:c r="E41" s="18"/>
      <x:c r="F41" s="18"/>
      <x:c r="G41" s="18"/>
      <x:c r="H41" s="18"/>
      <x:c r="I41" s="18"/>
      <x:c r="J41" s="19"/>
      <x:c r="K41" s="19"/>
      <x:c r="L41" s="20"/>
      <x:c r="M41" s="18"/>
      <x:c r="N41" s="18"/>
      <x:c r="O41" s="22"/>
      <x:c r="P41" s="18" t="str">
        <x:f>IF(A41="","",IF(AND(K41&lt;TODAY(),G41&lt;&gt;"Termine"),"Retard","OK"))</x:f>
      </x:c>
      <x:c r="Q41" s="18" t="str">
        <x:f>IF(A41="","",IF(AND(H41="0 - Idee",K41&lt;TODAY()+60),"Maturite critique","OK"))</x:f>
      </x:c>
      <x:c r="R41" s="18"/>
    </x:row>
    <x:row r="42">
      <x:c r="A42" s="18"/>
      <x:c r="B42" s="18"/>
      <x:c r="C42" s="18"/>
      <x:c r="D42" s="18"/>
      <x:c r="E42" s="18"/>
      <x:c r="F42" s="18"/>
      <x:c r="G42" s="18"/>
      <x:c r="H42" s="18"/>
      <x:c r="I42" s="18"/>
      <x:c r="J42" s="19"/>
      <x:c r="K42" s="19"/>
      <x:c r="L42" s="20"/>
      <x:c r="M42" s="18"/>
      <x:c r="N42" s="18"/>
      <x:c r="O42" s="22"/>
      <x:c r="P42" s="18" t="str">
        <x:f>IF(A42="","",IF(AND(K42&lt;TODAY(),G42&lt;&gt;"Termine"),"Retard","OK"))</x:f>
      </x:c>
      <x:c r="Q42" s="18" t="str">
        <x:f>IF(A42="","",IF(AND(H42="0 - Idee",K42&lt;TODAY()+60),"Maturite critique","OK"))</x:f>
      </x:c>
      <x:c r="R42" s="18"/>
    </x:row>
    <x:row r="43">
      <x:c r="A43" s="18"/>
      <x:c r="B43" s="18"/>
      <x:c r="C43" s="18"/>
      <x:c r="D43" s="18"/>
      <x:c r="E43" s="18"/>
      <x:c r="F43" s="18"/>
      <x:c r="G43" s="18"/>
      <x:c r="H43" s="18"/>
      <x:c r="I43" s="18"/>
      <x:c r="J43" s="19"/>
      <x:c r="K43" s="19"/>
      <x:c r="L43" s="20"/>
      <x:c r="M43" s="18"/>
      <x:c r="N43" s="18"/>
      <x:c r="O43" s="22"/>
      <x:c r="P43" s="18" t="str">
        <x:f>IF(A43="","",IF(AND(K43&lt;TODAY(),G43&lt;&gt;"Termine"),"Retard","OK"))</x:f>
      </x:c>
      <x:c r="Q43" s="18" t="str">
        <x:f>IF(A43="","",IF(AND(H43="0 - Idee",K43&lt;TODAY()+60),"Maturite critique","OK"))</x:f>
      </x:c>
      <x:c r="R43" s="18"/>
    </x:row>
    <x:row r="44">
      <x:c r="A44" s="18"/>
      <x:c r="B44" s="18"/>
      <x:c r="C44" s="18"/>
      <x:c r="D44" s="18"/>
      <x:c r="E44" s="18"/>
      <x:c r="F44" s="18"/>
      <x:c r="G44" s="18"/>
      <x:c r="H44" s="18"/>
      <x:c r="I44" s="18"/>
      <x:c r="J44" s="19"/>
      <x:c r="K44" s="19"/>
      <x:c r="L44" s="20"/>
      <x:c r="M44" s="18"/>
      <x:c r="N44" s="18"/>
      <x:c r="O44" s="22"/>
      <x:c r="P44" s="18" t="str">
        <x:f>IF(A44="","",IF(AND(K44&lt;TODAY(),G44&lt;&gt;"Termine"),"Retard","OK"))</x:f>
      </x:c>
      <x:c r="Q44" s="18" t="str">
        <x:f>IF(A44="","",IF(AND(H44="0 - Idee",K44&lt;TODAY()+60),"Maturite critique","OK"))</x:f>
      </x:c>
      <x:c r="R44" s="18"/>
    </x:row>
  </x:sheetData>
  <x:mergeCells>
    <x:mergeCell ref="A1:J1"/>
    <x:mergeCell ref="A2:J2"/>
  </x:mergeCells>
  <x:conditionalFormatting sqref="P5:P44">
    <x:cfRule type="containsText" dxfId="20" priority="1" operator="containsText" text="Retard"/>
    <x:cfRule type="containsText" dxfId="21" priority="2" operator="containsText" text="critique"/>
    <x:cfRule type="containsText" dxfId="22" priority="3" operator="containsText" text="manquant"/>
    <x:cfRule type="containsText" dxfId="23" priority="4" operator="containsText" text="OK"/>
  </x:conditionalFormatting>
  <x:conditionalFormatting sqref="Q5:Q44">
    <x:cfRule type="containsText" dxfId="24" priority="5" operator="containsText" text="Retard"/>
    <x:cfRule type="containsText" dxfId="25" priority="6" operator="containsText" text="critique"/>
    <x:cfRule type="containsText" dxfId="26" priority="7" operator="containsText" text="manquant"/>
    <x:cfRule type="containsText" dxfId="27" priority="8"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E5:E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G5:G44">
      <x:formula1>"Idee,En preparation,En validation,Finance,En cours,Suspendu,Termine,Annule"</x:formula1>
    </x:dataValidation>
    <x:dataValidation type="list" errorStyle="warning" showInputMessage="1" showErrorMessage="1" errorTitle="Valeur inattendue" error="Cette colonne utilise une liste controlee." promptTitle="Liste controlee" prompt="Choisir une valeur dans la liste." sqref="H5:H44">
      <x:formula1>"0 - Idee,1 - Cadrage,2 - Etude faisabilite,3 - Montage financier,4 - Pret a demarrer,5 - En mise en oeuvre,6 - Operationnel"</x:formula1>
    </x:dataValidation>
    <x:dataValidation type="list" errorStyle="warning" showInputMessage="1" showErrorMessage="1" errorTitle="Valeur inattendue" error="Cette colonne utilise une liste controlee." promptTitle="Liste controlee" prompt="Choisir une valeur dans la liste." sqref="I5:I44">
      <x:formula1>"Critique,Haute,Moyenne,Basse"</x:formula1>
    </x:dataValidation>
  </x:dataValidations>
  <x:pageMargins left="0.7" right="0.7" top="0.75" bottom="0.75" header="0.3" footer="0.3"/>
  <x:tableParts count="1">
    <x:tablePart xmlns:r="http://schemas.openxmlformats.org/officeDocument/2006/relationships" r:id="R43702c45c1434af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8.75" hidden="0" customWidth="1"/>
    <x:col min="4" max="4" width="22.5" hidden="0" customWidth="1"/>
    <x:col min="5" max="5" width="26.25" hidden="0" customWidth="1"/>
    <x:col min="6" max="6" width="12.5" hidden="0" customWidth="1"/>
    <x:col min="7" max="7" width="10" hidden="0" customWidth="1"/>
    <x:col min="8" max="8" width="16.25" hidden="0" customWidth="1"/>
    <x:col min="9" max="9" width="26.25" hidden="0" customWidth="1"/>
    <x:col min="10" max="10" width="16.8799991607666" hidden="0" customWidth="1"/>
    <x:col min="11" max="11" width="13.130000114440918" hidden="0" customWidth="1"/>
    <x:col min="12" max="12" width="18.75" hidden="0" customWidth="1"/>
    <x:col min="13" max="13" width="14.380000114440918" hidden="0" customWidth="1"/>
    <x:col min="14" max="14" width="16.8799991607666" hidden="0" customWidth="1"/>
    <x:col min="15" max="15" width="27.5" hidden="0" customWidth="1"/>
    <x:col min="16" max="16" width="18.1299991607666" hidden="0" customWidth="1"/>
  </x:cols>
  <x:sheetData>
    <x:row r="1" ht="25.5" customHeight="1">
      <x:c r="A1" s="2" t="str">
        <x:v>Inventaire GES consolide</x:v>
      </x:c>
      <x:c r="B1" s="2"/>
      <x:c r="C1" s="2"/>
      <x:c r="D1" s="2"/>
      <x:c r="E1" s="2"/>
      <x:c r="F1" s="2"/>
      <x:c r="G1" s="2"/>
      <x:c r="H1" s="2"/>
      <x:c r="I1" s="2"/>
      <x:c r="J1" s="2"/>
    </x:row>
    <x:row r="2" ht="31.5" customHeight="1">
      <x:c r="A2" s="5" t="str">
        <x:v>Emissions par annee, secteur GPC, scope et gaz. Cette table sert de base aux rapports CDP-ICLEI, C40, ICLEI/GPC, CoM SSA et CDN.</x:v>
      </x:c>
      <x:c r="B2" s="5"/>
      <x:c r="C2" s="5"/>
      <x:c r="D2" s="5"/>
      <x:c r="E2" s="5"/>
      <x:c r="F2" s="5"/>
      <x:c r="G2" s="5"/>
      <x:c r="H2" s="5"/>
      <x:c r="I2" s="5"/>
      <x:c r="J2" s="5"/>
    </x:row>
    <x:row r="4" ht="28.5" customHeight="1">
      <x:c r="A4" s="16" t="str">
        <x:v>Inventory_ID</x:v>
      </x:c>
      <x:c r="B4" s="16" t="str">
        <x:v>Annee</x:v>
      </x:c>
      <x:c r="C4" s="16" t="str">
        <x:v>Perimetre</x:v>
      </x:c>
      <x:c r="D4" s="16" t="str">
        <x:v>Secteur_GPC</x:v>
      </x:c>
      <x:c r="E4" s="16" t="str">
        <x:v>Sous_secteur_GPC</x:v>
      </x:c>
      <x:c r="F4" s="16" t="str">
        <x:v>Scope</x:v>
      </x:c>
      <x:c r="G4" s="16" t="str">
        <x:v>Gaz</x:v>
      </x:c>
      <x:c r="H4" s="16" t="str">
        <x:v>Emissions_tCO2e</x:v>
      </x:c>
      <x:c r="I4" s="16" t="str">
        <x:v>Methode</x:v>
      </x:c>
      <x:c r="J4" s="16" t="str">
        <x:v>Niveau_qualite</x:v>
      </x:c>
      <x:c r="K4" s="16" t="str">
        <x:v>Source_ID</x:v>
      </x:c>
      <x:c r="L4" s="16" t="str">
        <x:v>Responsable</x:v>
      </x:c>
      <x:c r="M4" s="16" t="str">
        <x:v>Date_validation</x:v>
      </x:c>
      <x:c r="N4" s="16" t="str">
        <x:v>Cadre_inventaire</x:v>
      </x:c>
      <x:c r="O4" s="16" t="str">
        <x:v>Commentaires</x:v>
      </x:c>
      <x:c r="P4" s="16" t="str">
        <x:v>Alerte_donnees</x:v>
      </x:c>
    </x:row>
    <x:row r="5">
      <x:c r="A5" s="18" t="str">
        <x:v>GES-2024-001</x:v>
      </x:c>
      <x:c r="B5" s="18" t="n">
        <x:v>2024</x:v>
      </x:c>
      <x:c r="C5" s="18" t="str">
        <x:v>Ville de Dakar</x:v>
      </x:c>
      <x:c r="D5" s="18" t="str">
        <x:v>Stationary energy</x:v>
      </x:c>
      <x:c r="E5" s="18" t="str">
        <x:v>Residential buildings</x:v>
      </x:c>
      <x:c r="F5" s="18" t="str">
        <x:v>Scope 2</x:v>
      </x:c>
      <x:c r="G5" s="18" t="str">
        <x:v>CO2e</x:v>
      </x:c>
      <x:c r="H5" s="22" t="n">
        <x:v>420000</x:v>
      </x:c>
      <x:c r="I5" s="18" t="str">
        <x:v>Facteurs emission electricite</x:v>
      </x:c>
      <x:c r="J5" s="18" t="str">
        <x:v>C - Estimee</x:v>
      </x:c>
      <x:c r="K5" s="18" t="str">
        <x:v>SRC-002</x:v>
      </x:c>
      <x:c r="L5" s="18" t="str">
        <x:v>Referent GES</x:v>
      </x:c>
      <x:c r="M5" s="19" t="n">
        <x:v>46142</x:v>
      </x:c>
      <x:c r="N5" s="18" t="str">
        <x:v>GPC BASIC</x:v>
      </x:c>
      <x:c r="O5" s="18" t="str"/>
      <x:c r="P5" s="18" t="str">
        <x:f>IF(A5="","",IF(OR(B5="",D5="",F5="",H5="",J5="D - Faible"),"Donnees a verifier","OK"))</x:f>
        <x:v>OK</x:v>
      </x:c>
    </x:row>
    <x:row r="6">
      <x:c r="A6" s="18" t="str">
        <x:v>GES-2024-002</x:v>
      </x:c>
      <x:c r="B6" s="18" t="n">
        <x:v>2024</x:v>
      </x:c>
      <x:c r="C6" s="18" t="str">
        <x:v>Ville de Dakar</x:v>
      </x:c>
      <x:c r="D6" s="18" t="str">
        <x:v>Transportation</x:v>
      </x:c>
      <x:c r="E6" s="18" t="str">
        <x:v>On-road</x:v>
      </x:c>
      <x:c r="F6" s="18" t="str">
        <x:v>Scope 1</x:v>
      </x:c>
      <x:c r="G6" s="18" t="str">
        <x:v>CO2e</x:v>
      </x:c>
      <x:c r="H6" s="22" t="n">
        <x:v>780000</x:v>
      </x:c>
      <x:c r="I6" s="18" t="str">
        <x:v>Consommation carburant estimee</x:v>
      </x:c>
      <x:c r="J6" s="18" t="str">
        <x:v>D - Faible</x:v>
      </x:c>
      <x:c r="K6" s="18" t="str">
        <x:v>SRC-004</x:v>
      </x:c>
      <x:c r="L6" s="18" t="str">
        <x:v>Referent GES</x:v>
      </x:c>
      <x:c r="M6" s="19" t="n">
        <x:v>46142</x:v>
      </x:c>
      <x:c r="N6" s="18" t="str">
        <x:v>GPC BASIC</x:v>
      </x:c>
      <x:c r="O6" s="18" t="str"/>
      <x:c r="P6" s="18" t="str">
        <x:f>IF(A6="","",IF(OR(B6="",D6="",F6="",H6="",J6="D - Faible"),"Donnees a verifier","OK"))</x:f>
        <x:v>Donnees a verifier</x:v>
      </x:c>
    </x:row>
    <x:row r="7">
      <x:c r="A7" s="18" t="str">
        <x:v>GES-2024-003</x:v>
      </x:c>
      <x:c r="B7" s="18" t="n">
        <x:v>2024</x:v>
      </x:c>
      <x:c r="C7" s="18" t="str">
        <x:v>Ville de Dakar</x:v>
      </x:c>
      <x:c r="D7" s="18" t="str">
        <x:v>Waste</x:v>
      </x:c>
      <x:c r="E7" s="18" t="str">
        <x:v>Solid waste disposal</x:v>
      </x:c>
      <x:c r="F7" s="18" t="str">
        <x:v>Scope 1</x:v>
      </x:c>
      <x:c r="G7" s="18" t="str">
        <x:v>CH4</x:v>
      </x:c>
      <x:c r="H7" s="22" t="n">
        <x:v>265000</x:v>
      </x:c>
      <x:c r="I7" s="18" t="str">
        <x:v>IPCC dechets</x:v>
      </x:c>
      <x:c r="J7" s="18" t="str">
        <x:v>C - Estimee</x:v>
      </x:c>
      <x:c r="K7" s="18" t="str">
        <x:v>SRC-002</x:v>
      </x:c>
      <x:c r="L7" s="18" t="str">
        <x:v>Referent GES</x:v>
      </x:c>
      <x:c r="M7" s="19" t="n">
        <x:v>46142</x:v>
      </x:c>
      <x:c r="N7" s="18" t="str">
        <x:v>GPC BASIC</x:v>
      </x:c>
      <x:c r="O7" s="18" t="str"/>
      <x:c r="P7" s="18" t="str">
        <x:f>IF(A7="","",IF(OR(B7="",D7="",F7="",H7="",J7="D - Faible"),"Donnees a verifier","OK"))</x:f>
        <x:v>OK</x:v>
      </x:c>
    </x:row>
    <x:row r="8">
      <x:c r="A8" s="18" t="str">
        <x:v>GES-2025-001</x:v>
      </x:c>
      <x:c r="B8" s="18" t="n">
        <x:v>2025</x:v>
      </x:c>
      <x:c r="C8" s="18" t="str">
        <x:v>Ville de Dakar</x:v>
      </x:c>
      <x:c r="D8" s="18" t="str">
        <x:v>Stationary energy</x:v>
      </x:c>
      <x:c r="E8" s="18" t="str">
        <x:v>Municipal buildings</x:v>
      </x:c>
      <x:c r="F8" s="18" t="str">
        <x:v>Scope 2</x:v>
      </x:c>
      <x:c r="G8" s="18" t="str">
        <x:v>CO2e</x:v>
      </x:c>
      <x:c r="H8" s="22" t="n">
        <x:v>38000</x:v>
      </x:c>
      <x:c r="I8" s="18" t="str">
        <x:v>Factures electricite</x:v>
      </x:c>
      <x:c r="J8" s="18" t="str">
        <x:v>B - Bonne</x:v>
      </x:c>
      <x:c r="K8" s="18" t="str">
        <x:v>SRC-001</x:v>
      </x:c>
      <x:c r="L8" s="18" t="str">
        <x:v>Referent GES</x:v>
      </x:c>
      <x:c r="M8" s="19" t="n">
        <x:v>46142</x:v>
      </x:c>
      <x:c r="N8" s="18" t="str">
        <x:v>Interne Dakar</x:v>
      </x:c>
      <x:c r="O8" s="18" t="str"/>
      <x:c r="P8" s="18" t="str">
        <x:f>IF(A8="","",IF(OR(B8="",D8="",F8="",H8="",J8="D - Faible"),"Donnees a verifier","OK"))</x:f>
        <x:v>OK</x:v>
      </x:c>
    </x:row>
    <x:row r="9">
      <x:c r="A9" s="18" t="str">
        <x:v>GES-2025-002</x:v>
      </x:c>
      <x:c r="B9" s="18" t="n">
        <x:v>2025</x:v>
      </x:c>
      <x:c r="C9" s="18" t="str">
        <x:v>Ville de Dakar</x:v>
      </x:c>
      <x:c r="D9" s="18" t="str">
        <x:v>Transportation</x:v>
      </x:c>
      <x:c r="E9" s="18" t="str">
        <x:v>Municipal fleet</x:v>
      </x:c>
      <x:c r="F9" s="18" t="str">
        <x:v>Scope 1</x:v>
      </x:c>
      <x:c r="G9" s="18" t="str">
        <x:v>CO2e</x:v>
      </x:c>
      <x:c r="H9" s="22" t="n">
        <x:v>12200</x:v>
      </x:c>
      <x:c r="I9" s="18" t="str">
        <x:v>Litres carburant</x:v>
      </x:c>
      <x:c r="J9" s="18" t="str">
        <x:v>B - Bonne</x:v>
      </x:c>
      <x:c r="K9" s="18" t="str">
        <x:v>SRC-004</x:v>
      </x:c>
      <x:c r="L9" s="18" t="str">
        <x:v>Referent GES</x:v>
      </x:c>
      <x:c r="M9" s="19" t="n">
        <x:v>46142</x:v>
      </x:c>
      <x:c r="N9" s="18" t="str">
        <x:v>Interne Dakar</x:v>
      </x:c>
      <x:c r="O9" s="18" t="str"/>
      <x:c r="P9" s="18" t="str">
        <x:f>IF(A9="","",IF(OR(B9="",D9="",F9="",H9="",J9="D - Faible"),"Donnees a verifier","OK"))</x:f>
        <x:v>OK</x:v>
      </x:c>
    </x:row>
    <x:row r="10">
      <x:c r="A10" s="18"/>
      <x:c r="B10" s="18"/>
      <x:c r="C10" s="18"/>
      <x:c r="D10" s="18"/>
      <x:c r="E10" s="18"/>
      <x:c r="F10" s="18"/>
      <x:c r="G10" s="18"/>
      <x:c r="H10" s="22"/>
      <x:c r="I10" s="18"/>
      <x:c r="J10" s="18"/>
      <x:c r="K10" s="18"/>
      <x:c r="L10" s="18"/>
      <x:c r="M10" s="19"/>
      <x:c r="N10" s="18"/>
      <x:c r="O10" s="18"/>
      <x:c r="P10" s="18" t="str">
        <x:f>IF(A10="","",IF(OR(B10="",D10="",F10="",H10="",J10="D - Faible"),"Donnees a verifier","OK"))</x:f>
      </x:c>
    </x:row>
    <x:row r="11">
      <x:c r="A11" s="18"/>
      <x:c r="B11" s="18"/>
      <x:c r="C11" s="18"/>
      <x:c r="D11" s="18"/>
      <x:c r="E11" s="18"/>
      <x:c r="F11" s="18"/>
      <x:c r="G11" s="18"/>
      <x:c r="H11" s="22"/>
      <x:c r="I11" s="18"/>
      <x:c r="J11" s="18"/>
      <x:c r="K11" s="18"/>
      <x:c r="L11" s="18"/>
      <x:c r="M11" s="19"/>
      <x:c r="N11" s="18"/>
      <x:c r="O11" s="18"/>
      <x:c r="P11" s="18" t="str">
        <x:f>IF(A11="","",IF(OR(B11="",D11="",F11="",H11="",J11="D - Faible"),"Donnees a verifier","OK"))</x:f>
      </x:c>
    </x:row>
    <x:row r="12">
      <x:c r="A12" s="18"/>
      <x:c r="B12" s="18"/>
      <x:c r="C12" s="18"/>
      <x:c r="D12" s="18"/>
      <x:c r="E12" s="18"/>
      <x:c r="F12" s="18"/>
      <x:c r="G12" s="18"/>
      <x:c r="H12" s="22"/>
      <x:c r="I12" s="18"/>
      <x:c r="J12" s="18"/>
      <x:c r="K12" s="18"/>
      <x:c r="L12" s="18"/>
      <x:c r="M12" s="19"/>
      <x:c r="N12" s="18"/>
      <x:c r="O12" s="18"/>
      <x:c r="P12" s="18" t="str">
        <x:f>IF(A12="","",IF(OR(B12="",D12="",F12="",H12="",J12="D - Faible"),"Donnees a verifier","OK"))</x:f>
      </x:c>
    </x:row>
    <x:row r="13">
      <x:c r="A13" s="18"/>
      <x:c r="B13" s="18"/>
      <x:c r="C13" s="18"/>
      <x:c r="D13" s="18"/>
      <x:c r="E13" s="18"/>
      <x:c r="F13" s="18"/>
      <x:c r="G13" s="18"/>
      <x:c r="H13" s="22"/>
      <x:c r="I13" s="18"/>
      <x:c r="J13" s="18"/>
      <x:c r="K13" s="18"/>
      <x:c r="L13" s="18"/>
      <x:c r="M13" s="19"/>
      <x:c r="N13" s="18"/>
      <x:c r="O13" s="18"/>
      <x:c r="P13" s="18" t="str">
        <x:f>IF(A13="","",IF(OR(B13="",D13="",F13="",H13="",J13="D - Faible"),"Donnees a verifier","OK"))</x:f>
      </x:c>
    </x:row>
    <x:row r="14">
      <x:c r="A14" s="18"/>
      <x:c r="B14" s="18"/>
      <x:c r="C14" s="18"/>
      <x:c r="D14" s="18"/>
      <x:c r="E14" s="18"/>
      <x:c r="F14" s="18"/>
      <x:c r="G14" s="18"/>
      <x:c r="H14" s="22"/>
      <x:c r="I14" s="18"/>
      <x:c r="J14" s="18"/>
      <x:c r="K14" s="18"/>
      <x:c r="L14" s="18"/>
      <x:c r="M14" s="19"/>
      <x:c r="N14" s="18"/>
      <x:c r="O14" s="18"/>
      <x:c r="P14" s="18" t="str">
        <x:f>IF(A14="","",IF(OR(B14="",D14="",F14="",H14="",J14="D - Faible"),"Donnees a verifier","OK"))</x:f>
      </x:c>
    </x:row>
    <x:row r="15">
      <x:c r="A15" s="18"/>
      <x:c r="B15" s="18"/>
      <x:c r="C15" s="18"/>
      <x:c r="D15" s="18"/>
      <x:c r="E15" s="18"/>
      <x:c r="F15" s="18"/>
      <x:c r="G15" s="18"/>
      <x:c r="H15" s="22"/>
      <x:c r="I15" s="18"/>
      <x:c r="J15" s="18"/>
      <x:c r="K15" s="18"/>
      <x:c r="L15" s="18"/>
      <x:c r="M15" s="19"/>
      <x:c r="N15" s="18"/>
      <x:c r="O15" s="18"/>
      <x:c r="P15" s="18" t="str">
        <x:f>IF(A15="","",IF(OR(B15="",D15="",F15="",H15="",J15="D - Faible"),"Donnees a verifier","OK"))</x:f>
      </x:c>
    </x:row>
    <x:row r="16">
      <x:c r="A16" s="18"/>
      <x:c r="B16" s="18"/>
      <x:c r="C16" s="18"/>
      <x:c r="D16" s="18"/>
      <x:c r="E16" s="18"/>
      <x:c r="F16" s="18"/>
      <x:c r="G16" s="18"/>
      <x:c r="H16" s="22"/>
      <x:c r="I16" s="18"/>
      <x:c r="J16" s="18"/>
      <x:c r="K16" s="18"/>
      <x:c r="L16" s="18"/>
      <x:c r="M16" s="19"/>
      <x:c r="N16" s="18"/>
      <x:c r="O16" s="18"/>
      <x:c r="P16" s="18" t="str">
        <x:f>IF(A16="","",IF(OR(B16="",D16="",F16="",H16="",J16="D - Faible"),"Donnees a verifier","OK"))</x:f>
      </x:c>
    </x:row>
    <x:row r="17">
      <x:c r="A17" s="18"/>
      <x:c r="B17" s="18"/>
      <x:c r="C17" s="18"/>
      <x:c r="D17" s="18"/>
      <x:c r="E17" s="18"/>
      <x:c r="F17" s="18"/>
      <x:c r="G17" s="18"/>
      <x:c r="H17" s="22"/>
      <x:c r="I17" s="18"/>
      <x:c r="J17" s="18"/>
      <x:c r="K17" s="18"/>
      <x:c r="L17" s="18"/>
      <x:c r="M17" s="19"/>
      <x:c r="N17" s="18"/>
      <x:c r="O17" s="18"/>
      <x:c r="P17" s="18" t="str">
        <x:f>IF(A17="","",IF(OR(B17="",D17="",F17="",H17="",J17="D - Faible"),"Donnees a verifier","OK"))</x:f>
      </x:c>
    </x:row>
    <x:row r="18">
      <x:c r="A18" s="18"/>
      <x:c r="B18" s="18"/>
      <x:c r="C18" s="18"/>
      <x:c r="D18" s="18"/>
      <x:c r="E18" s="18"/>
      <x:c r="F18" s="18"/>
      <x:c r="G18" s="18"/>
      <x:c r="H18" s="22"/>
      <x:c r="I18" s="18"/>
      <x:c r="J18" s="18"/>
      <x:c r="K18" s="18"/>
      <x:c r="L18" s="18"/>
      <x:c r="M18" s="19"/>
      <x:c r="N18" s="18"/>
      <x:c r="O18" s="18"/>
      <x:c r="P18" s="18" t="str">
        <x:f>IF(A18="","",IF(OR(B18="",D18="",F18="",H18="",J18="D - Faible"),"Donnees a verifier","OK"))</x:f>
      </x:c>
    </x:row>
    <x:row r="19">
      <x:c r="A19" s="18"/>
      <x:c r="B19" s="18"/>
      <x:c r="C19" s="18"/>
      <x:c r="D19" s="18"/>
      <x:c r="E19" s="18"/>
      <x:c r="F19" s="18"/>
      <x:c r="G19" s="18"/>
      <x:c r="H19" s="22"/>
      <x:c r="I19" s="18"/>
      <x:c r="J19" s="18"/>
      <x:c r="K19" s="18"/>
      <x:c r="L19" s="18"/>
      <x:c r="M19" s="19"/>
      <x:c r="N19" s="18"/>
      <x:c r="O19" s="18"/>
      <x:c r="P19" s="18" t="str">
        <x:f>IF(A19="","",IF(OR(B19="",D19="",F19="",H19="",J19="D - Faible"),"Donnees a verifier","OK"))</x:f>
      </x:c>
    </x:row>
    <x:row r="20">
      <x:c r="A20" s="18"/>
      <x:c r="B20" s="18"/>
      <x:c r="C20" s="18"/>
      <x:c r="D20" s="18"/>
      <x:c r="E20" s="18"/>
      <x:c r="F20" s="18"/>
      <x:c r="G20" s="18"/>
      <x:c r="H20" s="22"/>
      <x:c r="I20" s="18"/>
      <x:c r="J20" s="18"/>
      <x:c r="K20" s="18"/>
      <x:c r="L20" s="18"/>
      <x:c r="M20" s="19"/>
      <x:c r="N20" s="18"/>
      <x:c r="O20" s="18"/>
      <x:c r="P20" s="18" t="str">
        <x:f>IF(A20="","",IF(OR(B20="",D20="",F20="",H20="",J20="D - Faible"),"Donnees a verifier","OK"))</x:f>
      </x:c>
    </x:row>
    <x:row r="21">
      <x:c r="A21" s="18"/>
      <x:c r="B21" s="18"/>
      <x:c r="C21" s="18"/>
      <x:c r="D21" s="18"/>
      <x:c r="E21" s="18"/>
      <x:c r="F21" s="18"/>
      <x:c r="G21" s="18"/>
      <x:c r="H21" s="22"/>
      <x:c r="I21" s="18"/>
      <x:c r="J21" s="18"/>
      <x:c r="K21" s="18"/>
      <x:c r="L21" s="18"/>
      <x:c r="M21" s="19"/>
      <x:c r="N21" s="18"/>
      <x:c r="O21" s="18"/>
      <x:c r="P21" s="18" t="str">
        <x:f>IF(A21="","",IF(OR(B21="",D21="",F21="",H21="",J21="D - Faible"),"Donnees a verifier","OK"))</x:f>
      </x:c>
    </x:row>
    <x:row r="22">
      <x:c r="A22" s="18"/>
      <x:c r="B22" s="18"/>
      <x:c r="C22" s="18"/>
      <x:c r="D22" s="18"/>
      <x:c r="E22" s="18"/>
      <x:c r="F22" s="18"/>
      <x:c r="G22" s="18"/>
      <x:c r="H22" s="22"/>
      <x:c r="I22" s="18"/>
      <x:c r="J22" s="18"/>
      <x:c r="K22" s="18"/>
      <x:c r="L22" s="18"/>
      <x:c r="M22" s="19"/>
      <x:c r="N22" s="18"/>
      <x:c r="O22" s="18"/>
      <x:c r="P22" s="18" t="str">
        <x:f>IF(A22="","",IF(OR(B22="",D22="",F22="",H22="",J22="D - Faible"),"Donnees a verifier","OK"))</x:f>
      </x:c>
    </x:row>
    <x:row r="23">
      <x:c r="A23" s="18"/>
      <x:c r="B23" s="18"/>
      <x:c r="C23" s="18"/>
      <x:c r="D23" s="18"/>
      <x:c r="E23" s="18"/>
      <x:c r="F23" s="18"/>
      <x:c r="G23" s="18"/>
      <x:c r="H23" s="22"/>
      <x:c r="I23" s="18"/>
      <x:c r="J23" s="18"/>
      <x:c r="K23" s="18"/>
      <x:c r="L23" s="18"/>
      <x:c r="M23" s="19"/>
      <x:c r="N23" s="18"/>
      <x:c r="O23" s="18"/>
      <x:c r="P23" s="18" t="str">
        <x:f>IF(A23="","",IF(OR(B23="",D23="",F23="",H23="",J23="D - Faible"),"Donnees a verifier","OK"))</x:f>
      </x:c>
    </x:row>
    <x:row r="24">
      <x:c r="A24" s="18"/>
      <x:c r="B24" s="18"/>
      <x:c r="C24" s="18"/>
      <x:c r="D24" s="18"/>
      <x:c r="E24" s="18"/>
      <x:c r="F24" s="18"/>
      <x:c r="G24" s="18"/>
      <x:c r="H24" s="22"/>
      <x:c r="I24" s="18"/>
      <x:c r="J24" s="18"/>
      <x:c r="K24" s="18"/>
      <x:c r="L24" s="18"/>
      <x:c r="M24" s="19"/>
      <x:c r="N24" s="18"/>
      <x:c r="O24" s="18"/>
      <x:c r="P24" s="18" t="str">
        <x:f>IF(A24="","",IF(OR(B24="",D24="",F24="",H24="",J24="D - Faible"),"Donnees a verifier","OK"))</x:f>
      </x:c>
    </x:row>
    <x:row r="25">
      <x:c r="A25" s="18"/>
      <x:c r="B25" s="18"/>
      <x:c r="C25" s="18"/>
      <x:c r="D25" s="18"/>
      <x:c r="E25" s="18"/>
      <x:c r="F25" s="18"/>
      <x:c r="G25" s="18"/>
      <x:c r="H25" s="22"/>
      <x:c r="I25" s="18"/>
      <x:c r="J25" s="18"/>
      <x:c r="K25" s="18"/>
      <x:c r="L25" s="18"/>
      <x:c r="M25" s="19"/>
      <x:c r="N25" s="18"/>
      <x:c r="O25" s="18"/>
      <x:c r="P25" s="18" t="str">
        <x:f>IF(A25="","",IF(OR(B25="",D25="",F25="",H25="",J25="D - Faible"),"Donnees a verifier","OK"))</x:f>
      </x:c>
    </x:row>
    <x:row r="26">
      <x:c r="A26" s="18"/>
      <x:c r="B26" s="18"/>
      <x:c r="C26" s="18"/>
      <x:c r="D26" s="18"/>
      <x:c r="E26" s="18"/>
      <x:c r="F26" s="18"/>
      <x:c r="G26" s="18"/>
      <x:c r="H26" s="22"/>
      <x:c r="I26" s="18"/>
      <x:c r="J26" s="18"/>
      <x:c r="K26" s="18"/>
      <x:c r="L26" s="18"/>
      <x:c r="M26" s="19"/>
      <x:c r="N26" s="18"/>
      <x:c r="O26" s="18"/>
      <x:c r="P26" s="18" t="str">
        <x:f>IF(A26="","",IF(OR(B26="",D26="",F26="",H26="",J26="D - Faible"),"Donnees a verifier","OK"))</x:f>
      </x:c>
    </x:row>
    <x:row r="27">
      <x:c r="A27" s="18"/>
      <x:c r="B27" s="18"/>
      <x:c r="C27" s="18"/>
      <x:c r="D27" s="18"/>
      <x:c r="E27" s="18"/>
      <x:c r="F27" s="18"/>
      <x:c r="G27" s="18"/>
      <x:c r="H27" s="22"/>
      <x:c r="I27" s="18"/>
      <x:c r="J27" s="18"/>
      <x:c r="K27" s="18"/>
      <x:c r="L27" s="18"/>
      <x:c r="M27" s="19"/>
      <x:c r="N27" s="18"/>
      <x:c r="O27" s="18"/>
      <x:c r="P27" s="18" t="str">
        <x:f>IF(A27="","",IF(OR(B27="",D27="",F27="",H27="",J27="D - Faible"),"Donnees a verifier","OK"))</x:f>
      </x:c>
    </x:row>
    <x:row r="28">
      <x:c r="A28" s="18"/>
      <x:c r="B28" s="18"/>
      <x:c r="C28" s="18"/>
      <x:c r="D28" s="18"/>
      <x:c r="E28" s="18"/>
      <x:c r="F28" s="18"/>
      <x:c r="G28" s="18"/>
      <x:c r="H28" s="22"/>
      <x:c r="I28" s="18"/>
      <x:c r="J28" s="18"/>
      <x:c r="K28" s="18"/>
      <x:c r="L28" s="18"/>
      <x:c r="M28" s="19"/>
      <x:c r="N28" s="18"/>
      <x:c r="O28" s="18"/>
      <x:c r="P28" s="18" t="str">
        <x:f>IF(A28="","",IF(OR(B28="",D28="",F28="",H28="",J28="D - Faible"),"Donnees a verifier","OK"))</x:f>
      </x:c>
    </x:row>
    <x:row r="29">
      <x:c r="A29" s="18"/>
      <x:c r="B29" s="18"/>
      <x:c r="C29" s="18"/>
      <x:c r="D29" s="18"/>
      <x:c r="E29" s="18"/>
      <x:c r="F29" s="18"/>
      <x:c r="G29" s="18"/>
      <x:c r="H29" s="22"/>
      <x:c r="I29" s="18"/>
      <x:c r="J29" s="18"/>
      <x:c r="K29" s="18"/>
      <x:c r="L29" s="18"/>
      <x:c r="M29" s="19"/>
      <x:c r="N29" s="18"/>
      <x:c r="O29" s="18"/>
      <x:c r="P29" s="18" t="str">
        <x:f>IF(A29="","",IF(OR(B29="",D29="",F29="",H29="",J29="D - Faible"),"Donnees a verifier","OK"))</x:f>
      </x:c>
    </x:row>
    <x:row r="30">
      <x:c r="A30" s="18"/>
      <x:c r="B30" s="18"/>
      <x:c r="C30" s="18"/>
      <x:c r="D30" s="18"/>
      <x:c r="E30" s="18"/>
      <x:c r="F30" s="18"/>
      <x:c r="G30" s="18"/>
      <x:c r="H30" s="22"/>
      <x:c r="I30" s="18"/>
      <x:c r="J30" s="18"/>
      <x:c r="K30" s="18"/>
      <x:c r="L30" s="18"/>
      <x:c r="M30" s="19"/>
      <x:c r="N30" s="18"/>
      <x:c r="O30" s="18"/>
      <x:c r="P30" s="18" t="str">
        <x:f>IF(A30="","",IF(OR(B30="",D30="",F30="",H30="",J30="D - Faible"),"Donnees a verifier","OK"))</x:f>
      </x:c>
    </x:row>
    <x:row r="31">
      <x:c r="A31" s="18"/>
      <x:c r="B31" s="18"/>
      <x:c r="C31" s="18"/>
      <x:c r="D31" s="18"/>
      <x:c r="E31" s="18"/>
      <x:c r="F31" s="18"/>
      <x:c r="G31" s="18"/>
      <x:c r="H31" s="22"/>
      <x:c r="I31" s="18"/>
      <x:c r="J31" s="18"/>
      <x:c r="K31" s="18"/>
      <x:c r="L31" s="18"/>
      <x:c r="M31" s="19"/>
      <x:c r="N31" s="18"/>
      <x:c r="O31" s="18"/>
      <x:c r="P31" s="18" t="str">
        <x:f>IF(A31="","",IF(OR(B31="",D31="",F31="",H31="",J31="D - Faible"),"Donnees a verifier","OK"))</x:f>
      </x:c>
    </x:row>
    <x:row r="32">
      <x:c r="A32" s="18"/>
      <x:c r="B32" s="18"/>
      <x:c r="C32" s="18"/>
      <x:c r="D32" s="18"/>
      <x:c r="E32" s="18"/>
      <x:c r="F32" s="18"/>
      <x:c r="G32" s="18"/>
      <x:c r="H32" s="22"/>
      <x:c r="I32" s="18"/>
      <x:c r="J32" s="18"/>
      <x:c r="K32" s="18"/>
      <x:c r="L32" s="18"/>
      <x:c r="M32" s="19"/>
      <x:c r="N32" s="18"/>
      <x:c r="O32" s="18"/>
      <x:c r="P32" s="18" t="str">
        <x:f>IF(A32="","",IF(OR(B32="",D32="",F32="",H32="",J32="D - Faible"),"Donnees a verifier","OK"))</x:f>
      </x:c>
    </x:row>
    <x:row r="33">
      <x:c r="A33" s="18"/>
      <x:c r="B33" s="18"/>
      <x:c r="C33" s="18"/>
      <x:c r="D33" s="18"/>
      <x:c r="E33" s="18"/>
      <x:c r="F33" s="18"/>
      <x:c r="G33" s="18"/>
      <x:c r="H33" s="22"/>
      <x:c r="I33" s="18"/>
      <x:c r="J33" s="18"/>
      <x:c r="K33" s="18"/>
      <x:c r="L33" s="18"/>
      <x:c r="M33" s="19"/>
      <x:c r="N33" s="18"/>
      <x:c r="O33" s="18"/>
      <x:c r="P33" s="18" t="str">
        <x:f>IF(A33="","",IF(OR(B33="",D33="",F33="",H33="",J33="D - Faible"),"Donnees a verifier","OK"))</x:f>
      </x:c>
    </x:row>
    <x:row r="34">
      <x:c r="A34" s="18"/>
      <x:c r="B34" s="18"/>
      <x:c r="C34" s="18"/>
      <x:c r="D34" s="18"/>
      <x:c r="E34" s="18"/>
      <x:c r="F34" s="18"/>
      <x:c r="G34" s="18"/>
      <x:c r="H34" s="22"/>
      <x:c r="I34" s="18"/>
      <x:c r="J34" s="18"/>
      <x:c r="K34" s="18"/>
      <x:c r="L34" s="18"/>
      <x:c r="M34" s="19"/>
      <x:c r="N34" s="18"/>
      <x:c r="O34" s="18"/>
      <x:c r="P34" s="18" t="str">
        <x:f>IF(A34="","",IF(OR(B34="",D34="",F34="",H34="",J34="D - Faible"),"Donnees a verifier","OK"))</x:f>
      </x:c>
    </x:row>
    <x:row r="35">
      <x:c r="A35" s="18"/>
      <x:c r="B35" s="18"/>
      <x:c r="C35" s="18"/>
      <x:c r="D35" s="18"/>
      <x:c r="E35" s="18"/>
      <x:c r="F35" s="18"/>
      <x:c r="G35" s="18"/>
      <x:c r="H35" s="22"/>
      <x:c r="I35" s="18"/>
      <x:c r="J35" s="18"/>
      <x:c r="K35" s="18"/>
      <x:c r="L35" s="18"/>
      <x:c r="M35" s="19"/>
      <x:c r="N35" s="18"/>
      <x:c r="O35" s="18"/>
      <x:c r="P35" s="18" t="str">
        <x:f>IF(A35="","",IF(OR(B35="",D35="",F35="",H35="",J35="D - Faible"),"Donnees a verifier","OK"))</x:f>
      </x:c>
    </x:row>
    <x:row r="36">
      <x:c r="A36" s="18"/>
      <x:c r="B36" s="18"/>
      <x:c r="C36" s="18"/>
      <x:c r="D36" s="18"/>
      <x:c r="E36" s="18"/>
      <x:c r="F36" s="18"/>
      <x:c r="G36" s="18"/>
      <x:c r="H36" s="22"/>
      <x:c r="I36" s="18"/>
      <x:c r="J36" s="18"/>
      <x:c r="K36" s="18"/>
      <x:c r="L36" s="18"/>
      <x:c r="M36" s="19"/>
      <x:c r="N36" s="18"/>
      <x:c r="O36" s="18"/>
      <x:c r="P36" s="18" t="str">
        <x:f>IF(A36="","",IF(OR(B36="",D36="",F36="",H36="",J36="D - Faible"),"Donnees a verifier","OK"))</x:f>
      </x:c>
    </x:row>
    <x:row r="37">
      <x:c r="A37" s="18"/>
      <x:c r="B37" s="18"/>
      <x:c r="C37" s="18"/>
      <x:c r="D37" s="18"/>
      <x:c r="E37" s="18"/>
      <x:c r="F37" s="18"/>
      <x:c r="G37" s="18"/>
      <x:c r="H37" s="22"/>
      <x:c r="I37" s="18"/>
      <x:c r="J37" s="18"/>
      <x:c r="K37" s="18"/>
      <x:c r="L37" s="18"/>
      <x:c r="M37" s="19"/>
      <x:c r="N37" s="18"/>
      <x:c r="O37" s="18"/>
      <x:c r="P37" s="18" t="str">
        <x:f>IF(A37="","",IF(OR(B37="",D37="",F37="",H37="",J37="D - Faible"),"Donnees a verifier","OK"))</x:f>
      </x:c>
    </x:row>
    <x:row r="38">
      <x:c r="A38" s="18"/>
      <x:c r="B38" s="18"/>
      <x:c r="C38" s="18"/>
      <x:c r="D38" s="18"/>
      <x:c r="E38" s="18"/>
      <x:c r="F38" s="18"/>
      <x:c r="G38" s="18"/>
      <x:c r="H38" s="22"/>
      <x:c r="I38" s="18"/>
      <x:c r="J38" s="18"/>
      <x:c r="K38" s="18"/>
      <x:c r="L38" s="18"/>
      <x:c r="M38" s="19"/>
      <x:c r="N38" s="18"/>
      <x:c r="O38" s="18"/>
      <x:c r="P38" s="18" t="str">
        <x:f>IF(A38="","",IF(OR(B38="",D38="",F38="",H38="",J38="D - Faible"),"Donnees a verifier","OK"))</x:f>
      </x:c>
    </x:row>
    <x:row r="39">
      <x:c r="A39" s="18"/>
      <x:c r="B39" s="18"/>
      <x:c r="C39" s="18"/>
      <x:c r="D39" s="18"/>
      <x:c r="E39" s="18"/>
      <x:c r="F39" s="18"/>
      <x:c r="G39" s="18"/>
      <x:c r="H39" s="22"/>
      <x:c r="I39" s="18"/>
      <x:c r="J39" s="18"/>
      <x:c r="K39" s="18"/>
      <x:c r="L39" s="18"/>
      <x:c r="M39" s="19"/>
      <x:c r="N39" s="18"/>
      <x:c r="O39" s="18"/>
      <x:c r="P39" s="18" t="str">
        <x:f>IF(A39="","",IF(OR(B39="",D39="",F39="",H39="",J39="D - Faible"),"Donnees a verifier","OK"))</x:f>
      </x:c>
    </x:row>
    <x:row r="40">
      <x:c r="A40" s="18"/>
      <x:c r="B40" s="18"/>
      <x:c r="C40" s="18"/>
      <x:c r="D40" s="18"/>
      <x:c r="E40" s="18"/>
      <x:c r="F40" s="18"/>
      <x:c r="G40" s="18"/>
      <x:c r="H40" s="22"/>
      <x:c r="I40" s="18"/>
      <x:c r="J40" s="18"/>
      <x:c r="K40" s="18"/>
      <x:c r="L40" s="18"/>
      <x:c r="M40" s="19"/>
      <x:c r="N40" s="18"/>
      <x:c r="O40" s="18"/>
      <x:c r="P40" s="18" t="str">
        <x:f>IF(A40="","",IF(OR(B40="",D40="",F40="",H40="",J40="D - Faible"),"Donnees a verifier","OK"))</x:f>
      </x:c>
    </x:row>
    <x:row r="41">
      <x:c r="A41" s="18"/>
      <x:c r="B41" s="18"/>
      <x:c r="C41" s="18"/>
      <x:c r="D41" s="18"/>
      <x:c r="E41" s="18"/>
      <x:c r="F41" s="18"/>
      <x:c r="G41" s="18"/>
      <x:c r="H41" s="22"/>
      <x:c r="I41" s="18"/>
      <x:c r="J41" s="18"/>
      <x:c r="K41" s="18"/>
      <x:c r="L41" s="18"/>
      <x:c r="M41" s="19"/>
      <x:c r="N41" s="18"/>
      <x:c r="O41" s="18"/>
      <x:c r="P41" s="18" t="str">
        <x:f>IF(A41="","",IF(OR(B41="",D41="",F41="",H41="",J41="D - Faible"),"Donnees a verifier","OK"))</x:f>
      </x:c>
    </x:row>
    <x:row r="42">
      <x:c r="A42" s="18"/>
      <x:c r="B42" s="18"/>
      <x:c r="C42" s="18"/>
      <x:c r="D42" s="18"/>
      <x:c r="E42" s="18"/>
      <x:c r="F42" s="18"/>
      <x:c r="G42" s="18"/>
      <x:c r="H42" s="22"/>
      <x:c r="I42" s="18"/>
      <x:c r="J42" s="18"/>
      <x:c r="K42" s="18"/>
      <x:c r="L42" s="18"/>
      <x:c r="M42" s="19"/>
      <x:c r="N42" s="18"/>
      <x:c r="O42" s="18"/>
      <x:c r="P42" s="18" t="str">
        <x:f>IF(A42="","",IF(OR(B42="",D42="",F42="",H42="",J42="D - Faible"),"Donnees a verifier","OK"))</x:f>
      </x:c>
    </x:row>
    <x:row r="43">
      <x:c r="A43" s="18"/>
      <x:c r="B43" s="18"/>
      <x:c r="C43" s="18"/>
      <x:c r="D43" s="18"/>
      <x:c r="E43" s="18"/>
      <x:c r="F43" s="18"/>
      <x:c r="G43" s="18"/>
      <x:c r="H43" s="22"/>
      <x:c r="I43" s="18"/>
      <x:c r="J43" s="18"/>
      <x:c r="K43" s="18"/>
      <x:c r="L43" s="18"/>
      <x:c r="M43" s="19"/>
      <x:c r="N43" s="18"/>
      <x:c r="O43" s="18"/>
      <x:c r="P43" s="18" t="str">
        <x:f>IF(A43="","",IF(OR(B43="",D43="",F43="",H43="",J43="D - Faible"),"Donnees a verifier","OK"))</x:f>
      </x:c>
    </x:row>
    <x:row r="44">
      <x:c r="A44" s="18"/>
      <x:c r="B44" s="18"/>
      <x:c r="C44" s="18"/>
      <x:c r="D44" s="18"/>
      <x:c r="E44" s="18"/>
      <x:c r="F44" s="18"/>
      <x:c r="G44" s="18"/>
      <x:c r="H44" s="22"/>
      <x:c r="I44" s="18"/>
      <x:c r="J44" s="18"/>
      <x:c r="K44" s="18"/>
      <x:c r="L44" s="18"/>
      <x:c r="M44" s="19"/>
      <x:c r="N44" s="18"/>
      <x:c r="O44" s="18"/>
      <x:c r="P44" s="18" t="str">
        <x:f>IF(A44="","",IF(OR(B44="",D44="",F44="",H44="",J44="D - Faible"),"Donnees a verifier","OK"))</x:f>
      </x:c>
    </x:row>
  </x:sheetData>
  <x:mergeCells>
    <x:mergeCell ref="A1:J1"/>
    <x:mergeCell ref="A2:J2"/>
  </x:mergeCells>
  <x:conditionalFormatting sqref="P5:P44">
    <x:cfRule type="containsText" dxfId="28" priority="1" operator="containsText" text="Retard"/>
    <x:cfRule type="containsText" dxfId="29" priority="2" operator="containsText" text="critique"/>
    <x:cfRule type="containsText" dxfId="30" priority="3" operator="containsText" text="manquant"/>
    <x:cfRule type="containsText" dxfId="31" priority="4" operator="containsText" text="OK"/>
  </x:conditionalFormatting>
  <x:dataValidations count="5">
    <x:dataValidation type="list" errorStyle="warning" showInputMessage="1" showErrorMessage="1" errorTitle="Valeur inattendue" error="Cette colonne utilise une liste controlee." promptTitle="Liste controlee" prompt="Choisir une valeur dans la liste." sqref="D5:D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F5:F44">
      <x:formula1>"Scope 1,Scope 2,Scope 3,Hors scope"</x:formula1>
    </x:dataValidation>
    <x:dataValidation type="list" errorStyle="warning" showInputMessage="1" showErrorMessage="1" errorTitle="Valeur inattendue" error="Cette colonne utilise une liste controlee." promptTitle="Liste controlee" prompt="Choisir une valeur dans la liste." sqref="G5:G44">
      <x:formula1>"CO2,CH4,N2O,HFC,PFC,SF6,NF3,CO2e"</x:formula1>
    </x:dataValidation>
    <x:dataValidation type="list" errorStyle="warning" showInputMessage="1" showErrorMessage="1" errorTitle="Valeur inattendue" error="Cette colonne utilise une liste controlee." promptTitle="Liste controlee" prompt="Choisir une valeur dans la liste." sqref="J5:J44">
      <x:formula1>"A - Verifiee,B - Bonne,C - Estimee,D - Faible,A confirmer"</x:formula1>
    </x:dataValidation>
    <x:dataValidation type="list" errorStyle="warning" showInputMessage="1" showErrorMessage="1" errorTitle="Valeur inattendue" error="Cette colonne utilise une liste controlee." promptTitle="Liste controlee" prompt="Choisir une valeur dans la liste." sqref="N5:N44">
      <x:formula1>"GPC BASIC,GPC BASIC+,Territorial,Interne Dakar"</x:formula1>
    </x:dataValidation>
  </x:dataValidations>
  <x:pageMargins left="0.7" right="0.7" top="0.75" bottom="0.75" header="0.3" footer="0.3"/>
  <x:tableParts count="1">
    <x:tablePart xmlns:r="http://schemas.openxmlformats.org/officeDocument/2006/relationships" r:id="R8bc212f579e94b7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22.5" hidden="0" customWidth="1"/>
    <x:col min="4" max="4" width="23.75" hidden="0" customWidth="1"/>
    <x:col min="5" max="5" width="32.5" hidden="0" customWidth="1"/>
    <x:col min="6" max="6" width="13.75" hidden="0" customWidth="1"/>
    <x:col min="7" max="7" width="11.25" hidden="0" customWidth="1"/>
    <x:col min="8" max="8" width="16.25" hidden="0" customWidth="1"/>
    <x:col min="9" max="9" width="16.25" hidden="0" customWidth="1"/>
    <x:col min="10" max="10" width="17.5" hidden="0" customWidth="1"/>
    <x:col min="11" max="11" width="11.25" hidden="0" customWidth="1"/>
    <x:col min="12" max="12" width="16.25" hidden="0" customWidth="1"/>
    <x:col min="13" max="13" width="13.130000114440918" hidden="0" customWidth="1"/>
    <x:col min="14" max="14" width="16.25" hidden="0" customWidth="1"/>
    <x:col min="15" max="15" width="14.380000114440918" hidden="0" customWidth="1"/>
    <x:col min="16" max="16" width="27.5" hidden="0" customWidth="1"/>
    <x:col min="17" max="17" width="18.1299991607666" hidden="0" customWidth="1"/>
  </x:cols>
  <x:sheetData>
    <x:row r="1" ht="25.5" customHeight="1">
      <x:c r="A1" s="2" t="str">
        <x:v>Donnees d'activite GES</x:v>
      </x:c>
      <x:c r="B1" s="2"/>
      <x:c r="C1" s="2"/>
      <x:c r="D1" s="2"/>
      <x:c r="E1" s="2"/>
      <x:c r="F1" s="2"/>
      <x:c r="G1" s="2"/>
      <x:c r="H1" s="2"/>
      <x:c r="I1" s="2"/>
      <x:c r="J1" s="2"/>
    </x:row>
    <x:row r="2" ht="31.5" customHeight="1">
      <x:c r="A2" s="5" t="str">
        <x:v>Donnees primaires et calcul automatique des emissions via facteurs d'emission.</x:v>
      </x:c>
      <x:c r="B2" s="5"/>
      <x:c r="C2" s="5"/>
      <x:c r="D2" s="5"/>
      <x:c r="E2" s="5"/>
      <x:c r="F2" s="5"/>
      <x:c r="G2" s="5"/>
      <x:c r="H2" s="5"/>
      <x:c r="I2" s="5"/>
      <x:c r="J2" s="5"/>
    </x:row>
    <x:row r="4" ht="28.5" customHeight="1">
      <x:c r="A4" s="16" t="str">
        <x:v>Activity_ID</x:v>
      </x:c>
      <x:c r="B4" s="16" t="str">
        <x:v>Annee</x:v>
      </x:c>
      <x:c r="C4" s="16" t="str">
        <x:v>Secteur_GPC</x:v>
      </x:c>
      <x:c r="D4" s="16" t="str">
        <x:v>Sous_secteur</x:v>
      </x:c>
      <x:c r="E4" s="16" t="str">
        <x:v>Activite</x:v>
      </x:c>
      <x:c r="F4" s="16" t="str">
        <x:v>Quantite</x:v>
      </x:c>
      <x:c r="G4" s="16" t="str">
        <x:v>Unite</x:v>
      </x:c>
      <x:c r="H4" s="16" t="str">
        <x:v>Facteur_ID</x:v>
      </x:c>
      <x:c r="I4" s="16" t="str">
        <x:v>Facteur_emission</x:v>
      </x:c>
      <x:c r="J4" s="16" t="str">
        <x:v>Unite_facteur</x:v>
      </x:c>
      <x:c r="K4" s="16" t="str">
        <x:v>PRG_GWP</x:v>
      </x:c>
      <x:c r="L4" s="16" t="str">
        <x:v>Emissions_tCO2e</x:v>
      </x:c>
      <x:c r="M4" s="16" t="str">
        <x:v>Source_ID</x:v>
      </x:c>
      <x:c r="N4" s="16" t="str">
        <x:v>Qualite</x:v>
      </x:c>
      <x:c r="O4" s="16" t="str">
        <x:v>Incertitude_pct</x:v>
      </x:c>
      <x:c r="P4" s="16" t="str">
        <x:v>Commentaires</x:v>
      </x:c>
      <x:c r="Q4" s="16" t="str">
        <x:v>Alerte_donnees</x:v>
      </x:c>
    </x:row>
    <x:row r="5">
      <x:c r="A5" s="18" t="str">
        <x:v>ACTGES-001</x:v>
      </x:c>
      <x:c r="B5" s="18" t="n">
        <x:v>2025</x:v>
      </x:c>
      <x:c r="C5" s="18" t="str">
        <x:v>Stationary energy</x:v>
      </x:c>
      <x:c r="D5" s="18" t="str">
        <x:v>Municipal buildings</x:v>
      </x:c>
      <x:c r="E5" s="18" t="str">
        <x:v>Electricite consommee mairie</x:v>
      </x:c>
      <x:c r="F5" s="24" t="n">
        <x:v>2200000</x:v>
      </x:c>
      <x:c r="G5" s="18" t="str">
        <x:v>kWh</x:v>
      </x:c>
      <x:c r="H5" s="18" t="str">
        <x:v>FE-EL-SN-001</x:v>
      </x:c>
      <x:c r="I5" s="25" t="n">
        <x:f>IF(H5="","",SWITCH(H5,"FE-EL-SN-001",0.00055,"FE-DIESEL-001",0.00268,"FE-GASOLINE-001",0.00231,"FE-WASTE-CH4-001",0.0009,"FE-LPG-001",0.00299,""))</x:f>
        <x:v>0.00055</x:v>
      </x:c>
      <x:c r="J5" s="18" t="str">
        <x:f>IF(H5="","",SWITCH(H5,"FE-EL-SN-001","tCO2e/kWh","FE-DIESEL-001","tCO2e/litre","FE-GASOLINE-001","tCO2e/litre","FE-WASTE-CH4-001","tCH4/tonne","FE-LPG-001","tCO2e/kg",""))</x:f>
        <x:v>tCO2e/kWh</x:v>
      </x:c>
      <x:c r="K5" s="24" t="n">
        <x:f>IF(H5="","",IF(H5="FE-WASTE-CH4-001",28,1))</x:f>
        <x:v>1</x:v>
      </x:c>
      <x:c r="L5" s="24" t="n">
        <x:f>IF(A5="","",IFERROR(F5*I5*K5,""))</x:f>
        <x:v>1210</x:v>
      </x:c>
      <x:c r="M5" s="18" t="str">
        <x:v>SRC-001</x:v>
      </x:c>
      <x:c r="N5" s="18" t="str">
        <x:v>B - Bonne</x:v>
      </x:c>
      <x:c r="O5" s="20" t="n">
        <x:v>0.12</x:v>
      </x:c>
      <x:c r="P5" s="18" t="str"/>
      <x:c r="Q5" s="18" t="str">
        <x:f>IF(A5="","",IF(OR(F5="",H5="",M5="",N5="D - Faible"),"Donnees manquantes","OK"))</x:f>
        <x:v>OK</x:v>
      </x:c>
    </x:row>
    <x:row r="6">
      <x:c r="A6" s="18" t="str">
        <x:v>ACTGES-002</x:v>
      </x:c>
      <x:c r="B6" s="18" t="n">
        <x:v>2025</x:v>
      </x:c>
      <x:c r="C6" s="18" t="str">
        <x:v>Transportation</x:v>
      </x:c>
      <x:c r="D6" s="18" t="str">
        <x:v>Municipal fleet</x:v>
      </x:c>
      <x:c r="E6" s="18" t="str">
        <x:v>Diesel vehicules municipaux</x:v>
      </x:c>
      <x:c r="F6" s="24" t="n">
        <x:v>420000</x:v>
      </x:c>
      <x:c r="G6" s="18" t="str">
        <x:v>litres</x:v>
      </x:c>
      <x:c r="H6" s="18" t="str">
        <x:v>FE-DIESEL-001</x:v>
      </x:c>
      <x:c r="I6" s="25" t="n">
        <x:f>IF(H6="","",SWITCH(H6,"FE-EL-SN-001",0.00055,"FE-DIESEL-001",0.00268,"FE-GASOLINE-001",0.00231,"FE-WASTE-CH4-001",0.0009,"FE-LPG-001",0.00299,""))</x:f>
        <x:v>0.00268</x:v>
      </x:c>
      <x:c r="J6" s="18" t="str">
        <x:f>IF(H6="","",SWITCH(H6,"FE-EL-SN-001","tCO2e/kWh","FE-DIESEL-001","tCO2e/litre","FE-GASOLINE-001","tCO2e/litre","FE-WASTE-CH4-001","tCH4/tonne","FE-LPG-001","tCO2e/kg",""))</x:f>
        <x:v>tCO2e/litre</x:v>
      </x:c>
      <x:c r="K6" s="24" t="n">
        <x:f>IF(H6="","",IF(H6="FE-WASTE-CH4-001",28,1))</x:f>
        <x:v>1</x:v>
      </x:c>
      <x:c r="L6" s="24" t="n">
        <x:f>IF(A6="","",IFERROR(F6*I6*K6,""))</x:f>
        <x:v>1125.6000000000001</x:v>
      </x:c>
      <x:c r="M6" s="18" t="str">
        <x:v>SRC-004</x:v>
      </x:c>
      <x:c r="N6" s="18" t="str">
        <x:v>B - Bonne</x:v>
      </x:c>
      <x:c r="O6" s="20" t="n">
        <x:v>0.15</x:v>
      </x:c>
      <x:c r="P6" s="18" t="str"/>
      <x:c r="Q6" s="18" t="str">
        <x:f>IF(A6="","",IF(OR(F6="",H6="",M6="",N6="D - Faible"),"Donnees manquantes","OK"))</x:f>
        <x:v>OK</x:v>
      </x:c>
    </x:row>
    <x:row r="7">
      <x:c r="A7" s="18" t="str">
        <x:v>ACTGES-003</x:v>
      </x:c>
      <x:c r="B7" s="18" t="n">
        <x:v>2025</x:v>
      </x:c>
      <x:c r="C7" s="18" t="str">
        <x:v>Waste</x:v>
      </x:c>
      <x:c r="D7" s="18" t="str">
        <x:v>Solid waste disposal</x:v>
      </x:c>
      <x:c r="E7" s="18" t="str">
        <x:v>Dechets enfouis</x:v>
      </x:c>
      <x:c r="F7" s="24" t="n">
        <x:v>185000</x:v>
      </x:c>
      <x:c r="G7" s="18" t="str">
        <x:v>tonnes</x:v>
      </x:c>
      <x:c r="H7" s="18" t="str">
        <x:v>FE-WASTE-CH4-001</x:v>
      </x:c>
      <x:c r="I7" s="25" t="n">
        <x:f>IF(H7="","",SWITCH(H7,"FE-EL-SN-001",0.00055,"FE-DIESEL-001",0.00268,"FE-GASOLINE-001",0.00231,"FE-WASTE-CH4-001",0.0009,"FE-LPG-001",0.00299,""))</x:f>
        <x:v>0.0009</x:v>
      </x:c>
      <x:c r="J7" s="18" t="str">
        <x:f>IF(H7="","",SWITCH(H7,"FE-EL-SN-001","tCO2e/kWh","FE-DIESEL-001","tCO2e/litre","FE-GASOLINE-001","tCO2e/litre","FE-WASTE-CH4-001","tCH4/tonne","FE-LPG-001","tCO2e/kg",""))</x:f>
        <x:v>tCH4/tonne</x:v>
      </x:c>
      <x:c r="K7" s="24" t="n">
        <x:f>IF(H7="","",IF(H7="FE-WASTE-CH4-001",28,1))</x:f>
        <x:v>28</x:v>
      </x:c>
      <x:c r="L7" s="24" t="n">
        <x:f>IF(A7="","",IFERROR(F7*I7*K7,""))</x:f>
        <x:v>4662</x:v>
      </x:c>
      <x:c r="M7" s="18" t="str">
        <x:v>SRC-002</x:v>
      </x:c>
      <x:c r="N7" s="18" t="str">
        <x:v>C - Estimee</x:v>
      </x:c>
      <x:c r="O7" s="20" t="n">
        <x:v>0.35</x:v>
      </x:c>
      <x:c r="P7" s="18" t="str"/>
      <x:c r="Q7" s="18" t="str">
        <x:f>IF(A7="","",IF(OR(F7="",H7="",M7="",N7="D - Faible"),"Donnees manquantes","OK"))</x:f>
        <x:v>OK</x:v>
      </x:c>
    </x:row>
    <x:row r="8">
      <x:c r="A8" s="18"/>
      <x:c r="B8" s="18"/>
      <x:c r="C8" s="18"/>
      <x:c r="D8" s="18"/>
      <x:c r="E8" s="18"/>
      <x:c r="F8" s="24"/>
      <x:c r="G8" s="18"/>
      <x:c r="H8" s="18"/>
      <x:c r="I8" s="25" t="str">
        <x:f>IF(H8="","",SWITCH(H8,"FE-EL-SN-001",0.00055,"FE-DIESEL-001",0.00268,"FE-GASOLINE-001",0.00231,"FE-WASTE-CH4-001",0.0009,"FE-LPG-001",0.00299,""))</x:f>
      </x:c>
      <x:c r="J8" s="18" t="str">
        <x:f>IF(H8="","",SWITCH(H8,"FE-EL-SN-001","tCO2e/kWh","FE-DIESEL-001","tCO2e/litre","FE-GASOLINE-001","tCO2e/litre","FE-WASTE-CH4-001","tCH4/tonne","FE-LPG-001","tCO2e/kg",""))</x:f>
      </x:c>
      <x:c r="K8" s="24" t="str">
        <x:f>IF(H8="","",IF(H8="FE-WASTE-CH4-001",28,1))</x:f>
      </x:c>
      <x:c r="L8" s="24" t="str">
        <x:f>IF(A8="","",IFERROR(F8*I8*K8,""))</x:f>
      </x:c>
      <x:c r="M8" s="18"/>
      <x:c r="N8" s="18"/>
      <x:c r="O8" s="20"/>
      <x:c r="P8" s="18"/>
      <x:c r="Q8" s="18" t="str">
        <x:f>IF(A8="","",IF(OR(F8="",H8="",M8="",N8="D - Faible"),"Donnees manquantes","OK"))</x:f>
      </x:c>
    </x:row>
    <x:row r="9">
      <x:c r="A9" s="18"/>
      <x:c r="B9" s="18"/>
      <x:c r="C9" s="18"/>
      <x:c r="D9" s="18"/>
      <x:c r="E9" s="18"/>
      <x:c r="F9" s="24"/>
      <x:c r="G9" s="18"/>
      <x:c r="H9" s="18"/>
      <x:c r="I9" s="25" t="str">
        <x:f>IF(H9="","",SWITCH(H9,"FE-EL-SN-001",0.00055,"FE-DIESEL-001",0.00268,"FE-GASOLINE-001",0.00231,"FE-WASTE-CH4-001",0.0009,"FE-LPG-001",0.00299,""))</x:f>
      </x:c>
      <x:c r="J9" s="18" t="str">
        <x:f>IF(H9="","",SWITCH(H9,"FE-EL-SN-001","tCO2e/kWh","FE-DIESEL-001","tCO2e/litre","FE-GASOLINE-001","tCO2e/litre","FE-WASTE-CH4-001","tCH4/tonne","FE-LPG-001","tCO2e/kg",""))</x:f>
      </x:c>
      <x:c r="K9" s="24" t="str">
        <x:f>IF(H9="","",IF(H9="FE-WASTE-CH4-001",28,1))</x:f>
      </x:c>
      <x:c r="L9" s="24" t="str">
        <x:f>IF(A9="","",IFERROR(F9*I9*K9,""))</x:f>
      </x:c>
      <x:c r="M9" s="18"/>
      <x:c r="N9" s="18"/>
      <x:c r="O9" s="20"/>
      <x:c r="P9" s="18"/>
      <x:c r="Q9" s="18" t="str">
        <x:f>IF(A9="","",IF(OR(F9="",H9="",M9="",N9="D - Faible"),"Donnees manquantes","OK"))</x:f>
      </x:c>
    </x:row>
    <x:row r="10">
      <x:c r="A10" s="18"/>
      <x:c r="B10" s="18"/>
      <x:c r="C10" s="18"/>
      <x:c r="D10" s="18"/>
      <x:c r="E10" s="18"/>
      <x:c r="F10" s="24"/>
      <x:c r="G10" s="18"/>
      <x:c r="H10" s="18"/>
      <x:c r="I10" s="25" t="str">
        <x:f>IF(H10="","",SWITCH(H10,"FE-EL-SN-001",0.00055,"FE-DIESEL-001",0.00268,"FE-GASOLINE-001",0.00231,"FE-WASTE-CH4-001",0.0009,"FE-LPG-001",0.00299,""))</x:f>
      </x:c>
      <x:c r="J10" s="18" t="str">
        <x:f>IF(H10="","",SWITCH(H10,"FE-EL-SN-001","tCO2e/kWh","FE-DIESEL-001","tCO2e/litre","FE-GASOLINE-001","tCO2e/litre","FE-WASTE-CH4-001","tCH4/tonne","FE-LPG-001","tCO2e/kg",""))</x:f>
      </x:c>
      <x:c r="K10" s="24" t="str">
        <x:f>IF(H10="","",IF(H10="FE-WASTE-CH4-001",28,1))</x:f>
      </x:c>
      <x:c r="L10" s="24" t="str">
        <x:f>IF(A10="","",IFERROR(F10*I10*K10,""))</x:f>
      </x:c>
      <x:c r="M10" s="18"/>
      <x:c r="N10" s="18"/>
      <x:c r="O10" s="20"/>
      <x:c r="P10" s="18"/>
      <x:c r="Q10" s="18" t="str">
        <x:f>IF(A10="","",IF(OR(F10="",H10="",M10="",N10="D - Faible"),"Donnees manquantes","OK"))</x:f>
      </x:c>
    </x:row>
    <x:row r="11">
      <x:c r="A11" s="18"/>
      <x:c r="B11" s="18"/>
      <x:c r="C11" s="18"/>
      <x:c r="D11" s="18"/>
      <x:c r="E11" s="18"/>
      <x:c r="F11" s="24"/>
      <x:c r="G11" s="18"/>
      <x:c r="H11" s="18"/>
      <x:c r="I11" s="25" t="str">
        <x:f>IF(H11="","",SWITCH(H11,"FE-EL-SN-001",0.00055,"FE-DIESEL-001",0.00268,"FE-GASOLINE-001",0.00231,"FE-WASTE-CH4-001",0.0009,"FE-LPG-001",0.00299,""))</x:f>
      </x:c>
      <x:c r="J11" s="18" t="str">
        <x:f>IF(H11="","",SWITCH(H11,"FE-EL-SN-001","tCO2e/kWh","FE-DIESEL-001","tCO2e/litre","FE-GASOLINE-001","tCO2e/litre","FE-WASTE-CH4-001","tCH4/tonne","FE-LPG-001","tCO2e/kg",""))</x:f>
      </x:c>
      <x:c r="K11" s="24" t="str">
        <x:f>IF(H11="","",IF(H11="FE-WASTE-CH4-001",28,1))</x:f>
      </x:c>
      <x:c r="L11" s="24" t="str">
        <x:f>IF(A11="","",IFERROR(F11*I11*K11,""))</x:f>
      </x:c>
      <x:c r="M11" s="18"/>
      <x:c r="N11" s="18"/>
      <x:c r="O11" s="20"/>
      <x:c r="P11" s="18"/>
      <x:c r="Q11" s="18" t="str">
        <x:f>IF(A11="","",IF(OR(F11="",H11="",M11="",N11="D - Faible"),"Donnees manquantes","OK"))</x:f>
      </x:c>
    </x:row>
    <x:row r="12">
      <x:c r="A12" s="18"/>
      <x:c r="B12" s="18"/>
      <x:c r="C12" s="18"/>
      <x:c r="D12" s="18"/>
      <x:c r="E12" s="18"/>
      <x:c r="F12" s="24"/>
      <x:c r="G12" s="18"/>
      <x:c r="H12" s="18"/>
      <x:c r="I12" s="25" t="str">
        <x:f>IF(H12="","",SWITCH(H12,"FE-EL-SN-001",0.00055,"FE-DIESEL-001",0.00268,"FE-GASOLINE-001",0.00231,"FE-WASTE-CH4-001",0.0009,"FE-LPG-001",0.00299,""))</x:f>
      </x:c>
      <x:c r="J12" s="18" t="str">
        <x:f>IF(H12="","",SWITCH(H12,"FE-EL-SN-001","tCO2e/kWh","FE-DIESEL-001","tCO2e/litre","FE-GASOLINE-001","tCO2e/litre","FE-WASTE-CH4-001","tCH4/tonne","FE-LPG-001","tCO2e/kg",""))</x:f>
      </x:c>
      <x:c r="K12" s="24" t="str">
        <x:f>IF(H12="","",IF(H12="FE-WASTE-CH4-001",28,1))</x:f>
      </x:c>
      <x:c r="L12" s="24" t="str">
        <x:f>IF(A12="","",IFERROR(F12*I12*K12,""))</x:f>
      </x:c>
      <x:c r="M12" s="18"/>
      <x:c r="N12" s="18"/>
      <x:c r="O12" s="20"/>
      <x:c r="P12" s="18"/>
      <x:c r="Q12" s="18" t="str">
        <x:f>IF(A12="","",IF(OR(F12="",H12="",M12="",N12="D - Faible"),"Donnees manquantes","OK"))</x:f>
      </x:c>
    </x:row>
    <x:row r="13">
      <x:c r="A13" s="18"/>
      <x:c r="B13" s="18"/>
      <x:c r="C13" s="18"/>
      <x:c r="D13" s="18"/>
      <x:c r="E13" s="18"/>
      <x:c r="F13" s="24"/>
      <x:c r="G13" s="18"/>
      <x:c r="H13" s="18"/>
      <x:c r="I13" s="25" t="str">
        <x:f>IF(H13="","",SWITCH(H13,"FE-EL-SN-001",0.00055,"FE-DIESEL-001",0.00268,"FE-GASOLINE-001",0.00231,"FE-WASTE-CH4-001",0.0009,"FE-LPG-001",0.00299,""))</x:f>
      </x:c>
      <x:c r="J13" s="18" t="str">
        <x:f>IF(H13="","",SWITCH(H13,"FE-EL-SN-001","tCO2e/kWh","FE-DIESEL-001","tCO2e/litre","FE-GASOLINE-001","tCO2e/litre","FE-WASTE-CH4-001","tCH4/tonne","FE-LPG-001","tCO2e/kg",""))</x:f>
      </x:c>
      <x:c r="K13" s="24" t="str">
        <x:f>IF(H13="","",IF(H13="FE-WASTE-CH4-001",28,1))</x:f>
      </x:c>
      <x:c r="L13" s="24" t="str">
        <x:f>IF(A13="","",IFERROR(F13*I13*K13,""))</x:f>
      </x:c>
      <x:c r="M13" s="18"/>
      <x:c r="N13" s="18"/>
      <x:c r="O13" s="20"/>
      <x:c r="P13" s="18"/>
      <x:c r="Q13" s="18" t="str">
        <x:f>IF(A13="","",IF(OR(F13="",H13="",M13="",N13="D - Faible"),"Donnees manquantes","OK"))</x:f>
      </x:c>
    </x:row>
    <x:row r="14">
      <x:c r="A14" s="18"/>
      <x:c r="B14" s="18"/>
      <x:c r="C14" s="18"/>
      <x:c r="D14" s="18"/>
      <x:c r="E14" s="18"/>
      <x:c r="F14" s="24"/>
      <x:c r="G14" s="18"/>
      <x:c r="H14" s="18"/>
      <x:c r="I14" s="25" t="str">
        <x:f>IF(H14="","",SWITCH(H14,"FE-EL-SN-001",0.00055,"FE-DIESEL-001",0.00268,"FE-GASOLINE-001",0.00231,"FE-WASTE-CH4-001",0.0009,"FE-LPG-001",0.00299,""))</x:f>
      </x:c>
      <x:c r="J14" s="18" t="str">
        <x:f>IF(H14="","",SWITCH(H14,"FE-EL-SN-001","tCO2e/kWh","FE-DIESEL-001","tCO2e/litre","FE-GASOLINE-001","tCO2e/litre","FE-WASTE-CH4-001","tCH4/tonne","FE-LPG-001","tCO2e/kg",""))</x:f>
      </x:c>
      <x:c r="K14" s="24" t="str">
        <x:f>IF(H14="","",IF(H14="FE-WASTE-CH4-001",28,1))</x:f>
      </x:c>
      <x:c r="L14" s="24" t="str">
        <x:f>IF(A14="","",IFERROR(F14*I14*K14,""))</x:f>
      </x:c>
      <x:c r="M14" s="18"/>
      <x:c r="N14" s="18"/>
      <x:c r="O14" s="20"/>
      <x:c r="P14" s="18"/>
      <x:c r="Q14" s="18" t="str">
        <x:f>IF(A14="","",IF(OR(F14="",H14="",M14="",N14="D - Faible"),"Donnees manquantes","OK"))</x:f>
      </x:c>
    </x:row>
    <x:row r="15">
      <x:c r="A15" s="18"/>
      <x:c r="B15" s="18"/>
      <x:c r="C15" s="18"/>
      <x:c r="D15" s="18"/>
      <x:c r="E15" s="18"/>
      <x:c r="F15" s="24"/>
      <x:c r="G15" s="18"/>
      <x:c r="H15" s="18"/>
      <x:c r="I15" s="25" t="str">
        <x:f>IF(H15="","",SWITCH(H15,"FE-EL-SN-001",0.00055,"FE-DIESEL-001",0.00268,"FE-GASOLINE-001",0.00231,"FE-WASTE-CH4-001",0.0009,"FE-LPG-001",0.00299,""))</x:f>
      </x:c>
      <x:c r="J15" s="18" t="str">
        <x:f>IF(H15="","",SWITCH(H15,"FE-EL-SN-001","tCO2e/kWh","FE-DIESEL-001","tCO2e/litre","FE-GASOLINE-001","tCO2e/litre","FE-WASTE-CH4-001","tCH4/tonne","FE-LPG-001","tCO2e/kg",""))</x:f>
      </x:c>
      <x:c r="K15" s="24" t="str">
        <x:f>IF(H15="","",IF(H15="FE-WASTE-CH4-001",28,1))</x:f>
      </x:c>
      <x:c r="L15" s="24" t="str">
        <x:f>IF(A15="","",IFERROR(F15*I15*K15,""))</x:f>
      </x:c>
      <x:c r="M15" s="18"/>
      <x:c r="N15" s="18"/>
      <x:c r="O15" s="20"/>
      <x:c r="P15" s="18"/>
      <x:c r="Q15" s="18" t="str">
        <x:f>IF(A15="","",IF(OR(F15="",H15="",M15="",N15="D - Faible"),"Donnees manquantes","OK"))</x:f>
      </x:c>
    </x:row>
    <x:row r="16">
      <x:c r="A16" s="18"/>
      <x:c r="B16" s="18"/>
      <x:c r="C16" s="18"/>
      <x:c r="D16" s="18"/>
      <x:c r="E16" s="18"/>
      <x:c r="F16" s="24"/>
      <x:c r="G16" s="18"/>
      <x:c r="H16" s="18"/>
      <x:c r="I16" s="25" t="str">
        <x:f>IF(H16="","",SWITCH(H16,"FE-EL-SN-001",0.00055,"FE-DIESEL-001",0.00268,"FE-GASOLINE-001",0.00231,"FE-WASTE-CH4-001",0.0009,"FE-LPG-001",0.00299,""))</x:f>
      </x:c>
      <x:c r="J16" s="18" t="str">
        <x:f>IF(H16="","",SWITCH(H16,"FE-EL-SN-001","tCO2e/kWh","FE-DIESEL-001","tCO2e/litre","FE-GASOLINE-001","tCO2e/litre","FE-WASTE-CH4-001","tCH4/tonne","FE-LPG-001","tCO2e/kg",""))</x:f>
      </x:c>
      <x:c r="K16" s="24" t="str">
        <x:f>IF(H16="","",IF(H16="FE-WASTE-CH4-001",28,1))</x:f>
      </x:c>
      <x:c r="L16" s="24" t="str">
        <x:f>IF(A16="","",IFERROR(F16*I16*K16,""))</x:f>
      </x:c>
      <x:c r="M16" s="18"/>
      <x:c r="N16" s="18"/>
      <x:c r="O16" s="20"/>
      <x:c r="P16" s="18"/>
      <x:c r="Q16" s="18" t="str">
        <x:f>IF(A16="","",IF(OR(F16="",H16="",M16="",N16="D - Faible"),"Donnees manquantes","OK"))</x:f>
      </x:c>
    </x:row>
    <x:row r="17">
      <x:c r="A17" s="18"/>
      <x:c r="B17" s="18"/>
      <x:c r="C17" s="18"/>
      <x:c r="D17" s="18"/>
      <x:c r="E17" s="18"/>
      <x:c r="F17" s="24"/>
      <x:c r="G17" s="18"/>
      <x:c r="H17" s="18"/>
      <x:c r="I17" s="25" t="str">
        <x:f>IF(H17="","",SWITCH(H17,"FE-EL-SN-001",0.00055,"FE-DIESEL-001",0.00268,"FE-GASOLINE-001",0.00231,"FE-WASTE-CH4-001",0.0009,"FE-LPG-001",0.00299,""))</x:f>
      </x:c>
      <x:c r="J17" s="18" t="str">
        <x:f>IF(H17="","",SWITCH(H17,"FE-EL-SN-001","tCO2e/kWh","FE-DIESEL-001","tCO2e/litre","FE-GASOLINE-001","tCO2e/litre","FE-WASTE-CH4-001","tCH4/tonne","FE-LPG-001","tCO2e/kg",""))</x:f>
      </x:c>
      <x:c r="K17" s="24" t="str">
        <x:f>IF(H17="","",IF(H17="FE-WASTE-CH4-001",28,1))</x:f>
      </x:c>
      <x:c r="L17" s="24" t="str">
        <x:f>IF(A17="","",IFERROR(F17*I17*K17,""))</x:f>
      </x:c>
      <x:c r="M17" s="18"/>
      <x:c r="N17" s="18"/>
      <x:c r="O17" s="20"/>
      <x:c r="P17" s="18"/>
      <x:c r="Q17" s="18" t="str">
        <x:f>IF(A17="","",IF(OR(F17="",H17="",M17="",N17="D - Faible"),"Donnees manquantes","OK"))</x:f>
      </x:c>
    </x:row>
    <x:row r="18">
      <x:c r="A18" s="18"/>
      <x:c r="B18" s="18"/>
      <x:c r="C18" s="18"/>
      <x:c r="D18" s="18"/>
      <x:c r="E18" s="18"/>
      <x:c r="F18" s="24"/>
      <x:c r="G18" s="18"/>
      <x:c r="H18" s="18"/>
      <x:c r="I18" s="25" t="str">
        <x:f>IF(H18="","",SWITCH(H18,"FE-EL-SN-001",0.00055,"FE-DIESEL-001",0.00268,"FE-GASOLINE-001",0.00231,"FE-WASTE-CH4-001",0.0009,"FE-LPG-001",0.00299,""))</x:f>
      </x:c>
      <x:c r="J18" s="18" t="str">
        <x:f>IF(H18="","",SWITCH(H18,"FE-EL-SN-001","tCO2e/kWh","FE-DIESEL-001","tCO2e/litre","FE-GASOLINE-001","tCO2e/litre","FE-WASTE-CH4-001","tCH4/tonne","FE-LPG-001","tCO2e/kg",""))</x:f>
      </x:c>
      <x:c r="K18" s="24" t="str">
        <x:f>IF(H18="","",IF(H18="FE-WASTE-CH4-001",28,1))</x:f>
      </x:c>
      <x:c r="L18" s="24" t="str">
        <x:f>IF(A18="","",IFERROR(F18*I18*K18,""))</x:f>
      </x:c>
      <x:c r="M18" s="18"/>
      <x:c r="N18" s="18"/>
      <x:c r="O18" s="20"/>
      <x:c r="P18" s="18"/>
      <x:c r="Q18" s="18" t="str">
        <x:f>IF(A18="","",IF(OR(F18="",H18="",M18="",N18="D - Faible"),"Donnees manquantes","OK"))</x:f>
      </x:c>
    </x:row>
    <x:row r="19">
      <x:c r="A19" s="18"/>
      <x:c r="B19" s="18"/>
      <x:c r="C19" s="18"/>
      <x:c r="D19" s="18"/>
      <x:c r="E19" s="18"/>
      <x:c r="F19" s="24"/>
      <x:c r="G19" s="18"/>
      <x:c r="H19" s="18"/>
      <x:c r="I19" s="25" t="str">
        <x:f>IF(H19="","",SWITCH(H19,"FE-EL-SN-001",0.00055,"FE-DIESEL-001",0.00268,"FE-GASOLINE-001",0.00231,"FE-WASTE-CH4-001",0.0009,"FE-LPG-001",0.00299,""))</x:f>
      </x:c>
      <x:c r="J19" s="18" t="str">
        <x:f>IF(H19="","",SWITCH(H19,"FE-EL-SN-001","tCO2e/kWh","FE-DIESEL-001","tCO2e/litre","FE-GASOLINE-001","tCO2e/litre","FE-WASTE-CH4-001","tCH4/tonne","FE-LPG-001","tCO2e/kg",""))</x:f>
      </x:c>
      <x:c r="K19" s="24" t="str">
        <x:f>IF(H19="","",IF(H19="FE-WASTE-CH4-001",28,1))</x:f>
      </x:c>
      <x:c r="L19" s="24" t="str">
        <x:f>IF(A19="","",IFERROR(F19*I19*K19,""))</x:f>
      </x:c>
      <x:c r="M19" s="18"/>
      <x:c r="N19" s="18"/>
      <x:c r="O19" s="20"/>
      <x:c r="P19" s="18"/>
      <x:c r="Q19" s="18" t="str">
        <x:f>IF(A19="","",IF(OR(F19="",H19="",M19="",N19="D - Faible"),"Donnees manquantes","OK"))</x:f>
      </x:c>
    </x:row>
    <x:row r="20">
      <x:c r="A20" s="18"/>
      <x:c r="B20" s="18"/>
      <x:c r="C20" s="18"/>
      <x:c r="D20" s="18"/>
      <x:c r="E20" s="18"/>
      <x:c r="F20" s="24"/>
      <x:c r="G20" s="18"/>
      <x:c r="H20" s="18"/>
      <x:c r="I20" s="25" t="str">
        <x:f>IF(H20="","",SWITCH(H20,"FE-EL-SN-001",0.00055,"FE-DIESEL-001",0.00268,"FE-GASOLINE-001",0.00231,"FE-WASTE-CH4-001",0.0009,"FE-LPG-001",0.00299,""))</x:f>
      </x:c>
      <x:c r="J20" s="18" t="str">
        <x:f>IF(H20="","",SWITCH(H20,"FE-EL-SN-001","tCO2e/kWh","FE-DIESEL-001","tCO2e/litre","FE-GASOLINE-001","tCO2e/litre","FE-WASTE-CH4-001","tCH4/tonne","FE-LPG-001","tCO2e/kg",""))</x:f>
      </x:c>
      <x:c r="K20" s="24" t="str">
        <x:f>IF(H20="","",IF(H20="FE-WASTE-CH4-001",28,1))</x:f>
      </x:c>
      <x:c r="L20" s="24" t="str">
        <x:f>IF(A20="","",IFERROR(F20*I20*K20,""))</x:f>
      </x:c>
      <x:c r="M20" s="18"/>
      <x:c r="N20" s="18"/>
      <x:c r="O20" s="20"/>
      <x:c r="P20" s="18"/>
      <x:c r="Q20" s="18" t="str">
        <x:f>IF(A20="","",IF(OR(F20="",H20="",M20="",N20="D - Faible"),"Donnees manquantes","OK"))</x:f>
      </x:c>
    </x:row>
    <x:row r="21">
      <x:c r="A21" s="18"/>
      <x:c r="B21" s="18"/>
      <x:c r="C21" s="18"/>
      <x:c r="D21" s="18"/>
      <x:c r="E21" s="18"/>
      <x:c r="F21" s="24"/>
      <x:c r="G21" s="18"/>
      <x:c r="H21" s="18"/>
      <x:c r="I21" s="25" t="str">
        <x:f>IF(H21="","",SWITCH(H21,"FE-EL-SN-001",0.00055,"FE-DIESEL-001",0.00268,"FE-GASOLINE-001",0.00231,"FE-WASTE-CH4-001",0.0009,"FE-LPG-001",0.00299,""))</x:f>
      </x:c>
      <x:c r="J21" s="18" t="str">
        <x:f>IF(H21="","",SWITCH(H21,"FE-EL-SN-001","tCO2e/kWh","FE-DIESEL-001","tCO2e/litre","FE-GASOLINE-001","tCO2e/litre","FE-WASTE-CH4-001","tCH4/tonne","FE-LPG-001","tCO2e/kg",""))</x:f>
      </x:c>
      <x:c r="K21" s="24" t="str">
        <x:f>IF(H21="","",IF(H21="FE-WASTE-CH4-001",28,1))</x:f>
      </x:c>
      <x:c r="L21" s="24" t="str">
        <x:f>IF(A21="","",IFERROR(F21*I21*K21,""))</x:f>
      </x:c>
      <x:c r="M21" s="18"/>
      <x:c r="N21" s="18"/>
      <x:c r="O21" s="20"/>
      <x:c r="P21" s="18"/>
      <x:c r="Q21" s="18" t="str">
        <x:f>IF(A21="","",IF(OR(F21="",H21="",M21="",N21="D - Faible"),"Donnees manquantes","OK"))</x:f>
      </x:c>
    </x:row>
    <x:row r="22">
      <x:c r="A22" s="18"/>
      <x:c r="B22" s="18"/>
      <x:c r="C22" s="18"/>
      <x:c r="D22" s="18"/>
      <x:c r="E22" s="18"/>
      <x:c r="F22" s="24"/>
      <x:c r="G22" s="18"/>
      <x:c r="H22" s="18"/>
      <x:c r="I22" s="25" t="str">
        <x:f>IF(H22="","",SWITCH(H22,"FE-EL-SN-001",0.00055,"FE-DIESEL-001",0.00268,"FE-GASOLINE-001",0.00231,"FE-WASTE-CH4-001",0.0009,"FE-LPG-001",0.00299,""))</x:f>
      </x:c>
      <x:c r="J22" s="18" t="str">
        <x:f>IF(H22="","",SWITCH(H22,"FE-EL-SN-001","tCO2e/kWh","FE-DIESEL-001","tCO2e/litre","FE-GASOLINE-001","tCO2e/litre","FE-WASTE-CH4-001","tCH4/tonne","FE-LPG-001","tCO2e/kg",""))</x:f>
      </x:c>
      <x:c r="K22" s="24" t="str">
        <x:f>IF(H22="","",IF(H22="FE-WASTE-CH4-001",28,1))</x:f>
      </x:c>
      <x:c r="L22" s="24" t="str">
        <x:f>IF(A22="","",IFERROR(F22*I22*K22,""))</x:f>
      </x:c>
      <x:c r="M22" s="18"/>
      <x:c r="N22" s="18"/>
      <x:c r="O22" s="20"/>
      <x:c r="P22" s="18"/>
      <x:c r="Q22" s="18" t="str">
        <x:f>IF(A22="","",IF(OR(F22="",H22="",M22="",N22="D - Faible"),"Donnees manquantes","OK"))</x:f>
      </x:c>
    </x:row>
    <x:row r="23">
      <x:c r="A23" s="18"/>
      <x:c r="B23" s="18"/>
      <x:c r="C23" s="18"/>
      <x:c r="D23" s="18"/>
      <x:c r="E23" s="18"/>
      <x:c r="F23" s="24"/>
      <x:c r="G23" s="18"/>
      <x:c r="H23" s="18"/>
      <x:c r="I23" s="25" t="str">
        <x:f>IF(H23="","",SWITCH(H23,"FE-EL-SN-001",0.00055,"FE-DIESEL-001",0.00268,"FE-GASOLINE-001",0.00231,"FE-WASTE-CH4-001",0.0009,"FE-LPG-001",0.00299,""))</x:f>
      </x:c>
      <x:c r="J23" s="18" t="str">
        <x:f>IF(H23="","",SWITCH(H23,"FE-EL-SN-001","tCO2e/kWh","FE-DIESEL-001","tCO2e/litre","FE-GASOLINE-001","tCO2e/litre","FE-WASTE-CH4-001","tCH4/tonne","FE-LPG-001","tCO2e/kg",""))</x:f>
      </x:c>
      <x:c r="K23" s="24" t="str">
        <x:f>IF(H23="","",IF(H23="FE-WASTE-CH4-001",28,1))</x:f>
      </x:c>
      <x:c r="L23" s="24" t="str">
        <x:f>IF(A23="","",IFERROR(F23*I23*K23,""))</x:f>
      </x:c>
      <x:c r="M23" s="18"/>
      <x:c r="N23" s="18"/>
      <x:c r="O23" s="20"/>
      <x:c r="P23" s="18"/>
      <x:c r="Q23" s="18" t="str">
        <x:f>IF(A23="","",IF(OR(F23="",H23="",M23="",N23="D - Faible"),"Donnees manquantes","OK"))</x:f>
      </x:c>
    </x:row>
    <x:row r="24">
      <x:c r="A24" s="18"/>
      <x:c r="B24" s="18"/>
      <x:c r="C24" s="18"/>
      <x:c r="D24" s="18"/>
      <x:c r="E24" s="18"/>
      <x:c r="F24" s="24"/>
      <x:c r="G24" s="18"/>
      <x:c r="H24" s="18"/>
      <x:c r="I24" s="25" t="str">
        <x:f>IF(H24="","",SWITCH(H24,"FE-EL-SN-001",0.00055,"FE-DIESEL-001",0.00268,"FE-GASOLINE-001",0.00231,"FE-WASTE-CH4-001",0.0009,"FE-LPG-001",0.00299,""))</x:f>
      </x:c>
      <x:c r="J24" s="18" t="str">
        <x:f>IF(H24="","",SWITCH(H24,"FE-EL-SN-001","tCO2e/kWh","FE-DIESEL-001","tCO2e/litre","FE-GASOLINE-001","tCO2e/litre","FE-WASTE-CH4-001","tCH4/tonne","FE-LPG-001","tCO2e/kg",""))</x:f>
      </x:c>
      <x:c r="K24" s="24" t="str">
        <x:f>IF(H24="","",IF(H24="FE-WASTE-CH4-001",28,1))</x:f>
      </x:c>
      <x:c r="L24" s="24" t="str">
        <x:f>IF(A24="","",IFERROR(F24*I24*K24,""))</x:f>
      </x:c>
      <x:c r="M24" s="18"/>
      <x:c r="N24" s="18"/>
      <x:c r="O24" s="20"/>
      <x:c r="P24" s="18"/>
      <x:c r="Q24" s="18" t="str">
        <x:f>IF(A24="","",IF(OR(F24="",H24="",M24="",N24="D - Faible"),"Donnees manquantes","OK"))</x:f>
      </x:c>
    </x:row>
    <x:row r="25">
      <x:c r="A25" s="18"/>
      <x:c r="B25" s="18"/>
      <x:c r="C25" s="18"/>
      <x:c r="D25" s="18"/>
      <x:c r="E25" s="18"/>
      <x:c r="F25" s="24"/>
      <x:c r="G25" s="18"/>
      <x:c r="H25" s="18"/>
      <x:c r="I25" s="25" t="str">
        <x:f>IF(H25="","",SWITCH(H25,"FE-EL-SN-001",0.00055,"FE-DIESEL-001",0.00268,"FE-GASOLINE-001",0.00231,"FE-WASTE-CH4-001",0.0009,"FE-LPG-001",0.00299,""))</x:f>
      </x:c>
      <x:c r="J25" s="18" t="str">
        <x:f>IF(H25="","",SWITCH(H25,"FE-EL-SN-001","tCO2e/kWh","FE-DIESEL-001","tCO2e/litre","FE-GASOLINE-001","tCO2e/litre","FE-WASTE-CH4-001","tCH4/tonne","FE-LPG-001","tCO2e/kg",""))</x:f>
      </x:c>
      <x:c r="K25" s="24" t="str">
        <x:f>IF(H25="","",IF(H25="FE-WASTE-CH4-001",28,1))</x:f>
      </x:c>
      <x:c r="L25" s="24" t="str">
        <x:f>IF(A25="","",IFERROR(F25*I25*K25,""))</x:f>
      </x:c>
      <x:c r="M25" s="18"/>
      <x:c r="N25" s="18"/>
      <x:c r="O25" s="20"/>
      <x:c r="P25" s="18"/>
      <x:c r="Q25" s="18" t="str">
        <x:f>IF(A25="","",IF(OR(F25="",H25="",M25="",N25="D - Faible"),"Donnees manquantes","OK"))</x:f>
      </x:c>
    </x:row>
    <x:row r="26">
      <x:c r="A26" s="18"/>
      <x:c r="B26" s="18"/>
      <x:c r="C26" s="18"/>
      <x:c r="D26" s="18"/>
      <x:c r="E26" s="18"/>
      <x:c r="F26" s="24"/>
      <x:c r="G26" s="18"/>
      <x:c r="H26" s="18"/>
      <x:c r="I26" s="25" t="str">
        <x:f>IF(H26="","",SWITCH(H26,"FE-EL-SN-001",0.00055,"FE-DIESEL-001",0.00268,"FE-GASOLINE-001",0.00231,"FE-WASTE-CH4-001",0.0009,"FE-LPG-001",0.00299,""))</x:f>
      </x:c>
      <x:c r="J26" s="18" t="str">
        <x:f>IF(H26="","",SWITCH(H26,"FE-EL-SN-001","tCO2e/kWh","FE-DIESEL-001","tCO2e/litre","FE-GASOLINE-001","tCO2e/litre","FE-WASTE-CH4-001","tCH4/tonne","FE-LPG-001","tCO2e/kg",""))</x:f>
      </x:c>
      <x:c r="K26" s="24" t="str">
        <x:f>IF(H26="","",IF(H26="FE-WASTE-CH4-001",28,1))</x:f>
      </x:c>
      <x:c r="L26" s="24" t="str">
        <x:f>IF(A26="","",IFERROR(F26*I26*K26,""))</x:f>
      </x:c>
      <x:c r="M26" s="18"/>
      <x:c r="N26" s="18"/>
      <x:c r="O26" s="20"/>
      <x:c r="P26" s="18"/>
      <x:c r="Q26" s="18" t="str">
        <x:f>IF(A26="","",IF(OR(F26="",H26="",M26="",N26="D - Faible"),"Donnees manquantes","OK"))</x:f>
      </x:c>
    </x:row>
    <x:row r="27">
      <x:c r="A27" s="18"/>
      <x:c r="B27" s="18"/>
      <x:c r="C27" s="18"/>
      <x:c r="D27" s="18"/>
      <x:c r="E27" s="18"/>
      <x:c r="F27" s="24"/>
      <x:c r="G27" s="18"/>
      <x:c r="H27" s="18"/>
      <x:c r="I27" s="25" t="str">
        <x:f>IF(H27="","",SWITCH(H27,"FE-EL-SN-001",0.00055,"FE-DIESEL-001",0.00268,"FE-GASOLINE-001",0.00231,"FE-WASTE-CH4-001",0.0009,"FE-LPG-001",0.00299,""))</x:f>
      </x:c>
      <x:c r="J27" s="18" t="str">
        <x:f>IF(H27="","",SWITCH(H27,"FE-EL-SN-001","tCO2e/kWh","FE-DIESEL-001","tCO2e/litre","FE-GASOLINE-001","tCO2e/litre","FE-WASTE-CH4-001","tCH4/tonne","FE-LPG-001","tCO2e/kg",""))</x:f>
      </x:c>
      <x:c r="K27" s="24" t="str">
        <x:f>IF(H27="","",IF(H27="FE-WASTE-CH4-001",28,1))</x:f>
      </x:c>
      <x:c r="L27" s="24" t="str">
        <x:f>IF(A27="","",IFERROR(F27*I27*K27,""))</x:f>
      </x:c>
      <x:c r="M27" s="18"/>
      <x:c r="N27" s="18"/>
      <x:c r="O27" s="20"/>
      <x:c r="P27" s="18"/>
      <x:c r="Q27" s="18" t="str">
        <x:f>IF(A27="","",IF(OR(F27="",H27="",M27="",N27="D - Faible"),"Donnees manquantes","OK"))</x:f>
      </x:c>
    </x:row>
    <x:row r="28">
      <x:c r="A28" s="18"/>
      <x:c r="B28" s="18"/>
      <x:c r="C28" s="18"/>
      <x:c r="D28" s="18"/>
      <x:c r="E28" s="18"/>
      <x:c r="F28" s="24"/>
      <x:c r="G28" s="18"/>
      <x:c r="H28" s="18"/>
      <x:c r="I28" s="25" t="str">
        <x:f>IF(H28="","",SWITCH(H28,"FE-EL-SN-001",0.00055,"FE-DIESEL-001",0.00268,"FE-GASOLINE-001",0.00231,"FE-WASTE-CH4-001",0.0009,"FE-LPG-001",0.00299,""))</x:f>
      </x:c>
      <x:c r="J28" s="18" t="str">
        <x:f>IF(H28="","",SWITCH(H28,"FE-EL-SN-001","tCO2e/kWh","FE-DIESEL-001","tCO2e/litre","FE-GASOLINE-001","tCO2e/litre","FE-WASTE-CH4-001","tCH4/tonne","FE-LPG-001","tCO2e/kg",""))</x:f>
      </x:c>
      <x:c r="K28" s="24" t="str">
        <x:f>IF(H28="","",IF(H28="FE-WASTE-CH4-001",28,1))</x:f>
      </x:c>
      <x:c r="L28" s="24" t="str">
        <x:f>IF(A28="","",IFERROR(F28*I28*K28,""))</x:f>
      </x:c>
      <x:c r="M28" s="18"/>
      <x:c r="N28" s="18"/>
      <x:c r="O28" s="20"/>
      <x:c r="P28" s="18"/>
      <x:c r="Q28" s="18" t="str">
        <x:f>IF(A28="","",IF(OR(F28="",H28="",M28="",N28="D - Faible"),"Donnees manquantes","OK"))</x:f>
      </x:c>
    </x:row>
    <x:row r="29">
      <x:c r="A29" s="18"/>
      <x:c r="B29" s="18"/>
      <x:c r="C29" s="18"/>
      <x:c r="D29" s="18"/>
      <x:c r="E29" s="18"/>
      <x:c r="F29" s="24"/>
      <x:c r="G29" s="18"/>
      <x:c r="H29" s="18"/>
      <x:c r="I29" s="25" t="str">
        <x:f>IF(H29="","",SWITCH(H29,"FE-EL-SN-001",0.00055,"FE-DIESEL-001",0.00268,"FE-GASOLINE-001",0.00231,"FE-WASTE-CH4-001",0.0009,"FE-LPG-001",0.00299,""))</x:f>
      </x:c>
      <x:c r="J29" s="18" t="str">
        <x:f>IF(H29="","",SWITCH(H29,"FE-EL-SN-001","tCO2e/kWh","FE-DIESEL-001","tCO2e/litre","FE-GASOLINE-001","tCO2e/litre","FE-WASTE-CH4-001","tCH4/tonne","FE-LPG-001","tCO2e/kg",""))</x:f>
      </x:c>
      <x:c r="K29" s="24" t="str">
        <x:f>IF(H29="","",IF(H29="FE-WASTE-CH4-001",28,1))</x:f>
      </x:c>
      <x:c r="L29" s="24" t="str">
        <x:f>IF(A29="","",IFERROR(F29*I29*K29,""))</x:f>
      </x:c>
      <x:c r="M29" s="18"/>
      <x:c r="N29" s="18"/>
      <x:c r="O29" s="20"/>
      <x:c r="P29" s="18"/>
      <x:c r="Q29" s="18" t="str">
        <x:f>IF(A29="","",IF(OR(F29="",H29="",M29="",N29="D - Faible"),"Donnees manquantes","OK"))</x:f>
      </x:c>
    </x:row>
    <x:row r="30">
      <x:c r="A30" s="18"/>
      <x:c r="B30" s="18"/>
      <x:c r="C30" s="18"/>
      <x:c r="D30" s="18"/>
      <x:c r="E30" s="18"/>
      <x:c r="F30" s="24"/>
      <x:c r="G30" s="18"/>
      <x:c r="H30" s="18"/>
      <x:c r="I30" s="25" t="str">
        <x:f>IF(H30="","",SWITCH(H30,"FE-EL-SN-001",0.00055,"FE-DIESEL-001",0.00268,"FE-GASOLINE-001",0.00231,"FE-WASTE-CH4-001",0.0009,"FE-LPG-001",0.00299,""))</x:f>
      </x:c>
      <x:c r="J30" s="18" t="str">
        <x:f>IF(H30="","",SWITCH(H30,"FE-EL-SN-001","tCO2e/kWh","FE-DIESEL-001","tCO2e/litre","FE-GASOLINE-001","tCO2e/litre","FE-WASTE-CH4-001","tCH4/tonne","FE-LPG-001","tCO2e/kg",""))</x:f>
      </x:c>
      <x:c r="K30" s="24" t="str">
        <x:f>IF(H30="","",IF(H30="FE-WASTE-CH4-001",28,1))</x:f>
      </x:c>
      <x:c r="L30" s="24" t="str">
        <x:f>IF(A30="","",IFERROR(F30*I30*K30,""))</x:f>
      </x:c>
      <x:c r="M30" s="18"/>
      <x:c r="N30" s="18"/>
      <x:c r="O30" s="20"/>
      <x:c r="P30" s="18"/>
      <x:c r="Q30" s="18" t="str">
        <x:f>IF(A30="","",IF(OR(F30="",H30="",M30="",N30="D - Faible"),"Donnees manquantes","OK"))</x:f>
      </x:c>
    </x:row>
    <x:row r="31">
      <x:c r="A31" s="18"/>
      <x:c r="B31" s="18"/>
      <x:c r="C31" s="18"/>
      <x:c r="D31" s="18"/>
      <x:c r="E31" s="18"/>
      <x:c r="F31" s="24"/>
      <x:c r="G31" s="18"/>
      <x:c r="H31" s="18"/>
      <x:c r="I31" s="25" t="str">
        <x:f>IF(H31="","",SWITCH(H31,"FE-EL-SN-001",0.00055,"FE-DIESEL-001",0.00268,"FE-GASOLINE-001",0.00231,"FE-WASTE-CH4-001",0.0009,"FE-LPG-001",0.00299,""))</x:f>
      </x:c>
      <x:c r="J31" s="18" t="str">
        <x:f>IF(H31="","",SWITCH(H31,"FE-EL-SN-001","tCO2e/kWh","FE-DIESEL-001","tCO2e/litre","FE-GASOLINE-001","tCO2e/litre","FE-WASTE-CH4-001","tCH4/tonne","FE-LPG-001","tCO2e/kg",""))</x:f>
      </x:c>
      <x:c r="K31" s="24" t="str">
        <x:f>IF(H31="","",IF(H31="FE-WASTE-CH4-001",28,1))</x:f>
      </x:c>
      <x:c r="L31" s="24" t="str">
        <x:f>IF(A31="","",IFERROR(F31*I31*K31,""))</x:f>
      </x:c>
      <x:c r="M31" s="18"/>
      <x:c r="N31" s="18"/>
      <x:c r="O31" s="20"/>
      <x:c r="P31" s="18"/>
      <x:c r="Q31" s="18" t="str">
        <x:f>IF(A31="","",IF(OR(F31="",H31="",M31="",N31="D - Faible"),"Donnees manquantes","OK"))</x:f>
      </x:c>
    </x:row>
    <x:row r="32">
      <x:c r="A32" s="18"/>
      <x:c r="B32" s="18"/>
      <x:c r="C32" s="18"/>
      <x:c r="D32" s="18"/>
      <x:c r="E32" s="18"/>
      <x:c r="F32" s="24"/>
      <x:c r="G32" s="18"/>
      <x:c r="H32" s="18"/>
      <x:c r="I32" s="25" t="str">
        <x:f>IF(H32="","",SWITCH(H32,"FE-EL-SN-001",0.00055,"FE-DIESEL-001",0.00268,"FE-GASOLINE-001",0.00231,"FE-WASTE-CH4-001",0.0009,"FE-LPG-001",0.00299,""))</x:f>
      </x:c>
      <x:c r="J32" s="18" t="str">
        <x:f>IF(H32="","",SWITCH(H32,"FE-EL-SN-001","tCO2e/kWh","FE-DIESEL-001","tCO2e/litre","FE-GASOLINE-001","tCO2e/litre","FE-WASTE-CH4-001","tCH4/tonne","FE-LPG-001","tCO2e/kg",""))</x:f>
      </x:c>
      <x:c r="K32" s="24" t="str">
        <x:f>IF(H32="","",IF(H32="FE-WASTE-CH4-001",28,1))</x:f>
      </x:c>
      <x:c r="L32" s="24" t="str">
        <x:f>IF(A32="","",IFERROR(F32*I32*K32,""))</x:f>
      </x:c>
      <x:c r="M32" s="18"/>
      <x:c r="N32" s="18"/>
      <x:c r="O32" s="20"/>
      <x:c r="P32" s="18"/>
      <x:c r="Q32" s="18" t="str">
        <x:f>IF(A32="","",IF(OR(F32="",H32="",M32="",N32="D - Faible"),"Donnees manquantes","OK"))</x:f>
      </x:c>
    </x:row>
    <x:row r="33">
      <x:c r="A33" s="18"/>
      <x:c r="B33" s="18"/>
      <x:c r="C33" s="18"/>
      <x:c r="D33" s="18"/>
      <x:c r="E33" s="18"/>
      <x:c r="F33" s="24"/>
      <x:c r="G33" s="18"/>
      <x:c r="H33" s="18"/>
      <x:c r="I33" s="25" t="str">
        <x:f>IF(H33="","",SWITCH(H33,"FE-EL-SN-001",0.00055,"FE-DIESEL-001",0.00268,"FE-GASOLINE-001",0.00231,"FE-WASTE-CH4-001",0.0009,"FE-LPG-001",0.00299,""))</x:f>
      </x:c>
      <x:c r="J33" s="18" t="str">
        <x:f>IF(H33="","",SWITCH(H33,"FE-EL-SN-001","tCO2e/kWh","FE-DIESEL-001","tCO2e/litre","FE-GASOLINE-001","tCO2e/litre","FE-WASTE-CH4-001","tCH4/tonne","FE-LPG-001","tCO2e/kg",""))</x:f>
      </x:c>
      <x:c r="K33" s="24" t="str">
        <x:f>IF(H33="","",IF(H33="FE-WASTE-CH4-001",28,1))</x:f>
      </x:c>
      <x:c r="L33" s="24" t="str">
        <x:f>IF(A33="","",IFERROR(F33*I33*K33,""))</x:f>
      </x:c>
      <x:c r="M33" s="18"/>
      <x:c r="N33" s="18"/>
      <x:c r="O33" s="20"/>
      <x:c r="P33" s="18"/>
      <x:c r="Q33" s="18" t="str">
        <x:f>IF(A33="","",IF(OR(F33="",H33="",M33="",N33="D - Faible"),"Donnees manquantes","OK"))</x:f>
      </x:c>
    </x:row>
    <x:row r="34">
      <x:c r="A34" s="18"/>
      <x:c r="B34" s="18"/>
      <x:c r="C34" s="18"/>
      <x:c r="D34" s="18"/>
      <x:c r="E34" s="18"/>
      <x:c r="F34" s="24"/>
      <x:c r="G34" s="18"/>
      <x:c r="H34" s="18"/>
      <x:c r="I34" s="25" t="str">
        <x:f>IF(H34="","",SWITCH(H34,"FE-EL-SN-001",0.00055,"FE-DIESEL-001",0.00268,"FE-GASOLINE-001",0.00231,"FE-WASTE-CH4-001",0.0009,"FE-LPG-001",0.00299,""))</x:f>
      </x:c>
      <x:c r="J34" s="18" t="str">
        <x:f>IF(H34="","",SWITCH(H34,"FE-EL-SN-001","tCO2e/kWh","FE-DIESEL-001","tCO2e/litre","FE-GASOLINE-001","tCO2e/litre","FE-WASTE-CH4-001","tCH4/tonne","FE-LPG-001","tCO2e/kg",""))</x:f>
      </x:c>
      <x:c r="K34" s="24" t="str">
        <x:f>IF(H34="","",IF(H34="FE-WASTE-CH4-001",28,1))</x:f>
      </x:c>
      <x:c r="L34" s="24" t="str">
        <x:f>IF(A34="","",IFERROR(F34*I34*K34,""))</x:f>
      </x:c>
      <x:c r="M34" s="18"/>
      <x:c r="N34" s="18"/>
      <x:c r="O34" s="20"/>
      <x:c r="P34" s="18"/>
      <x:c r="Q34" s="18" t="str">
        <x:f>IF(A34="","",IF(OR(F34="",H34="",M34="",N34="D - Faible"),"Donnees manquantes","OK"))</x:f>
      </x:c>
    </x:row>
    <x:row r="35">
      <x:c r="A35" s="18"/>
      <x:c r="B35" s="18"/>
      <x:c r="C35" s="18"/>
      <x:c r="D35" s="18"/>
      <x:c r="E35" s="18"/>
      <x:c r="F35" s="24"/>
      <x:c r="G35" s="18"/>
      <x:c r="H35" s="18"/>
      <x:c r="I35" s="25" t="str">
        <x:f>IF(H35="","",SWITCH(H35,"FE-EL-SN-001",0.00055,"FE-DIESEL-001",0.00268,"FE-GASOLINE-001",0.00231,"FE-WASTE-CH4-001",0.0009,"FE-LPG-001",0.00299,""))</x:f>
      </x:c>
      <x:c r="J35" s="18" t="str">
        <x:f>IF(H35="","",SWITCH(H35,"FE-EL-SN-001","tCO2e/kWh","FE-DIESEL-001","tCO2e/litre","FE-GASOLINE-001","tCO2e/litre","FE-WASTE-CH4-001","tCH4/tonne","FE-LPG-001","tCO2e/kg",""))</x:f>
      </x:c>
      <x:c r="K35" s="24" t="str">
        <x:f>IF(H35="","",IF(H35="FE-WASTE-CH4-001",28,1))</x:f>
      </x:c>
      <x:c r="L35" s="24" t="str">
        <x:f>IF(A35="","",IFERROR(F35*I35*K35,""))</x:f>
      </x:c>
      <x:c r="M35" s="18"/>
      <x:c r="N35" s="18"/>
      <x:c r="O35" s="20"/>
      <x:c r="P35" s="18"/>
      <x:c r="Q35" s="18" t="str">
        <x:f>IF(A35="","",IF(OR(F35="",H35="",M35="",N35="D - Faible"),"Donnees manquantes","OK"))</x:f>
      </x:c>
    </x:row>
    <x:row r="36">
      <x:c r="A36" s="18"/>
      <x:c r="B36" s="18"/>
      <x:c r="C36" s="18"/>
      <x:c r="D36" s="18"/>
      <x:c r="E36" s="18"/>
      <x:c r="F36" s="24"/>
      <x:c r="G36" s="18"/>
      <x:c r="H36" s="18"/>
      <x:c r="I36" s="25" t="str">
        <x:f>IF(H36="","",SWITCH(H36,"FE-EL-SN-001",0.00055,"FE-DIESEL-001",0.00268,"FE-GASOLINE-001",0.00231,"FE-WASTE-CH4-001",0.0009,"FE-LPG-001",0.00299,""))</x:f>
      </x:c>
      <x:c r="J36" s="18" t="str">
        <x:f>IF(H36="","",SWITCH(H36,"FE-EL-SN-001","tCO2e/kWh","FE-DIESEL-001","tCO2e/litre","FE-GASOLINE-001","tCO2e/litre","FE-WASTE-CH4-001","tCH4/tonne","FE-LPG-001","tCO2e/kg",""))</x:f>
      </x:c>
      <x:c r="K36" s="24" t="str">
        <x:f>IF(H36="","",IF(H36="FE-WASTE-CH4-001",28,1))</x:f>
      </x:c>
      <x:c r="L36" s="24" t="str">
        <x:f>IF(A36="","",IFERROR(F36*I36*K36,""))</x:f>
      </x:c>
      <x:c r="M36" s="18"/>
      <x:c r="N36" s="18"/>
      <x:c r="O36" s="20"/>
      <x:c r="P36" s="18"/>
      <x:c r="Q36" s="18" t="str">
        <x:f>IF(A36="","",IF(OR(F36="",H36="",M36="",N36="D - Faible"),"Donnees manquantes","OK"))</x:f>
      </x:c>
    </x:row>
    <x:row r="37">
      <x:c r="A37" s="18"/>
      <x:c r="B37" s="18"/>
      <x:c r="C37" s="18"/>
      <x:c r="D37" s="18"/>
      <x:c r="E37" s="18"/>
      <x:c r="F37" s="24"/>
      <x:c r="G37" s="18"/>
      <x:c r="H37" s="18"/>
      <x:c r="I37" s="25" t="str">
        <x:f>IF(H37="","",SWITCH(H37,"FE-EL-SN-001",0.00055,"FE-DIESEL-001",0.00268,"FE-GASOLINE-001",0.00231,"FE-WASTE-CH4-001",0.0009,"FE-LPG-001",0.00299,""))</x:f>
      </x:c>
      <x:c r="J37" s="18" t="str">
        <x:f>IF(H37="","",SWITCH(H37,"FE-EL-SN-001","tCO2e/kWh","FE-DIESEL-001","tCO2e/litre","FE-GASOLINE-001","tCO2e/litre","FE-WASTE-CH4-001","tCH4/tonne","FE-LPG-001","tCO2e/kg",""))</x:f>
      </x:c>
      <x:c r="K37" s="24" t="str">
        <x:f>IF(H37="","",IF(H37="FE-WASTE-CH4-001",28,1))</x:f>
      </x:c>
      <x:c r="L37" s="24" t="str">
        <x:f>IF(A37="","",IFERROR(F37*I37*K37,""))</x:f>
      </x:c>
      <x:c r="M37" s="18"/>
      <x:c r="N37" s="18"/>
      <x:c r="O37" s="20"/>
      <x:c r="P37" s="18"/>
      <x:c r="Q37" s="18" t="str">
        <x:f>IF(A37="","",IF(OR(F37="",H37="",M37="",N37="D - Faible"),"Donnees manquantes","OK"))</x:f>
      </x:c>
    </x:row>
    <x:row r="38">
      <x:c r="A38" s="18"/>
      <x:c r="B38" s="18"/>
      <x:c r="C38" s="18"/>
      <x:c r="D38" s="18"/>
      <x:c r="E38" s="18"/>
      <x:c r="F38" s="24"/>
      <x:c r="G38" s="18"/>
      <x:c r="H38" s="18"/>
      <x:c r="I38" s="25" t="str">
        <x:f>IF(H38="","",SWITCH(H38,"FE-EL-SN-001",0.00055,"FE-DIESEL-001",0.00268,"FE-GASOLINE-001",0.00231,"FE-WASTE-CH4-001",0.0009,"FE-LPG-001",0.00299,""))</x:f>
      </x:c>
      <x:c r="J38" s="18" t="str">
        <x:f>IF(H38="","",SWITCH(H38,"FE-EL-SN-001","tCO2e/kWh","FE-DIESEL-001","tCO2e/litre","FE-GASOLINE-001","tCO2e/litre","FE-WASTE-CH4-001","tCH4/tonne","FE-LPG-001","tCO2e/kg",""))</x:f>
      </x:c>
      <x:c r="K38" s="24" t="str">
        <x:f>IF(H38="","",IF(H38="FE-WASTE-CH4-001",28,1))</x:f>
      </x:c>
      <x:c r="L38" s="24" t="str">
        <x:f>IF(A38="","",IFERROR(F38*I38*K38,""))</x:f>
      </x:c>
      <x:c r="M38" s="18"/>
      <x:c r="N38" s="18"/>
      <x:c r="O38" s="20"/>
      <x:c r="P38" s="18"/>
      <x:c r="Q38" s="18" t="str">
        <x:f>IF(A38="","",IF(OR(F38="",H38="",M38="",N38="D - Faible"),"Donnees manquantes","OK"))</x:f>
      </x:c>
    </x:row>
    <x:row r="39">
      <x:c r="A39" s="18"/>
      <x:c r="B39" s="18"/>
      <x:c r="C39" s="18"/>
      <x:c r="D39" s="18"/>
      <x:c r="E39" s="18"/>
      <x:c r="F39" s="24"/>
      <x:c r="G39" s="18"/>
      <x:c r="H39" s="18"/>
      <x:c r="I39" s="25" t="str">
        <x:f>IF(H39="","",SWITCH(H39,"FE-EL-SN-001",0.00055,"FE-DIESEL-001",0.00268,"FE-GASOLINE-001",0.00231,"FE-WASTE-CH4-001",0.0009,"FE-LPG-001",0.00299,""))</x:f>
      </x:c>
      <x:c r="J39" s="18" t="str">
        <x:f>IF(H39="","",SWITCH(H39,"FE-EL-SN-001","tCO2e/kWh","FE-DIESEL-001","tCO2e/litre","FE-GASOLINE-001","tCO2e/litre","FE-WASTE-CH4-001","tCH4/tonne","FE-LPG-001","tCO2e/kg",""))</x:f>
      </x:c>
      <x:c r="K39" s="24" t="str">
        <x:f>IF(H39="","",IF(H39="FE-WASTE-CH4-001",28,1))</x:f>
      </x:c>
      <x:c r="L39" s="24" t="str">
        <x:f>IF(A39="","",IFERROR(F39*I39*K39,""))</x:f>
      </x:c>
      <x:c r="M39" s="18"/>
      <x:c r="N39" s="18"/>
      <x:c r="O39" s="20"/>
      <x:c r="P39" s="18"/>
      <x:c r="Q39" s="18" t="str">
        <x:f>IF(A39="","",IF(OR(F39="",H39="",M39="",N39="D - Faible"),"Donnees manquantes","OK"))</x:f>
      </x:c>
    </x:row>
    <x:row r="40">
      <x:c r="A40" s="18"/>
      <x:c r="B40" s="18"/>
      <x:c r="C40" s="18"/>
      <x:c r="D40" s="18"/>
      <x:c r="E40" s="18"/>
      <x:c r="F40" s="24"/>
      <x:c r="G40" s="18"/>
      <x:c r="H40" s="18"/>
      <x:c r="I40" s="25" t="str">
        <x:f>IF(H40="","",SWITCH(H40,"FE-EL-SN-001",0.00055,"FE-DIESEL-001",0.00268,"FE-GASOLINE-001",0.00231,"FE-WASTE-CH4-001",0.0009,"FE-LPG-001",0.00299,""))</x:f>
      </x:c>
      <x:c r="J40" s="18" t="str">
        <x:f>IF(H40="","",SWITCH(H40,"FE-EL-SN-001","tCO2e/kWh","FE-DIESEL-001","tCO2e/litre","FE-GASOLINE-001","tCO2e/litre","FE-WASTE-CH4-001","tCH4/tonne","FE-LPG-001","tCO2e/kg",""))</x:f>
      </x:c>
      <x:c r="K40" s="24" t="str">
        <x:f>IF(H40="","",IF(H40="FE-WASTE-CH4-001",28,1))</x:f>
      </x:c>
      <x:c r="L40" s="24" t="str">
        <x:f>IF(A40="","",IFERROR(F40*I40*K40,""))</x:f>
      </x:c>
      <x:c r="M40" s="18"/>
      <x:c r="N40" s="18"/>
      <x:c r="O40" s="20"/>
      <x:c r="P40" s="18"/>
      <x:c r="Q40" s="18" t="str">
        <x:f>IF(A40="","",IF(OR(F40="",H40="",M40="",N40="D - Faible"),"Donnees manquantes","OK"))</x:f>
      </x:c>
    </x:row>
    <x:row r="41">
      <x:c r="A41" s="18"/>
      <x:c r="B41" s="18"/>
      <x:c r="C41" s="18"/>
      <x:c r="D41" s="18"/>
      <x:c r="E41" s="18"/>
      <x:c r="F41" s="24"/>
      <x:c r="G41" s="18"/>
      <x:c r="H41" s="18"/>
      <x:c r="I41" s="25" t="str">
        <x:f>IF(H41="","",SWITCH(H41,"FE-EL-SN-001",0.00055,"FE-DIESEL-001",0.00268,"FE-GASOLINE-001",0.00231,"FE-WASTE-CH4-001",0.0009,"FE-LPG-001",0.00299,""))</x:f>
      </x:c>
      <x:c r="J41" s="18" t="str">
        <x:f>IF(H41="","",SWITCH(H41,"FE-EL-SN-001","tCO2e/kWh","FE-DIESEL-001","tCO2e/litre","FE-GASOLINE-001","tCO2e/litre","FE-WASTE-CH4-001","tCH4/tonne","FE-LPG-001","tCO2e/kg",""))</x:f>
      </x:c>
      <x:c r="K41" s="24" t="str">
        <x:f>IF(H41="","",IF(H41="FE-WASTE-CH4-001",28,1))</x:f>
      </x:c>
      <x:c r="L41" s="24" t="str">
        <x:f>IF(A41="","",IFERROR(F41*I41*K41,""))</x:f>
      </x:c>
      <x:c r="M41" s="18"/>
      <x:c r="N41" s="18"/>
      <x:c r="O41" s="20"/>
      <x:c r="P41" s="18"/>
      <x:c r="Q41" s="18" t="str">
        <x:f>IF(A41="","",IF(OR(F41="",H41="",M41="",N41="D - Faible"),"Donnees manquantes","OK"))</x:f>
      </x:c>
    </x:row>
    <x:row r="42">
      <x:c r="A42" s="18"/>
      <x:c r="B42" s="18"/>
      <x:c r="C42" s="18"/>
      <x:c r="D42" s="18"/>
      <x:c r="E42" s="18"/>
      <x:c r="F42" s="24"/>
      <x:c r="G42" s="18"/>
      <x:c r="H42" s="18"/>
      <x:c r="I42" s="25" t="str">
        <x:f>IF(H42="","",SWITCH(H42,"FE-EL-SN-001",0.00055,"FE-DIESEL-001",0.00268,"FE-GASOLINE-001",0.00231,"FE-WASTE-CH4-001",0.0009,"FE-LPG-001",0.00299,""))</x:f>
      </x:c>
      <x:c r="J42" s="18" t="str">
        <x:f>IF(H42="","",SWITCH(H42,"FE-EL-SN-001","tCO2e/kWh","FE-DIESEL-001","tCO2e/litre","FE-GASOLINE-001","tCO2e/litre","FE-WASTE-CH4-001","tCH4/tonne","FE-LPG-001","tCO2e/kg",""))</x:f>
      </x:c>
      <x:c r="K42" s="24" t="str">
        <x:f>IF(H42="","",IF(H42="FE-WASTE-CH4-001",28,1))</x:f>
      </x:c>
      <x:c r="L42" s="24" t="str">
        <x:f>IF(A42="","",IFERROR(F42*I42*K42,""))</x:f>
      </x:c>
      <x:c r="M42" s="18"/>
      <x:c r="N42" s="18"/>
      <x:c r="O42" s="20"/>
      <x:c r="P42" s="18"/>
      <x:c r="Q42" s="18" t="str">
        <x:f>IF(A42="","",IF(OR(F42="",H42="",M42="",N42="D - Faible"),"Donnees manquantes","OK"))</x:f>
      </x:c>
    </x:row>
    <x:row r="43">
      <x:c r="A43" s="18"/>
      <x:c r="B43" s="18"/>
      <x:c r="C43" s="18"/>
      <x:c r="D43" s="18"/>
      <x:c r="E43" s="18"/>
      <x:c r="F43" s="24"/>
      <x:c r="G43" s="18"/>
      <x:c r="H43" s="18"/>
      <x:c r="I43" s="25" t="str">
        <x:f>IF(H43="","",SWITCH(H43,"FE-EL-SN-001",0.00055,"FE-DIESEL-001",0.00268,"FE-GASOLINE-001",0.00231,"FE-WASTE-CH4-001",0.0009,"FE-LPG-001",0.00299,""))</x:f>
      </x:c>
      <x:c r="J43" s="18" t="str">
        <x:f>IF(H43="","",SWITCH(H43,"FE-EL-SN-001","tCO2e/kWh","FE-DIESEL-001","tCO2e/litre","FE-GASOLINE-001","tCO2e/litre","FE-WASTE-CH4-001","tCH4/tonne","FE-LPG-001","tCO2e/kg",""))</x:f>
      </x:c>
      <x:c r="K43" s="24" t="str">
        <x:f>IF(H43="","",IF(H43="FE-WASTE-CH4-001",28,1))</x:f>
      </x:c>
      <x:c r="L43" s="24" t="str">
        <x:f>IF(A43="","",IFERROR(F43*I43*K43,""))</x:f>
      </x:c>
      <x:c r="M43" s="18"/>
      <x:c r="N43" s="18"/>
      <x:c r="O43" s="20"/>
      <x:c r="P43" s="18"/>
      <x:c r="Q43" s="18" t="str">
        <x:f>IF(A43="","",IF(OR(F43="",H43="",M43="",N43="D - Faible"),"Donnees manquantes","OK"))</x:f>
      </x:c>
    </x:row>
    <x:row r="44">
      <x:c r="A44" s="18"/>
      <x:c r="B44" s="18"/>
      <x:c r="C44" s="18"/>
      <x:c r="D44" s="18"/>
      <x:c r="E44" s="18"/>
      <x:c r="F44" s="24"/>
      <x:c r="G44" s="18"/>
      <x:c r="H44" s="18"/>
      <x:c r="I44" s="25" t="str">
        <x:f>IF(H44="","",SWITCH(H44,"FE-EL-SN-001",0.00055,"FE-DIESEL-001",0.00268,"FE-GASOLINE-001",0.00231,"FE-WASTE-CH4-001",0.0009,"FE-LPG-001",0.00299,""))</x:f>
      </x:c>
      <x:c r="J44" s="18" t="str">
        <x:f>IF(H44="","",SWITCH(H44,"FE-EL-SN-001","tCO2e/kWh","FE-DIESEL-001","tCO2e/litre","FE-GASOLINE-001","tCO2e/litre","FE-WASTE-CH4-001","tCH4/tonne","FE-LPG-001","tCO2e/kg",""))</x:f>
      </x:c>
      <x:c r="K44" s="24" t="str">
        <x:f>IF(H44="","",IF(H44="FE-WASTE-CH4-001",28,1))</x:f>
      </x:c>
      <x:c r="L44" s="24" t="str">
        <x:f>IF(A44="","",IFERROR(F44*I44*K44,""))</x:f>
      </x:c>
      <x:c r="M44" s="18"/>
      <x:c r="N44" s="18"/>
      <x:c r="O44" s="20"/>
      <x:c r="P44" s="18"/>
      <x:c r="Q44" s="18" t="str">
        <x:f>IF(A44="","",IF(OR(F44="",H44="",M44="",N44="D - Faible"),"Donnees manquantes","OK"))</x:f>
      </x:c>
    </x:row>
  </x:sheetData>
  <x:mergeCells>
    <x:mergeCell ref="A1:J1"/>
    <x:mergeCell ref="A2:J2"/>
  </x:mergeCells>
  <x:conditionalFormatting sqref="Q5:Q44">
    <x:cfRule type="containsText" dxfId="32" priority="1" operator="containsText" text="Retard"/>
    <x:cfRule type="containsText" dxfId="33" priority="2" operator="containsText" text="critique"/>
    <x:cfRule type="containsText" dxfId="34" priority="3" operator="containsText" text="manquant"/>
    <x:cfRule type="containsText" dxfId="35"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"Stationary energy,Transportation,Waste,IPPU,AFOLU,Other Scope 3"</x:formula1>
    </x:dataValidation>
    <x:dataValidation type="list" errorStyle="warning" showInputMessage="1" showErrorMessage="1" errorTitle="Valeur inattendue" error="Cette colonne utilise une liste controlee." promptTitle="Liste controlee" prompt="Choisir une valeur dans la liste." sqref="N5:N44">
      <x:formula1>"A - Verifiee,B - Bonne,C - Estimee,D - Faible,A confirmer"</x:formula1>
    </x:dataValidation>
  </x:dataValidations>
  <x:pageMargins left="0.7" right="0.7" top="0.75" bottom="0.75" header="0.3" footer="0.3"/>
  <x:tableParts count="1">
    <x:tablePart xmlns:r="http://schemas.openxmlformats.org/officeDocument/2006/relationships" r:id="R8567ddefa0854c0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25" hidden="0" customWidth="1"/>
    <x:col min="2" max="2" width="15" hidden="0" customWidth="1"/>
    <x:col min="3" max="3" width="22.5" hidden="0" customWidth="1"/>
    <x:col min="4" max="4" width="27.5" hidden="0" customWidth="1"/>
    <x:col min="5" max="5" width="10" hidden="0" customWidth="1"/>
    <x:col min="6" max="6" width="16.25" hidden="0" customWidth="1"/>
    <x:col min="7" max="7" width="18.1299991607666" hidden="0" customWidth="1"/>
    <x:col min="8" max="8" width="11.25" hidden="0" customWidth="1"/>
    <x:col min="9" max="9" width="32.5" hidden="0" customWidth="1"/>
    <x:col min="10" max="10" width="10" hidden="0" customWidth="1"/>
    <x:col min="11" max="11" width="27.5" hidden="0" customWidth="1"/>
  </x:cols>
  <x:sheetData>
    <x:row r="1" ht="25.5" customHeight="1">
      <x:c r="A1" s="2" t="str">
        <x:v>Facteurs d'emission et PRG</x:v>
      </x:c>
      <x:c r="B1" s="2"/>
      <x:c r="C1" s="2"/>
      <x:c r="D1" s="2"/>
      <x:c r="E1" s="2"/>
      <x:c r="F1" s="2"/>
      <x:c r="G1" s="2"/>
      <x:c r="H1" s="2"/>
      <x:c r="I1" s="2"/>
      <x:c r="J1" s="2"/>
    </x:row>
    <x:row r="2" ht="31.5" customHeight="1">
      <x:c r="A2" s="5" t="str">
        <x:v>Facteurs indicatifs a remplacer ou valider avec les facteurs nationaux et sources officielles retenues.</x:v>
      </x:c>
      <x:c r="B2" s="5"/>
      <x:c r="C2" s="5"/>
      <x:c r="D2" s="5"/>
      <x:c r="E2" s="5"/>
      <x:c r="F2" s="5"/>
      <x:c r="G2" s="5"/>
      <x:c r="H2" s="5"/>
      <x:c r="I2" s="5"/>
      <x:c r="J2" s="5"/>
    </x:row>
    <x:row r="4" ht="28.5" customHeight="1">
      <x:c r="A4" s="16" t="str">
        <x:v>Facteur_ID</x:v>
      </x:c>
      <x:c r="B4" s="16" t="str">
        <x:v>Domaine</x:v>
      </x:c>
      <x:c r="C4" s="16" t="str">
        <x:v>Secteur_GPC_IPCC</x:v>
      </x:c>
      <x:c r="D4" s="16" t="str">
        <x:v>Source_energie_matiere</x:v>
      </x:c>
      <x:c r="E4" s="16" t="str">
        <x:v>Gaz</x:v>
      </x:c>
      <x:c r="F4" s="16" t="str">
        <x:v>Facteur_emission</x:v>
      </x:c>
      <x:c r="G4" s="16" t="str">
        <x:v>Unite_facteur</x:v>
      </x:c>
      <x:c r="H4" s="16" t="str">
        <x:v>PRG_GWP</x:v>
      </x:c>
      <x:c r="I4" s="16" t="str">
        <x:v>Source_officielle</x:v>
      </x:c>
      <x:c r="J4" s="16" t="str">
        <x:v>Annee</x:v>
      </x:c>
      <x:c r="K4" s="16" t="str">
        <x:v>Commentaires</x:v>
      </x:c>
      <x:c r="M4" s="12" t="str">
        <x:v>Important: les facteurs presents sont des valeurs de demarrage. Pour un inventaire officiel, remplacer par les facteurs nationaux, facteurs fournisseurs, IPCC ou sources validees par la Ville de Dakar.</x:v>
      </x:c>
    </x:row>
    <x:row r="5">
      <x:c r="A5" s="18" t="str">
        <x:v>FE-EL-SN-001</x:v>
      </x:c>
      <x:c r="B5" s="18" t="str">
        <x:v>Energie</x:v>
      </x:c>
      <x:c r="C5" s="18" t="str">
        <x:v>Scope 2 electricite</x:v>
      </x:c>
      <x:c r="D5" s="18" t="str">
        <x:v>Electricite reseau Senegal</x:v>
      </x:c>
      <x:c r="E5" s="18" t="str">
        <x:v>CO2e</x:v>
      </x:c>
      <x:c r="F5" s="25" t="n">
        <x:v>0.00055</x:v>
      </x:c>
      <x:c r="G5" s="18" t="str">
        <x:v>tCO2e/kWh</x:v>
      </x:c>
      <x:c r="H5" s="23" t="n">
        <x:v>1</x:v>
      </x:c>
      <x:c r="I5" s="18" t="str">
        <x:v>Facteur national / SENELEC a confirmer</x:v>
      </x:c>
      <x:c r="J5" s="18" t="n">
        <x:v>2025</x:v>
      </x:c>
      <x:c r="K5" s="18" t="str">
        <x:v>Valeur illustrative</x:v>
      </x:c>
    </x:row>
    <x:row r="6">
      <x:c r="A6" s="18" t="str">
        <x:v>FE-DIESEL-001</x:v>
      </x:c>
      <x:c r="B6" s="18" t="str">
        <x:v>Mobilite</x:v>
      </x:c>
      <x:c r="C6" s="18" t="str">
        <x:v>Combustion mobile</x:v>
      </x:c>
      <x:c r="D6" s="18" t="str">
        <x:v>Diesel</x:v>
      </x:c>
      <x:c r="E6" s="18" t="str">
        <x:v>CO2e</x:v>
      </x:c>
      <x:c r="F6" s="25" t="n">
        <x:v>0.00268</x:v>
      </x:c>
      <x:c r="G6" s="18" t="str">
        <x:v>tCO2e/litre</x:v>
      </x:c>
      <x:c r="H6" s="23" t="n">
        <x:v>1</x:v>
      </x:c>
      <x:c r="I6" s="18" t="str">
        <x:v>IPCC / facteur carburant a confirmer</x:v>
      </x:c>
      <x:c r="J6" s="18" t="n">
        <x:v>2025</x:v>
      </x:c>
      <x:c r="K6" s="18" t="str">
        <x:v>Valeur illustrative</x:v>
      </x:c>
    </x:row>
    <x:row r="7">
      <x:c r="A7" s="18" t="str">
        <x:v>FE-GASOLINE-001</x:v>
      </x:c>
      <x:c r="B7" s="18" t="str">
        <x:v>Mobilite</x:v>
      </x:c>
      <x:c r="C7" s="18" t="str">
        <x:v>Combustion mobile</x:v>
      </x:c>
      <x:c r="D7" s="18" t="str">
        <x:v>Essence</x:v>
      </x:c>
      <x:c r="E7" s="18" t="str">
        <x:v>CO2e</x:v>
      </x:c>
      <x:c r="F7" s="25" t="n">
        <x:v>0.00231</x:v>
      </x:c>
      <x:c r="G7" s="18" t="str">
        <x:v>tCO2e/litre</x:v>
      </x:c>
      <x:c r="H7" s="23" t="n">
        <x:v>1</x:v>
      </x:c>
      <x:c r="I7" s="18" t="str">
        <x:v>IPCC / facteur carburant a confirmer</x:v>
      </x:c>
      <x:c r="J7" s="18" t="n">
        <x:v>2025</x:v>
      </x:c>
      <x:c r="K7" s="18" t="str">
        <x:v>Valeur illustrative</x:v>
      </x:c>
    </x:row>
    <x:row r="8">
      <x:c r="A8" s="18" t="str">
        <x:v>FE-WASTE-CH4-001</x:v>
      </x:c>
      <x:c r="B8" s="18" t="str">
        <x:v>Dechets</x:v>
      </x:c>
      <x:c r="C8" s="18" t="str">
        <x:v>Solid waste disposal</x:v>
      </x:c>
      <x:c r="D8" s="18" t="str">
        <x:v>Dechets municipaux enfouis</x:v>
      </x:c>
      <x:c r="E8" s="18" t="str">
        <x:v>CH4</x:v>
      </x:c>
      <x:c r="F8" s="25" t="n">
        <x:v>0.0009</x:v>
      </x:c>
      <x:c r="G8" s="18" t="str">
        <x:v>tCH4/tonne</x:v>
      </x:c>
      <x:c r="H8" s="23" t="n">
        <x:v>28</x:v>
      </x:c>
      <x:c r="I8" s="18" t="str">
        <x:v>IPCC dechets a confirmer</x:v>
      </x:c>
      <x:c r="J8" s="18" t="n">
        <x:v>2025</x:v>
      </x:c>
      <x:c r="K8" s="18" t="str">
        <x:v>Valeur illustrative</x:v>
      </x:c>
    </x:row>
    <x:row r="9">
      <x:c r="A9" s="18" t="str">
        <x:v>FE-LPG-001</x:v>
      </x:c>
      <x:c r="B9" s="18" t="str">
        <x:v>Energie</x:v>
      </x:c>
      <x:c r="C9" s="18" t="str">
        <x:v>Combustion stationnaire</x:v>
      </x:c>
      <x:c r="D9" s="18" t="str">
        <x:v>GPL</x:v>
      </x:c>
      <x:c r="E9" s="18" t="str">
        <x:v>CO2e</x:v>
      </x:c>
      <x:c r="F9" s="25" t="n">
        <x:v>0.00299</x:v>
      </x:c>
      <x:c r="G9" s="18" t="str">
        <x:v>tCO2e/kg</x:v>
      </x:c>
      <x:c r="H9" s="23" t="n">
        <x:v>1</x:v>
      </x:c>
      <x:c r="I9" s="18" t="str">
        <x:v>IPCC / facteur a confirmer</x:v>
      </x:c>
      <x:c r="J9" s="18" t="n">
        <x:v>2025</x:v>
      </x:c>
      <x:c r="K9" s="18" t="str">
        <x:v>Valeur illustrative</x:v>
      </x:c>
    </x:row>
    <x:row r="10">
      <x:c r="A10" s="18"/>
      <x:c r="B10" s="18"/>
      <x:c r="C10" s="18"/>
      <x:c r="D10" s="18"/>
      <x:c r="E10" s="18"/>
      <x:c r="F10" s="25"/>
      <x:c r="G10" s="18"/>
      <x:c r="H10" s="23"/>
      <x:c r="I10" s="18"/>
      <x:c r="J10" s="18"/>
      <x:c r="K10" s="18"/>
    </x:row>
    <x:row r="11">
      <x:c r="A11" s="18"/>
      <x:c r="B11" s="18"/>
      <x:c r="C11" s="18"/>
      <x:c r="D11" s="18"/>
      <x:c r="E11" s="18"/>
      <x:c r="F11" s="25"/>
      <x:c r="G11" s="18"/>
      <x:c r="H11" s="23"/>
      <x:c r="I11" s="18"/>
      <x:c r="J11" s="18"/>
      <x:c r="K11" s="18"/>
    </x:row>
    <x:row r="12">
      <x:c r="A12" s="18"/>
      <x:c r="B12" s="18"/>
      <x:c r="C12" s="18"/>
      <x:c r="D12" s="18"/>
      <x:c r="E12" s="18"/>
      <x:c r="F12" s="25"/>
      <x:c r="G12" s="18"/>
      <x:c r="H12" s="23"/>
      <x:c r="I12" s="18"/>
      <x:c r="J12" s="18"/>
      <x:c r="K12" s="18"/>
    </x:row>
    <x:row r="13">
      <x:c r="A13" s="18"/>
      <x:c r="B13" s="18"/>
      <x:c r="C13" s="18"/>
      <x:c r="D13" s="18"/>
      <x:c r="E13" s="18"/>
      <x:c r="F13" s="25"/>
      <x:c r="G13" s="18"/>
      <x:c r="H13" s="23"/>
      <x:c r="I13" s="18"/>
      <x:c r="J13" s="18"/>
      <x:c r="K13" s="18"/>
    </x:row>
    <x:row r="14">
      <x:c r="A14" s="18"/>
      <x:c r="B14" s="18"/>
      <x:c r="C14" s="18"/>
      <x:c r="D14" s="18"/>
      <x:c r="E14" s="18"/>
      <x:c r="F14" s="25"/>
      <x:c r="G14" s="18"/>
      <x:c r="H14" s="23"/>
      <x:c r="I14" s="18"/>
      <x:c r="J14" s="18"/>
      <x:c r="K14" s="18"/>
    </x:row>
    <x:row r="15">
      <x:c r="A15" s="18"/>
      <x:c r="B15" s="18"/>
      <x:c r="C15" s="18"/>
      <x:c r="D15" s="18"/>
      <x:c r="E15" s="18"/>
      <x:c r="F15" s="25"/>
      <x:c r="G15" s="18"/>
      <x:c r="H15" s="23"/>
      <x:c r="I15" s="18"/>
      <x:c r="J15" s="18"/>
      <x:c r="K15" s="18"/>
    </x:row>
    <x:row r="16">
      <x:c r="A16" s="18"/>
      <x:c r="B16" s="18"/>
      <x:c r="C16" s="18"/>
      <x:c r="D16" s="18"/>
      <x:c r="E16" s="18"/>
      <x:c r="F16" s="25"/>
      <x:c r="G16" s="18"/>
      <x:c r="H16" s="23"/>
      <x:c r="I16" s="18"/>
      <x:c r="J16" s="18"/>
      <x:c r="K16" s="18"/>
    </x:row>
    <x:row r="17">
      <x:c r="A17" s="18"/>
      <x:c r="B17" s="18"/>
      <x:c r="C17" s="18"/>
      <x:c r="D17" s="18"/>
      <x:c r="E17" s="18"/>
      <x:c r="F17" s="25"/>
      <x:c r="G17" s="18"/>
      <x:c r="H17" s="23"/>
      <x:c r="I17" s="18"/>
      <x:c r="J17" s="18"/>
      <x:c r="K17" s="18"/>
    </x:row>
    <x:row r="18">
      <x:c r="A18" s="18"/>
      <x:c r="B18" s="18"/>
      <x:c r="C18" s="18"/>
      <x:c r="D18" s="18"/>
      <x:c r="E18" s="18"/>
      <x:c r="F18" s="25"/>
      <x:c r="G18" s="18"/>
      <x:c r="H18" s="23"/>
      <x:c r="I18" s="18"/>
      <x:c r="J18" s="18"/>
      <x:c r="K18" s="18"/>
    </x:row>
    <x:row r="19">
      <x:c r="A19" s="18"/>
      <x:c r="B19" s="18"/>
      <x:c r="C19" s="18"/>
      <x:c r="D19" s="18"/>
      <x:c r="E19" s="18"/>
      <x:c r="F19" s="25"/>
      <x:c r="G19" s="18"/>
      <x:c r="H19" s="23"/>
      <x:c r="I19" s="18"/>
      <x:c r="J19" s="18"/>
      <x:c r="K19" s="18"/>
    </x:row>
    <x:row r="20">
      <x:c r="A20" s="18"/>
      <x:c r="B20" s="18"/>
      <x:c r="C20" s="18"/>
      <x:c r="D20" s="18"/>
      <x:c r="E20" s="18"/>
      <x:c r="F20" s="25"/>
      <x:c r="G20" s="18"/>
      <x:c r="H20" s="23"/>
      <x:c r="I20" s="18"/>
      <x:c r="J20" s="18"/>
      <x:c r="K20" s="18"/>
    </x:row>
    <x:row r="21">
      <x:c r="A21" s="18"/>
      <x:c r="B21" s="18"/>
      <x:c r="C21" s="18"/>
      <x:c r="D21" s="18"/>
      <x:c r="E21" s="18"/>
      <x:c r="F21" s="25"/>
      <x:c r="G21" s="18"/>
      <x:c r="H21" s="23"/>
      <x:c r="I21" s="18"/>
      <x:c r="J21" s="18"/>
      <x:c r="K21" s="18"/>
    </x:row>
    <x:row r="22">
      <x:c r="A22" s="18"/>
      <x:c r="B22" s="18"/>
      <x:c r="C22" s="18"/>
      <x:c r="D22" s="18"/>
      <x:c r="E22" s="18"/>
      <x:c r="F22" s="25"/>
      <x:c r="G22" s="18"/>
      <x:c r="H22" s="23"/>
      <x:c r="I22" s="18"/>
      <x:c r="J22" s="18"/>
      <x:c r="K22" s="18"/>
    </x:row>
    <x:row r="23">
      <x:c r="A23" s="18"/>
      <x:c r="B23" s="18"/>
      <x:c r="C23" s="18"/>
      <x:c r="D23" s="18"/>
      <x:c r="E23" s="18"/>
      <x:c r="F23" s="25"/>
      <x:c r="G23" s="18"/>
      <x:c r="H23" s="23"/>
      <x:c r="I23" s="18"/>
      <x:c r="J23" s="18"/>
      <x:c r="K23" s="18"/>
    </x:row>
    <x:row r="24">
      <x:c r="A24" s="18"/>
      <x:c r="B24" s="18"/>
      <x:c r="C24" s="18"/>
      <x:c r="D24" s="18"/>
      <x:c r="E24" s="18"/>
      <x:c r="F24" s="25"/>
      <x:c r="G24" s="18"/>
      <x:c r="H24" s="23"/>
      <x:c r="I24" s="18"/>
      <x:c r="J24" s="18"/>
      <x:c r="K24" s="18"/>
    </x:row>
    <x:row r="25">
      <x:c r="A25" s="18"/>
      <x:c r="B25" s="18"/>
      <x:c r="C25" s="18"/>
      <x:c r="D25" s="18"/>
      <x:c r="E25" s="18"/>
      <x:c r="F25" s="25"/>
      <x:c r="G25" s="18"/>
      <x:c r="H25" s="23"/>
      <x:c r="I25" s="18"/>
      <x:c r="J25" s="18"/>
      <x:c r="K25" s="18"/>
    </x:row>
    <x:row r="26">
      <x:c r="A26" s="18"/>
      <x:c r="B26" s="18"/>
      <x:c r="C26" s="18"/>
      <x:c r="D26" s="18"/>
      <x:c r="E26" s="18"/>
      <x:c r="F26" s="25"/>
      <x:c r="G26" s="18"/>
      <x:c r="H26" s="23"/>
      <x:c r="I26" s="18"/>
      <x:c r="J26" s="18"/>
      <x:c r="K26" s="18"/>
    </x:row>
    <x:row r="27">
      <x:c r="A27" s="18"/>
      <x:c r="B27" s="18"/>
      <x:c r="C27" s="18"/>
      <x:c r="D27" s="18"/>
      <x:c r="E27" s="18"/>
      <x:c r="F27" s="25"/>
      <x:c r="G27" s="18"/>
      <x:c r="H27" s="23"/>
      <x:c r="I27" s="18"/>
      <x:c r="J27" s="18"/>
      <x:c r="K27" s="18"/>
    </x:row>
    <x:row r="28">
      <x:c r="A28" s="18"/>
      <x:c r="B28" s="18"/>
      <x:c r="C28" s="18"/>
      <x:c r="D28" s="18"/>
      <x:c r="E28" s="18"/>
      <x:c r="F28" s="25"/>
      <x:c r="G28" s="18"/>
      <x:c r="H28" s="23"/>
      <x:c r="I28" s="18"/>
      <x:c r="J28" s="18"/>
      <x:c r="K28" s="18"/>
    </x:row>
    <x:row r="29">
      <x:c r="A29" s="18"/>
      <x:c r="B29" s="18"/>
      <x:c r="C29" s="18"/>
      <x:c r="D29" s="18"/>
      <x:c r="E29" s="18"/>
      <x:c r="F29" s="25"/>
      <x:c r="G29" s="18"/>
      <x:c r="H29" s="23"/>
      <x:c r="I29" s="18"/>
      <x:c r="J29" s="18"/>
      <x:c r="K29" s="18"/>
    </x:row>
    <x:row r="30">
      <x:c r="A30" s="18"/>
      <x:c r="B30" s="18"/>
      <x:c r="C30" s="18"/>
      <x:c r="D30" s="18"/>
      <x:c r="E30" s="18"/>
      <x:c r="F30" s="25"/>
      <x:c r="G30" s="18"/>
      <x:c r="H30" s="23"/>
      <x:c r="I30" s="18"/>
      <x:c r="J30" s="18"/>
      <x:c r="K30" s="18"/>
    </x:row>
    <x:row r="31">
      <x:c r="A31" s="18"/>
      <x:c r="B31" s="18"/>
      <x:c r="C31" s="18"/>
      <x:c r="D31" s="18"/>
      <x:c r="E31" s="18"/>
      <x:c r="F31" s="25"/>
      <x:c r="G31" s="18"/>
      <x:c r="H31" s="23"/>
      <x:c r="I31" s="18"/>
      <x:c r="J31" s="18"/>
      <x:c r="K31" s="18"/>
    </x:row>
    <x:row r="32">
      <x:c r="A32" s="18"/>
      <x:c r="B32" s="18"/>
      <x:c r="C32" s="18"/>
      <x:c r="D32" s="18"/>
      <x:c r="E32" s="18"/>
      <x:c r="F32" s="25"/>
      <x:c r="G32" s="18"/>
      <x:c r="H32" s="23"/>
      <x:c r="I32" s="18"/>
      <x:c r="J32" s="18"/>
      <x:c r="K32" s="18"/>
    </x:row>
    <x:row r="33">
      <x:c r="A33" s="18"/>
      <x:c r="B33" s="18"/>
      <x:c r="C33" s="18"/>
      <x:c r="D33" s="18"/>
      <x:c r="E33" s="18"/>
      <x:c r="F33" s="25"/>
      <x:c r="G33" s="18"/>
      <x:c r="H33" s="23"/>
      <x:c r="I33" s="18"/>
      <x:c r="J33" s="18"/>
      <x:c r="K33" s="18"/>
    </x:row>
    <x:row r="34">
      <x:c r="A34" s="18"/>
      <x:c r="B34" s="18"/>
      <x:c r="C34" s="18"/>
      <x:c r="D34" s="18"/>
      <x:c r="E34" s="18"/>
      <x:c r="F34" s="25"/>
      <x:c r="G34" s="18"/>
      <x:c r="H34" s="23"/>
      <x:c r="I34" s="18"/>
      <x:c r="J34" s="18"/>
      <x:c r="K34" s="18"/>
    </x:row>
    <x:row r="35">
      <x:c r="A35" s="18"/>
      <x:c r="B35" s="18"/>
      <x:c r="C35" s="18"/>
      <x:c r="D35" s="18"/>
      <x:c r="E35" s="18"/>
      <x:c r="F35" s="25"/>
      <x:c r="G35" s="18"/>
      <x:c r="H35" s="23"/>
      <x:c r="I35" s="18"/>
      <x:c r="J35" s="18"/>
      <x:c r="K35" s="18"/>
    </x:row>
    <x:row r="36">
      <x:c r="A36" s="18"/>
      <x:c r="B36" s="18"/>
      <x:c r="C36" s="18"/>
      <x:c r="D36" s="18"/>
      <x:c r="E36" s="18"/>
      <x:c r="F36" s="25"/>
      <x:c r="G36" s="18"/>
      <x:c r="H36" s="23"/>
      <x:c r="I36" s="18"/>
      <x:c r="J36" s="18"/>
      <x:c r="K36" s="18"/>
    </x:row>
    <x:row r="37">
      <x:c r="A37" s="18"/>
      <x:c r="B37" s="18"/>
      <x:c r="C37" s="18"/>
      <x:c r="D37" s="18"/>
      <x:c r="E37" s="18"/>
      <x:c r="F37" s="25"/>
      <x:c r="G37" s="18"/>
      <x:c r="H37" s="23"/>
      <x:c r="I37" s="18"/>
      <x:c r="J37" s="18"/>
      <x:c r="K37" s="18"/>
    </x:row>
    <x:row r="38">
      <x:c r="A38" s="18"/>
      <x:c r="B38" s="18"/>
      <x:c r="C38" s="18"/>
      <x:c r="D38" s="18"/>
      <x:c r="E38" s="18"/>
      <x:c r="F38" s="25"/>
      <x:c r="G38" s="18"/>
      <x:c r="H38" s="23"/>
      <x:c r="I38" s="18"/>
      <x:c r="J38" s="18"/>
      <x:c r="K38" s="18"/>
    </x:row>
    <x:row r="39">
      <x:c r="A39" s="18"/>
      <x:c r="B39" s="18"/>
      <x:c r="C39" s="18"/>
      <x:c r="D39" s="18"/>
      <x:c r="E39" s="18"/>
      <x:c r="F39" s="25"/>
      <x:c r="G39" s="18"/>
      <x:c r="H39" s="23"/>
      <x:c r="I39" s="18"/>
      <x:c r="J39" s="18"/>
      <x:c r="K39" s="18"/>
    </x:row>
    <x:row r="40">
      <x:c r="A40" s="18"/>
      <x:c r="B40" s="18"/>
      <x:c r="C40" s="18"/>
      <x:c r="D40" s="18"/>
      <x:c r="E40" s="18"/>
      <x:c r="F40" s="25"/>
      <x:c r="G40" s="18"/>
      <x:c r="H40" s="23"/>
      <x:c r="I40" s="18"/>
      <x:c r="J40" s="18"/>
      <x:c r="K40" s="18"/>
    </x:row>
    <x:row r="41">
      <x:c r="A41" s="18"/>
      <x:c r="B41" s="18"/>
      <x:c r="C41" s="18"/>
      <x:c r="D41" s="18"/>
      <x:c r="E41" s="18"/>
      <x:c r="F41" s="25"/>
      <x:c r="G41" s="18"/>
      <x:c r="H41" s="23"/>
      <x:c r="I41" s="18"/>
      <x:c r="J41" s="18"/>
      <x:c r="K41" s="18"/>
    </x:row>
    <x:row r="42">
      <x:c r="A42" s="18"/>
      <x:c r="B42" s="18"/>
      <x:c r="C42" s="18"/>
      <x:c r="D42" s="18"/>
      <x:c r="E42" s="18"/>
      <x:c r="F42" s="25"/>
      <x:c r="G42" s="18"/>
      <x:c r="H42" s="23"/>
      <x:c r="I42" s="18"/>
      <x:c r="J42" s="18"/>
      <x:c r="K42" s="18"/>
    </x:row>
    <x:row r="43">
      <x:c r="A43" s="18"/>
      <x:c r="B43" s="18"/>
      <x:c r="C43" s="18"/>
      <x:c r="D43" s="18"/>
      <x:c r="E43" s="18"/>
      <x:c r="F43" s="25"/>
      <x:c r="G43" s="18"/>
      <x:c r="H43" s="23"/>
      <x:c r="I43" s="18"/>
      <x:c r="J43" s="18"/>
      <x:c r="K43" s="18"/>
    </x:row>
    <x:row r="44">
      <x:c r="A44" s="18"/>
      <x:c r="B44" s="18"/>
      <x:c r="C44" s="18"/>
      <x:c r="D44" s="18"/>
      <x:c r="E44" s="18"/>
      <x:c r="F44" s="25"/>
      <x:c r="G44" s="18"/>
      <x:c r="H44" s="23"/>
      <x:c r="I44" s="18"/>
      <x:c r="J44" s="18"/>
      <x:c r="K44" s="18"/>
    </x:row>
    <x:row r="45">
      <x:c r="A45" s="18"/>
      <x:c r="B45" s="18"/>
      <x:c r="C45" s="18"/>
      <x:c r="D45" s="18"/>
      <x:c r="E45" s="18"/>
      <x:c r="F45" s="25"/>
      <x:c r="G45" s="18"/>
      <x:c r="H45" s="23"/>
      <x:c r="I45" s="18"/>
      <x:c r="J45" s="18"/>
      <x:c r="K45" s="18"/>
    </x:row>
    <x:row r="46">
      <x:c r="A46" s="18"/>
      <x:c r="B46" s="18"/>
      <x:c r="C46" s="18"/>
      <x:c r="D46" s="18"/>
      <x:c r="E46" s="18"/>
      <x:c r="F46" s="25"/>
      <x:c r="G46" s="18"/>
      <x:c r="H46" s="23"/>
      <x:c r="I46" s="18"/>
      <x:c r="J46" s="18"/>
      <x:c r="K46" s="18"/>
    </x:row>
    <x:row r="47">
      <x:c r="A47" s="18"/>
      <x:c r="B47" s="18"/>
      <x:c r="C47" s="18"/>
      <x:c r="D47" s="18"/>
      <x:c r="E47" s="18"/>
      <x:c r="F47" s="25"/>
      <x:c r="G47" s="18"/>
      <x:c r="H47" s="23"/>
      <x:c r="I47" s="18"/>
      <x:c r="J47" s="18"/>
      <x:c r="K47" s="18"/>
    </x:row>
    <x:row r="48">
      <x:c r="A48" s="18"/>
      <x:c r="B48" s="18"/>
      <x:c r="C48" s="18"/>
      <x:c r="D48" s="18"/>
      <x:c r="E48" s="18"/>
      <x:c r="F48" s="25"/>
      <x:c r="G48" s="18"/>
      <x:c r="H48" s="23"/>
      <x:c r="I48" s="18"/>
      <x:c r="J48" s="18"/>
      <x:c r="K48" s="18"/>
    </x:row>
    <x:row r="49">
      <x:c r="A49" s="18"/>
      <x:c r="B49" s="18"/>
      <x:c r="C49" s="18"/>
      <x:c r="D49" s="18"/>
      <x:c r="E49" s="18"/>
      <x:c r="F49" s="25"/>
      <x:c r="G49" s="18"/>
      <x:c r="H49" s="23"/>
      <x:c r="I49" s="18"/>
      <x:c r="J49" s="18"/>
      <x:c r="K49" s="18"/>
    </x:row>
    <x:row r="50">
      <x:c r="A50" s="18"/>
      <x:c r="B50" s="18"/>
      <x:c r="C50" s="18"/>
      <x:c r="D50" s="18"/>
      <x:c r="E50" s="18"/>
      <x:c r="F50" s="25"/>
      <x:c r="G50" s="18"/>
      <x:c r="H50" s="23"/>
      <x:c r="I50" s="18"/>
      <x:c r="J50" s="18"/>
      <x:c r="K50" s="18"/>
    </x:row>
    <x:row r="51">
      <x:c r="A51" s="18"/>
      <x:c r="B51" s="18"/>
      <x:c r="C51" s="18"/>
      <x:c r="D51" s="18"/>
      <x:c r="E51" s="18"/>
      <x:c r="F51" s="25"/>
      <x:c r="G51" s="18"/>
      <x:c r="H51" s="23"/>
      <x:c r="I51" s="18"/>
      <x:c r="J51" s="18"/>
      <x:c r="K51" s="18"/>
    </x:row>
    <x:row r="52">
      <x:c r="A52" s="18"/>
      <x:c r="B52" s="18"/>
      <x:c r="C52" s="18"/>
      <x:c r="D52" s="18"/>
      <x:c r="E52" s="18"/>
      <x:c r="F52" s="25"/>
      <x:c r="G52" s="18"/>
      <x:c r="H52" s="23"/>
      <x:c r="I52" s="18"/>
      <x:c r="J52" s="18"/>
      <x:c r="K52" s="18"/>
    </x:row>
    <x:row r="53">
      <x:c r="A53" s="18"/>
      <x:c r="B53" s="18"/>
      <x:c r="C53" s="18"/>
      <x:c r="D53" s="18"/>
      <x:c r="E53" s="18"/>
      <x:c r="F53" s="25"/>
      <x:c r="G53" s="18"/>
      <x:c r="H53" s="23"/>
      <x:c r="I53" s="18"/>
      <x:c r="J53" s="18"/>
      <x:c r="K53" s="18"/>
    </x:row>
    <x:row r="54">
      <x:c r="A54" s="18"/>
      <x:c r="B54" s="18"/>
      <x:c r="C54" s="18"/>
      <x:c r="D54" s="18"/>
      <x:c r="E54" s="18"/>
      <x:c r="F54" s="25"/>
      <x:c r="G54" s="18"/>
      <x:c r="H54" s="23"/>
      <x:c r="I54" s="18"/>
      <x:c r="J54" s="18"/>
      <x:c r="K54" s="18"/>
    </x:row>
    <x:row r="55">
      <x:c r="A55" s="18"/>
      <x:c r="B55" s="18"/>
      <x:c r="C55" s="18"/>
      <x:c r="D55" s="18"/>
      <x:c r="E55" s="18"/>
      <x:c r="F55" s="25"/>
      <x:c r="G55" s="18"/>
      <x:c r="H55" s="23"/>
      <x:c r="I55" s="18"/>
      <x:c r="J55" s="18"/>
      <x:c r="K55" s="18"/>
    </x:row>
    <x:row r="56">
      <x:c r="A56" s="18"/>
      <x:c r="B56" s="18"/>
      <x:c r="C56" s="18"/>
      <x:c r="D56" s="18"/>
      <x:c r="E56" s="18"/>
      <x:c r="F56" s="25"/>
      <x:c r="G56" s="18"/>
      <x:c r="H56" s="23"/>
      <x:c r="I56" s="18"/>
      <x:c r="J56" s="18"/>
      <x:c r="K56" s="18"/>
    </x:row>
    <x:row r="57">
      <x:c r="A57" s="18"/>
      <x:c r="B57" s="18"/>
      <x:c r="C57" s="18"/>
      <x:c r="D57" s="18"/>
      <x:c r="E57" s="18"/>
      <x:c r="F57" s="25"/>
      <x:c r="G57" s="18"/>
      <x:c r="H57" s="23"/>
      <x:c r="I57" s="18"/>
      <x:c r="J57" s="18"/>
      <x:c r="K57" s="18"/>
    </x:row>
    <x:row r="58">
      <x:c r="A58" s="18"/>
      <x:c r="B58" s="18"/>
      <x:c r="C58" s="18"/>
      <x:c r="D58" s="18"/>
      <x:c r="E58" s="18"/>
      <x:c r="F58" s="25"/>
      <x:c r="G58" s="18"/>
      <x:c r="H58" s="23"/>
      <x:c r="I58" s="18"/>
      <x:c r="J58" s="18"/>
      <x:c r="K58" s="18"/>
    </x:row>
    <x:row r="59">
      <x:c r="A59" s="18"/>
      <x:c r="B59" s="18"/>
      <x:c r="C59" s="18"/>
      <x:c r="D59" s="18"/>
      <x:c r="E59" s="18"/>
      <x:c r="F59" s="25"/>
      <x:c r="G59" s="18"/>
      <x:c r="H59" s="23"/>
      <x:c r="I59" s="18"/>
      <x:c r="J59" s="18"/>
      <x:c r="K59" s="18"/>
    </x:row>
    <x:row r="60">
      <x:c r="A60" s="18"/>
      <x:c r="B60" s="18"/>
      <x:c r="C60" s="18"/>
      <x:c r="D60" s="18"/>
      <x:c r="E60" s="18"/>
      <x:c r="F60" s="25"/>
      <x:c r="G60" s="18"/>
      <x:c r="H60" s="23"/>
      <x:c r="I60" s="18"/>
      <x:c r="J60" s="18"/>
      <x:c r="K60" s="18"/>
    </x:row>
    <x:row r="61">
      <x:c r="A61" s="18"/>
      <x:c r="B61" s="18"/>
      <x:c r="C61" s="18"/>
      <x:c r="D61" s="18"/>
      <x:c r="E61" s="18"/>
      <x:c r="F61" s="25"/>
      <x:c r="G61" s="18"/>
      <x:c r="H61" s="23"/>
      <x:c r="I61" s="18"/>
      <x:c r="J61" s="18"/>
      <x:c r="K61" s="18"/>
    </x:row>
    <x:row r="62">
      <x:c r="A62" s="18"/>
      <x:c r="B62" s="18"/>
      <x:c r="C62" s="18"/>
      <x:c r="D62" s="18"/>
      <x:c r="E62" s="18"/>
      <x:c r="F62" s="25"/>
      <x:c r="G62" s="18"/>
      <x:c r="H62" s="23"/>
      <x:c r="I62" s="18"/>
      <x:c r="J62" s="18"/>
      <x:c r="K62" s="18"/>
    </x:row>
    <x:row r="63">
      <x:c r="A63" s="18"/>
      <x:c r="B63" s="18"/>
      <x:c r="C63" s="18"/>
      <x:c r="D63" s="18"/>
      <x:c r="E63" s="18"/>
      <x:c r="F63" s="25"/>
      <x:c r="G63" s="18"/>
      <x:c r="H63" s="23"/>
      <x:c r="I63" s="18"/>
      <x:c r="J63" s="18"/>
      <x:c r="K63" s="18"/>
    </x:row>
    <x:row r="64">
      <x:c r="A64" s="18"/>
      <x:c r="B64" s="18"/>
      <x:c r="C64" s="18"/>
      <x:c r="D64" s="18"/>
      <x:c r="E64" s="18"/>
      <x:c r="F64" s="25"/>
      <x:c r="G64" s="18"/>
      <x:c r="H64" s="23"/>
      <x:c r="I64" s="18"/>
      <x:c r="J64" s="18"/>
      <x:c r="K64" s="18"/>
    </x:row>
    <x:row r="65">
      <x:c r="A65" s="18"/>
      <x:c r="B65" s="18"/>
      <x:c r="C65" s="18"/>
      <x:c r="D65" s="18"/>
      <x:c r="E65" s="18"/>
      <x:c r="F65" s="25"/>
      <x:c r="G65" s="18"/>
      <x:c r="H65" s="23"/>
      <x:c r="I65" s="18"/>
      <x:c r="J65" s="18"/>
      <x:c r="K65" s="18"/>
    </x:row>
    <x:row r="66">
      <x:c r="A66" s="18"/>
      <x:c r="B66" s="18"/>
      <x:c r="C66" s="18"/>
      <x:c r="D66" s="18"/>
      <x:c r="E66" s="18"/>
      <x:c r="F66" s="25"/>
      <x:c r="G66" s="18"/>
      <x:c r="H66" s="23"/>
      <x:c r="I66" s="18"/>
      <x:c r="J66" s="18"/>
      <x:c r="K66" s="18"/>
    </x:row>
    <x:row r="67">
      <x:c r="A67" s="18"/>
      <x:c r="B67" s="18"/>
      <x:c r="C67" s="18"/>
      <x:c r="D67" s="18"/>
      <x:c r="E67" s="18"/>
      <x:c r="F67" s="25"/>
      <x:c r="G67" s="18"/>
      <x:c r="H67" s="23"/>
      <x:c r="I67" s="18"/>
      <x:c r="J67" s="18"/>
      <x:c r="K67" s="18"/>
    </x:row>
    <x:row r="68">
      <x:c r="A68" s="18"/>
      <x:c r="B68" s="18"/>
      <x:c r="C68" s="18"/>
      <x:c r="D68" s="18"/>
      <x:c r="E68" s="18"/>
      <x:c r="F68" s="25"/>
      <x:c r="G68" s="18"/>
      <x:c r="H68" s="23"/>
      <x:c r="I68" s="18"/>
      <x:c r="J68" s="18"/>
      <x:c r="K68" s="18"/>
    </x:row>
    <x:row r="69">
      <x:c r="A69" s="18"/>
      <x:c r="B69" s="18"/>
      <x:c r="C69" s="18"/>
      <x:c r="D69" s="18"/>
      <x:c r="E69" s="18"/>
      <x:c r="F69" s="25"/>
      <x:c r="G69" s="18"/>
      <x:c r="H69" s="23"/>
      <x:c r="I69" s="18"/>
      <x:c r="J69" s="18"/>
      <x:c r="K69" s="18"/>
    </x:row>
    <x:row r="70">
      <x:c r="A70" s="18"/>
      <x:c r="B70" s="18"/>
      <x:c r="C70" s="18"/>
      <x:c r="D70" s="18"/>
      <x:c r="E70" s="18"/>
      <x:c r="F70" s="25"/>
      <x:c r="G70" s="18"/>
      <x:c r="H70" s="23"/>
      <x:c r="I70" s="18"/>
      <x:c r="J70" s="18"/>
      <x:c r="K70" s="18"/>
    </x:row>
    <x:row r="71">
      <x:c r="A71" s="18"/>
      <x:c r="B71" s="18"/>
      <x:c r="C71" s="18"/>
      <x:c r="D71" s="18"/>
      <x:c r="E71" s="18"/>
      <x:c r="F71" s="25"/>
      <x:c r="G71" s="18"/>
      <x:c r="H71" s="23"/>
      <x:c r="I71" s="18"/>
      <x:c r="J71" s="18"/>
      <x:c r="K71" s="18"/>
    </x:row>
    <x:row r="72">
      <x:c r="A72" s="18"/>
      <x:c r="B72" s="18"/>
      <x:c r="C72" s="18"/>
      <x:c r="D72" s="18"/>
      <x:c r="E72" s="18"/>
      <x:c r="F72" s="25"/>
      <x:c r="G72" s="18"/>
      <x:c r="H72" s="23"/>
      <x:c r="I72" s="18"/>
      <x:c r="J72" s="18"/>
      <x:c r="K72" s="18"/>
    </x:row>
    <x:row r="73">
      <x:c r="A73" s="18"/>
      <x:c r="B73" s="18"/>
      <x:c r="C73" s="18"/>
      <x:c r="D73" s="18"/>
      <x:c r="E73" s="18"/>
      <x:c r="F73" s="25"/>
      <x:c r="G73" s="18"/>
      <x:c r="H73" s="23"/>
      <x:c r="I73" s="18"/>
      <x:c r="J73" s="18"/>
      <x:c r="K73" s="18"/>
    </x:row>
    <x:row r="74">
      <x:c r="A74" s="18"/>
      <x:c r="B74" s="18"/>
      <x:c r="C74" s="18"/>
      <x:c r="D74" s="18"/>
      <x:c r="E74" s="18"/>
      <x:c r="F74" s="25"/>
      <x:c r="G74" s="18"/>
      <x:c r="H74" s="23"/>
      <x:c r="I74" s="18"/>
      <x:c r="J74" s="18"/>
      <x:c r="K74" s="18"/>
    </x:row>
    <x:row r="75">
      <x:c r="A75" s="18"/>
      <x:c r="B75" s="18"/>
      <x:c r="C75" s="18"/>
      <x:c r="D75" s="18"/>
      <x:c r="E75" s="18"/>
      <x:c r="F75" s="25"/>
      <x:c r="G75" s="18"/>
      <x:c r="H75" s="23"/>
      <x:c r="I75" s="18"/>
      <x:c r="J75" s="18"/>
      <x:c r="K75" s="18"/>
    </x:row>
    <x:row r="76">
      <x:c r="A76" s="18"/>
      <x:c r="B76" s="18"/>
      <x:c r="C76" s="18"/>
      <x:c r="D76" s="18"/>
      <x:c r="E76" s="18"/>
      <x:c r="F76" s="25"/>
      <x:c r="G76" s="18"/>
      <x:c r="H76" s="23"/>
      <x:c r="I76" s="18"/>
      <x:c r="J76" s="18"/>
      <x:c r="K76" s="18"/>
    </x:row>
    <x:row r="77">
      <x:c r="A77" s="18"/>
      <x:c r="B77" s="18"/>
      <x:c r="C77" s="18"/>
      <x:c r="D77" s="18"/>
      <x:c r="E77" s="18"/>
      <x:c r="F77" s="25"/>
      <x:c r="G77" s="18"/>
      <x:c r="H77" s="23"/>
      <x:c r="I77" s="18"/>
      <x:c r="J77" s="18"/>
      <x:c r="K77" s="18"/>
    </x:row>
    <x:row r="78">
      <x:c r="A78" s="18"/>
      <x:c r="B78" s="18"/>
      <x:c r="C78" s="18"/>
      <x:c r="D78" s="18"/>
      <x:c r="E78" s="18"/>
      <x:c r="F78" s="25"/>
      <x:c r="G78" s="18"/>
      <x:c r="H78" s="23"/>
      <x:c r="I78" s="18"/>
      <x:c r="J78" s="18"/>
      <x:c r="K78" s="18"/>
    </x:row>
    <x:row r="79">
      <x:c r="A79" s="18"/>
      <x:c r="B79" s="18"/>
      <x:c r="C79" s="18"/>
      <x:c r="D79" s="18"/>
      <x:c r="E79" s="18"/>
      <x:c r="F79" s="25"/>
      <x:c r="G79" s="18"/>
      <x:c r="H79" s="23"/>
      <x:c r="I79" s="18"/>
      <x:c r="J79" s="18"/>
      <x:c r="K79" s="18"/>
    </x:row>
    <x:row r="80">
      <x:c r="A80" s="18"/>
      <x:c r="B80" s="18"/>
      <x:c r="C80" s="18"/>
      <x:c r="D80" s="18"/>
      <x:c r="E80" s="18"/>
      <x:c r="F80" s="25"/>
      <x:c r="G80" s="18"/>
      <x:c r="H80" s="23"/>
      <x:c r="I80" s="18"/>
      <x:c r="J80" s="18"/>
      <x:c r="K80" s="18"/>
    </x:row>
    <x:row r="81">
      <x:c r="A81" s="18"/>
      <x:c r="B81" s="18"/>
      <x:c r="C81" s="18"/>
      <x:c r="D81" s="18"/>
      <x:c r="E81" s="18"/>
      <x:c r="F81" s="25"/>
      <x:c r="G81" s="18"/>
      <x:c r="H81" s="23"/>
      <x:c r="I81" s="18"/>
      <x:c r="J81" s="18"/>
      <x:c r="K81" s="18"/>
    </x:row>
    <x:row r="82">
      <x:c r="A82" s="18"/>
      <x:c r="B82" s="18"/>
      <x:c r="C82" s="18"/>
      <x:c r="D82" s="18"/>
      <x:c r="E82" s="18"/>
      <x:c r="F82" s="25"/>
      <x:c r="G82" s="18"/>
      <x:c r="H82" s="23"/>
      <x:c r="I82" s="18"/>
      <x:c r="J82" s="18"/>
      <x:c r="K82" s="18"/>
    </x:row>
    <x:row r="83">
      <x:c r="A83" s="18"/>
      <x:c r="B83" s="18"/>
      <x:c r="C83" s="18"/>
      <x:c r="D83" s="18"/>
      <x:c r="E83" s="18"/>
      <x:c r="F83" s="25"/>
      <x:c r="G83" s="18"/>
      <x:c r="H83" s="23"/>
      <x:c r="I83" s="18"/>
      <x:c r="J83" s="18"/>
      <x:c r="K83" s="18"/>
    </x:row>
    <x:row r="84">
      <x:c r="A84" s="18"/>
      <x:c r="B84" s="18"/>
      <x:c r="C84" s="18"/>
      <x:c r="D84" s="18"/>
      <x:c r="E84" s="18"/>
      <x:c r="F84" s="25"/>
      <x:c r="G84" s="18"/>
      <x:c r="H84" s="23"/>
      <x:c r="I84" s="18"/>
      <x:c r="J84" s="18"/>
      <x:c r="K84" s="18"/>
    </x:row>
    <x:row r="85">
      <x:c r="A85" s="18"/>
      <x:c r="B85" s="18"/>
      <x:c r="C85" s="18"/>
      <x:c r="D85" s="18"/>
      <x:c r="E85" s="18"/>
      <x:c r="F85" s="25"/>
      <x:c r="G85" s="18"/>
      <x:c r="H85" s="23"/>
      <x:c r="I85" s="18"/>
      <x:c r="J85" s="18"/>
      <x:c r="K85" s="18"/>
    </x:row>
    <x:row r="86">
      <x:c r="A86" s="18"/>
      <x:c r="B86" s="18"/>
      <x:c r="C86" s="18"/>
      <x:c r="D86" s="18"/>
      <x:c r="E86" s="18"/>
      <x:c r="F86" s="25"/>
      <x:c r="G86" s="18"/>
      <x:c r="H86" s="23"/>
      <x:c r="I86" s="18"/>
      <x:c r="J86" s="18"/>
      <x:c r="K86" s="18"/>
    </x:row>
    <x:row r="87">
      <x:c r="A87" s="18"/>
      <x:c r="B87" s="18"/>
      <x:c r="C87" s="18"/>
      <x:c r="D87" s="18"/>
      <x:c r="E87" s="18"/>
      <x:c r="F87" s="25"/>
      <x:c r="G87" s="18"/>
      <x:c r="H87" s="23"/>
      <x:c r="I87" s="18"/>
      <x:c r="J87" s="18"/>
      <x:c r="K87" s="18"/>
    </x:row>
    <x:row r="88">
      <x:c r="A88" s="18"/>
      <x:c r="B88" s="18"/>
      <x:c r="C88" s="18"/>
      <x:c r="D88" s="18"/>
      <x:c r="E88" s="18"/>
      <x:c r="F88" s="25"/>
      <x:c r="G88" s="18"/>
      <x:c r="H88" s="23"/>
      <x:c r="I88" s="18"/>
      <x:c r="J88" s="18"/>
      <x:c r="K88" s="18"/>
    </x:row>
    <x:row r="89">
      <x:c r="A89" s="18"/>
      <x:c r="B89" s="18"/>
      <x:c r="C89" s="18"/>
      <x:c r="D89" s="18"/>
      <x:c r="E89" s="18"/>
      <x:c r="F89" s="25"/>
      <x:c r="G89" s="18"/>
      <x:c r="H89" s="23"/>
      <x:c r="I89" s="18"/>
      <x:c r="J89" s="18"/>
      <x:c r="K89" s="18"/>
    </x:row>
    <x:row r="90">
      <x:c r="A90" s="18"/>
      <x:c r="B90" s="18"/>
      <x:c r="C90" s="18"/>
      <x:c r="D90" s="18"/>
      <x:c r="E90" s="18"/>
      <x:c r="F90" s="25"/>
      <x:c r="G90" s="18"/>
      <x:c r="H90" s="23"/>
      <x:c r="I90" s="18"/>
      <x:c r="J90" s="18"/>
      <x:c r="K90" s="18"/>
    </x:row>
    <x:row r="91">
      <x:c r="A91" s="18"/>
      <x:c r="B91" s="18"/>
      <x:c r="C91" s="18"/>
      <x:c r="D91" s="18"/>
      <x:c r="E91" s="18"/>
      <x:c r="F91" s="25"/>
      <x:c r="G91" s="18"/>
      <x:c r="H91" s="23"/>
      <x:c r="I91" s="18"/>
      <x:c r="J91" s="18"/>
      <x:c r="K91" s="18"/>
    </x:row>
    <x:row r="92">
      <x:c r="A92" s="18"/>
      <x:c r="B92" s="18"/>
      <x:c r="C92" s="18"/>
      <x:c r="D92" s="18"/>
      <x:c r="E92" s="18"/>
      <x:c r="F92" s="25"/>
      <x:c r="G92" s="18"/>
      <x:c r="H92" s="23"/>
      <x:c r="I92" s="18"/>
      <x:c r="J92" s="18"/>
      <x:c r="K92" s="18"/>
    </x:row>
    <x:row r="93">
      <x:c r="A93" s="18"/>
      <x:c r="B93" s="18"/>
      <x:c r="C93" s="18"/>
      <x:c r="D93" s="18"/>
      <x:c r="E93" s="18"/>
      <x:c r="F93" s="25"/>
      <x:c r="G93" s="18"/>
      <x:c r="H93" s="23"/>
      <x:c r="I93" s="18"/>
      <x:c r="J93" s="18"/>
      <x:c r="K93" s="18"/>
    </x:row>
    <x:row r="94">
      <x:c r="A94" s="18"/>
      <x:c r="B94" s="18"/>
      <x:c r="C94" s="18"/>
      <x:c r="D94" s="18"/>
      <x:c r="E94" s="18"/>
      <x:c r="F94" s="25"/>
      <x:c r="G94" s="18"/>
      <x:c r="H94" s="23"/>
      <x:c r="I94" s="18"/>
      <x:c r="J94" s="18"/>
      <x:c r="K94" s="18"/>
    </x:row>
    <x:row r="95">
      <x:c r="A95" s="18"/>
      <x:c r="B95" s="18"/>
      <x:c r="C95" s="18"/>
      <x:c r="D95" s="18"/>
      <x:c r="E95" s="18"/>
      <x:c r="F95" s="25"/>
      <x:c r="G95" s="18"/>
      <x:c r="H95" s="23"/>
      <x:c r="I95" s="18"/>
      <x:c r="J95" s="18"/>
      <x:c r="K95" s="18"/>
    </x:row>
    <x:row r="96">
      <x:c r="A96" s="18"/>
      <x:c r="B96" s="18"/>
      <x:c r="C96" s="18"/>
      <x:c r="D96" s="18"/>
      <x:c r="E96" s="18"/>
      <x:c r="F96" s="25"/>
      <x:c r="G96" s="18"/>
      <x:c r="H96" s="23"/>
      <x:c r="I96" s="18"/>
      <x:c r="J96" s="18"/>
      <x:c r="K96" s="18"/>
    </x:row>
    <x:row r="97">
      <x:c r="A97" s="18"/>
      <x:c r="B97" s="18"/>
      <x:c r="C97" s="18"/>
      <x:c r="D97" s="18"/>
      <x:c r="E97" s="18"/>
      <x:c r="F97" s="25"/>
      <x:c r="G97" s="18"/>
      <x:c r="H97" s="23"/>
      <x:c r="I97" s="18"/>
      <x:c r="J97" s="18"/>
      <x:c r="K97" s="18"/>
    </x:row>
    <x:row r="98">
      <x:c r="A98" s="18"/>
      <x:c r="B98" s="18"/>
      <x:c r="C98" s="18"/>
      <x:c r="D98" s="18"/>
      <x:c r="E98" s="18"/>
      <x:c r="F98" s="25"/>
      <x:c r="G98" s="18"/>
      <x:c r="H98" s="23"/>
      <x:c r="I98" s="18"/>
      <x:c r="J98" s="18"/>
      <x:c r="K98" s="18"/>
    </x:row>
    <x:row r="99">
      <x:c r="A99" s="18"/>
      <x:c r="B99" s="18"/>
      <x:c r="C99" s="18"/>
      <x:c r="D99" s="18"/>
      <x:c r="E99" s="18"/>
      <x:c r="F99" s="25"/>
      <x:c r="G99" s="18"/>
      <x:c r="H99" s="23"/>
      <x:c r="I99" s="18"/>
      <x:c r="J99" s="18"/>
      <x:c r="K99" s="18"/>
    </x:row>
    <x:row r="100">
      <x:c r="A100" s="18"/>
      <x:c r="B100" s="18"/>
      <x:c r="C100" s="18"/>
      <x:c r="D100" s="18"/>
      <x:c r="E100" s="18"/>
      <x:c r="F100" s="25"/>
      <x:c r="G100" s="18"/>
      <x:c r="H100" s="23"/>
      <x:c r="I100" s="18"/>
      <x:c r="J100" s="18"/>
      <x:c r="K100" s="18"/>
    </x:row>
    <x:row r="101">
      <x:c r="A101" s="18"/>
      <x:c r="B101" s="18"/>
      <x:c r="C101" s="18"/>
      <x:c r="D101" s="18"/>
      <x:c r="E101" s="18"/>
      <x:c r="F101" s="25"/>
      <x:c r="G101" s="18"/>
      <x:c r="H101" s="23"/>
      <x:c r="I101" s="18"/>
      <x:c r="J101" s="18"/>
      <x:c r="K101" s="18"/>
    </x:row>
    <x:row r="102">
      <x:c r="A102" s="18"/>
      <x:c r="B102" s="18"/>
      <x:c r="C102" s="18"/>
      <x:c r="D102" s="18"/>
      <x:c r="E102" s="18"/>
      <x:c r="F102" s="25"/>
      <x:c r="G102" s="18"/>
      <x:c r="H102" s="23"/>
      <x:c r="I102" s="18"/>
      <x:c r="J102" s="18"/>
      <x:c r="K102" s="18"/>
    </x:row>
    <x:row r="103">
      <x:c r="A103" s="18"/>
      <x:c r="B103" s="18"/>
      <x:c r="C103" s="18"/>
      <x:c r="D103" s="18"/>
      <x:c r="E103" s="18"/>
      <x:c r="F103" s="25"/>
      <x:c r="G103" s="18"/>
      <x:c r="H103" s="23"/>
      <x:c r="I103" s="18"/>
      <x:c r="J103" s="18"/>
      <x:c r="K103" s="18"/>
    </x:row>
    <x:row r="104">
      <x:c r="A104" s="18"/>
      <x:c r="B104" s="18"/>
      <x:c r="C104" s="18"/>
      <x:c r="D104" s="18"/>
      <x:c r="E104" s="18"/>
      <x:c r="F104" s="25"/>
      <x:c r="G104" s="18"/>
      <x:c r="H104" s="23"/>
      <x:c r="I104" s="18"/>
      <x:c r="J104" s="18"/>
      <x:c r="K104" s="18"/>
    </x:row>
  </x:sheetData>
  <x:mergeCells>
    <x:mergeCell ref="A1:J1"/>
    <x:mergeCell ref="A2:J2"/>
    <x:mergeCell ref="M4:Q9"/>
  </x:mergeCells>
  <x:dataValidations count="2">
    <x:dataValidation type="list" errorStyle="warning" showInputMessage="1" showErrorMessage="1" errorTitle="Valeur inattendue" error="Cette colonne utilise une liste controlee." promptTitle="Liste controlee" prompt="Choisir une valeur dans la liste." sqref="B5:B10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E5:E104">
      <x:formula1>"CO2,CH4,N2O,HFC,PFC,SF6,NF3,CO2e"</x:formula1>
    </x:dataValidation>
  </x:dataValidations>
  <x:pageMargins left="0.7" right="0.7" top="0.75" bottom="0.75" header="0.3" footer="0.3"/>
  <x:tableParts count="1">
    <x:tablePart xmlns:r="http://schemas.openxmlformats.org/officeDocument/2006/relationships" r:id="R1ab66fc7f39c42a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2.5" hidden="0" customWidth="1"/>
    <x:col min="2" max="2" width="16.25" hidden="0" customWidth="1"/>
    <x:col min="3" max="3" width="16.25" hidden="0" customWidth="1"/>
    <x:col min="4" max="4" width="11.25" hidden="0" customWidth="1"/>
    <x:col min="5" max="5" width="11.25" hidden="0" customWidth="1"/>
    <x:col min="6" max="6" width="13.75" hidden="0" customWidth="1"/>
    <x:col min="7" max="7" width="10" hidden="0" customWidth="1"/>
    <x:col min="8" max="8" width="11.25" hidden="0" customWidth="1"/>
    <x:col min="9" max="9" width="14.380000114440918" hidden="0" customWidth="1"/>
    <x:col min="10" max="10" width="11.25" hidden="0" customWidth="1"/>
    <x:col min="11" max="11" width="15.630000114440918" hidden="0" customWidth="1"/>
    <x:col min="12" max="12" width="13.130000114440918" hidden="0" customWidth="1"/>
    <x:col min="13" max="13" width="16.25" hidden="0" customWidth="1"/>
    <x:col min="14" max="14" width="14.380000114440918" hidden="0" customWidth="1"/>
    <x:col min="15" max="15" width="16.8799991607666" hidden="0" customWidth="1"/>
    <x:col min="16" max="16" width="27.5" hidden="0" customWidth="1"/>
  </x:cols>
  <x:sheetData>
    <x:row r="1" ht="25.5" customHeight="1">
      <x:c r="A1" s="2" t="str">
        <x:v>Donnees qualite de l'air</x:v>
      </x:c>
      <x:c r="B1" s="2"/>
      <x:c r="C1" s="2"/>
      <x:c r="D1" s="2"/>
      <x:c r="E1" s="2"/>
      <x:c r="F1" s="2"/>
      <x:c r="G1" s="2"/>
      <x:c r="H1" s="2"/>
      <x:c r="I1" s="2"/>
      <x:c r="J1" s="2"/>
    </x:row>
    <x:row r="2" ht="31.5" customHeight="1">
      <x:c r="A2" s="5" t="str">
        <x:v>Mesures de pollution atmospherique avec calcul automatique des depassements.</x:v>
      </x:c>
      <x:c r="B2" s="5"/>
      <x:c r="C2" s="5"/>
      <x:c r="D2" s="5"/>
      <x:c r="E2" s="5"/>
      <x:c r="F2" s="5"/>
      <x:c r="G2" s="5"/>
      <x:c r="H2" s="5"/>
      <x:c r="I2" s="5"/>
      <x:c r="J2" s="5"/>
    </x:row>
    <x:row r="4" ht="28.5" customHeight="1">
      <x:c r="A4" s="16" t="str">
        <x:v>Air_ID</x:v>
      </x:c>
      <x:c r="B4" s="16" t="str">
        <x:v>Station</x:v>
      </x:c>
      <x:c r="C4" s="16" t="str">
        <x:v>Quartier</x:v>
      </x:c>
      <x:c r="D4" s="16" t="str">
        <x:v>Latitude</x:v>
      </x:c>
      <x:c r="E4" s="16" t="str">
        <x:v>Longitude</x:v>
      </x:c>
      <x:c r="F4" s="16" t="str">
        <x:v>Date</x:v>
      </x:c>
      <x:c r="G4" s="16" t="str">
        <x:v>Heure</x:v>
      </x:c>
      <x:c r="H4" s="16" t="str">
        <x:v>Polluant</x:v>
      </x:c>
      <x:c r="I4" s="16" t="str">
        <x:v>Concentration</x:v>
      </x:c>
      <x:c r="J4" s="16" t="str">
        <x:v>Unite</x:v>
      </x:c>
      <x:c r="K4" s="16" t="str">
        <x:v>Seuil_reference</x:v>
      </x:c>
      <x:c r="L4" s="16" t="str">
        <x:v>Source_ID</x:v>
      </x:c>
      <x:c r="M4" s="16" t="str">
        <x:v>Qualite_donnee</x:v>
      </x:c>
      <x:c r="N4" s="16" t="str">
        <x:v>Depassement</x:v>
      </x:c>
      <x:c r="O4" s="16" t="str">
        <x:v>Alerte_donnee</x:v>
      </x:c>
      <x:c r="P4" s="16" t="str">
        <x:v>Commentaires</x:v>
      </x:c>
    </x:row>
    <x:row r="5">
      <x:c r="A5" s="18" t="str">
        <x:v>AIR-001</x:v>
      </x:c>
      <x:c r="B5" s="18" t="str">
        <x:v>Plateau-01</x:v>
      </x:c>
      <x:c r="C5" s="18" t="str">
        <x:v>Plateau</x:v>
      </x:c>
      <x:c r="D5" s="26" t="n">
        <x:v>14.667</x:v>
      </x:c>
      <x:c r="E5" s="26" t="n">
        <x:v>-17.438</x:v>
      </x:c>
      <x:c r="F5" s="19" t="n">
        <x:v>46143</x:v>
      </x:c>
      <x:c r="G5" s="18" t="str">
        <x:v>08:00</x:v>
      </x:c>
      <x:c r="H5" s="18" t="str">
        <x:v>PM2.5</x:v>
      </x:c>
      <x:c r="I5" s="27" t="n">
        <x:v>28</x:v>
      </x:c>
      <x:c r="J5" s="27" t="str">
        <x:v>ug/m3</x:v>
      </x:c>
      <x:c r="K5" s="27" t="n">
        <x:v>15</x:v>
      </x:c>
      <x:c r="L5" s="18" t="str">
        <x:v>SRC-003</x:v>
      </x:c>
      <x:c r="M5" s="18" t="str">
        <x:v>C - Estimee</x:v>
      </x:c>
      <x:c r="N5" s="18" t="str">
        <x:f>IF(A5="","",IF(OR(I5="",K5=""),"",IF(I5&gt;K5,"Oui","Non")))</x:f>
        <x:v>Oui</x:v>
      </x:c>
      <x:c r="O5" s="18" t="str">
        <x:f>IF(A5="","",IF(OR(I5="",K5="",M5="D - Faible"),"Donnees manquantes",IF(N5="Oui","Depassement","OK")))</x:f>
        <x:v>Depassement</x:v>
      </x:c>
      <x:c r="P5" s="18" t="str"/>
    </x:row>
    <x:row r="6">
      <x:c r="A6" s="18" t="str">
        <x:v>AIR-002</x:v>
      </x:c>
      <x:c r="B6" s="18" t="str">
        <x:v>Medina-01</x:v>
      </x:c>
      <x:c r="C6" s="18" t="str">
        <x:v>Medina</x:v>
      </x:c>
      <x:c r="D6" s="26" t="n">
        <x:v>14.682</x:v>
      </x:c>
      <x:c r="E6" s="26" t="n">
        <x:v>-17.448</x:v>
      </x:c>
      <x:c r="F6" s="19" t="n">
        <x:v>46143</x:v>
      </x:c>
      <x:c r="G6" s="18" t="str">
        <x:v>08:00</x:v>
      </x:c>
      <x:c r="H6" s="18" t="str">
        <x:v>NO2</x:v>
      </x:c>
      <x:c r="I6" s="27" t="n">
        <x:v>42</x:v>
      </x:c>
      <x:c r="J6" s="27" t="str">
        <x:v>ug/m3</x:v>
      </x:c>
      <x:c r="K6" s="27" t="n">
        <x:v>25</x:v>
      </x:c>
      <x:c r="L6" s="18" t="str">
        <x:v>SRC-003</x:v>
      </x:c>
      <x:c r="M6" s="18" t="str">
        <x:v>C - Estimee</x:v>
      </x:c>
      <x:c r="N6" s="18" t="str">
        <x:f>IF(A6="","",IF(OR(I6="",K6=""),"",IF(I6&gt;K6,"Oui","Non")))</x:f>
        <x:v>Oui</x:v>
      </x:c>
      <x:c r="O6" s="18" t="str">
        <x:f>IF(A6="","",IF(OR(I6="",K6="",M6="D - Faible"),"Donnees manquantes",IF(N6="Oui","Depassement","OK")))</x:f>
        <x:v>Depassement</x:v>
      </x:c>
      <x:c r="P6" s="18" t="str"/>
    </x:row>
    <x:row r="7">
      <x:c r="A7" s="18" t="str">
        <x:v>AIR-003</x:v>
      </x:c>
      <x:c r="B7" s="18" t="str">
        <x:v>Yoff-01</x:v>
      </x:c>
      <x:c r="C7" s="18" t="str">
        <x:v>Yoff</x:v>
      </x:c>
      <x:c r="D7" s="26" t="n">
        <x:v>14.758</x:v>
      </x:c>
      <x:c r="E7" s="26" t="n">
        <x:v>-17.473</x:v>
      </x:c>
      <x:c r="F7" s="19" t="n">
        <x:v>46143</x:v>
      </x:c>
      <x:c r="G7" s="18" t="str">
        <x:v>08:00</x:v>
      </x:c>
      <x:c r="H7" s="18" t="str">
        <x:v>PM10</x:v>
      </x:c>
      <x:c r="I7" s="27" t="n">
        <x:v>62</x:v>
      </x:c>
      <x:c r="J7" s="27" t="str">
        <x:v>ug/m3</x:v>
      </x:c>
      <x:c r="K7" s="27" t="n">
        <x:v>45</x:v>
      </x:c>
      <x:c r="L7" s="18" t="str">
        <x:v>SRC-003</x:v>
      </x:c>
      <x:c r="M7" s="18" t="str">
        <x:v>C - Estimee</x:v>
      </x:c>
      <x:c r="N7" s="18" t="str">
        <x:f>IF(A7="","",IF(OR(I7="",K7=""),"",IF(I7&gt;K7,"Oui","Non")))</x:f>
        <x:v>Oui</x:v>
      </x:c>
      <x:c r="O7" s="18" t="str">
        <x:f>IF(A7="","",IF(OR(I7="",K7="",M7="D - Faible"),"Donnees manquantes",IF(N7="Oui","Depassement","OK")))</x:f>
        <x:v>Depassement</x:v>
      </x:c>
      <x:c r="P7" s="18" t="str"/>
    </x:row>
    <x:row r="8">
      <x:c r="A8" s="18" t="str">
        <x:v>AIR-004</x:v>
      </x:c>
      <x:c r="B8" s="18" t="str">
        <x:v>Plateau-01</x:v>
      </x:c>
      <x:c r="C8" s="18" t="str">
        <x:v>Plateau</x:v>
      </x:c>
      <x:c r="D8" s="26" t="n">
        <x:v>14.667</x:v>
      </x:c>
      <x:c r="E8" s="26" t="n">
        <x:v>-17.438</x:v>
      </x:c>
      <x:c r="F8" s="19" t="n">
        <x:v>46144</x:v>
      </x:c>
      <x:c r="G8" s="18" t="str">
        <x:v>08:00</x:v>
      </x:c>
      <x:c r="H8" s="18" t="str">
        <x:v>PM2.5</x:v>
      </x:c>
      <x:c r="I8" s="27" t="n">
        <x:v>22</x:v>
      </x:c>
      <x:c r="J8" s="27" t="str">
        <x:v>ug/m3</x:v>
      </x:c>
      <x:c r="K8" s="27" t="n">
        <x:v>15</x:v>
      </x:c>
      <x:c r="L8" s="18" t="str">
        <x:v>SRC-003</x:v>
      </x:c>
      <x:c r="M8" s="18" t="str">
        <x:v>C - Estimee</x:v>
      </x:c>
      <x:c r="N8" s="18" t="str">
        <x:f>IF(A8="","",IF(OR(I8="",K8=""),"",IF(I8&gt;K8,"Oui","Non")))</x:f>
        <x:v>Oui</x:v>
      </x:c>
      <x:c r="O8" s="18" t="str">
        <x:f>IF(A8="","",IF(OR(I8="",K8="",M8="D - Faible"),"Donnees manquantes",IF(N8="Oui","Depassement","OK")))</x:f>
        <x:v>Depassement</x:v>
      </x:c>
      <x:c r="P8" s="18" t="str"/>
    </x:row>
    <x:row r="9">
      <x:c r="A9" s="18"/>
      <x:c r="B9" s="18"/>
      <x:c r="C9" s="18"/>
      <x:c r="D9" s="26"/>
      <x:c r="E9" s="26"/>
      <x:c r="F9" s="19"/>
      <x:c r="G9" s="18"/>
      <x:c r="H9" s="18"/>
      <x:c r="I9" s="27"/>
      <x:c r="J9" s="27"/>
      <x:c r="K9" s="27"/>
      <x:c r="L9" s="18"/>
      <x:c r="M9" s="18"/>
      <x:c r="N9" s="18" t="str">
        <x:f>IF(A9="","",IF(OR(I9="",K9=""),"",IF(I9&gt;K9,"Oui","Non")))</x:f>
      </x:c>
      <x:c r="O9" s="18" t="str">
        <x:f>IF(A9="","",IF(OR(I9="",K9="",M9="D - Faible"),"Donnees manquantes",IF(N9="Oui","Depassement","OK")))</x:f>
      </x:c>
      <x:c r="P9" s="18"/>
    </x:row>
    <x:row r="10">
      <x:c r="A10" s="18"/>
      <x:c r="B10" s="18"/>
      <x:c r="C10" s="18"/>
      <x:c r="D10" s="26"/>
      <x:c r="E10" s="26"/>
      <x:c r="F10" s="19"/>
      <x:c r="G10" s="18"/>
      <x:c r="H10" s="18"/>
      <x:c r="I10" s="27"/>
      <x:c r="J10" s="27"/>
      <x:c r="K10" s="27"/>
      <x:c r="L10" s="18"/>
      <x:c r="M10" s="18"/>
      <x:c r="N10" s="18" t="str">
        <x:f>IF(A10="","",IF(OR(I10="",K10=""),"",IF(I10&gt;K10,"Oui","Non")))</x:f>
      </x:c>
      <x:c r="O10" s="18" t="str">
        <x:f>IF(A10="","",IF(OR(I10="",K10="",M10="D - Faible"),"Donnees manquantes",IF(N10="Oui","Depassement","OK")))</x:f>
      </x:c>
      <x:c r="P10" s="18"/>
    </x:row>
    <x:row r="11">
      <x:c r="A11" s="18"/>
      <x:c r="B11" s="18"/>
      <x:c r="C11" s="18"/>
      <x:c r="D11" s="26"/>
      <x:c r="E11" s="26"/>
      <x:c r="F11" s="19"/>
      <x:c r="G11" s="18"/>
      <x:c r="H11" s="18"/>
      <x:c r="I11" s="27"/>
      <x:c r="J11" s="27"/>
      <x:c r="K11" s="27"/>
      <x:c r="L11" s="18"/>
      <x:c r="M11" s="18"/>
      <x:c r="N11" s="18" t="str">
        <x:f>IF(A11="","",IF(OR(I11="",K11=""),"",IF(I11&gt;K11,"Oui","Non")))</x:f>
      </x:c>
      <x:c r="O11" s="18" t="str">
        <x:f>IF(A11="","",IF(OR(I11="",K11="",M11="D - Faible"),"Donnees manquantes",IF(N11="Oui","Depassement","OK")))</x:f>
      </x:c>
      <x:c r="P11" s="18"/>
    </x:row>
    <x:row r="12">
      <x:c r="A12" s="18"/>
      <x:c r="B12" s="18"/>
      <x:c r="C12" s="18"/>
      <x:c r="D12" s="26"/>
      <x:c r="E12" s="26"/>
      <x:c r="F12" s="19"/>
      <x:c r="G12" s="18"/>
      <x:c r="H12" s="18"/>
      <x:c r="I12" s="27"/>
      <x:c r="J12" s="27"/>
      <x:c r="K12" s="27"/>
      <x:c r="L12" s="18"/>
      <x:c r="M12" s="18"/>
      <x:c r="N12" s="18" t="str">
        <x:f>IF(A12="","",IF(OR(I12="",K12=""),"",IF(I12&gt;K12,"Oui","Non")))</x:f>
      </x:c>
      <x:c r="O12" s="18" t="str">
        <x:f>IF(A12="","",IF(OR(I12="",K12="",M12="D - Faible"),"Donnees manquantes",IF(N12="Oui","Depassement","OK")))</x:f>
      </x:c>
      <x:c r="P12" s="18"/>
    </x:row>
    <x:row r="13">
      <x:c r="A13" s="18"/>
      <x:c r="B13" s="18"/>
      <x:c r="C13" s="18"/>
      <x:c r="D13" s="26"/>
      <x:c r="E13" s="26"/>
      <x:c r="F13" s="19"/>
      <x:c r="G13" s="18"/>
      <x:c r="H13" s="18"/>
      <x:c r="I13" s="27"/>
      <x:c r="J13" s="27"/>
      <x:c r="K13" s="27"/>
      <x:c r="L13" s="18"/>
      <x:c r="M13" s="18"/>
      <x:c r="N13" s="18" t="str">
        <x:f>IF(A13="","",IF(OR(I13="",K13=""),"",IF(I13&gt;K13,"Oui","Non")))</x:f>
      </x:c>
      <x:c r="O13" s="18" t="str">
        <x:f>IF(A13="","",IF(OR(I13="",K13="",M13="D - Faible"),"Donnees manquantes",IF(N13="Oui","Depassement","OK")))</x:f>
      </x:c>
      <x:c r="P13" s="18"/>
    </x:row>
    <x:row r="14">
      <x:c r="A14" s="18"/>
      <x:c r="B14" s="18"/>
      <x:c r="C14" s="18"/>
      <x:c r="D14" s="26"/>
      <x:c r="E14" s="26"/>
      <x:c r="F14" s="19"/>
      <x:c r="G14" s="18"/>
      <x:c r="H14" s="18"/>
      <x:c r="I14" s="27"/>
      <x:c r="J14" s="27"/>
      <x:c r="K14" s="27"/>
      <x:c r="L14" s="18"/>
      <x:c r="M14" s="18"/>
      <x:c r="N14" s="18" t="str">
        <x:f>IF(A14="","",IF(OR(I14="",K14=""),"",IF(I14&gt;K14,"Oui","Non")))</x:f>
      </x:c>
      <x:c r="O14" s="18" t="str">
        <x:f>IF(A14="","",IF(OR(I14="",K14="",M14="D - Faible"),"Donnees manquantes",IF(N14="Oui","Depassement","OK")))</x:f>
      </x:c>
      <x:c r="P14" s="18"/>
    </x:row>
    <x:row r="15">
      <x:c r="A15" s="18"/>
      <x:c r="B15" s="18"/>
      <x:c r="C15" s="18"/>
      <x:c r="D15" s="26"/>
      <x:c r="E15" s="26"/>
      <x:c r="F15" s="19"/>
      <x:c r="G15" s="18"/>
      <x:c r="H15" s="18"/>
      <x:c r="I15" s="27"/>
      <x:c r="J15" s="27"/>
      <x:c r="K15" s="27"/>
      <x:c r="L15" s="18"/>
      <x:c r="M15" s="18"/>
      <x:c r="N15" s="18" t="str">
        <x:f>IF(A15="","",IF(OR(I15="",K15=""),"",IF(I15&gt;K15,"Oui","Non")))</x:f>
      </x:c>
      <x:c r="O15" s="18" t="str">
        <x:f>IF(A15="","",IF(OR(I15="",K15="",M15="D - Faible"),"Donnees manquantes",IF(N15="Oui","Depassement","OK")))</x:f>
      </x:c>
      <x:c r="P15" s="18"/>
    </x:row>
    <x:row r="16">
      <x:c r="A16" s="18"/>
      <x:c r="B16" s="18"/>
      <x:c r="C16" s="18"/>
      <x:c r="D16" s="26"/>
      <x:c r="E16" s="26"/>
      <x:c r="F16" s="19"/>
      <x:c r="G16" s="18"/>
      <x:c r="H16" s="18"/>
      <x:c r="I16" s="27"/>
      <x:c r="J16" s="27"/>
      <x:c r="K16" s="27"/>
      <x:c r="L16" s="18"/>
      <x:c r="M16" s="18"/>
      <x:c r="N16" s="18" t="str">
        <x:f>IF(A16="","",IF(OR(I16="",K16=""),"",IF(I16&gt;K16,"Oui","Non")))</x:f>
      </x:c>
      <x:c r="O16" s="18" t="str">
        <x:f>IF(A16="","",IF(OR(I16="",K16="",M16="D - Faible"),"Donnees manquantes",IF(N16="Oui","Depassement","OK")))</x:f>
      </x:c>
      <x:c r="P16" s="18"/>
    </x:row>
    <x:row r="17">
      <x:c r="A17" s="18"/>
      <x:c r="B17" s="18"/>
      <x:c r="C17" s="18"/>
      <x:c r="D17" s="26"/>
      <x:c r="E17" s="26"/>
      <x:c r="F17" s="19"/>
      <x:c r="G17" s="18"/>
      <x:c r="H17" s="18"/>
      <x:c r="I17" s="27"/>
      <x:c r="J17" s="27"/>
      <x:c r="K17" s="27"/>
      <x:c r="L17" s="18"/>
      <x:c r="M17" s="18"/>
      <x:c r="N17" s="18" t="str">
        <x:f>IF(A17="","",IF(OR(I17="",K17=""),"",IF(I17&gt;K17,"Oui","Non")))</x:f>
      </x:c>
      <x:c r="O17" s="18" t="str">
        <x:f>IF(A17="","",IF(OR(I17="",K17="",M17="D - Faible"),"Donnees manquantes",IF(N17="Oui","Depassement","OK")))</x:f>
      </x:c>
      <x:c r="P17" s="18"/>
    </x:row>
    <x:row r="18">
      <x:c r="A18" s="18"/>
      <x:c r="B18" s="18"/>
      <x:c r="C18" s="18"/>
      <x:c r="D18" s="26"/>
      <x:c r="E18" s="26"/>
      <x:c r="F18" s="19"/>
      <x:c r="G18" s="18"/>
      <x:c r="H18" s="18"/>
      <x:c r="I18" s="27"/>
      <x:c r="J18" s="27"/>
      <x:c r="K18" s="27"/>
      <x:c r="L18" s="18"/>
      <x:c r="M18" s="18"/>
      <x:c r="N18" s="18" t="str">
        <x:f>IF(A18="","",IF(OR(I18="",K18=""),"",IF(I18&gt;K18,"Oui","Non")))</x:f>
      </x:c>
      <x:c r="O18" s="18" t="str">
        <x:f>IF(A18="","",IF(OR(I18="",K18="",M18="D - Faible"),"Donnees manquantes",IF(N18="Oui","Depassement","OK")))</x:f>
      </x:c>
      <x:c r="P18" s="18"/>
    </x:row>
    <x:row r="19">
      <x:c r="A19" s="18"/>
      <x:c r="B19" s="18"/>
      <x:c r="C19" s="18"/>
      <x:c r="D19" s="26"/>
      <x:c r="E19" s="26"/>
      <x:c r="F19" s="19"/>
      <x:c r="G19" s="18"/>
      <x:c r="H19" s="18"/>
      <x:c r="I19" s="27"/>
      <x:c r="J19" s="27"/>
      <x:c r="K19" s="27"/>
      <x:c r="L19" s="18"/>
      <x:c r="M19" s="18"/>
      <x:c r="N19" s="18" t="str">
        <x:f>IF(A19="","",IF(OR(I19="",K19=""),"",IF(I19&gt;K19,"Oui","Non")))</x:f>
      </x:c>
      <x:c r="O19" s="18" t="str">
        <x:f>IF(A19="","",IF(OR(I19="",K19="",M19="D - Faible"),"Donnees manquantes",IF(N19="Oui","Depassement","OK")))</x:f>
      </x:c>
      <x:c r="P19" s="18"/>
    </x:row>
    <x:row r="20">
      <x:c r="A20" s="18"/>
      <x:c r="B20" s="18"/>
      <x:c r="C20" s="18"/>
      <x:c r="D20" s="26"/>
      <x:c r="E20" s="26"/>
      <x:c r="F20" s="19"/>
      <x:c r="G20" s="18"/>
      <x:c r="H20" s="18"/>
      <x:c r="I20" s="27"/>
      <x:c r="J20" s="27"/>
      <x:c r="K20" s="27"/>
      <x:c r="L20" s="18"/>
      <x:c r="M20" s="18"/>
      <x:c r="N20" s="18" t="str">
        <x:f>IF(A20="","",IF(OR(I20="",K20=""),"",IF(I20&gt;K20,"Oui","Non")))</x:f>
      </x:c>
      <x:c r="O20" s="18" t="str">
        <x:f>IF(A20="","",IF(OR(I20="",K20="",M20="D - Faible"),"Donnees manquantes",IF(N20="Oui","Depassement","OK")))</x:f>
      </x:c>
      <x:c r="P20" s="18"/>
    </x:row>
    <x:row r="21">
      <x:c r="A21" s="18"/>
      <x:c r="B21" s="18"/>
      <x:c r="C21" s="18"/>
      <x:c r="D21" s="26"/>
      <x:c r="E21" s="26"/>
      <x:c r="F21" s="19"/>
      <x:c r="G21" s="18"/>
      <x:c r="H21" s="18"/>
      <x:c r="I21" s="27"/>
      <x:c r="J21" s="27"/>
      <x:c r="K21" s="27"/>
      <x:c r="L21" s="18"/>
      <x:c r="M21" s="18"/>
      <x:c r="N21" s="18" t="str">
        <x:f>IF(A21="","",IF(OR(I21="",K21=""),"",IF(I21&gt;K21,"Oui","Non")))</x:f>
      </x:c>
      <x:c r="O21" s="18" t="str">
        <x:f>IF(A21="","",IF(OR(I21="",K21="",M21="D - Faible"),"Donnees manquantes",IF(N21="Oui","Depassement","OK")))</x:f>
      </x:c>
      <x:c r="P21" s="18"/>
    </x:row>
    <x:row r="22">
      <x:c r="A22" s="18"/>
      <x:c r="B22" s="18"/>
      <x:c r="C22" s="18"/>
      <x:c r="D22" s="26"/>
      <x:c r="E22" s="26"/>
      <x:c r="F22" s="19"/>
      <x:c r="G22" s="18"/>
      <x:c r="H22" s="18"/>
      <x:c r="I22" s="27"/>
      <x:c r="J22" s="27"/>
      <x:c r="K22" s="27"/>
      <x:c r="L22" s="18"/>
      <x:c r="M22" s="18"/>
      <x:c r="N22" s="18" t="str">
        <x:f>IF(A22="","",IF(OR(I22="",K22=""),"",IF(I22&gt;K22,"Oui","Non")))</x:f>
      </x:c>
      <x:c r="O22" s="18" t="str">
        <x:f>IF(A22="","",IF(OR(I22="",K22="",M22="D - Faible"),"Donnees manquantes",IF(N22="Oui","Depassement","OK")))</x:f>
      </x:c>
      <x:c r="P22" s="18"/>
    </x:row>
    <x:row r="23">
      <x:c r="A23" s="18"/>
      <x:c r="B23" s="18"/>
      <x:c r="C23" s="18"/>
      <x:c r="D23" s="26"/>
      <x:c r="E23" s="26"/>
      <x:c r="F23" s="19"/>
      <x:c r="G23" s="18"/>
      <x:c r="H23" s="18"/>
      <x:c r="I23" s="27"/>
      <x:c r="J23" s="27"/>
      <x:c r="K23" s="27"/>
      <x:c r="L23" s="18"/>
      <x:c r="M23" s="18"/>
      <x:c r="N23" s="18" t="str">
        <x:f>IF(A23="","",IF(OR(I23="",K23=""),"",IF(I23&gt;K23,"Oui","Non")))</x:f>
      </x:c>
      <x:c r="O23" s="18" t="str">
        <x:f>IF(A23="","",IF(OR(I23="",K23="",M23="D - Faible"),"Donnees manquantes",IF(N23="Oui","Depassement","OK")))</x:f>
      </x:c>
      <x:c r="P23" s="18"/>
    </x:row>
    <x:row r="24">
      <x:c r="A24" s="18"/>
      <x:c r="B24" s="18"/>
      <x:c r="C24" s="18"/>
      <x:c r="D24" s="26"/>
      <x:c r="E24" s="26"/>
      <x:c r="F24" s="19"/>
      <x:c r="G24" s="18"/>
      <x:c r="H24" s="18"/>
      <x:c r="I24" s="27"/>
      <x:c r="J24" s="27"/>
      <x:c r="K24" s="27"/>
      <x:c r="L24" s="18"/>
      <x:c r="M24" s="18"/>
      <x:c r="N24" s="18" t="str">
        <x:f>IF(A24="","",IF(OR(I24="",K24=""),"",IF(I24&gt;K24,"Oui","Non")))</x:f>
      </x:c>
      <x:c r="O24" s="18" t="str">
        <x:f>IF(A24="","",IF(OR(I24="",K24="",M24="D - Faible"),"Donnees manquantes",IF(N24="Oui","Depassement","OK")))</x:f>
      </x:c>
      <x:c r="P24" s="18"/>
    </x:row>
    <x:row r="25">
      <x:c r="A25" s="18"/>
      <x:c r="B25" s="18"/>
      <x:c r="C25" s="18"/>
      <x:c r="D25" s="26"/>
      <x:c r="E25" s="26"/>
      <x:c r="F25" s="19"/>
      <x:c r="G25" s="18"/>
      <x:c r="H25" s="18"/>
      <x:c r="I25" s="27"/>
      <x:c r="J25" s="27"/>
      <x:c r="K25" s="27"/>
      <x:c r="L25" s="18"/>
      <x:c r="M25" s="18"/>
      <x:c r="N25" s="18" t="str">
        <x:f>IF(A25="","",IF(OR(I25="",K25=""),"",IF(I25&gt;K25,"Oui","Non")))</x:f>
      </x:c>
      <x:c r="O25" s="18" t="str">
        <x:f>IF(A25="","",IF(OR(I25="",K25="",M25="D - Faible"),"Donnees manquantes",IF(N25="Oui","Depassement","OK")))</x:f>
      </x:c>
      <x:c r="P25" s="18"/>
    </x:row>
    <x:row r="26">
      <x:c r="A26" s="18"/>
      <x:c r="B26" s="18"/>
      <x:c r="C26" s="18"/>
      <x:c r="D26" s="26"/>
      <x:c r="E26" s="26"/>
      <x:c r="F26" s="19"/>
      <x:c r="G26" s="18"/>
      <x:c r="H26" s="18"/>
      <x:c r="I26" s="27"/>
      <x:c r="J26" s="27"/>
      <x:c r="K26" s="27"/>
      <x:c r="L26" s="18"/>
      <x:c r="M26" s="18"/>
      <x:c r="N26" s="18" t="str">
        <x:f>IF(A26="","",IF(OR(I26="",K26=""),"",IF(I26&gt;K26,"Oui","Non")))</x:f>
      </x:c>
      <x:c r="O26" s="18" t="str">
        <x:f>IF(A26="","",IF(OR(I26="",K26="",M26="D - Faible"),"Donnees manquantes",IF(N26="Oui","Depassement","OK")))</x:f>
      </x:c>
      <x:c r="P26" s="18"/>
    </x:row>
    <x:row r="27">
      <x:c r="A27" s="18"/>
      <x:c r="B27" s="18"/>
      <x:c r="C27" s="18"/>
      <x:c r="D27" s="26"/>
      <x:c r="E27" s="26"/>
      <x:c r="F27" s="19"/>
      <x:c r="G27" s="18"/>
      <x:c r="H27" s="18"/>
      <x:c r="I27" s="27"/>
      <x:c r="J27" s="27"/>
      <x:c r="K27" s="27"/>
      <x:c r="L27" s="18"/>
      <x:c r="M27" s="18"/>
      <x:c r="N27" s="18" t="str">
        <x:f>IF(A27="","",IF(OR(I27="",K27=""),"",IF(I27&gt;K27,"Oui","Non")))</x:f>
      </x:c>
      <x:c r="O27" s="18" t="str">
        <x:f>IF(A27="","",IF(OR(I27="",K27="",M27="D - Faible"),"Donnees manquantes",IF(N27="Oui","Depassement","OK")))</x:f>
      </x:c>
      <x:c r="P27" s="18"/>
    </x:row>
    <x:row r="28">
      <x:c r="A28" s="18"/>
      <x:c r="B28" s="18"/>
      <x:c r="C28" s="18"/>
      <x:c r="D28" s="26"/>
      <x:c r="E28" s="26"/>
      <x:c r="F28" s="19"/>
      <x:c r="G28" s="18"/>
      <x:c r="H28" s="18"/>
      <x:c r="I28" s="27"/>
      <x:c r="J28" s="27"/>
      <x:c r="K28" s="27"/>
      <x:c r="L28" s="18"/>
      <x:c r="M28" s="18"/>
      <x:c r="N28" s="18" t="str">
        <x:f>IF(A28="","",IF(OR(I28="",K28=""),"",IF(I28&gt;K28,"Oui","Non")))</x:f>
      </x:c>
      <x:c r="O28" s="18" t="str">
        <x:f>IF(A28="","",IF(OR(I28="",K28="",M28="D - Faible"),"Donnees manquantes",IF(N28="Oui","Depassement","OK")))</x:f>
      </x:c>
      <x:c r="P28" s="18"/>
    </x:row>
    <x:row r="29">
      <x:c r="A29" s="18"/>
      <x:c r="B29" s="18"/>
      <x:c r="C29" s="18"/>
      <x:c r="D29" s="26"/>
      <x:c r="E29" s="26"/>
      <x:c r="F29" s="19"/>
      <x:c r="G29" s="18"/>
      <x:c r="H29" s="18"/>
      <x:c r="I29" s="27"/>
      <x:c r="J29" s="27"/>
      <x:c r="K29" s="27"/>
      <x:c r="L29" s="18"/>
      <x:c r="M29" s="18"/>
      <x:c r="N29" s="18" t="str">
        <x:f>IF(A29="","",IF(OR(I29="",K29=""),"",IF(I29&gt;K29,"Oui","Non")))</x:f>
      </x:c>
      <x:c r="O29" s="18" t="str">
        <x:f>IF(A29="","",IF(OR(I29="",K29="",M29="D - Faible"),"Donnees manquantes",IF(N29="Oui","Depassement","OK")))</x:f>
      </x:c>
      <x:c r="P29" s="18"/>
    </x:row>
    <x:row r="30">
      <x:c r="A30" s="18"/>
      <x:c r="B30" s="18"/>
      <x:c r="C30" s="18"/>
      <x:c r="D30" s="26"/>
      <x:c r="E30" s="26"/>
      <x:c r="F30" s="19"/>
      <x:c r="G30" s="18"/>
      <x:c r="H30" s="18"/>
      <x:c r="I30" s="27"/>
      <x:c r="J30" s="27"/>
      <x:c r="K30" s="27"/>
      <x:c r="L30" s="18"/>
      <x:c r="M30" s="18"/>
      <x:c r="N30" s="18" t="str">
        <x:f>IF(A30="","",IF(OR(I30="",K30=""),"",IF(I30&gt;K30,"Oui","Non")))</x:f>
      </x:c>
      <x:c r="O30" s="18" t="str">
        <x:f>IF(A30="","",IF(OR(I30="",K30="",M30="D - Faible"),"Donnees manquantes",IF(N30="Oui","Depassement","OK")))</x:f>
      </x:c>
      <x:c r="P30" s="18"/>
    </x:row>
    <x:row r="31">
      <x:c r="A31" s="18"/>
      <x:c r="B31" s="18"/>
      <x:c r="C31" s="18"/>
      <x:c r="D31" s="26"/>
      <x:c r="E31" s="26"/>
      <x:c r="F31" s="19"/>
      <x:c r="G31" s="18"/>
      <x:c r="H31" s="18"/>
      <x:c r="I31" s="27"/>
      <x:c r="J31" s="27"/>
      <x:c r="K31" s="27"/>
      <x:c r="L31" s="18"/>
      <x:c r="M31" s="18"/>
      <x:c r="N31" s="18" t="str">
        <x:f>IF(A31="","",IF(OR(I31="",K31=""),"",IF(I31&gt;K31,"Oui","Non")))</x:f>
      </x:c>
      <x:c r="O31" s="18" t="str">
        <x:f>IF(A31="","",IF(OR(I31="",K31="",M31="D - Faible"),"Donnees manquantes",IF(N31="Oui","Depassement","OK")))</x:f>
      </x:c>
      <x:c r="P31" s="18"/>
    </x:row>
    <x:row r="32">
      <x:c r="A32" s="18"/>
      <x:c r="B32" s="18"/>
      <x:c r="C32" s="18"/>
      <x:c r="D32" s="26"/>
      <x:c r="E32" s="26"/>
      <x:c r="F32" s="19"/>
      <x:c r="G32" s="18"/>
      <x:c r="H32" s="18"/>
      <x:c r="I32" s="27"/>
      <x:c r="J32" s="27"/>
      <x:c r="K32" s="27"/>
      <x:c r="L32" s="18"/>
      <x:c r="M32" s="18"/>
      <x:c r="N32" s="18" t="str">
        <x:f>IF(A32="","",IF(OR(I32="",K32=""),"",IF(I32&gt;K32,"Oui","Non")))</x:f>
      </x:c>
      <x:c r="O32" s="18" t="str">
        <x:f>IF(A32="","",IF(OR(I32="",K32="",M32="D - Faible"),"Donnees manquantes",IF(N32="Oui","Depassement","OK")))</x:f>
      </x:c>
      <x:c r="P32" s="18"/>
    </x:row>
    <x:row r="33">
      <x:c r="A33" s="18"/>
      <x:c r="B33" s="18"/>
      <x:c r="C33" s="18"/>
      <x:c r="D33" s="26"/>
      <x:c r="E33" s="26"/>
      <x:c r="F33" s="19"/>
      <x:c r="G33" s="18"/>
      <x:c r="H33" s="18"/>
      <x:c r="I33" s="27"/>
      <x:c r="J33" s="27"/>
      <x:c r="K33" s="27"/>
      <x:c r="L33" s="18"/>
      <x:c r="M33" s="18"/>
      <x:c r="N33" s="18" t="str">
        <x:f>IF(A33="","",IF(OR(I33="",K33=""),"",IF(I33&gt;K33,"Oui","Non")))</x:f>
      </x:c>
      <x:c r="O33" s="18" t="str">
        <x:f>IF(A33="","",IF(OR(I33="",K33="",M33="D - Faible"),"Donnees manquantes",IF(N33="Oui","Depassement","OK")))</x:f>
      </x:c>
      <x:c r="P33" s="18"/>
    </x:row>
    <x:row r="34">
      <x:c r="A34" s="18"/>
      <x:c r="B34" s="18"/>
      <x:c r="C34" s="18"/>
      <x:c r="D34" s="26"/>
      <x:c r="E34" s="26"/>
      <x:c r="F34" s="19"/>
      <x:c r="G34" s="18"/>
      <x:c r="H34" s="18"/>
      <x:c r="I34" s="27"/>
      <x:c r="J34" s="27"/>
      <x:c r="K34" s="27"/>
      <x:c r="L34" s="18"/>
      <x:c r="M34" s="18"/>
      <x:c r="N34" s="18" t="str">
        <x:f>IF(A34="","",IF(OR(I34="",K34=""),"",IF(I34&gt;K34,"Oui","Non")))</x:f>
      </x:c>
      <x:c r="O34" s="18" t="str">
        <x:f>IF(A34="","",IF(OR(I34="",K34="",M34="D - Faible"),"Donnees manquantes",IF(N34="Oui","Depassement","OK")))</x:f>
      </x:c>
      <x:c r="P34" s="18"/>
    </x:row>
    <x:row r="35">
      <x:c r="A35" s="18"/>
      <x:c r="B35" s="18"/>
      <x:c r="C35" s="18"/>
      <x:c r="D35" s="26"/>
      <x:c r="E35" s="26"/>
      <x:c r="F35" s="19"/>
      <x:c r="G35" s="18"/>
      <x:c r="H35" s="18"/>
      <x:c r="I35" s="27"/>
      <x:c r="J35" s="27"/>
      <x:c r="K35" s="27"/>
      <x:c r="L35" s="18"/>
      <x:c r="M35" s="18"/>
      <x:c r="N35" s="18" t="str">
        <x:f>IF(A35="","",IF(OR(I35="",K35=""),"",IF(I35&gt;K35,"Oui","Non")))</x:f>
      </x:c>
      <x:c r="O35" s="18" t="str">
        <x:f>IF(A35="","",IF(OR(I35="",K35="",M35="D - Faible"),"Donnees manquantes",IF(N35="Oui","Depassement","OK")))</x:f>
      </x:c>
      <x:c r="P35" s="18"/>
    </x:row>
    <x:row r="36">
      <x:c r="A36" s="18"/>
      <x:c r="B36" s="18"/>
      <x:c r="C36" s="18"/>
      <x:c r="D36" s="26"/>
      <x:c r="E36" s="26"/>
      <x:c r="F36" s="19"/>
      <x:c r="G36" s="18"/>
      <x:c r="H36" s="18"/>
      <x:c r="I36" s="27"/>
      <x:c r="J36" s="27"/>
      <x:c r="K36" s="27"/>
      <x:c r="L36" s="18"/>
      <x:c r="M36" s="18"/>
      <x:c r="N36" s="18" t="str">
        <x:f>IF(A36="","",IF(OR(I36="",K36=""),"",IF(I36&gt;K36,"Oui","Non")))</x:f>
      </x:c>
      <x:c r="O36" s="18" t="str">
        <x:f>IF(A36="","",IF(OR(I36="",K36="",M36="D - Faible"),"Donnees manquantes",IF(N36="Oui","Depassement","OK")))</x:f>
      </x:c>
      <x:c r="P36" s="18"/>
    </x:row>
    <x:row r="37">
      <x:c r="A37" s="18"/>
      <x:c r="B37" s="18"/>
      <x:c r="C37" s="18"/>
      <x:c r="D37" s="26"/>
      <x:c r="E37" s="26"/>
      <x:c r="F37" s="19"/>
      <x:c r="G37" s="18"/>
      <x:c r="H37" s="18"/>
      <x:c r="I37" s="27"/>
      <x:c r="J37" s="27"/>
      <x:c r="K37" s="27"/>
      <x:c r="L37" s="18"/>
      <x:c r="M37" s="18"/>
      <x:c r="N37" s="18" t="str">
        <x:f>IF(A37="","",IF(OR(I37="",K37=""),"",IF(I37&gt;K37,"Oui","Non")))</x:f>
      </x:c>
      <x:c r="O37" s="18" t="str">
        <x:f>IF(A37="","",IF(OR(I37="",K37="",M37="D - Faible"),"Donnees manquantes",IF(N37="Oui","Depassement","OK")))</x:f>
      </x:c>
      <x:c r="P37" s="18"/>
    </x:row>
    <x:row r="38">
      <x:c r="A38" s="18"/>
      <x:c r="B38" s="18"/>
      <x:c r="C38" s="18"/>
      <x:c r="D38" s="26"/>
      <x:c r="E38" s="26"/>
      <x:c r="F38" s="19"/>
      <x:c r="G38" s="18"/>
      <x:c r="H38" s="18"/>
      <x:c r="I38" s="27"/>
      <x:c r="J38" s="27"/>
      <x:c r="K38" s="27"/>
      <x:c r="L38" s="18"/>
      <x:c r="M38" s="18"/>
      <x:c r="N38" s="18" t="str">
        <x:f>IF(A38="","",IF(OR(I38="",K38=""),"",IF(I38&gt;K38,"Oui","Non")))</x:f>
      </x:c>
      <x:c r="O38" s="18" t="str">
        <x:f>IF(A38="","",IF(OR(I38="",K38="",M38="D - Faible"),"Donnees manquantes",IF(N38="Oui","Depassement","OK")))</x:f>
      </x:c>
      <x:c r="P38" s="18"/>
    </x:row>
    <x:row r="39">
      <x:c r="A39" s="18"/>
      <x:c r="B39" s="18"/>
      <x:c r="C39" s="18"/>
      <x:c r="D39" s="26"/>
      <x:c r="E39" s="26"/>
      <x:c r="F39" s="19"/>
      <x:c r="G39" s="18"/>
      <x:c r="H39" s="18"/>
      <x:c r="I39" s="27"/>
      <x:c r="J39" s="27"/>
      <x:c r="K39" s="27"/>
      <x:c r="L39" s="18"/>
      <x:c r="M39" s="18"/>
      <x:c r="N39" s="18" t="str">
        <x:f>IF(A39="","",IF(OR(I39="",K39=""),"",IF(I39&gt;K39,"Oui","Non")))</x:f>
      </x:c>
      <x:c r="O39" s="18" t="str">
        <x:f>IF(A39="","",IF(OR(I39="",K39="",M39="D - Faible"),"Donnees manquantes",IF(N39="Oui","Depassement","OK")))</x:f>
      </x:c>
      <x:c r="P39" s="18"/>
    </x:row>
    <x:row r="40">
      <x:c r="A40" s="18"/>
      <x:c r="B40" s="18"/>
      <x:c r="C40" s="18"/>
      <x:c r="D40" s="26"/>
      <x:c r="E40" s="26"/>
      <x:c r="F40" s="19"/>
      <x:c r="G40" s="18"/>
      <x:c r="H40" s="18"/>
      <x:c r="I40" s="27"/>
      <x:c r="J40" s="27"/>
      <x:c r="K40" s="27"/>
      <x:c r="L40" s="18"/>
      <x:c r="M40" s="18"/>
      <x:c r="N40" s="18" t="str">
        <x:f>IF(A40="","",IF(OR(I40="",K40=""),"",IF(I40&gt;K40,"Oui","Non")))</x:f>
      </x:c>
      <x:c r="O40" s="18" t="str">
        <x:f>IF(A40="","",IF(OR(I40="",K40="",M40="D - Faible"),"Donnees manquantes",IF(N40="Oui","Depassement","OK")))</x:f>
      </x:c>
      <x:c r="P40" s="18"/>
    </x:row>
    <x:row r="41">
      <x:c r="A41" s="18"/>
      <x:c r="B41" s="18"/>
      <x:c r="C41" s="18"/>
      <x:c r="D41" s="26"/>
      <x:c r="E41" s="26"/>
      <x:c r="F41" s="19"/>
      <x:c r="G41" s="18"/>
      <x:c r="H41" s="18"/>
      <x:c r="I41" s="27"/>
      <x:c r="J41" s="27"/>
      <x:c r="K41" s="27"/>
      <x:c r="L41" s="18"/>
      <x:c r="M41" s="18"/>
      <x:c r="N41" s="18" t="str">
        <x:f>IF(A41="","",IF(OR(I41="",K41=""),"",IF(I41&gt;K41,"Oui","Non")))</x:f>
      </x:c>
      <x:c r="O41" s="18" t="str">
        <x:f>IF(A41="","",IF(OR(I41="",K41="",M41="D - Faible"),"Donnees manquantes",IF(N41="Oui","Depassement","OK")))</x:f>
      </x:c>
      <x:c r="P41" s="18"/>
    </x:row>
    <x:row r="42">
      <x:c r="A42" s="18"/>
      <x:c r="B42" s="18"/>
      <x:c r="C42" s="18"/>
      <x:c r="D42" s="26"/>
      <x:c r="E42" s="26"/>
      <x:c r="F42" s="19"/>
      <x:c r="G42" s="18"/>
      <x:c r="H42" s="18"/>
      <x:c r="I42" s="27"/>
      <x:c r="J42" s="27"/>
      <x:c r="K42" s="27"/>
      <x:c r="L42" s="18"/>
      <x:c r="M42" s="18"/>
      <x:c r="N42" s="18" t="str">
        <x:f>IF(A42="","",IF(OR(I42="",K42=""),"",IF(I42&gt;K42,"Oui","Non")))</x:f>
      </x:c>
      <x:c r="O42" s="18" t="str">
        <x:f>IF(A42="","",IF(OR(I42="",K42="",M42="D - Faible"),"Donnees manquantes",IF(N42="Oui","Depassement","OK")))</x:f>
      </x:c>
      <x:c r="P42" s="18"/>
    </x:row>
    <x:row r="43">
      <x:c r="A43" s="18"/>
      <x:c r="B43" s="18"/>
      <x:c r="C43" s="18"/>
      <x:c r="D43" s="26"/>
      <x:c r="E43" s="26"/>
      <x:c r="F43" s="19"/>
      <x:c r="G43" s="18"/>
      <x:c r="H43" s="18"/>
      <x:c r="I43" s="27"/>
      <x:c r="J43" s="27"/>
      <x:c r="K43" s="27"/>
      <x:c r="L43" s="18"/>
      <x:c r="M43" s="18"/>
      <x:c r="N43" s="18" t="str">
        <x:f>IF(A43="","",IF(OR(I43="",K43=""),"",IF(I43&gt;K43,"Oui","Non")))</x:f>
      </x:c>
      <x:c r="O43" s="18" t="str">
        <x:f>IF(A43="","",IF(OR(I43="",K43="",M43="D - Faible"),"Donnees manquantes",IF(N43="Oui","Depassement","OK")))</x:f>
      </x:c>
      <x:c r="P43" s="18"/>
    </x:row>
    <x:row r="44">
      <x:c r="A44" s="18"/>
      <x:c r="B44" s="18"/>
      <x:c r="C44" s="18"/>
      <x:c r="D44" s="26"/>
      <x:c r="E44" s="26"/>
      <x:c r="F44" s="19"/>
      <x:c r="G44" s="18"/>
      <x:c r="H44" s="18"/>
      <x:c r="I44" s="27"/>
      <x:c r="J44" s="27"/>
      <x:c r="K44" s="27"/>
      <x:c r="L44" s="18"/>
      <x:c r="M44" s="18"/>
      <x:c r="N44" s="18" t="str">
        <x:f>IF(A44="","",IF(OR(I44="",K44=""),"",IF(I44&gt;K44,"Oui","Non")))</x:f>
      </x:c>
      <x:c r="O44" s="18" t="str">
        <x:f>IF(A44="","",IF(OR(I44="",K44="",M44="D - Faible"),"Donnees manquantes",IF(N44="Oui","Depassement","OK")))</x:f>
      </x:c>
      <x:c r="P44" s="18"/>
    </x:row>
  </x:sheetData>
  <x:mergeCells>
    <x:mergeCell ref="A1:J1"/>
    <x:mergeCell ref="A2:J2"/>
  </x:mergeCells>
  <x:conditionalFormatting sqref="O5:O44">
    <x:cfRule type="containsText" dxfId="36" priority="1" operator="containsText" text="Retard"/>
    <x:cfRule type="containsText" dxfId="37" priority="2" operator="containsText" text="critique"/>
    <x:cfRule type="containsText" dxfId="38" priority="3" operator="containsText" text="manquant"/>
    <x:cfRule type="containsText" dxfId="39"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C5:C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H5:H44">
      <x:formula1>"PM2.5,PM10,NO2,SO2,O3,CO"</x:formula1>
    </x:dataValidation>
    <x:dataValidation type="list" errorStyle="warning" showInputMessage="1" showErrorMessage="1" errorTitle="Valeur inattendue" error="Cette colonne utilise une liste controlee." promptTitle="Liste controlee" prompt="Choisir une valeur dans la liste." sqref="M5:M44">
      <x:formula1>"A - Verifiee,B - Bonne,C - Estimee,D - Faible,A confirmer"</x:formula1>
    </x:dataValidation>
  </x:dataValidations>
  <x:pageMargins left="0.7" right="0.7" top="0.75" bottom="0.75" header="0.3" footer="0.3"/>
  <x:tableParts count="1">
    <x:tablePart xmlns:r="http://schemas.openxmlformats.org/officeDocument/2006/relationships" r:id="R81a6a9f5fa70405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13.75" hidden="0" customWidth="1"/>
    <x:col min="4" max="4" width="20" hidden="0" customWidth="1"/>
    <x:col min="5" max="5" width="16.25" hidden="0" customWidth="1"/>
    <x:col min="6" max="6" width="12.5" hidden="0" customWidth="1"/>
    <x:col min="7" max="7" width="15" hidden="0" customWidth="1"/>
    <x:col min="8" max="8" width="15" hidden="0" customWidth="1"/>
    <x:col min="9" max="9" width="15" hidden="0" customWidth="1"/>
    <x:col min="10" max="10" width="15" hidden="0" customWidth="1"/>
    <x:col min="11" max="11" width="11.880000114440918" hidden="0" customWidth="1"/>
    <x:col min="12" max="12" width="16.25" hidden="0" customWidth="1"/>
    <x:col min="13" max="13" width="16.25" hidden="0" customWidth="1"/>
    <x:col min="14" max="14" width="14.380000114440918" hidden="0" customWidth="1"/>
    <x:col min="15" max="15" width="13.130000114440918" hidden="0" customWidth="1"/>
    <x:col min="16" max="16" width="16.25" hidden="0" customWidth="1"/>
    <x:col min="17" max="17" width="18.1299991607666" hidden="0" customWidth="1"/>
  </x:cols>
  <x:sheetData>
    <x:row r="1" ht="25.5" customHeight="1">
      <x:c r="A1" s="2" t="str">
        <x:v>Donnees mobilite</x:v>
      </x:c>
      <x:c r="B1" s="2"/>
      <x:c r="C1" s="2"/>
      <x:c r="D1" s="2"/>
      <x:c r="E1" s="2"/>
      <x:c r="F1" s="2"/>
      <x:c r="G1" s="2"/>
      <x:c r="H1" s="2"/>
      <x:c r="I1" s="2"/>
      <x:c r="J1" s="2"/>
    </x:row>
    <x:row r="2" ht="31.5" customHeight="1">
      <x:c r="A2" s="5" t="str">
        <x:v>Suivi des modes, consommations, parts modales et emissions transport.</x:v>
      </x:c>
      <x:c r="B2" s="5"/>
      <x:c r="C2" s="5"/>
      <x:c r="D2" s="5"/>
      <x:c r="E2" s="5"/>
      <x:c r="F2" s="5"/>
      <x:c r="G2" s="5"/>
      <x:c r="H2" s="5"/>
      <x:c r="I2" s="5"/>
      <x:c r="J2" s="5"/>
    </x:row>
    <x:row r="4" ht="28.5" customHeight="1">
      <x:c r="A4" s="16" t="str">
        <x:v>Mobilite_ID</x:v>
      </x:c>
      <x:c r="B4" s="16" t="str">
        <x:v>Annee</x:v>
      </x:c>
      <x:c r="C4" s="16" t="str">
        <x:v>Mode</x:v>
      </x:c>
      <x:c r="D4" s="16" t="str">
        <x:v>Segment</x:v>
      </x:c>
      <x:c r="E4" s="16" t="str">
        <x:v>Carburant_energie</x:v>
      </x:c>
      <x:c r="F4" s="16" t="str">
        <x:v>Vehicules</x:v>
      </x:c>
      <x:c r="G4" s="16" t="str">
        <x:v>Distance_km</x:v>
      </x:c>
      <x:c r="H4" s="16" t="str">
        <x:v>Passagers</x:v>
      </x:c>
      <x:c r="I4" s="16" t="str">
        <x:v>Voyages</x:v>
      </x:c>
      <x:c r="J4" s="16" t="str">
        <x:v>Consommation</x:v>
      </x:c>
      <x:c r="K4" s="16" t="str">
        <x:v>Unite_conso</x:v>
      </x:c>
      <x:c r="L4" s="16" t="str">
        <x:v>Facteur_ID</x:v>
      </x:c>
      <x:c r="M4" s="16" t="str">
        <x:v>Emissions_tCO2e</x:v>
      </x:c>
      <x:c r="N4" s="16" t="str">
        <x:v>Part_modale_pct</x:v>
      </x:c>
      <x:c r="O4" s="16" t="str">
        <x:v>Source_ID</x:v>
      </x:c>
      <x:c r="P4" s="16" t="str">
        <x:v>Qualite</x:v>
      </x:c>
      <x:c r="Q4" s="16" t="str">
        <x:v>Alerte_donnees</x:v>
      </x:c>
    </x:row>
    <x:row r="5">
      <x:c r="A5" s="18" t="str">
        <x:v>MOB-001</x:v>
      </x:c>
      <x:c r="B5" s="18" t="n">
        <x:v>2025</x:v>
      </x:c>
      <x:c r="C5" s="18" t="str">
        <x:v>Bus</x:v>
      </x:c>
      <x:c r="D5" s="18" t="str">
        <x:v>Transport collectif</x:v>
      </x:c>
      <x:c r="E5" s="18" t="str">
        <x:v>Diesel</x:v>
      </x:c>
      <x:c r="F5" s="18" t="n">
        <x:v>420</x:v>
      </x:c>
      <x:c r="G5" s="22" t="n">
        <x:v>18500000</x:v>
      </x:c>
      <x:c r="H5" s="22" t="n">
        <x:v>72000000</x:v>
      </x:c>
      <x:c r="I5" s="22" t="n">
        <x:v>9800000</x:v>
      </x:c>
      <x:c r="J5" s="22" t="n">
        <x:v>6500000</x:v>
      </x:c>
      <x:c r="K5" s="18" t="str">
        <x:v>litres</x:v>
      </x:c>
      <x:c r="L5" s="18" t="str">
        <x:v>FE-DIESEL-001</x:v>
      </x:c>
      <x:c r="M5" s="28" t="n">
        <x:f>IF(A5="","",IFERROR(J5*SWITCH(L5,"FE-DIESEL-001",0.00268,"FE-GASOLINE-001",0.00231,"FE-EL-SN-001",0.00055,0)*SWITCH(L5,"FE-WASTE-CH4-001",28,1),0))</x:f>
        <x:v>0</x:v>
      </x:c>
      <x:c r="N5" s="20" t="n">
        <x:v>0.18</x:v>
      </x:c>
      <x:c r="O5" s="18" t="str">
        <x:v>SRC-004</x:v>
      </x:c>
      <x:c r="P5" s="18" t="str">
        <x:v>B - Bonne</x:v>
      </x:c>
      <x:c r="Q5" s="18" t="str">
        <x:f>IF(A5="","",IF(OR(B5="",C5="",O5="",P5="D - Faible"),"Donnees manquantes","OK"))</x:f>
        <x:v>OK</x:v>
      </x:c>
    </x:row>
    <x:row r="6">
      <x:c r="A6" s="18" t="str">
        <x:v>MOB-002</x:v>
      </x:c>
      <x:c r="B6" s="18" t="n">
        <x:v>2025</x:v>
      </x:c>
      <x:c r="C6" s="18" t="str">
        <x:v>Taxis</x:v>
      </x:c>
      <x:c r="D6" s="18" t="str">
        <x:v>Transport routier</x:v>
      </x:c>
      <x:c r="E6" s="18" t="str">
        <x:v>Essence</x:v>
      </x:c>
      <x:c r="F6" s="18" t="n">
        <x:v>10500</x:v>
      </x:c>
      <x:c r="G6" s="22" t="n">
        <x:v>145000000</x:v>
      </x:c>
      <x:c r="H6" s="22" t="n">
        <x:v>120000000</x:v>
      </x:c>
      <x:c r="I6" s="22" t="n">
        <x:v>45000000</x:v>
      </x:c>
      <x:c r="J6" s="22" t="n">
        <x:v>18000000</x:v>
      </x:c>
      <x:c r="K6" s="18" t="str">
        <x:v>litres</x:v>
      </x:c>
      <x:c r="L6" s="18" t="str">
        <x:v>FE-GASOLINE-001</x:v>
      </x:c>
      <x:c r="M6" s="28" t="n">
        <x:f>IF(A6="","",IFERROR(J6*SWITCH(L6,"FE-DIESEL-001",0.00268,"FE-GASOLINE-001",0.00231,"FE-EL-SN-001",0.00055,0)*SWITCH(L6,"FE-WASTE-CH4-001",28,1),0))</x:f>
        <x:v>0</x:v>
      </x:c>
      <x:c r="N6" s="20" t="n">
        <x:v>0.22</x:v>
      </x:c>
      <x:c r="O6" s="18" t="str">
        <x:v>SRC-004</x:v>
      </x:c>
      <x:c r="P6" s="18" t="str">
        <x:v>C - Estimee</x:v>
      </x:c>
      <x:c r="Q6" s="18" t="str">
        <x:f>IF(A6="","",IF(OR(B6="",C6="",O6="",P6="D - Faible"),"Donnees manquantes","OK"))</x:f>
        <x:v>OK</x:v>
      </x:c>
    </x:row>
    <x:row r="7">
      <x:c r="A7" s="18" t="str">
        <x:v>MOB-003</x:v>
      </x:c>
      <x:c r="B7" s="18" t="n">
        <x:v>2025</x:v>
      </x:c>
      <x:c r="C7" s="18" t="str">
        <x:v>Marche</x:v>
      </x:c>
      <x:c r="D7" s="18" t="str">
        <x:v>Mobilite active</x:v>
      </x:c>
      <x:c r="E7" s="18" t="str">
        <x:v>Aucun</x:v>
      </x:c>
      <x:c r="F7" s="18"/>
      <x:c r="G7" s="22"/>
      <x:c r="H7" s="22" t="n">
        <x:v>210000000</x:v>
      </x:c>
      <x:c r="I7" s="22" t="n">
        <x:v>210000000</x:v>
      </x:c>
      <x:c r="J7" s="22" t="n">
        <x:v>0</x:v>
      </x:c>
      <x:c r="K7" s="18" t="str">
        <x:v>NA</x:v>
      </x:c>
      <x:c r="L7" s="18" t="str"/>
      <x:c r="M7" s="28" t="n">
        <x:f>IF(A7="","",IFERROR(J7*SWITCH(L7,"FE-DIESEL-001",0.00268,"FE-GASOLINE-001",0.00231,"FE-EL-SN-001",0.00055,0)*SWITCH(L7,"FE-WASTE-CH4-001",28,1),0))</x:f>
        <x:v>0</x:v>
      </x:c>
      <x:c r="N7" s="20" t="n">
        <x:v>0.35</x:v>
      </x:c>
      <x:c r="O7" s="18" t="str">
        <x:v>SRC-004</x:v>
      </x:c>
      <x:c r="P7" s="18" t="str">
        <x:v>C - Estimee</x:v>
      </x:c>
      <x:c r="Q7" s="18" t="str">
        <x:f>IF(A7="","",IF(OR(B7="",C7="",O7="",P7="D - Faible"),"Donnees manquantes","OK"))</x:f>
        <x:v>OK</x:v>
      </x:c>
    </x:row>
    <x:row r="8">
      <x:c r="A8" s="18"/>
      <x:c r="B8" s="18"/>
      <x:c r="C8" s="18"/>
      <x:c r="D8" s="18"/>
      <x:c r="E8" s="18"/>
      <x:c r="F8" s="18"/>
      <x:c r="G8" s="22"/>
      <x:c r="H8" s="22"/>
      <x:c r="I8" s="22"/>
      <x:c r="J8" s="22"/>
      <x:c r="K8" s="18"/>
      <x:c r="L8" s="18"/>
      <x:c r="M8" s="28" t="str">
        <x:f>IF(A8="","",IFERROR(J8*SWITCH(L8,"FE-DIESEL-001",0.00268,"FE-GASOLINE-001",0.00231,"FE-EL-SN-001",0.00055,0)*SWITCH(L8,"FE-WASTE-CH4-001",28,1),0))</x:f>
      </x:c>
      <x:c r="N8" s="20"/>
      <x:c r="O8" s="18"/>
      <x:c r="P8" s="18"/>
      <x:c r="Q8" s="18" t="str">
        <x:f>IF(A8="","",IF(OR(B8="",C8="",O8="",P8="D - Faible"),"Donnees manquantes","OK"))</x:f>
      </x:c>
    </x:row>
    <x:row r="9">
      <x:c r="A9" s="18"/>
      <x:c r="B9" s="18"/>
      <x:c r="C9" s="18"/>
      <x:c r="D9" s="18"/>
      <x:c r="E9" s="18"/>
      <x:c r="F9" s="18"/>
      <x:c r="G9" s="22"/>
      <x:c r="H9" s="22"/>
      <x:c r="I9" s="22"/>
      <x:c r="J9" s="22"/>
      <x:c r="K9" s="18"/>
      <x:c r="L9" s="18"/>
      <x:c r="M9" s="28" t="str">
        <x:f>IF(A9="","",IFERROR(J9*SWITCH(L9,"FE-DIESEL-001",0.00268,"FE-GASOLINE-001",0.00231,"FE-EL-SN-001",0.00055,0)*SWITCH(L9,"FE-WASTE-CH4-001",28,1),0))</x:f>
      </x:c>
      <x:c r="N9" s="20"/>
      <x:c r="O9" s="18"/>
      <x:c r="P9" s="18"/>
      <x:c r="Q9" s="18" t="str">
        <x:f>IF(A9="","",IF(OR(B9="",C9="",O9="",P9="D - Faible"),"Donnees manquantes","OK"))</x:f>
      </x:c>
    </x:row>
    <x:row r="10">
      <x:c r="A10" s="18"/>
      <x:c r="B10" s="18"/>
      <x:c r="C10" s="18"/>
      <x:c r="D10" s="18"/>
      <x:c r="E10" s="18"/>
      <x:c r="F10" s="18"/>
      <x:c r="G10" s="22"/>
      <x:c r="H10" s="22"/>
      <x:c r="I10" s="22"/>
      <x:c r="J10" s="22"/>
      <x:c r="K10" s="18"/>
      <x:c r="L10" s="18"/>
      <x:c r="M10" s="28" t="str">
        <x:f>IF(A10="","",IFERROR(J10*SWITCH(L10,"FE-DIESEL-001",0.00268,"FE-GASOLINE-001",0.00231,"FE-EL-SN-001",0.00055,0)*SWITCH(L10,"FE-WASTE-CH4-001",28,1),0))</x:f>
      </x:c>
      <x:c r="N10" s="20"/>
      <x:c r="O10" s="18"/>
      <x:c r="P10" s="18"/>
      <x:c r="Q10" s="18" t="str">
        <x:f>IF(A10="","",IF(OR(B10="",C10="",O10="",P10="D - Faible"),"Donnees manquantes","OK"))</x:f>
      </x:c>
    </x:row>
    <x:row r="11">
      <x:c r="A11" s="18"/>
      <x:c r="B11" s="18"/>
      <x:c r="C11" s="18"/>
      <x:c r="D11" s="18"/>
      <x:c r="E11" s="18"/>
      <x:c r="F11" s="18"/>
      <x:c r="G11" s="22"/>
      <x:c r="H11" s="22"/>
      <x:c r="I11" s="22"/>
      <x:c r="J11" s="22"/>
      <x:c r="K11" s="18"/>
      <x:c r="L11" s="18"/>
      <x:c r="M11" s="28" t="str">
        <x:f>IF(A11="","",IFERROR(J11*SWITCH(L11,"FE-DIESEL-001",0.00268,"FE-GASOLINE-001",0.00231,"FE-EL-SN-001",0.00055,0)*SWITCH(L11,"FE-WASTE-CH4-001",28,1),0))</x:f>
      </x:c>
      <x:c r="N11" s="20"/>
      <x:c r="O11" s="18"/>
      <x:c r="P11" s="18"/>
      <x:c r="Q11" s="18" t="str">
        <x:f>IF(A11="","",IF(OR(B11="",C11="",O11="",P11="D - Faible"),"Donnees manquantes","OK"))</x:f>
      </x:c>
    </x:row>
    <x:row r="12">
      <x:c r="A12" s="18"/>
      <x:c r="B12" s="18"/>
      <x:c r="C12" s="18"/>
      <x:c r="D12" s="18"/>
      <x:c r="E12" s="18"/>
      <x:c r="F12" s="18"/>
      <x:c r="G12" s="22"/>
      <x:c r="H12" s="22"/>
      <x:c r="I12" s="22"/>
      <x:c r="J12" s="22"/>
      <x:c r="K12" s="18"/>
      <x:c r="L12" s="18"/>
      <x:c r="M12" s="28" t="str">
        <x:f>IF(A12="","",IFERROR(J12*SWITCH(L12,"FE-DIESEL-001",0.00268,"FE-GASOLINE-001",0.00231,"FE-EL-SN-001",0.00055,0)*SWITCH(L12,"FE-WASTE-CH4-001",28,1),0))</x:f>
      </x:c>
      <x:c r="N12" s="20"/>
      <x:c r="O12" s="18"/>
      <x:c r="P12" s="18"/>
      <x:c r="Q12" s="18" t="str">
        <x:f>IF(A12="","",IF(OR(B12="",C12="",O12="",P12="D - Faible"),"Donnees manquantes","OK"))</x:f>
      </x:c>
    </x:row>
    <x:row r="13">
      <x:c r="A13" s="18"/>
      <x:c r="B13" s="18"/>
      <x:c r="C13" s="18"/>
      <x:c r="D13" s="18"/>
      <x:c r="E13" s="18"/>
      <x:c r="F13" s="18"/>
      <x:c r="G13" s="22"/>
      <x:c r="H13" s="22"/>
      <x:c r="I13" s="22"/>
      <x:c r="J13" s="22"/>
      <x:c r="K13" s="18"/>
      <x:c r="L13" s="18"/>
      <x:c r="M13" s="28" t="str">
        <x:f>IF(A13="","",IFERROR(J13*SWITCH(L13,"FE-DIESEL-001",0.00268,"FE-GASOLINE-001",0.00231,"FE-EL-SN-001",0.00055,0)*SWITCH(L13,"FE-WASTE-CH4-001",28,1),0))</x:f>
      </x:c>
      <x:c r="N13" s="20"/>
      <x:c r="O13" s="18"/>
      <x:c r="P13" s="18"/>
      <x:c r="Q13" s="18" t="str">
        <x:f>IF(A13="","",IF(OR(B13="",C13="",O13="",P13="D - Faible"),"Donnees manquantes","OK"))</x:f>
      </x:c>
    </x:row>
    <x:row r="14">
      <x:c r="A14" s="18"/>
      <x:c r="B14" s="18"/>
      <x:c r="C14" s="18"/>
      <x:c r="D14" s="18"/>
      <x:c r="E14" s="18"/>
      <x:c r="F14" s="18"/>
      <x:c r="G14" s="22"/>
      <x:c r="H14" s="22"/>
      <x:c r="I14" s="22"/>
      <x:c r="J14" s="22"/>
      <x:c r="K14" s="18"/>
      <x:c r="L14" s="18"/>
      <x:c r="M14" s="28" t="str">
        <x:f>IF(A14="","",IFERROR(J14*SWITCH(L14,"FE-DIESEL-001",0.00268,"FE-GASOLINE-001",0.00231,"FE-EL-SN-001",0.00055,0)*SWITCH(L14,"FE-WASTE-CH4-001",28,1),0))</x:f>
      </x:c>
      <x:c r="N14" s="20"/>
      <x:c r="O14" s="18"/>
      <x:c r="P14" s="18"/>
      <x:c r="Q14" s="18" t="str">
        <x:f>IF(A14="","",IF(OR(B14="",C14="",O14="",P14="D - Faible"),"Donnees manquantes","OK"))</x:f>
      </x:c>
    </x:row>
    <x:row r="15">
      <x:c r="A15" s="18"/>
      <x:c r="B15" s="18"/>
      <x:c r="C15" s="18"/>
      <x:c r="D15" s="18"/>
      <x:c r="E15" s="18"/>
      <x:c r="F15" s="18"/>
      <x:c r="G15" s="22"/>
      <x:c r="H15" s="22"/>
      <x:c r="I15" s="22"/>
      <x:c r="J15" s="22"/>
      <x:c r="K15" s="18"/>
      <x:c r="L15" s="18"/>
      <x:c r="M15" s="28" t="str">
        <x:f>IF(A15="","",IFERROR(J15*SWITCH(L15,"FE-DIESEL-001",0.00268,"FE-GASOLINE-001",0.00231,"FE-EL-SN-001",0.00055,0)*SWITCH(L15,"FE-WASTE-CH4-001",28,1),0))</x:f>
      </x:c>
      <x:c r="N15" s="20"/>
      <x:c r="O15" s="18"/>
      <x:c r="P15" s="18"/>
      <x:c r="Q15" s="18" t="str">
        <x:f>IF(A15="","",IF(OR(B15="",C15="",O15="",P15="D - Faible"),"Donnees manquantes","OK"))</x:f>
      </x:c>
    </x:row>
    <x:row r="16">
      <x:c r="A16" s="18"/>
      <x:c r="B16" s="18"/>
      <x:c r="C16" s="18"/>
      <x:c r="D16" s="18"/>
      <x:c r="E16" s="18"/>
      <x:c r="F16" s="18"/>
      <x:c r="G16" s="22"/>
      <x:c r="H16" s="22"/>
      <x:c r="I16" s="22"/>
      <x:c r="J16" s="22"/>
      <x:c r="K16" s="18"/>
      <x:c r="L16" s="18"/>
      <x:c r="M16" s="28" t="str">
        <x:f>IF(A16="","",IFERROR(J16*SWITCH(L16,"FE-DIESEL-001",0.00268,"FE-GASOLINE-001",0.00231,"FE-EL-SN-001",0.00055,0)*SWITCH(L16,"FE-WASTE-CH4-001",28,1),0))</x:f>
      </x:c>
      <x:c r="N16" s="20"/>
      <x:c r="O16" s="18"/>
      <x:c r="P16" s="18"/>
      <x:c r="Q16" s="18" t="str">
        <x:f>IF(A16="","",IF(OR(B16="",C16="",O16="",P16="D - Faible"),"Donnees manquantes","OK"))</x:f>
      </x:c>
    </x:row>
    <x:row r="17">
      <x:c r="A17" s="18"/>
      <x:c r="B17" s="18"/>
      <x:c r="C17" s="18"/>
      <x:c r="D17" s="18"/>
      <x:c r="E17" s="18"/>
      <x:c r="F17" s="18"/>
      <x:c r="G17" s="22"/>
      <x:c r="H17" s="22"/>
      <x:c r="I17" s="22"/>
      <x:c r="J17" s="22"/>
      <x:c r="K17" s="18"/>
      <x:c r="L17" s="18"/>
      <x:c r="M17" s="28" t="str">
        <x:f>IF(A17="","",IFERROR(J17*SWITCH(L17,"FE-DIESEL-001",0.00268,"FE-GASOLINE-001",0.00231,"FE-EL-SN-001",0.00055,0)*SWITCH(L17,"FE-WASTE-CH4-001",28,1),0))</x:f>
      </x:c>
      <x:c r="N17" s="20"/>
      <x:c r="O17" s="18"/>
      <x:c r="P17" s="18"/>
      <x:c r="Q17" s="18" t="str">
        <x:f>IF(A17="","",IF(OR(B17="",C17="",O17="",P17="D - Faible"),"Donnees manquantes","OK"))</x:f>
      </x:c>
    </x:row>
    <x:row r="18">
      <x:c r="A18" s="18"/>
      <x:c r="B18" s="18"/>
      <x:c r="C18" s="18"/>
      <x:c r="D18" s="18"/>
      <x:c r="E18" s="18"/>
      <x:c r="F18" s="18"/>
      <x:c r="G18" s="22"/>
      <x:c r="H18" s="22"/>
      <x:c r="I18" s="22"/>
      <x:c r="J18" s="22"/>
      <x:c r="K18" s="18"/>
      <x:c r="L18" s="18"/>
      <x:c r="M18" s="28" t="str">
        <x:f>IF(A18="","",IFERROR(J18*SWITCH(L18,"FE-DIESEL-001",0.00268,"FE-GASOLINE-001",0.00231,"FE-EL-SN-001",0.00055,0)*SWITCH(L18,"FE-WASTE-CH4-001",28,1),0))</x:f>
      </x:c>
      <x:c r="N18" s="20"/>
      <x:c r="O18" s="18"/>
      <x:c r="P18" s="18"/>
      <x:c r="Q18" s="18" t="str">
        <x:f>IF(A18="","",IF(OR(B18="",C18="",O18="",P18="D - Faible"),"Donnees manquantes","OK"))</x:f>
      </x:c>
    </x:row>
    <x:row r="19">
      <x:c r="A19" s="18"/>
      <x:c r="B19" s="18"/>
      <x:c r="C19" s="18"/>
      <x:c r="D19" s="18"/>
      <x:c r="E19" s="18"/>
      <x:c r="F19" s="18"/>
      <x:c r="G19" s="22"/>
      <x:c r="H19" s="22"/>
      <x:c r="I19" s="22"/>
      <x:c r="J19" s="22"/>
      <x:c r="K19" s="18"/>
      <x:c r="L19" s="18"/>
      <x:c r="M19" s="28" t="str">
        <x:f>IF(A19="","",IFERROR(J19*SWITCH(L19,"FE-DIESEL-001",0.00268,"FE-GASOLINE-001",0.00231,"FE-EL-SN-001",0.00055,0)*SWITCH(L19,"FE-WASTE-CH4-001",28,1),0))</x:f>
      </x:c>
      <x:c r="N19" s="20"/>
      <x:c r="O19" s="18"/>
      <x:c r="P19" s="18"/>
      <x:c r="Q19" s="18" t="str">
        <x:f>IF(A19="","",IF(OR(B19="",C19="",O19="",P19="D - Faible"),"Donnees manquantes","OK"))</x:f>
      </x:c>
    </x:row>
    <x:row r="20">
      <x:c r="A20" s="18"/>
      <x:c r="B20" s="18"/>
      <x:c r="C20" s="18"/>
      <x:c r="D20" s="18"/>
      <x:c r="E20" s="18"/>
      <x:c r="F20" s="18"/>
      <x:c r="G20" s="22"/>
      <x:c r="H20" s="22"/>
      <x:c r="I20" s="22"/>
      <x:c r="J20" s="22"/>
      <x:c r="K20" s="18"/>
      <x:c r="L20" s="18"/>
      <x:c r="M20" s="28" t="str">
        <x:f>IF(A20="","",IFERROR(J20*SWITCH(L20,"FE-DIESEL-001",0.00268,"FE-GASOLINE-001",0.00231,"FE-EL-SN-001",0.00055,0)*SWITCH(L20,"FE-WASTE-CH4-001",28,1),0))</x:f>
      </x:c>
      <x:c r="N20" s="20"/>
      <x:c r="O20" s="18"/>
      <x:c r="P20" s="18"/>
      <x:c r="Q20" s="18" t="str">
        <x:f>IF(A20="","",IF(OR(B20="",C20="",O20="",P20="D - Faible"),"Donnees manquantes","OK"))</x:f>
      </x:c>
    </x:row>
    <x:row r="21">
      <x:c r="A21" s="18"/>
      <x:c r="B21" s="18"/>
      <x:c r="C21" s="18"/>
      <x:c r="D21" s="18"/>
      <x:c r="E21" s="18"/>
      <x:c r="F21" s="18"/>
      <x:c r="G21" s="22"/>
      <x:c r="H21" s="22"/>
      <x:c r="I21" s="22"/>
      <x:c r="J21" s="22"/>
      <x:c r="K21" s="18"/>
      <x:c r="L21" s="18"/>
      <x:c r="M21" s="28" t="str">
        <x:f>IF(A21="","",IFERROR(J21*SWITCH(L21,"FE-DIESEL-001",0.00268,"FE-GASOLINE-001",0.00231,"FE-EL-SN-001",0.00055,0)*SWITCH(L21,"FE-WASTE-CH4-001",28,1),0))</x:f>
      </x:c>
      <x:c r="N21" s="20"/>
      <x:c r="O21" s="18"/>
      <x:c r="P21" s="18"/>
      <x:c r="Q21" s="18" t="str">
        <x:f>IF(A21="","",IF(OR(B21="",C21="",O21="",P21="D - Faible"),"Donnees manquantes","OK"))</x:f>
      </x:c>
    </x:row>
    <x:row r="22">
      <x:c r="A22" s="18"/>
      <x:c r="B22" s="18"/>
      <x:c r="C22" s="18"/>
      <x:c r="D22" s="18"/>
      <x:c r="E22" s="18"/>
      <x:c r="F22" s="18"/>
      <x:c r="G22" s="22"/>
      <x:c r="H22" s="22"/>
      <x:c r="I22" s="22"/>
      <x:c r="J22" s="22"/>
      <x:c r="K22" s="18"/>
      <x:c r="L22" s="18"/>
      <x:c r="M22" s="28" t="str">
        <x:f>IF(A22="","",IFERROR(J22*SWITCH(L22,"FE-DIESEL-001",0.00268,"FE-GASOLINE-001",0.00231,"FE-EL-SN-001",0.00055,0)*SWITCH(L22,"FE-WASTE-CH4-001",28,1),0))</x:f>
      </x:c>
      <x:c r="N22" s="20"/>
      <x:c r="O22" s="18"/>
      <x:c r="P22" s="18"/>
      <x:c r="Q22" s="18" t="str">
        <x:f>IF(A22="","",IF(OR(B22="",C22="",O22="",P22="D - Faible"),"Donnees manquantes","OK"))</x:f>
      </x:c>
    </x:row>
    <x:row r="23">
      <x:c r="A23" s="18"/>
      <x:c r="B23" s="18"/>
      <x:c r="C23" s="18"/>
      <x:c r="D23" s="18"/>
      <x:c r="E23" s="18"/>
      <x:c r="F23" s="18"/>
      <x:c r="G23" s="22"/>
      <x:c r="H23" s="22"/>
      <x:c r="I23" s="22"/>
      <x:c r="J23" s="22"/>
      <x:c r="K23" s="18"/>
      <x:c r="L23" s="18"/>
      <x:c r="M23" s="28" t="str">
        <x:f>IF(A23="","",IFERROR(J23*SWITCH(L23,"FE-DIESEL-001",0.00268,"FE-GASOLINE-001",0.00231,"FE-EL-SN-001",0.00055,0)*SWITCH(L23,"FE-WASTE-CH4-001",28,1),0))</x:f>
      </x:c>
      <x:c r="N23" s="20"/>
      <x:c r="O23" s="18"/>
      <x:c r="P23" s="18"/>
      <x:c r="Q23" s="18" t="str">
        <x:f>IF(A23="","",IF(OR(B23="",C23="",O23="",P23="D - Faible"),"Donnees manquantes","OK"))</x:f>
      </x:c>
    </x:row>
    <x:row r="24">
      <x:c r="A24" s="18"/>
      <x:c r="B24" s="18"/>
      <x:c r="C24" s="18"/>
      <x:c r="D24" s="18"/>
      <x:c r="E24" s="18"/>
      <x:c r="F24" s="18"/>
      <x:c r="G24" s="22"/>
      <x:c r="H24" s="22"/>
      <x:c r="I24" s="22"/>
      <x:c r="J24" s="22"/>
      <x:c r="K24" s="18"/>
      <x:c r="L24" s="18"/>
      <x:c r="M24" s="28" t="str">
        <x:f>IF(A24="","",IFERROR(J24*SWITCH(L24,"FE-DIESEL-001",0.00268,"FE-GASOLINE-001",0.00231,"FE-EL-SN-001",0.00055,0)*SWITCH(L24,"FE-WASTE-CH4-001",28,1),0))</x:f>
      </x:c>
      <x:c r="N24" s="20"/>
      <x:c r="O24" s="18"/>
      <x:c r="P24" s="18"/>
      <x:c r="Q24" s="18" t="str">
        <x:f>IF(A24="","",IF(OR(B24="",C24="",O24="",P24="D - Faible"),"Donnees manquantes","OK"))</x:f>
      </x:c>
    </x:row>
    <x:row r="25">
      <x:c r="A25" s="18"/>
      <x:c r="B25" s="18"/>
      <x:c r="C25" s="18"/>
      <x:c r="D25" s="18"/>
      <x:c r="E25" s="18"/>
      <x:c r="F25" s="18"/>
      <x:c r="G25" s="22"/>
      <x:c r="H25" s="22"/>
      <x:c r="I25" s="22"/>
      <x:c r="J25" s="22"/>
      <x:c r="K25" s="18"/>
      <x:c r="L25" s="18"/>
      <x:c r="M25" s="28" t="str">
        <x:f>IF(A25="","",IFERROR(J25*SWITCH(L25,"FE-DIESEL-001",0.00268,"FE-GASOLINE-001",0.00231,"FE-EL-SN-001",0.00055,0)*SWITCH(L25,"FE-WASTE-CH4-001",28,1),0))</x:f>
      </x:c>
      <x:c r="N25" s="20"/>
      <x:c r="O25" s="18"/>
      <x:c r="P25" s="18"/>
      <x:c r="Q25" s="18" t="str">
        <x:f>IF(A25="","",IF(OR(B25="",C25="",O25="",P25="D - Faible"),"Donnees manquantes","OK"))</x:f>
      </x:c>
    </x:row>
    <x:row r="26">
      <x:c r="A26" s="18"/>
      <x:c r="B26" s="18"/>
      <x:c r="C26" s="18"/>
      <x:c r="D26" s="18"/>
      <x:c r="E26" s="18"/>
      <x:c r="F26" s="18"/>
      <x:c r="G26" s="22"/>
      <x:c r="H26" s="22"/>
      <x:c r="I26" s="22"/>
      <x:c r="J26" s="22"/>
      <x:c r="K26" s="18"/>
      <x:c r="L26" s="18"/>
      <x:c r="M26" s="28" t="str">
        <x:f>IF(A26="","",IFERROR(J26*SWITCH(L26,"FE-DIESEL-001",0.00268,"FE-GASOLINE-001",0.00231,"FE-EL-SN-001",0.00055,0)*SWITCH(L26,"FE-WASTE-CH4-001",28,1),0))</x:f>
      </x:c>
      <x:c r="N26" s="20"/>
      <x:c r="O26" s="18"/>
      <x:c r="P26" s="18"/>
      <x:c r="Q26" s="18" t="str">
        <x:f>IF(A26="","",IF(OR(B26="",C26="",O26="",P26="D - Faible"),"Donnees manquantes","OK"))</x:f>
      </x:c>
    </x:row>
    <x:row r="27">
      <x:c r="A27" s="18"/>
      <x:c r="B27" s="18"/>
      <x:c r="C27" s="18"/>
      <x:c r="D27" s="18"/>
      <x:c r="E27" s="18"/>
      <x:c r="F27" s="18"/>
      <x:c r="G27" s="22"/>
      <x:c r="H27" s="22"/>
      <x:c r="I27" s="22"/>
      <x:c r="J27" s="22"/>
      <x:c r="K27" s="18"/>
      <x:c r="L27" s="18"/>
      <x:c r="M27" s="28" t="str">
        <x:f>IF(A27="","",IFERROR(J27*SWITCH(L27,"FE-DIESEL-001",0.00268,"FE-GASOLINE-001",0.00231,"FE-EL-SN-001",0.00055,0)*SWITCH(L27,"FE-WASTE-CH4-001",28,1),0))</x:f>
      </x:c>
      <x:c r="N27" s="20"/>
      <x:c r="O27" s="18"/>
      <x:c r="P27" s="18"/>
      <x:c r="Q27" s="18" t="str">
        <x:f>IF(A27="","",IF(OR(B27="",C27="",O27="",P27="D - Faible"),"Donnees manquantes","OK"))</x:f>
      </x:c>
    </x:row>
    <x:row r="28">
      <x:c r="A28" s="18"/>
      <x:c r="B28" s="18"/>
      <x:c r="C28" s="18"/>
      <x:c r="D28" s="18"/>
      <x:c r="E28" s="18"/>
      <x:c r="F28" s="18"/>
      <x:c r="G28" s="22"/>
      <x:c r="H28" s="22"/>
      <x:c r="I28" s="22"/>
      <x:c r="J28" s="22"/>
      <x:c r="K28" s="18"/>
      <x:c r="L28" s="18"/>
      <x:c r="M28" s="28" t="str">
        <x:f>IF(A28="","",IFERROR(J28*SWITCH(L28,"FE-DIESEL-001",0.00268,"FE-GASOLINE-001",0.00231,"FE-EL-SN-001",0.00055,0)*SWITCH(L28,"FE-WASTE-CH4-001",28,1),0))</x:f>
      </x:c>
      <x:c r="N28" s="20"/>
      <x:c r="O28" s="18"/>
      <x:c r="P28" s="18"/>
      <x:c r="Q28" s="18" t="str">
        <x:f>IF(A28="","",IF(OR(B28="",C28="",O28="",P28="D - Faible"),"Donnees manquantes","OK"))</x:f>
      </x:c>
    </x:row>
    <x:row r="29">
      <x:c r="A29" s="18"/>
      <x:c r="B29" s="18"/>
      <x:c r="C29" s="18"/>
      <x:c r="D29" s="18"/>
      <x:c r="E29" s="18"/>
      <x:c r="F29" s="18"/>
      <x:c r="G29" s="22"/>
      <x:c r="H29" s="22"/>
      <x:c r="I29" s="22"/>
      <x:c r="J29" s="22"/>
      <x:c r="K29" s="18"/>
      <x:c r="L29" s="18"/>
      <x:c r="M29" s="28" t="str">
        <x:f>IF(A29="","",IFERROR(J29*SWITCH(L29,"FE-DIESEL-001",0.00268,"FE-GASOLINE-001",0.00231,"FE-EL-SN-001",0.00055,0)*SWITCH(L29,"FE-WASTE-CH4-001",28,1),0))</x:f>
      </x:c>
      <x:c r="N29" s="20"/>
      <x:c r="O29" s="18"/>
      <x:c r="P29" s="18"/>
      <x:c r="Q29" s="18" t="str">
        <x:f>IF(A29="","",IF(OR(B29="",C29="",O29="",P29="D - Faible"),"Donnees manquantes","OK"))</x:f>
      </x:c>
    </x:row>
    <x:row r="30">
      <x:c r="A30" s="18"/>
      <x:c r="B30" s="18"/>
      <x:c r="C30" s="18"/>
      <x:c r="D30" s="18"/>
      <x:c r="E30" s="18"/>
      <x:c r="F30" s="18"/>
      <x:c r="G30" s="22"/>
      <x:c r="H30" s="22"/>
      <x:c r="I30" s="22"/>
      <x:c r="J30" s="22"/>
      <x:c r="K30" s="18"/>
      <x:c r="L30" s="18"/>
      <x:c r="M30" s="28" t="str">
        <x:f>IF(A30="","",IFERROR(J30*SWITCH(L30,"FE-DIESEL-001",0.00268,"FE-GASOLINE-001",0.00231,"FE-EL-SN-001",0.00055,0)*SWITCH(L30,"FE-WASTE-CH4-001",28,1),0))</x:f>
      </x:c>
      <x:c r="N30" s="20"/>
      <x:c r="O30" s="18"/>
      <x:c r="P30" s="18"/>
      <x:c r="Q30" s="18" t="str">
        <x:f>IF(A30="","",IF(OR(B30="",C30="",O30="",P30="D - Faible"),"Donnees manquantes","OK"))</x:f>
      </x:c>
    </x:row>
    <x:row r="31">
      <x:c r="A31" s="18"/>
      <x:c r="B31" s="18"/>
      <x:c r="C31" s="18"/>
      <x:c r="D31" s="18"/>
      <x:c r="E31" s="18"/>
      <x:c r="F31" s="18"/>
      <x:c r="G31" s="22"/>
      <x:c r="H31" s="22"/>
      <x:c r="I31" s="22"/>
      <x:c r="J31" s="22"/>
      <x:c r="K31" s="18"/>
      <x:c r="L31" s="18"/>
      <x:c r="M31" s="28" t="str">
        <x:f>IF(A31="","",IFERROR(J31*SWITCH(L31,"FE-DIESEL-001",0.00268,"FE-GASOLINE-001",0.00231,"FE-EL-SN-001",0.00055,0)*SWITCH(L31,"FE-WASTE-CH4-001",28,1),0))</x:f>
      </x:c>
      <x:c r="N31" s="20"/>
      <x:c r="O31" s="18"/>
      <x:c r="P31" s="18"/>
      <x:c r="Q31" s="18" t="str">
        <x:f>IF(A31="","",IF(OR(B31="",C31="",O31="",P31="D - Faible"),"Donnees manquantes","OK"))</x:f>
      </x:c>
    </x:row>
    <x:row r="32">
      <x:c r="A32" s="18"/>
      <x:c r="B32" s="18"/>
      <x:c r="C32" s="18"/>
      <x:c r="D32" s="18"/>
      <x:c r="E32" s="18"/>
      <x:c r="F32" s="18"/>
      <x:c r="G32" s="22"/>
      <x:c r="H32" s="22"/>
      <x:c r="I32" s="22"/>
      <x:c r="J32" s="22"/>
      <x:c r="K32" s="18"/>
      <x:c r="L32" s="18"/>
      <x:c r="M32" s="28" t="str">
        <x:f>IF(A32="","",IFERROR(J32*SWITCH(L32,"FE-DIESEL-001",0.00268,"FE-GASOLINE-001",0.00231,"FE-EL-SN-001",0.00055,0)*SWITCH(L32,"FE-WASTE-CH4-001",28,1),0))</x:f>
      </x:c>
      <x:c r="N32" s="20"/>
      <x:c r="O32" s="18"/>
      <x:c r="P32" s="18"/>
      <x:c r="Q32" s="18" t="str">
        <x:f>IF(A32="","",IF(OR(B32="",C32="",O32="",P32="D - Faible"),"Donnees manquantes","OK"))</x:f>
      </x:c>
    </x:row>
    <x:row r="33">
      <x:c r="A33" s="18"/>
      <x:c r="B33" s="18"/>
      <x:c r="C33" s="18"/>
      <x:c r="D33" s="18"/>
      <x:c r="E33" s="18"/>
      <x:c r="F33" s="18"/>
      <x:c r="G33" s="22"/>
      <x:c r="H33" s="22"/>
      <x:c r="I33" s="22"/>
      <x:c r="J33" s="22"/>
      <x:c r="K33" s="18"/>
      <x:c r="L33" s="18"/>
      <x:c r="M33" s="28" t="str">
        <x:f>IF(A33="","",IFERROR(J33*SWITCH(L33,"FE-DIESEL-001",0.00268,"FE-GASOLINE-001",0.00231,"FE-EL-SN-001",0.00055,0)*SWITCH(L33,"FE-WASTE-CH4-001",28,1),0))</x:f>
      </x:c>
      <x:c r="N33" s="20"/>
      <x:c r="O33" s="18"/>
      <x:c r="P33" s="18"/>
      <x:c r="Q33" s="18" t="str">
        <x:f>IF(A33="","",IF(OR(B33="",C33="",O33="",P33="D - Faible"),"Donnees manquantes","OK"))</x:f>
      </x:c>
    </x:row>
    <x:row r="34">
      <x:c r="A34" s="18"/>
      <x:c r="B34" s="18"/>
      <x:c r="C34" s="18"/>
      <x:c r="D34" s="18"/>
      <x:c r="E34" s="18"/>
      <x:c r="F34" s="18"/>
      <x:c r="G34" s="22"/>
      <x:c r="H34" s="22"/>
      <x:c r="I34" s="22"/>
      <x:c r="J34" s="22"/>
      <x:c r="K34" s="18"/>
      <x:c r="L34" s="18"/>
      <x:c r="M34" s="28" t="str">
        <x:f>IF(A34="","",IFERROR(J34*SWITCH(L34,"FE-DIESEL-001",0.00268,"FE-GASOLINE-001",0.00231,"FE-EL-SN-001",0.00055,0)*SWITCH(L34,"FE-WASTE-CH4-001",28,1),0))</x:f>
      </x:c>
      <x:c r="N34" s="20"/>
      <x:c r="O34" s="18"/>
      <x:c r="P34" s="18"/>
      <x:c r="Q34" s="18" t="str">
        <x:f>IF(A34="","",IF(OR(B34="",C34="",O34="",P34="D - Faible"),"Donnees manquantes","OK"))</x:f>
      </x:c>
    </x:row>
    <x:row r="35">
      <x:c r="A35" s="18"/>
      <x:c r="B35" s="18"/>
      <x:c r="C35" s="18"/>
      <x:c r="D35" s="18"/>
      <x:c r="E35" s="18"/>
      <x:c r="F35" s="18"/>
      <x:c r="G35" s="22"/>
      <x:c r="H35" s="22"/>
      <x:c r="I35" s="22"/>
      <x:c r="J35" s="22"/>
      <x:c r="K35" s="18"/>
      <x:c r="L35" s="18"/>
      <x:c r="M35" s="28" t="str">
        <x:f>IF(A35="","",IFERROR(J35*SWITCH(L35,"FE-DIESEL-001",0.00268,"FE-GASOLINE-001",0.00231,"FE-EL-SN-001",0.00055,0)*SWITCH(L35,"FE-WASTE-CH4-001",28,1),0))</x:f>
      </x:c>
      <x:c r="N35" s="20"/>
      <x:c r="O35" s="18"/>
      <x:c r="P35" s="18"/>
      <x:c r="Q35" s="18" t="str">
        <x:f>IF(A35="","",IF(OR(B35="",C35="",O35="",P35="D - Faible"),"Donnees manquantes","OK"))</x:f>
      </x:c>
    </x:row>
    <x:row r="36">
      <x:c r="A36" s="18"/>
      <x:c r="B36" s="18"/>
      <x:c r="C36" s="18"/>
      <x:c r="D36" s="18"/>
      <x:c r="E36" s="18"/>
      <x:c r="F36" s="18"/>
      <x:c r="G36" s="22"/>
      <x:c r="H36" s="22"/>
      <x:c r="I36" s="22"/>
      <x:c r="J36" s="22"/>
      <x:c r="K36" s="18"/>
      <x:c r="L36" s="18"/>
      <x:c r="M36" s="28" t="str">
        <x:f>IF(A36="","",IFERROR(J36*SWITCH(L36,"FE-DIESEL-001",0.00268,"FE-GASOLINE-001",0.00231,"FE-EL-SN-001",0.00055,0)*SWITCH(L36,"FE-WASTE-CH4-001",28,1),0))</x:f>
      </x:c>
      <x:c r="N36" s="20"/>
      <x:c r="O36" s="18"/>
      <x:c r="P36" s="18"/>
      <x:c r="Q36" s="18" t="str">
        <x:f>IF(A36="","",IF(OR(B36="",C36="",O36="",P36="D - Faible"),"Donnees manquantes","OK"))</x:f>
      </x:c>
    </x:row>
    <x:row r="37">
      <x:c r="A37" s="18"/>
      <x:c r="B37" s="18"/>
      <x:c r="C37" s="18"/>
      <x:c r="D37" s="18"/>
      <x:c r="E37" s="18"/>
      <x:c r="F37" s="18"/>
      <x:c r="G37" s="22"/>
      <x:c r="H37" s="22"/>
      <x:c r="I37" s="22"/>
      <x:c r="J37" s="22"/>
      <x:c r="K37" s="18"/>
      <x:c r="L37" s="18"/>
      <x:c r="M37" s="28" t="str">
        <x:f>IF(A37="","",IFERROR(J37*SWITCH(L37,"FE-DIESEL-001",0.00268,"FE-GASOLINE-001",0.00231,"FE-EL-SN-001",0.00055,0)*SWITCH(L37,"FE-WASTE-CH4-001",28,1),0))</x:f>
      </x:c>
      <x:c r="N37" s="20"/>
      <x:c r="O37" s="18"/>
      <x:c r="P37" s="18"/>
      <x:c r="Q37" s="18" t="str">
        <x:f>IF(A37="","",IF(OR(B37="",C37="",O37="",P37="D - Faible"),"Donnees manquantes","OK"))</x:f>
      </x:c>
    </x:row>
    <x:row r="38">
      <x:c r="A38" s="18"/>
      <x:c r="B38" s="18"/>
      <x:c r="C38" s="18"/>
      <x:c r="D38" s="18"/>
      <x:c r="E38" s="18"/>
      <x:c r="F38" s="18"/>
      <x:c r="G38" s="22"/>
      <x:c r="H38" s="22"/>
      <x:c r="I38" s="22"/>
      <x:c r="J38" s="22"/>
      <x:c r="K38" s="18"/>
      <x:c r="L38" s="18"/>
      <x:c r="M38" s="28" t="str">
        <x:f>IF(A38="","",IFERROR(J38*SWITCH(L38,"FE-DIESEL-001",0.00268,"FE-GASOLINE-001",0.00231,"FE-EL-SN-001",0.00055,0)*SWITCH(L38,"FE-WASTE-CH4-001",28,1),0))</x:f>
      </x:c>
      <x:c r="N38" s="20"/>
      <x:c r="O38" s="18"/>
      <x:c r="P38" s="18"/>
      <x:c r="Q38" s="18" t="str">
        <x:f>IF(A38="","",IF(OR(B38="",C38="",O38="",P38="D - Faible"),"Donnees manquantes","OK"))</x:f>
      </x:c>
    </x:row>
    <x:row r="39">
      <x:c r="A39" s="18"/>
      <x:c r="B39" s="18"/>
      <x:c r="C39" s="18"/>
      <x:c r="D39" s="18"/>
      <x:c r="E39" s="18"/>
      <x:c r="F39" s="18"/>
      <x:c r="G39" s="22"/>
      <x:c r="H39" s="22"/>
      <x:c r="I39" s="22"/>
      <x:c r="J39" s="22"/>
      <x:c r="K39" s="18"/>
      <x:c r="L39" s="18"/>
      <x:c r="M39" s="28" t="str">
        <x:f>IF(A39="","",IFERROR(J39*SWITCH(L39,"FE-DIESEL-001",0.00268,"FE-GASOLINE-001",0.00231,"FE-EL-SN-001",0.00055,0)*SWITCH(L39,"FE-WASTE-CH4-001",28,1),0))</x:f>
      </x:c>
      <x:c r="N39" s="20"/>
      <x:c r="O39" s="18"/>
      <x:c r="P39" s="18"/>
      <x:c r="Q39" s="18" t="str">
        <x:f>IF(A39="","",IF(OR(B39="",C39="",O39="",P39="D - Faible"),"Donnees manquantes","OK"))</x:f>
      </x:c>
    </x:row>
    <x:row r="40">
      <x:c r="A40" s="18"/>
      <x:c r="B40" s="18"/>
      <x:c r="C40" s="18"/>
      <x:c r="D40" s="18"/>
      <x:c r="E40" s="18"/>
      <x:c r="F40" s="18"/>
      <x:c r="G40" s="22"/>
      <x:c r="H40" s="22"/>
      <x:c r="I40" s="22"/>
      <x:c r="J40" s="22"/>
      <x:c r="K40" s="18"/>
      <x:c r="L40" s="18"/>
      <x:c r="M40" s="28" t="str">
        <x:f>IF(A40="","",IFERROR(J40*SWITCH(L40,"FE-DIESEL-001",0.00268,"FE-GASOLINE-001",0.00231,"FE-EL-SN-001",0.00055,0)*SWITCH(L40,"FE-WASTE-CH4-001",28,1),0))</x:f>
      </x:c>
      <x:c r="N40" s="20"/>
      <x:c r="O40" s="18"/>
      <x:c r="P40" s="18"/>
      <x:c r="Q40" s="18" t="str">
        <x:f>IF(A40="","",IF(OR(B40="",C40="",O40="",P40="D - Faible"),"Donnees manquantes","OK"))</x:f>
      </x:c>
    </x:row>
    <x:row r="41">
      <x:c r="A41" s="18"/>
      <x:c r="B41" s="18"/>
      <x:c r="C41" s="18"/>
      <x:c r="D41" s="18"/>
      <x:c r="E41" s="18"/>
      <x:c r="F41" s="18"/>
      <x:c r="G41" s="22"/>
      <x:c r="H41" s="22"/>
      <x:c r="I41" s="22"/>
      <x:c r="J41" s="22"/>
      <x:c r="K41" s="18"/>
      <x:c r="L41" s="18"/>
      <x:c r="M41" s="28" t="str">
        <x:f>IF(A41="","",IFERROR(J41*SWITCH(L41,"FE-DIESEL-001",0.00268,"FE-GASOLINE-001",0.00231,"FE-EL-SN-001",0.00055,0)*SWITCH(L41,"FE-WASTE-CH4-001",28,1),0))</x:f>
      </x:c>
      <x:c r="N41" s="20"/>
      <x:c r="O41" s="18"/>
      <x:c r="P41" s="18"/>
      <x:c r="Q41" s="18" t="str">
        <x:f>IF(A41="","",IF(OR(B41="",C41="",O41="",P41="D - Faible"),"Donnees manquantes","OK"))</x:f>
      </x:c>
    </x:row>
    <x:row r="42">
      <x:c r="A42" s="18"/>
      <x:c r="B42" s="18"/>
      <x:c r="C42" s="18"/>
      <x:c r="D42" s="18"/>
      <x:c r="E42" s="18"/>
      <x:c r="F42" s="18"/>
      <x:c r="G42" s="22"/>
      <x:c r="H42" s="22"/>
      <x:c r="I42" s="22"/>
      <x:c r="J42" s="22"/>
      <x:c r="K42" s="18"/>
      <x:c r="L42" s="18"/>
      <x:c r="M42" s="28" t="str">
        <x:f>IF(A42="","",IFERROR(J42*SWITCH(L42,"FE-DIESEL-001",0.00268,"FE-GASOLINE-001",0.00231,"FE-EL-SN-001",0.00055,0)*SWITCH(L42,"FE-WASTE-CH4-001",28,1),0))</x:f>
      </x:c>
      <x:c r="N42" s="20"/>
      <x:c r="O42" s="18"/>
      <x:c r="P42" s="18"/>
      <x:c r="Q42" s="18" t="str">
        <x:f>IF(A42="","",IF(OR(B42="",C42="",O42="",P42="D - Faible"),"Donnees manquantes","OK"))</x:f>
      </x:c>
    </x:row>
    <x:row r="43">
      <x:c r="A43" s="18"/>
      <x:c r="B43" s="18"/>
      <x:c r="C43" s="18"/>
      <x:c r="D43" s="18"/>
      <x:c r="E43" s="18"/>
      <x:c r="F43" s="18"/>
      <x:c r="G43" s="22"/>
      <x:c r="H43" s="22"/>
      <x:c r="I43" s="22"/>
      <x:c r="J43" s="22"/>
      <x:c r="K43" s="18"/>
      <x:c r="L43" s="18"/>
      <x:c r="M43" s="28" t="str">
        <x:f>IF(A43="","",IFERROR(J43*SWITCH(L43,"FE-DIESEL-001",0.00268,"FE-GASOLINE-001",0.00231,"FE-EL-SN-001",0.00055,0)*SWITCH(L43,"FE-WASTE-CH4-001",28,1),0))</x:f>
      </x:c>
      <x:c r="N43" s="20"/>
      <x:c r="O43" s="18"/>
      <x:c r="P43" s="18"/>
      <x:c r="Q43" s="18" t="str">
        <x:f>IF(A43="","",IF(OR(B43="",C43="",O43="",P43="D - Faible"),"Donnees manquantes","OK"))</x:f>
      </x:c>
    </x:row>
    <x:row r="44">
      <x:c r="A44" s="18"/>
      <x:c r="B44" s="18"/>
      <x:c r="C44" s="18"/>
      <x:c r="D44" s="18"/>
      <x:c r="E44" s="18"/>
      <x:c r="F44" s="18"/>
      <x:c r="G44" s="22"/>
      <x:c r="H44" s="22"/>
      <x:c r="I44" s="22"/>
      <x:c r="J44" s="22"/>
      <x:c r="K44" s="18"/>
      <x:c r="L44" s="18"/>
      <x:c r="M44" s="28" t="str">
        <x:f>IF(A44="","",IFERROR(J44*SWITCH(L44,"FE-DIESEL-001",0.00268,"FE-GASOLINE-001",0.00231,"FE-EL-SN-001",0.00055,0)*SWITCH(L44,"FE-WASTE-CH4-001",28,1),0))</x:f>
      </x:c>
      <x:c r="N44" s="20"/>
      <x:c r="O44" s="18"/>
      <x:c r="P44" s="18"/>
      <x:c r="Q44" s="18" t="str">
        <x:f>IF(A44="","",IF(OR(B44="",C44="",O44="",P44="D - Faible"),"Donnees manquantes","OK"))</x:f>
      </x:c>
    </x:row>
  </x:sheetData>
  <x:mergeCells>
    <x:mergeCell ref="A1:J1"/>
    <x:mergeCell ref="A2:J2"/>
  </x:mergeCells>
  <x:conditionalFormatting sqref="Q5:Q44">
    <x:cfRule type="containsText" dxfId="40" priority="1" operator="containsText" text="Retard"/>
    <x:cfRule type="containsText" dxfId="41" priority="2" operator="containsText" text="critique"/>
    <x:cfRule type="containsText" dxfId="42" priority="3" operator="containsText" text="manquant"/>
    <x:cfRule type="containsText" dxfId="43"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C5:C44">
      <x:formula1>"Bus,BRT,Taxis,Vehicules prives,Deux roues,Marche,Velo,Flotte municipale,Fret"</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c3fc4de120f3443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3.75" hidden="0" customWidth="1"/>
    <x:col min="4" max="4" width="20.6299991607666" hidden="0" customWidth="1"/>
    <x:col min="5" max="5" width="16.25" hidden="0" customWidth="1"/>
    <x:col min="6" max="6" width="18.1299991607666" hidden="0" customWidth="1"/>
    <x:col min="7" max="7" width="15" hidden="0" customWidth="1"/>
    <x:col min="8" max="8" width="11.25" hidden="0" customWidth="1"/>
    <x:col min="9" max="9" width="16.25" hidden="0" customWidth="1"/>
    <x:col min="10" max="10" width="16.25" hidden="0" customWidth="1"/>
    <x:col min="11" max="11" width="16.25" hidden="0" customWidth="1"/>
    <x:col min="12" max="12" width="15" hidden="0" customWidth="1"/>
    <x:col min="13" max="13" width="21.25" hidden="0" customWidth="1"/>
    <x:col min="14" max="14" width="13.130000114440918" hidden="0" customWidth="1"/>
    <x:col min="15" max="15" width="16.25" hidden="0" customWidth="1"/>
    <x:col min="16" max="16" width="18.1299991607666" hidden="0" customWidth="1"/>
  </x:cols>
  <x:sheetData>
    <x:row r="1" ht="25.5" customHeight="1">
      <x:c r="A1" s="2" t="str">
        <x:v>Donnees energie</x:v>
      </x:c>
      <x:c r="B1" s="2"/>
      <x:c r="C1" s="2"/>
      <x:c r="D1" s="2"/>
      <x:c r="E1" s="2"/>
      <x:c r="F1" s="2"/>
      <x:c r="G1" s="2"/>
      <x:c r="H1" s="2"/>
      <x:c r="I1" s="2"/>
      <x:c r="J1" s="2"/>
    </x:row>
    <x:row r="2" ht="31.5" customHeight="1">
      <x:c r="A2" s="5" t="str">
        <x:v>Consommations energetiques municipales et territoriales, couts et emissions.</x:v>
      </x:c>
      <x:c r="B2" s="5"/>
      <x:c r="C2" s="5"/>
      <x:c r="D2" s="5"/>
      <x:c r="E2" s="5"/>
      <x:c r="F2" s="5"/>
      <x:c r="G2" s="5"/>
      <x:c r="H2" s="5"/>
      <x:c r="I2" s="5"/>
      <x:c r="J2" s="5"/>
    </x:row>
    <x:row r="4" ht="28.5" customHeight="1">
      <x:c r="A4" s="16" t="str">
        <x:v>Energie_ID</x:v>
      </x:c>
      <x:c r="B4" s="16" t="str">
        <x:v>Annee</x:v>
      </x:c>
      <x:c r="C4" s="16" t="str">
        <x:v>Site_zone</x:v>
      </x:c>
      <x:c r="D4" s="16" t="str">
        <x:v>Type_patrimoine</x:v>
      </x:c>
      <x:c r="E4" s="16" t="str">
        <x:v>Usage</x:v>
      </x:c>
      <x:c r="F4" s="16" t="str">
        <x:v>Source_energie</x:v>
      </x:c>
      <x:c r="G4" s="16" t="str">
        <x:v>Consommation</x:v>
      </x:c>
      <x:c r="H4" s="16" t="str">
        <x:v>Unite</x:v>
      </x:c>
      <x:c r="I4" s="16" t="str">
        <x:v>Cout_XOF</x:v>
      </x:c>
      <x:c r="J4" s="16" t="str">
        <x:v>Facteur_ID</x:v>
      </x:c>
      <x:c r="K4" s="16" t="str">
        <x:v>Emissions_tCO2e</x:v>
      </x:c>
      <x:c r="L4" s="16" t="str">
        <x:v>Part_renouvelable_pct</x:v>
      </x:c>
      <x:c r="M4" s="16" t="str">
        <x:v>Responsable</x:v>
      </x:c>
      <x:c r="N4" s="16" t="str">
        <x:v>Source_ID</x:v>
      </x:c>
      <x:c r="O4" s="16" t="str">
        <x:v>Qualite</x:v>
      </x:c>
      <x:c r="P4" s="16" t="str">
        <x:v>Alerte_donnees</x:v>
      </x:c>
    </x:row>
    <x:row r="5">
      <x:c r="A5" s="18" t="str">
        <x:v>ENE-001</x:v>
      </x:c>
      <x:c r="B5" s="18" t="n">
        <x:v>2025</x:v>
      </x:c>
      <x:c r="C5" s="18" t="str">
        <x:v>Hotel de Ville</x:v>
      </x:c>
      <x:c r="D5" s="18" t="str">
        <x:v>Batiment municipal</x:v>
      </x:c>
      <x:c r="E5" s="18" t="str">
        <x:v>Electricite</x:v>
      </x:c>
      <x:c r="F5" s="18" t="str">
        <x:v>Electricite reseau</x:v>
      </x:c>
      <x:c r="G5" s="24" t="n">
        <x:v>950000</x:v>
      </x:c>
      <x:c r="H5" s="18" t="str">
        <x:v>kWh</x:v>
      </x:c>
      <x:c r="I5" s="21" t="n">
        <x:v>165000000</x:v>
      </x:c>
      <x:c r="J5" s="18" t="str">
        <x:v>FE-EL-SN-001</x:v>
      </x:c>
      <x:c r="K5" s="28" t="n">
        <x:f>IF(A5="","",IFERROR(G5*SWITCH(J5,"FE-EL-SN-001",0.00055,"FE-LPG-001",0.00299,0)*SWITCH(J5,"FE-WASTE-CH4-001",28,1),0))</x:f>
        <x:v>0</x:v>
      </x:c>
      <x:c r="L5" s="20" t="n">
        <x:v>0.05</x:v>
      </x:c>
      <x:c r="M5" s="18" t="str">
        <x:v>Direction Energie</x:v>
      </x:c>
      <x:c r="N5" s="18" t="str">
        <x:v>SRC-001</x:v>
      </x:c>
      <x:c r="O5" s="18" t="str">
        <x:v>B - Bonne</x:v>
      </x:c>
      <x:c r="P5" s="18" t="str">
        <x:f>IF(A5="","",IF(OR(B5="",C5="",G5="",N5="",O5="D - Faible"),"Donnees manquantes","OK"))</x:f>
        <x:v>OK</x:v>
      </x:c>
    </x:row>
    <x:row r="6">
      <x:c r="A6" s="18" t="str">
        <x:v>ENE-002</x:v>
      </x:c>
      <x:c r="B6" s="18" t="n">
        <x:v>2025</x:v>
      </x:c>
      <x:c r="C6" s="18" t="str">
        <x:v>Eclairage public Grand Dakar</x:v>
      </x:c>
      <x:c r="D6" s="18" t="str">
        <x:v>Eclairage public</x:v>
      </x:c>
      <x:c r="E6" s="18" t="str">
        <x:v>Eclairage</x:v>
      </x:c>
      <x:c r="F6" s="18" t="str">
        <x:v>Electricite reseau</x:v>
      </x:c>
      <x:c r="G6" s="24" t="n">
        <x:v>4200000</x:v>
      </x:c>
      <x:c r="H6" s="18" t="str">
        <x:v>kWh</x:v>
      </x:c>
      <x:c r="I6" s="21" t="n">
        <x:v>690000000</x:v>
      </x:c>
      <x:c r="J6" s="18" t="str">
        <x:v>FE-EL-SN-001</x:v>
      </x:c>
      <x:c r="K6" s="28" t="n">
        <x:f>IF(A6="","",IFERROR(G6*SWITCH(J6,"FE-EL-SN-001",0.00055,"FE-LPG-001",0.00299,0)*SWITCH(J6,"FE-WASTE-CH4-001",28,1),0))</x:f>
        <x:v>0</x:v>
      </x:c>
      <x:c r="L6" s="20" t="n">
        <x:v>0.02</x:v>
      </x:c>
      <x:c r="M6" s="18" t="str">
        <x:v>Direction Energie</x:v>
      </x:c>
      <x:c r="N6" s="18" t="str">
        <x:v>SRC-001</x:v>
      </x:c>
      <x:c r="O6" s="18" t="str">
        <x:v>C - Estimee</x:v>
      </x:c>
      <x:c r="P6" s="18" t="str">
        <x:f>IF(A6="","",IF(OR(B6="",C6="",G6="",N6="",O6="D - Faible"),"Donnees manquantes","OK"))</x:f>
        <x:v>OK</x:v>
      </x:c>
    </x:row>
    <x:row r="7">
      <x:c r="A7" s="18" t="str">
        <x:v>ENE-003</x:v>
      </x:c>
      <x:c r="B7" s="18" t="n">
        <x:v>2025</x:v>
      </x:c>
      <x:c r="C7" s="18" t="str">
        <x:v>Sites solaires municipaux</x:v>
      </x:c>
      <x:c r="D7" s="18" t="str">
        <x:v>Batiment municipal</x:v>
      </x:c>
      <x:c r="E7" s="18" t="str">
        <x:v>Production solaire</x:v>
      </x:c>
      <x:c r="F7" s="18" t="str">
        <x:v>Solaire PV</x:v>
      </x:c>
      <x:c r="G7" s="24" t="n">
        <x:v>320000</x:v>
      </x:c>
      <x:c r="H7" s="18" t="str">
        <x:v>kWh</x:v>
      </x:c>
      <x:c r="I7" s="21" t="n">
        <x:v>0</x:v>
      </x:c>
      <x:c r="J7" s="18" t="str"/>
      <x:c r="K7" s="28" t="n">
        <x:f>IF(A7="","",IFERROR(G7*SWITCH(J7,"FE-EL-SN-001",0.00055,"FE-LPG-001",0.00299,0)*SWITCH(J7,"FE-WASTE-CH4-001",28,1),0))</x:f>
        <x:v>0</x:v>
      </x:c>
      <x:c r="L7" s="20" t="n">
        <x:v>1</x:v>
      </x:c>
      <x:c r="M7" s="18" t="str">
        <x:v>Direction Energie</x:v>
      </x:c>
      <x:c r="N7" s="18" t="str">
        <x:v>SRC-001</x:v>
      </x:c>
      <x:c r="O7" s="18" t="str">
        <x:v>B - Bonne</x:v>
      </x:c>
      <x:c r="P7" s="18" t="str">
        <x:f>IF(A7="","",IF(OR(B7="",C7="",G7="",N7="",O7="D - Faible"),"Donnees manquantes","OK"))</x:f>
        <x:v>OK</x:v>
      </x:c>
    </x:row>
    <x:row r="8">
      <x:c r="A8" s="18"/>
      <x:c r="B8" s="18"/>
      <x:c r="C8" s="18"/>
      <x:c r="D8" s="18"/>
      <x:c r="E8" s="18"/>
      <x:c r="F8" s="18"/>
      <x:c r="G8" s="24"/>
      <x:c r="H8" s="18"/>
      <x:c r="I8" s="21"/>
      <x:c r="J8" s="18"/>
      <x:c r="K8" s="28" t="str">
        <x:f>IF(A8="","",IFERROR(G8*SWITCH(J8,"FE-EL-SN-001",0.00055,"FE-LPG-001",0.00299,0)*SWITCH(J8,"FE-WASTE-CH4-001",28,1),0))</x:f>
      </x:c>
      <x:c r="L8" s="20"/>
      <x:c r="M8" s="18"/>
      <x:c r="N8" s="18"/>
      <x:c r="O8" s="18"/>
      <x:c r="P8" s="18" t="str">
        <x:f>IF(A8="","",IF(OR(B8="",C8="",G8="",N8="",O8="D - Faible"),"Donnees manquantes","OK"))</x:f>
      </x:c>
    </x:row>
    <x:row r="9">
      <x:c r="A9" s="18"/>
      <x:c r="B9" s="18"/>
      <x:c r="C9" s="18"/>
      <x:c r="D9" s="18"/>
      <x:c r="E9" s="18"/>
      <x:c r="F9" s="18"/>
      <x:c r="G9" s="24"/>
      <x:c r="H9" s="18"/>
      <x:c r="I9" s="21"/>
      <x:c r="J9" s="18"/>
      <x:c r="K9" s="28" t="str">
        <x:f>IF(A9="","",IFERROR(G9*SWITCH(J9,"FE-EL-SN-001",0.00055,"FE-LPG-001",0.00299,0)*SWITCH(J9,"FE-WASTE-CH4-001",28,1),0))</x:f>
      </x:c>
      <x:c r="L9" s="20"/>
      <x:c r="M9" s="18"/>
      <x:c r="N9" s="18"/>
      <x:c r="O9" s="18"/>
      <x:c r="P9" s="18" t="str">
        <x:f>IF(A9="","",IF(OR(B9="",C9="",G9="",N9="",O9="D - Faible"),"Donnees manquantes","OK"))</x:f>
      </x:c>
    </x:row>
    <x:row r="10">
      <x:c r="A10" s="18"/>
      <x:c r="B10" s="18"/>
      <x:c r="C10" s="18"/>
      <x:c r="D10" s="18"/>
      <x:c r="E10" s="18"/>
      <x:c r="F10" s="18"/>
      <x:c r="G10" s="24"/>
      <x:c r="H10" s="18"/>
      <x:c r="I10" s="21"/>
      <x:c r="J10" s="18"/>
      <x:c r="K10" s="28" t="str">
        <x:f>IF(A10="","",IFERROR(G10*SWITCH(J10,"FE-EL-SN-001",0.00055,"FE-LPG-001",0.00299,0)*SWITCH(J10,"FE-WASTE-CH4-001",28,1),0))</x:f>
      </x:c>
      <x:c r="L10" s="20"/>
      <x:c r="M10" s="18"/>
      <x:c r="N10" s="18"/>
      <x:c r="O10" s="18"/>
      <x:c r="P10" s="18" t="str">
        <x:f>IF(A10="","",IF(OR(B10="",C10="",G10="",N10="",O10="D - Faible"),"Donnees manquantes","OK"))</x:f>
      </x:c>
    </x:row>
    <x:row r="11">
      <x:c r="A11" s="18"/>
      <x:c r="B11" s="18"/>
      <x:c r="C11" s="18"/>
      <x:c r="D11" s="18"/>
      <x:c r="E11" s="18"/>
      <x:c r="F11" s="18"/>
      <x:c r="G11" s="24"/>
      <x:c r="H11" s="18"/>
      <x:c r="I11" s="21"/>
      <x:c r="J11" s="18"/>
      <x:c r="K11" s="28" t="str">
        <x:f>IF(A11="","",IFERROR(G11*SWITCH(J11,"FE-EL-SN-001",0.00055,"FE-LPG-001",0.00299,0)*SWITCH(J11,"FE-WASTE-CH4-001",28,1),0))</x:f>
      </x:c>
      <x:c r="L11" s="20"/>
      <x:c r="M11" s="18"/>
      <x:c r="N11" s="18"/>
      <x:c r="O11" s="18"/>
      <x:c r="P11" s="18" t="str">
        <x:f>IF(A11="","",IF(OR(B11="",C11="",G11="",N11="",O11="D - Faible"),"Donnees manquantes","OK"))</x:f>
      </x:c>
    </x:row>
    <x:row r="12">
      <x:c r="A12" s="18"/>
      <x:c r="B12" s="18"/>
      <x:c r="C12" s="18"/>
      <x:c r="D12" s="18"/>
      <x:c r="E12" s="18"/>
      <x:c r="F12" s="18"/>
      <x:c r="G12" s="24"/>
      <x:c r="H12" s="18"/>
      <x:c r="I12" s="21"/>
      <x:c r="J12" s="18"/>
      <x:c r="K12" s="28" t="str">
        <x:f>IF(A12="","",IFERROR(G12*SWITCH(J12,"FE-EL-SN-001",0.00055,"FE-LPG-001",0.00299,0)*SWITCH(J12,"FE-WASTE-CH4-001",28,1),0))</x:f>
      </x:c>
      <x:c r="L12" s="20"/>
      <x:c r="M12" s="18"/>
      <x:c r="N12" s="18"/>
      <x:c r="O12" s="18"/>
      <x:c r="P12" s="18" t="str">
        <x:f>IF(A12="","",IF(OR(B12="",C12="",G12="",N12="",O12="D - Faible"),"Donnees manquantes","OK"))</x:f>
      </x:c>
    </x:row>
    <x:row r="13">
      <x:c r="A13" s="18"/>
      <x:c r="B13" s="18"/>
      <x:c r="C13" s="18"/>
      <x:c r="D13" s="18"/>
      <x:c r="E13" s="18"/>
      <x:c r="F13" s="18"/>
      <x:c r="G13" s="24"/>
      <x:c r="H13" s="18"/>
      <x:c r="I13" s="21"/>
      <x:c r="J13" s="18"/>
      <x:c r="K13" s="28" t="str">
        <x:f>IF(A13="","",IFERROR(G13*SWITCH(J13,"FE-EL-SN-001",0.00055,"FE-LPG-001",0.00299,0)*SWITCH(J13,"FE-WASTE-CH4-001",28,1),0))</x:f>
      </x:c>
      <x:c r="L13" s="20"/>
      <x:c r="M13" s="18"/>
      <x:c r="N13" s="18"/>
      <x:c r="O13" s="18"/>
      <x:c r="P13" s="18" t="str">
        <x:f>IF(A13="","",IF(OR(B13="",C13="",G13="",N13="",O13="D - Faible"),"Donnees manquantes","OK"))</x:f>
      </x:c>
    </x:row>
    <x:row r="14">
      <x:c r="A14" s="18"/>
      <x:c r="B14" s="18"/>
      <x:c r="C14" s="18"/>
      <x:c r="D14" s="18"/>
      <x:c r="E14" s="18"/>
      <x:c r="F14" s="18"/>
      <x:c r="G14" s="24"/>
      <x:c r="H14" s="18"/>
      <x:c r="I14" s="21"/>
      <x:c r="J14" s="18"/>
      <x:c r="K14" s="28" t="str">
        <x:f>IF(A14="","",IFERROR(G14*SWITCH(J14,"FE-EL-SN-001",0.00055,"FE-LPG-001",0.00299,0)*SWITCH(J14,"FE-WASTE-CH4-001",28,1),0))</x:f>
      </x:c>
      <x:c r="L14" s="20"/>
      <x:c r="M14" s="18"/>
      <x:c r="N14" s="18"/>
      <x:c r="O14" s="18"/>
      <x:c r="P14" s="18" t="str">
        <x:f>IF(A14="","",IF(OR(B14="",C14="",G14="",N14="",O14="D - Faible"),"Donnees manquantes","OK"))</x:f>
      </x:c>
    </x:row>
    <x:row r="15">
      <x:c r="A15" s="18"/>
      <x:c r="B15" s="18"/>
      <x:c r="C15" s="18"/>
      <x:c r="D15" s="18"/>
      <x:c r="E15" s="18"/>
      <x:c r="F15" s="18"/>
      <x:c r="G15" s="24"/>
      <x:c r="H15" s="18"/>
      <x:c r="I15" s="21"/>
      <x:c r="J15" s="18"/>
      <x:c r="K15" s="28" t="str">
        <x:f>IF(A15="","",IFERROR(G15*SWITCH(J15,"FE-EL-SN-001",0.00055,"FE-LPG-001",0.00299,0)*SWITCH(J15,"FE-WASTE-CH4-001",28,1),0))</x:f>
      </x:c>
      <x:c r="L15" s="20"/>
      <x:c r="M15" s="18"/>
      <x:c r="N15" s="18"/>
      <x:c r="O15" s="18"/>
      <x:c r="P15" s="18" t="str">
        <x:f>IF(A15="","",IF(OR(B15="",C15="",G15="",N15="",O15="D - Faible"),"Donnees manquantes","OK"))</x:f>
      </x:c>
    </x:row>
    <x:row r="16">
      <x:c r="A16" s="18"/>
      <x:c r="B16" s="18"/>
      <x:c r="C16" s="18"/>
      <x:c r="D16" s="18"/>
      <x:c r="E16" s="18"/>
      <x:c r="F16" s="18"/>
      <x:c r="G16" s="24"/>
      <x:c r="H16" s="18"/>
      <x:c r="I16" s="21"/>
      <x:c r="J16" s="18"/>
      <x:c r="K16" s="28" t="str">
        <x:f>IF(A16="","",IFERROR(G16*SWITCH(J16,"FE-EL-SN-001",0.00055,"FE-LPG-001",0.00299,0)*SWITCH(J16,"FE-WASTE-CH4-001",28,1),0))</x:f>
      </x:c>
      <x:c r="L16" s="20"/>
      <x:c r="M16" s="18"/>
      <x:c r="N16" s="18"/>
      <x:c r="O16" s="18"/>
      <x:c r="P16" s="18" t="str">
        <x:f>IF(A16="","",IF(OR(B16="",C16="",G16="",N16="",O16="D - Faible"),"Donnees manquantes","OK"))</x:f>
      </x:c>
    </x:row>
    <x:row r="17">
      <x:c r="A17" s="18"/>
      <x:c r="B17" s="18"/>
      <x:c r="C17" s="18"/>
      <x:c r="D17" s="18"/>
      <x:c r="E17" s="18"/>
      <x:c r="F17" s="18"/>
      <x:c r="G17" s="24"/>
      <x:c r="H17" s="18"/>
      <x:c r="I17" s="21"/>
      <x:c r="J17" s="18"/>
      <x:c r="K17" s="28" t="str">
        <x:f>IF(A17="","",IFERROR(G17*SWITCH(J17,"FE-EL-SN-001",0.00055,"FE-LPG-001",0.00299,0)*SWITCH(J17,"FE-WASTE-CH4-001",28,1),0))</x:f>
      </x:c>
      <x:c r="L17" s="20"/>
      <x:c r="M17" s="18"/>
      <x:c r="N17" s="18"/>
      <x:c r="O17" s="18"/>
      <x:c r="P17" s="18" t="str">
        <x:f>IF(A17="","",IF(OR(B17="",C17="",G17="",N17="",O17="D - Faible"),"Donnees manquantes","OK"))</x:f>
      </x:c>
    </x:row>
    <x:row r="18">
      <x:c r="A18" s="18"/>
      <x:c r="B18" s="18"/>
      <x:c r="C18" s="18"/>
      <x:c r="D18" s="18"/>
      <x:c r="E18" s="18"/>
      <x:c r="F18" s="18"/>
      <x:c r="G18" s="24"/>
      <x:c r="H18" s="18"/>
      <x:c r="I18" s="21"/>
      <x:c r="J18" s="18"/>
      <x:c r="K18" s="28" t="str">
        <x:f>IF(A18="","",IFERROR(G18*SWITCH(J18,"FE-EL-SN-001",0.00055,"FE-LPG-001",0.00299,0)*SWITCH(J18,"FE-WASTE-CH4-001",28,1),0))</x:f>
      </x:c>
      <x:c r="L18" s="20"/>
      <x:c r="M18" s="18"/>
      <x:c r="N18" s="18"/>
      <x:c r="O18" s="18"/>
      <x:c r="P18" s="18" t="str">
        <x:f>IF(A18="","",IF(OR(B18="",C18="",G18="",N18="",O18="D - Faible"),"Donnees manquantes","OK"))</x:f>
      </x:c>
    </x:row>
    <x:row r="19">
      <x:c r="A19" s="18"/>
      <x:c r="B19" s="18"/>
      <x:c r="C19" s="18"/>
      <x:c r="D19" s="18"/>
      <x:c r="E19" s="18"/>
      <x:c r="F19" s="18"/>
      <x:c r="G19" s="24"/>
      <x:c r="H19" s="18"/>
      <x:c r="I19" s="21"/>
      <x:c r="J19" s="18"/>
      <x:c r="K19" s="28" t="str">
        <x:f>IF(A19="","",IFERROR(G19*SWITCH(J19,"FE-EL-SN-001",0.00055,"FE-LPG-001",0.00299,0)*SWITCH(J19,"FE-WASTE-CH4-001",28,1),0))</x:f>
      </x:c>
      <x:c r="L19" s="20"/>
      <x:c r="M19" s="18"/>
      <x:c r="N19" s="18"/>
      <x:c r="O19" s="18"/>
      <x:c r="P19" s="18" t="str">
        <x:f>IF(A19="","",IF(OR(B19="",C19="",G19="",N19="",O19="D - Faible"),"Donnees manquantes","OK"))</x:f>
      </x:c>
    </x:row>
    <x:row r="20">
      <x:c r="A20" s="18"/>
      <x:c r="B20" s="18"/>
      <x:c r="C20" s="18"/>
      <x:c r="D20" s="18"/>
      <x:c r="E20" s="18"/>
      <x:c r="F20" s="18"/>
      <x:c r="G20" s="24"/>
      <x:c r="H20" s="18"/>
      <x:c r="I20" s="21"/>
      <x:c r="J20" s="18"/>
      <x:c r="K20" s="28" t="str">
        <x:f>IF(A20="","",IFERROR(G20*SWITCH(J20,"FE-EL-SN-001",0.00055,"FE-LPG-001",0.00299,0)*SWITCH(J20,"FE-WASTE-CH4-001",28,1),0))</x:f>
      </x:c>
      <x:c r="L20" s="20"/>
      <x:c r="M20" s="18"/>
      <x:c r="N20" s="18"/>
      <x:c r="O20" s="18"/>
      <x:c r="P20" s="18" t="str">
        <x:f>IF(A20="","",IF(OR(B20="",C20="",G20="",N20="",O20="D - Faible"),"Donnees manquantes","OK"))</x:f>
      </x:c>
    </x:row>
    <x:row r="21">
      <x:c r="A21" s="18"/>
      <x:c r="B21" s="18"/>
      <x:c r="C21" s="18"/>
      <x:c r="D21" s="18"/>
      <x:c r="E21" s="18"/>
      <x:c r="F21" s="18"/>
      <x:c r="G21" s="24"/>
      <x:c r="H21" s="18"/>
      <x:c r="I21" s="21"/>
      <x:c r="J21" s="18"/>
      <x:c r="K21" s="28" t="str">
        <x:f>IF(A21="","",IFERROR(G21*SWITCH(J21,"FE-EL-SN-001",0.00055,"FE-LPG-001",0.00299,0)*SWITCH(J21,"FE-WASTE-CH4-001",28,1),0))</x:f>
      </x:c>
      <x:c r="L21" s="20"/>
      <x:c r="M21" s="18"/>
      <x:c r="N21" s="18"/>
      <x:c r="O21" s="18"/>
      <x:c r="P21" s="18" t="str">
        <x:f>IF(A21="","",IF(OR(B21="",C21="",G21="",N21="",O21="D - Faible"),"Donnees manquantes","OK"))</x:f>
      </x:c>
    </x:row>
    <x:row r="22">
      <x:c r="A22" s="18"/>
      <x:c r="B22" s="18"/>
      <x:c r="C22" s="18"/>
      <x:c r="D22" s="18"/>
      <x:c r="E22" s="18"/>
      <x:c r="F22" s="18"/>
      <x:c r="G22" s="24"/>
      <x:c r="H22" s="18"/>
      <x:c r="I22" s="21"/>
      <x:c r="J22" s="18"/>
      <x:c r="K22" s="28" t="str">
        <x:f>IF(A22="","",IFERROR(G22*SWITCH(J22,"FE-EL-SN-001",0.00055,"FE-LPG-001",0.00299,0)*SWITCH(J22,"FE-WASTE-CH4-001",28,1),0))</x:f>
      </x:c>
      <x:c r="L22" s="20"/>
      <x:c r="M22" s="18"/>
      <x:c r="N22" s="18"/>
      <x:c r="O22" s="18"/>
      <x:c r="P22" s="18" t="str">
        <x:f>IF(A22="","",IF(OR(B22="",C22="",G22="",N22="",O22="D - Faible"),"Donnees manquantes","OK"))</x:f>
      </x:c>
    </x:row>
    <x:row r="23">
      <x:c r="A23" s="18"/>
      <x:c r="B23" s="18"/>
      <x:c r="C23" s="18"/>
      <x:c r="D23" s="18"/>
      <x:c r="E23" s="18"/>
      <x:c r="F23" s="18"/>
      <x:c r="G23" s="24"/>
      <x:c r="H23" s="18"/>
      <x:c r="I23" s="21"/>
      <x:c r="J23" s="18"/>
      <x:c r="K23" s="28" t="str">
        <x:f>IF(A23="","",IFERROR(G23*SWITCH(J23,"FE-EL-SN-001",0.00055,"FE-LPG-001",0.00299,0)*SWITCH(J23,"FE-WASTE-CH4-001",28,1),0))</x:f>
      </x:c>
      <x:c r="L23" s="20"/>
      <x:c r="M23" s="18"/>
      <x:c r="N23" s="18"/>
      <x:c r="O23" s="18"/>
      <x:c r="P23" s="18" t="str">
        <x:f>IF(A23="","",IF(OR(B23="",C23="",G23="",N23="",O23="D - Faible"),"Donnees manquantes","OK"))</x:f>
      </x:c>
    </x:row>
    <x:row r="24">
      <x:c r="A24" s="18"/>
      <x:c r="B24" s="18"/>
      <x:c r="C24" s="18"/>
      <x:c r="D24" s="18"/>
      <x:c r="E24" s="18"/>
      <x:c r="F24" s="18"/>
      <x:c r="G24" s="24"/>
      <x:c r="H24" s="18"/>
      <x:c r="I24" s="21"/>
      <x:c r="J24" s="18"/>
      <x:c r="K24" s="28" t="str">
        <x:f>IF(A24="","",IFERROR(G24*SWITCH(J24,"FE-EL-SN-001",0.00055,"FE-LPG-001",0.00299,0)*SWITCH(J24,"FE-WASTE-CH4-001",28,1),0))</x:f>
      </x:c>
      <x:c r="L24" s="20"/>
      <x:c r="M24" s="18"/>
      <x:c r="N24" s="18"/>
      <x:c r="O24" s="18"/>
      <x:c r="P24" s="18" t="str">
        <x:f>IF(A24="","",IF(OR(B24="",C24="",G24="",N24="",O24="D - Faible"),"Donnees manquantes","OK"))</x:f>
      </x:c>
    </x:row>
    <x:row r="25">
      <x:c r="A25" s="18"/>
      <x:c r="B25" s="18"/>
      <x:c r="C25" s="18"/>
      <x:c r="D25" s="18"/>
      <x:c r="E25" s="18"/>
      <x:c r="F25" s="18"/>
      <x:c r="G25" s="24"/>
      <x:c r="H25" s="18"/>
      <x:c r="I25" s="21"/>
      <x:c r="J25" s="18"/>
      <x:c r="K25" s="28" t="str">
        <x:f>IF(A25="","",IFERROR(G25*SWITCH(J25,"FE-EL-SN-001",0.00055,"FE-LPG-001",0.00299,0)*SWITCH(J25,"FE-WASTE-CH4-001",28,1),0))</x:f>
      </x:c>
      <x:c r="L25" s="20"/>
      <x:c r="M25" s="18"/>
      <x:c r="N25" s="18"/>
      <x:c r="O25" s="18"/>
      <x:c r="P25" s="18" t="str">
        <x:f>IF(A25="","",IF(OR(B25="",C25="",G25="",N25="",O25="D - Faible"),"Donnees manquantes","OK"))</x:f>
      </x:c>
    </x:row>
    <x:row r="26">
      <x:c r="A26" s="18"/>
      <x:c r="B26" s="18"/>
      <x:c r="C26" s="18"/>
      <x:c r="D26" s="18"/>
      <x:c r="E26" s="18"/>
      <x:c r="F26" s="18"/>
      <x:c r="G26" s="24"/>
      <x:c r="H26" s="18"/>
      <x:c r="I26" s="21"/>
      <x:c r="J26" s="18"/>
      <x:c r="K26" s="28" t="str">
        <x:f>IF(A26="","",IFERROR(G26*SWITCH(J26,"FE-EL-SN-001",0.00055,"FE-LPG-001",0.00299,0)*SWITCH(J26,"FE-WASTE-CH4-001",28,1),0))</x:f>
      </x:c>
      <x:c r="L26" s="20"/>
      <x:c r="M26" s="18"/>
      <x:c r="N26" s="18"/>
      <x:c r="O26" s="18"/>
      <x:c r="P26" s="18" t="str">
        <x:f>IF(A26="","",IF(OR(B26="",C26="",G26="",N26="",O26="D - Faible"),"Donnees manquantes","OK"))</x:f>
      </x:c>
    </x:row>
    <x:row r="27">
      <x:c r="A27" s="18"/>
      <x:c r="B27" s="18"/>
      <x:c r="C27" s="18"/>
      <x:c r="D27" s="18"/>
      <x:c r="E27" s="18"/>
      <x:c r="F27" s="18"/>
      <x:c r="G27" s="24"/>
      <x:c r="H27" s="18"/>
      <x:c r="I27" s="21"/>
      <x:c r="J27" s="18"/>
      <x:c r="K27" s="28" t="str">
        <x:f>IF(A27="","",IFERROR(G27*SWITCH(J27,"FE-EL-SN-001",0.00055,"FE-LPG-001",0.00299,0)*SWITCH(J27,"FE-WASTE-CH4-001",28,1),0))</x:f>
      </x:c>
      <x:c r="L27" s="20"/>
      <x:c r="M27" s="18"/>
      <x:c r="N27" s="18"/>
      <x:c r="O27" s="18"/>
      <x:c r="P27" s="18" t="str">
        <x:f>IF(A27="","",IF(OR(B27="",C27="",G27="",N27="",O27="D - Faible"),"Donnees manquantes","OK"))</x:f>
      </x:c>
    </x:row>
    <x:row r="28">
      <x:c r="A28" s="18"/>
      <x:c r="B28" s="18"/>
      <x:c r="C28" s="18"/>
      <x:c r="D28" s="18"/>
      <x:c r="E28" s="18"/>
      <x:c r="F28" s="18"/>
      <x:c r="G28" s="24"/>
      <x:c r="H28" s="18"/>
      <x:c r="I28" s="21"/>
      <x:c r="J28" s="18"/>
      <x:c r="K28" s="28" t="str">
        <x:f>IF(A28="","",IFERROR(G28*SWITCH(J28,"FE-EL-SN-001",0.00055,"FE-LPG-001",0.00299,0)*SWITCH(J28,"FE-WASTE-CH4-001",28,1),0))</x:f>
      </x:c>
      <x:c r="L28" s="20"/>
      <x:c r="M28" s="18"/>
      <x:c r="N28" s="18"/>
      <x:c r="O28" s="18"/>
      <x:c r="P28" s="18" t="str">
        <x:f>IF(A28="","",IF(OR(B28="",C28="",G28="",N28="",O28="D - Faible"),"Donnees manquantes","OK"))</x:f>
      </x:c>
    </x:row>
    <x:row r="29">
      <x:c r="A29" s="18"/>
      <x:c r="B29" s="18"/>
      <x:c r="C29" s="18"/>
      <x:c r="D29" s="18"/>
      <x:c r="E29" s="18"/>
      <x:c r="F29" s="18"/>
      <x:c r="G29" s="24"/>
      <x:c r="H29" s="18"/>
      <x:c r="I29" s="21"/>
      <x:c r="J29" s="18"/>
      <x:c r="K29" s="28" t="str">
        <x:f>IF(A29="","",IFERROR(G29*SWITCH(J29,"FE-EL-SN-001",0.00055,"FE-LPG-001",0.00299,0)*SWITCH(J29,"FE-WASTE-CH4-001",28,1),0))</x:f>
      </x:c>
      <x:c r="L29" s="20"/>
      <x:c r="M29" s="18"/>
      <x:c r="N29" s="18"/>
      <x:c r="O29" s="18"/>
      <x:c r="P29" s="18" t="str">
        <x:f>IF(A29="","",IF(OR(B29="",C29="",G29="",N29="",O29="D - Faible"),"Donnees manquantes","OK"))</x:f>
      </x:c>
    </x:row>
    <x:row r="30">
      <x:c r="A30" s="18"/>
      <x:c r="B30" s="18"/>
      <x:c r="C30" s="18"/>
      <x:c r="D30" s="18"/>
      <x:c r="E30" s="18"/>
      <x:c r="F30" s="18"/>
      <x:c r="G30" s="24"/>
      <x:c r="H30" s="18"/>
      <x:c r="I30" s="21"/>
      <x:c r="J30" s="18"/>
      <x:c r="K30" s="28" t="str">
        <x:f>IF(A30="","",IFERROR(G30*SWITCH(J30,"FE-EL-SN-001",0.00055,"FE-LPG-001",0.00299,0)*SWITCH(J30,"FE-WASTE-CH4-001",28,1),0))</x:f>
      </x:c>
      <x:c r="L30" s="20"/>
      <x:c r="M30" s="18"/>
      <x:c r="N30" s="18"/>
      <x:c r="O30" s="18"/>
      <x:c r="P30" s="18" t="str">
        <x:f>IF(A30="","",IF(OR(B30="",C30="",G30="",N30="",O30="D - Faible"),"Donnees manquantes","OK"))</x:f>
      </x:c>
    </x:row>
    <x:row r="31">
      <x:c r="A31" s="18"/>
      <x:c r="B31" s="18"/>
      <x:c r="C31" s="18"/>
      <x:c r="D31" s="18"/>
      <x:c r="E31" s="18"/>
      <x:c r="F31" s="18"/>
      <x:c r="G31" s="24"/>
      <x:c r="H31" s="18"/>
      <x:c r="I31" s="21"/>
      <x:c r="J31" s="18"/>
      <x:c r="K31" s="28" t="str">
        <x:f>IF(A31="","",IFERROR(G31*SWITCH(J31,"FE-EL-SN-001",0.00055,"FE-LPG-001",0.00299,0)*SWITCH(J31,"FE-WASTE-CH4-001",28,1),0))</x:f>
      </x:c>
      <x:c r="L31" s="20"/>
      <x:c r="M31" s="18"/>
      <x:c r="N31" s="18"/>
      <x:c r="O31" s="18"/>
      <x:c r="P31" s="18" t="str">
        <x:f>IF(A31="","",IF(OR(B31="",C31="",G31="",N31="",O31="D - Faible"),"Donnees manquantes","OK"))</x:f>
      </x:c>
    </x:row>
    <x:row r="32">
      <x:c r="A32" s="18"/>
      <x:c r="B32" s="18"/>
      <x:c r="C32" s="18"/>
      <x:c r="D32" s="18"/>
      <x:c r="E32" s="18"/>
      <x:c r="F32" s="18"/>
      <x:c r="G32" s="24"/>
      <x:c r="H32" s="18"/>
      <x:c r="I32" s="21"/>
      <x:c r="J32" s="18"/>
      <x:c r="K32" s="28" t="str">
        <x:f>IF(A32="","",IFERROR(G32*SWITCH(J32,"FE-EL-SN-001",0.00055,"FE-LPG-001",0.00299,0)*SWITCH(J32,"FE-WASTE-CH4-001",28,1),0))</x:f>
      </x:c>
      <x:c r="L32" s="20"/>
      <x:c r="M32" s="18"/>
      <x:c r="N32" s="18"/>
      <x:c r="O32" s="18"/>
      <x:c r="P32" s="18" t="str">
        <x:f>IF(A32="","",IF(OR(B32="",C32="",G32="",N32="",O32="D - Faible"),"Donnees manquantes","OK"))</x:f>
      </x:c>
    </x:row>
    <x:row r="33">
      <x:c r="A33" s="18"/>
      <x:c r="B33" s="18"/>
      <x:c r="C33" s="18"/>
      <x:c r="D33" s="18"/>
      <x:c r="E33" s="18"/>
      <x:c r="F33" s="18"/>
      <x:c r="G33" s="24"/>
      <x:c r="H33" s="18"/>
      <x:c r="I33" s="21"/>
      <x:c r="J33" s="18"/>
      <x:c r="K33" s="28" t="str">
        <x:f>IF(A33="","",IFERROR(G33*SWITCH(J33,"FE-EL-SN-001",0.00055,"FE-LPG-001",0.00299,0)*SWITCH(J33,"FE-WASTE-CH4-001",28,1),0))</x:f>
      </x:c>
      <x:c r="L33" s="20"/>
      <x:c r="M33" s="18"/>
      <x:c r="N33" s="18"/>
      <x:c r="O33" s="18"/>
      <x:c r="P33" s="18" t="str">
        <x:f>IF(A33="","",IF(OR(B33="",C33="",G33="",N33="",O33="D - Faible"),"Donnees manquantes","OK"))</x:f>
      </x:c>
    </x:row>
    <x:row r="34">
      <x:c r="A34" s="18"/>
      <x:c r="B34" s="18"/>
      <x:c r="C34" s="18"/>
      <x:c r="D34" s="18"/>
      <x:c r="E34" s="18"/>
      <x:c r="F34" s="18"/>
      <x:c r="G34" s="24"/>
      <x:c r="H34" s="18"/>
      <x:c r="I34" s="21"/>
      <x:c r="J34" s="18"/>
      <x:c r="K34" s="28" t="str">
        <x:f>IF(A34="","",IFERROR(G34*SWITCH(J34,"FE-EL-SN-001",0.00055,"FE-LPG-001",0.00299,0)*SWITCH(J34,"FE-WASTE-CH4-001",28,1),0))</x:f>
      </x:c>
      <x:c r="L34" s="20"/>
      <x:c r="M34" s="18"/>
      <x:c r="N34" s="18"/>
      <x:c r="O34" s="18"/>
      <x:c r="P34" s="18" t="str">
        <x:f>IF(A34="","",IF(OR(B34="",C34="",G34="",N34="",O34="D - Faible"),"Donnees manquantes","OK"))</x:f>
      </x:c>
    </x:row>
    <x:row r="35">
      <x:c r="A35" s="18"/>
      <x:c r="B35" s="18"/>
      <x:c r="C35" s="18"/>
      <x:c r="D35" s="18"/>
      <x:c r="E35" s="18"/>
      <x:c r="F35" s="18"/>
      <x:c r="G35" s="24"/>
      <x:c r="H35" s="18"/>
      <x:c r="I35" s="21"/>
      <x:c r="J35" s="18"/>
      <x:c r="K35" s="28" t="str">
        <x:f>IF(A35="","",IFERROR(G35*SWITCH(J35,"FE-EL-SN-001",0.00055,"FE-LPG-001",0.00299,0)*SWITCH(J35,"FE-WASTE-CH4-001",28,1),0))</x:f>
      </x:c>
      <x:c r="L35" s="20"/>
      <x:c r="M35" s="18"/>
      <x:c r="N35" s="18"/>
      <x:c r="O35" s="18"/>
      <x:c r="P35" s="18" t="str">
        <x:f>IF(A35="","",IF(OR(B35="",C35="",G35="",N35="",O35="D - Faible"),"Donnees manquantes","OK"))</x:f>
      </x:c>
    </x:row>
    <x:row r="36">
      <x:c r="A36" s="18"/>
      <x:c r="B36" s="18"/>
      <x:c r="C36" s="18"/>
      <x:c r="D36" s="18"/>
      <x:c r="E36" s="18"/>
      <x:c r="F36" s="18"/>
      <x:c r="G36" s="24"/>
      <x:c r="H36" s="18"/>
      <x:c r="I36" s="21"/>
      <x:c r="J36" s="18"/>
      <x:c r="K36" s="28" t="str">
        <x:f>IF(A36="","",IFERROR(G36*SWITCH(J36,"FE-EL-SN-001",0.00055,"FE-LPG-001",0.00299,0)*SWITCH(J36,"FE-WASTE-CH4-001",28,1),0))</x:f>
      </x:c>
      <x:c r="L36" s="20"/>
      <x:c r="M36" s="18"/>
      <x:c r="N36" s="18"/>
      <x:c r="O36" s="18"/>
      <x:c r="P36" s="18" t="str">
        <x:f>IF(A36="","",IF(OR(B36="",C36="",G36="",N36="",O36="D - Faible"),"Donnees manquantes","OK"))</x:f>
      </x:c>
    </x:row>
    <x:row r="37">
      <x:c r="A37" s="18"/>
      <x:c r="B37" s="18"/>
      <x:c r="C37" s="18"/>
      <x:c r="D37" s="18"/>
      <x:c r="E37" s="18"/>
      <x:c r="F37" s="18"/>
      <x:c r="G37" s="24"/>
      <x:c r="H37" s="18"/>
      <x:c r="I37" s="21"/>
      <x:c r="J37" s="18"/>
      <x:c r="K37" s="28" t="str">
        <x:f>IF(A37="","",IFERROR(G37*SWITCH(J37,"FE-EL-SN-001",0.00055,"FE-LPG-001",0.00299,0)*SWITCH(J37,"FE-WASTE-CH4-001",28,1),0))</x:f>
      </x:c>
      <x:c r="L37" s="20"/>
      <x:c r="M37" s="18"/>
      <x:c r="N37" s="18"/>
      <x:c r="O37" s="18"/>
      <x:c r="P37" s="18" t="str">
        <x:f>IF(A37="","",IF(OR(B37="",C37="",G37="",N37="",O37="D - Faible"),"Donnees manquantes","OK"))</x:f>
      </x:c>
    </x:row>
    <x:row r="38">
      <x:c r="A38" s="18"/>
      <x:c r="B38" s="18"/>
      <x:c r="C38" s="18"/>
      <x:c r="D38" s="18"/>
      <x:c r="E38" s="18"/>
      <x:c r="F38" s="18"/>
      <x:c r="G38" s="24"/>
      <x:c r="H38" s="18"/>
      <x:c r="I38" s="21"/>
      <x:c r="J38" s="18"/>
      <x:c r="K38" s="28" t="str">
        <x:f>IF(A38="","",IFERROR(G38*SWITCH(J38,"FE-EL-SN-001",0.00055,"FE-LPG-001",0.00299,0)*SWITCH(J38,"FE-WASTE-CH4-001",28,1),0))</x:f>
      </x:c>
      <x:c r="L38" s="20"/>
      <x:c r="M38" s="18"/>
      <x:c r="N38" s="18"/>
      <x:c r="O38" s="18"/>
      <x:c r="P38" s="18" t="str">
        <x:f>IF(A38="","",IF(OR(B38="",C38="",G38="",N38="",O38="D - Faible"),"Donnees manquantes","OK"))</x:f>
      </x:c>
    </x:row>
    <x:row r="39">
      <x:c r="A39" s="18"/>
      <x:c r="B39" s="18"/>
      <x:c r="C39" s="18"/>
      <x:c r="D39" s="18"/>
      <x:c r="E39" s="18"/>
      <x:c r="F39" s="18"/>
      <x:c r="G39" s="24"/>
      <x:c r="H39" s="18"/>
      <x:c r="I39" s="21"/>
      <x:c r="J39" s="18"/>
      <x:c r="K39" s="28" t="str">
        <x:f>IF(A39="","",IFERROR(G39*SWITCH(J39,"FE-EL-SN-001",0.00055,"FE-LPG-001",0.00299,0)*SWITCH(J39,"FE-WASTE-CH4-001",28,1),0))</x:f>
      </x:c>
      <x:c r="L39" s="20"/>
      <x:c r="M39" s="18"/>
      <x:c r="N39" s="18"/>
      <x:c r="O39" s="18"/>
      <x:c r="P39" s="18" t="str">
        <x:f>IF(A39="","",IF(OR(B39="",C39="",G39="",N39="",O39="D - Faible"),"Donnees manquantes","OK"))</x:f>
      </x:c>
    </x:row>
    <x:row r="40">
      <x:c r="A40" s="18"/>
      <x:c r="B40" s="18"/>
      <x:c r="C40" s="18"/>
      <x:c r="D40" s="18"/>
      <x:c r="E40" s="18"/>
      <x:c r="F40" s="18"/>
      <x:c r="G40" s="24"/>
      <x:c r="H40" s="18"/>
      <x:c r="I40" s="21"/>
      <x:c r="J40" s="18"/>
      <x:c r="K40" s="28" t="str">
        <x:f>IF(A40="","",IFERROR(G40*SWITCH(J40,"FE-EL-SN-001",0.00055,"FE-LPG-001",0.00299,0)*SWITCH(J40,"FE-WASTE-CH4-001",28,1),0))</x:f>
      </x:c>
      <x:c r="L40" s="20"/>
      <x:c r="M40" s="18"/>
      <x:c r="N40" s="18"/>
      <x:c r="O40" s="18"/>
      <x:c r="P40" s="18" t="str">
        <x:f>IF(A40="","",IF(OR(B40="",C40="",G40="",N40="",O40="D - Faible"),"Donnees manquantes","OK"))</x:f>
      </x:c>
    </x:row>
    <x:row r="41">
      <x:c r="A41" s="18"/>
      <x:c r="B41" s="18"/>
      <x:c r="C41" s="18"/>
      <x:c r="D41" s="18"/>
      <x:c r="E41" s="18"/>
      <x:c r="F41" s="18"/>
      <x:c r="G41" s="24"/>
      <x:c r="H41" s="18"/>
      <x:c r="I41" s="21"/>
      <x:c r="J41" s="18"/>
      <x:c r="K41" s="28" t="str">
        <x:f>IF(A41="","",IFERROR(G41*SWITCH(J41,"FE-EL-SN-001",0.00055,"FE-LPG-001",0.00299,0)*SWITCH(J41,"FE-WASTE-CH4-001",28,1),0))</x:f>
      </x:c>
      <x:c r="L41" s="20"/>
      <x:c r="M41" s="18"/>
      <x:c r="N41" s="18"/>
      <x:c r="O41" s="18"/>
      <x:c r="P41" s="18" t="str">
        <x:f>IF(A41="","",IF(OR(B41="",C41="",G41="",N41="",O41="D - Faible"),"Donnees manquantes","OK"))</x:f>
      </x:c>
    </x:row>
    <x:row r="42">
      <x:c r="A42" s="18"/>
      <x:c r="B42" s="18"/>
      <x:c r="C42" s="18"/>
      <x:c r="D42" s="18"/>
      <x:c r="E42" s="18"/>
      <x:c r="F42" s="18"/>
      <x:c r="G42" s="24"/>
      <x:c r="H42" s="18"/>
      <x:c r="I42" s="21"/>
      <x:c r="J42" s="18"/>
      <x:c r="K42" s="28" t="str">
        <x:f>IF(A42="","",IFERROR(G42*SWITCH(J42,"FE-EL-SN-001",0.00055,"FE-LPG-001",0.00299,0)*SWITCH(J42,"FE-WASTE-CH4-001",28,1),0))</x:f>
      </x:c>
      <x:c r="L42" s="20"/>
      <x:c r="M42" s="18"/>
      <x:c r="N42" s="18"/>
      <x:c r="O42" s="18"/>
      <x:c r="P42" s="18" t="str">
        <x:f>IF(A42="","",IF(OR(B42="",C42="",G42="",N42="",O42="D - Faible"),"Donnees manquantes","OK"))</x:f>
      </x:c>
    </x:row>
    <x:row r="43">
      <x:c r="A43" s="18"/>
      <x:c r="B43" s="18"/>
      <x:c r="C43" s="18"/>
      <x:c r="D43" s="18"/>
      <x:c r="E43" s="18"/>
      <x:c r="F43" s="18"/>
      <x:c r="G43" s="24"/>
      <x:c r="H43" s="18"/>
      <x:c r="I43" s="21"/>
      <x:c r="J43" s="18"/>
      <x:c r="K43" s="28" t="str">
        <x:f>IF(A43="","",IFERROR(G43*SWITCH(J43,"FE-EL-SN-001",0.00055,"FE-LPG-001",0.00299,0)*SWITCH(J43,"FE-WASTE-CH4-001",28,1),0))</x:f>
      </x:c>
      <x:c r="L43" s="20"/>
      <x:c r="M43" s="18"/>
      <x:c r="N43" s="18"/>
      <x:c r="O43" s="18"/>
      <x:c r="P43" s="18" t="str">
        <x:f>IF(A43="","",IF(OR(B43="",C43="",G43="",N43="",O43="D - Faible"),"Donnees manquantes","OK"))</x:f>
      </x:c>
    </x:row>
    <x:row r="44">
      <x:c r="A44" s="18"/>
      <x:c r="B44" s="18"/>
      <x:c r="C44" s="18"/>
      <x:c r="D44" s="18"/>
      <x:c r="E44" s="18"/>
      <x:c r="F44" s="18"/>
      <x:c r="G44" s="24"/>
      <x:c r="H44" s="18"/>
      <x:c r="I44" s="21"/>
      <x:c r="J44" s="18"/>
      <x:c r="K44" s="28" t="str">
        <x:f>IF(A44="","",IFERROR(G44*SWITCH(J44,"FE-EL-SN-001",0.00055,"FE-LPG-001",0.00299,0)*SWITCH(J44,"FE-WASTE-CH4-001",28,1),0))</x:f>
      </x:c>
      <x:c r="L44" s="20"/>
      <x:c r="M44" s="18"/>
      <x:c r="N44" s="18"/>
      <x:c r="O44" s="18"/>
      <x:c r="P44" s="18" t="str">
        <x:f>IF(A44="","",IF(OR(B44="",C44="",G44="",N44="",O44="D - Faible"),"Donnees manquantes","OK"))</x:f>
      </x:c>
    </x:row>
  </x:sheetData>
  <x:mergeCells>
    <x:mergeCell ref="A1:J1"/>
    <x:mergeCell ref="A2:J2"/>
  </x:mergeCells>
  <x:conditionalFormatting sqref="P5:P44">
    <x:cfRule type="containsText" dxfId="44" priority="1" operator="containsText" text="Retard"/>
    <x:cfRule type="containsText" dxfId="45" priority="2" operator="containsText" text="critique"/>
    <x:cfRule type="containsText" dxfId="46" priority="3" operator="containsText" text="manquant"/>
    <x:cfRule type="containsText" dxfId="4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O5:O44">
      <x:formula1>"A - Verifiee,B - Bonne,C - Estimee,D - Faible,A confirmer"</x:formula1>
    </x:dataValidation>
  </x:dataValidations>
  <x:pageMargins left="0.7" right="0.7" top="0.75" bottom="0.75" header="0.3" footer="0.3"/>
  <x:tableParts count="1">
    <x:tablePart xmlns:r="http://schemas.openxmlformats.org/officeDocument/2006/relationships" r:id="R2c8b606511554dff"/>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0" hidden="0" customWidth="1"/>
    <x:col min="3" max="3" width="22.5" hidden="0" customWidth="1"/>
    <x:col min="4" max="4" width="20" hidden="0" customWidth="1"/>
    <x:col min="5" max="5" width="15.630000114440918" hidden="0" customWidth="1"/>
    <x:col min="6" max="6" width="16.25" hidden="0" customWidth="1"/>
    <x:col min="7" max="7" width="16.25" hidden="0" customWidth="1"/>
    <x:col min="8" max="8" width="16.8799991607666" hidden="0" customWidth="1"/>
    <x:col min="9" max="9" width="16.25" hidden="0" customWidth="1"/>
    <x:col min="10" max="10" width="15" hidden="0" customWidth="1"/>
    <x:col min="11" max="11" width="13.75" hidden="0" customWidth="1"/>
    <x:col min="12" max="12" width="15" hidden="0" customWidth="1"/>
    <x:col min="13" max="13" width="16.25" hidden="0" customWidth="1"/>
    <x:col min="14" max="14" width="16.25" hidden="0" customWidth="1"/>
    <x:col min="15" max="15" width="13.130000114440918" hidden="0" customWidth="1"/>
    <x:col min="16" max="16" width="16.25" hidden="0" customWidth="1"/>
    <x:col min="17" max="17" width="18.1299991607666" hidden="0" customWidth="1"/>
  </x:cols>
  <x:sheetData>
    <x:row r="1" ht="25.5" customHeight="1">
      <x:c r="A1" s="2" t="str">
        <x:v>Donnees dechets</x:v>
      </x:c>
      <x:c r="B1" s="2"/>
      <x:c r="C1" s="2"/>
      <x:c r="D1" s="2"/>
      <x:c r="E1" s="2"/>
      <x:c r="F1" s="2"/>
      <x:c r="G1" s="2"/>
      <x:c r="H1" s="2"/>
      <x:c r="I1" s="2"/>
      <x:c r="J1" s="2"/>
    </x:row>
    <x:row r="2" ht="31.5" customHeight="1">
      <x:c r="A2" s="5" t="str">
        <x:v>Flux de dechets, collecte, valorisation, enfouissement, brulage et emissions.</x:v>
      </x:c>
      <x:c r="B2" s="5"/>
      <x:c r="C2" s="5"/>
      <x:c r="D2" s="5"/>
      <x:c r="E2" s="5"/>
      <x:c r="F2" s="5"/>
      <x:c r="G2" s="5"/>
      <x:c r="H2" s="5"/>
      <x:c r="I2" s="5"/>
      <x:c r="J2" s="5"/>
    </x:row>
    <x:row r="4" ht="28.5" customHeight="1">
      <x:c r="A4" s="16" t="str">
        <x:v>Dechet_ID</x:v>
      </x:c>
      <x:c r="B4" s="16" t="str">
        <x:v>Annee</x:v>
      </x:c>
      <x:c r="C4" s="16" t="str">
        <x:v>Flux</x:v>
      </x:c>
      <x:c r="D4" s="16" t="str">
        <x:v>Quartier_zone</x:v>
      </x:c>
      <x:c r="E4" s="16" t="str">
        <x:v>Tonnes_generees</x:v>
      </x:c>
      <x:c r="F4" s="16" t="str">
        <x:v>Tonnes_collectees</x:v>
      </x:c>
      <x:c r="G4" s="16" t="str">
        <x:v>Tonnes_recyclees</x:v>
      </x:c>
      <x:c r="H4" s="16" t="str">
        <x:v>Tonnes_compostees</x:v>
      </x:c>
      <x:c r="I4" s="16" t="str">
        <x:v>Tonnes_enfouies</x:v>
      </x:c>
      <x:c r="J4" s="16" t="str">
        <x:v>Tonnes_brulees</x:v>
      </x:c>
      <x:c r="K4" s="16" t="str">
        <x:v>Taux_collecte</x:v>
      </x:c>
      <x:c r="L4" s="16" t="str">
        <x:v>Taux_valorisation</x:v>
      </x:c>
      <x:c r="M4" s="16" t="str">
        <x:v>Facteur_ID</x:v>
      </x:c>
      <x:c r="N4" s="16" t="str">
        <x:v>Emissions_tCO2e</x:v>
      </x:c>
      <x:c r="O4" s="16" t="str">
        <x:v>Source_ID</x:v>
      </x:c>
      <x:c r="P4" s="16" t="str">
        <x:v>Qualite</x:v>
      </x:c>
      <x:c r="Q4" s="16" t="str">
        <x:v>Alerte_donnees</x:v>
      </x:c>
    </x:row>
    <x:row r="5">
      <x:c r="A5" s="18" t="str">
        <x:v>DEC-001</x:v>
      </x:c>
      <x:c r="B5" s="18" t="n">
        <x:v>2025</x:v>
      </x:c>
      <x:c r="C5" s="18" t="str">
        <x:v>Ordures menageres</x:v>
      </x:c>
      <x:c r="D5" s="18" t="str">
        <x:v>Dakar - Ensemble ville</x:v>
      </x:c>
      <x:c r="E5" s="22" t="n">
        <x:v>320000</x:v>
      </x:c>
      <x:c r="F5" s="22" t="n">
        <x:v>245000</x:v>
      </x:c>
      <x:c r="G5" s="22" t="n">
        <x:v>18000</x:v>
      </x:c>
      <x:c r="H5" s="22" t="n">
        <x:v>8500</x:v>
      </x:c>
      <x:c r="I5" s="22" t="n">
        <x:v>180000</x:v>
      </x:c>
      <x:c r="J5" s="22" t="n">
        <x:v>5000</x:v>
      </x:c>
      <x:c r="K5" s="20" t="n">
        <x:f>IF(A5="","",IFERROR(F5/E5,""))</x:f>
        <x:v>0.765625</x:v>
      </x:c>
      <x:c r="L5" s="20" t="n">
        <x:f>IF(A5="","",IFERROR((G5+H5)/E5,""))</x:f>
        <x:v>0.0828125</x:v>
      </x:c>
      <x:c r="M5" s="18" t="str">
        <x:v>FE-WASTE-CH4-001</x:v>
      </x:c>
      <x:c r="N5" s="28" t="n">
        <x:f>IF(A5="","",IFERROR(I5*SWITCH(M5,"FE-WASTE-CH4-001",0.0009,0)*SWITCH(M5,"FE-WASTE-CH4-001",28,1),0))</x:f>
        <x:v>4536</x:v>
      </x:c>
      <x:c r="O5" s="18" t="str">
        <x:v>SRC-002</x:v>
      </x:c>
      <x:c r="P5" s="18" t="str">
        <x:v>C - Estimee</x:v>
      </x:c>
      <x:c r="Q5" s="18" t="str">
        <x:f>IF(A5="","",IF(OR(E5="",F5="",O5="",P5="D - Faible"),"Donnees manquantes","OK"))</x:f>
        <x:v>OK</x:v>
      </x:c>
    </x:row>
    <x:row r="6">
      <x:c r="A6" s="18" t="str">
        <x:v>DEC-002</x:v>
      </x:c>
      <x:c r="B6" s="18" t="n">
        <x:v>2025</x:v>
      </x:c>
      <x:c r="C6" s="18" t="str">
        <x:v>Dechets organiques marches</x:v>
      </x:c>
      <x:c r="D6" s="18" t="str">
        <x:v>Medina</x:v>
      </x:c>
      <x:c r="E6" s="22" t="n">
        <x:v>28000</x:v>
      </x:c>
      <x:c r="F6" s="22" t="n">
        <x:v>22000</x:v>
      </x:c>
      <x:c r="G6" s="22" t="n">
        <x:v>0</x:v>
      </x:c>
      <x:c r="H6" s="22" t="n">
        <x:v>4000</x:v>
      </x:c>
      <x:c r="I6" s="22" t="n">
        <x:v>15000</x:v>
      </x:c>
      <x:c r="J6" s="22" t="n">
        <x:v>0</x:v>
      </x:c>
      <x:c r="K6" s="20" t="n">
        <x:f>IF(A6="","",IFERROR(F6/E6,""))</x:f>
        <x:v>0.7857142857142857</x:v>
      </x:c>
      <x:c r="L6" s="20" t="n">
        <x:f>IF(A6="","",IFERROR((G6+H6)/E6,""))</x:f>
        <x:v>0.14285714285714285</x:v>
      </x:c>
      <x:c r="M6" s="18" t="str">
        <x:v>FE-WASTE-CH4-001</x:v>
      </x:c>
      <x:c r="N6" s="28" t="n">
        <x:f>IF(A6="","",IFERROR(I6*SWITCH(M6,"FE-WASTE-CH4-001",0.0009,0)*SWITCH(M6,"FE-WASTE-CH4-001",28,1),0))</x:f>
        <x:v>378</x:v>
      </x:c>
      <x:c r="O6" s="18" t="str">
        <x:v>SRC-002</x:v>
      </x:c>
      <x:c r="P6" s="18" t="str">
        <x:v>C - Estimee</x:v>
      </x:c>
      <x:c r="Q6" s="18" t="str">
        <x:f>IF(A6="","",IF(OR(E6="",F6="",O6="",P6="D - Faible"),"Donnees manquantes","OK"))</x:f>
        <x:v>OK</x:v>
      </x:c>
    </x:row>
    <x:row r="7">
      <x:c r="A7" s="18" t="str">
        <x:v>DEC-003</x:v>
      </x:c>
      <x:c r="B7" s="18" t="n">
        <x:v>2025</x:v>
      </x:c>
      <x:c r="C7" s="18" t="str">
        <x:v>Plastiques</x:v>
      </x:c>
      <x:c r="D7" s="18" t="str">
        <x:v>Dakar - Ensemble ville</x:v>
      </x:c>
      <x:c r="E7" s="22" t="n">
        <x:v>45000</x:v>
      </x:c>
      <x:c r="F7" s="22" t="n">
        <x:v>31000</x:v>
      </x:c>
      <x:c r="G7" s="22" t="n">
        <x:v>6200</x:v>
      </x:c>
      <x:c r="H7" s="22" t="n">
        <x:v>0</x:v>
      </x:c>
      <x:c r="I7" s="22" t="n">
        <x:v>22000</x:v>
      </x:c>
      <x:c r="J7" s="22" t="n">
        <x:v>0</x:v>
      </x:c>
      <x:c r="K7" s="20" t="n">
        <x:f>IF(A7="","",IFERROR(F7/E7,""))</x:f>
        <x:v>0.6888888888888889</x:v>
      </x:c>
      <x:c r="L7" s="20" t="n">
        <x:f>IF(A7="","",IFERROR((G7+H7)/E7,""))</x:f>
        <x:v>0.13777777777777778</x:v>
      </x:c>
      <x:c r="M7" s="18" t="str"/>
      <x:c r="N7" s="28" t="n">
        <x:f>IF(A7="","",IFERROR(I7*SWITCH(M7,"FE-WASTE-CH4-001",0.0009,0)*SWITCH(M7,"FE-WASTE-CH4-001",28,1),0))</x:f>
        <x:v>0</x:v>
      </x:c>
      <x:c r="O7" s="18" t="str">
        <x:v>SRC-002</x:v>
      </x:c>
      <x:c r="P7" s="18" t="str">
        <x:v>D - Faible</x:v>
      </x:c>
      <x:c r="Q7" s="18" t="str">
        <x:f>IF(A7="","",IF(OR(E7="",F7="",O7="",P7="D - Faible"),"Donnees manquantes","OK"))</x:f>
        <x:v>Donnees manquantes</x:v>
      </x:c>
    </x:row>
    <x:row r="8">
      <x:c r="A8" s="18"/>
      <x:c r="B8" s="18"/>
      <x:c r="C8" s="18"/>
      <x:c r="D8" s="18"/>
      <x:c r="E8" s="22"/>
      <x:c r="F8" s="22"/>
      <x:c r="G8" s="22"/>
      <x:c r="H8" s="22"/>
      <x:c r="I8" s="22"/>
      <x:c r="J8" s="22"/>
      <x:c r="K8" s="20" t="str">
        <x:f>IF(A8="","",IFERROR(F8/E8,""))</x:f>
      </x:c>
      <x:c r="L8" s="20" t="str">
        <x:f>IF(A8="","",IFERROR((G8+H8)/E8,""))</x:f>
      </x:c>
      <x:c r="M8" s="18"/>
      <x:c r="N8" s="28" t="str">
        <x:f>IF(A8="","",IFERROR(I8*SWITCH(M8,"FE-WASTE-CH4-001",0.0009,0)*SWITCH(M8,"FE-WASTE-CH4-001",28,1),0))</x:f>
      </x:c>
      <x:c r="O8" s="18"/>
      <x:c r="P8" s="18"/>
      <x:c r="Q8" s="18" t="str">
        <x:f>IF(A8="","",IF(OR(E8="",F8="",O8="",P8="D - Faible"),"Donnees manquantes","OK"))</x:f>
      </x:c>
    </x:row>
    <x:row r="9">
      <x:c r="A9" s="18"/>
      <x:c r="B9" s="18"/>
      <x:c r="C9" s="18"/>
      <x:c r="D9" s="18"/>
      <x:c r="E9" s="22"/>
      <x:c r="F9" s="22"/>
      <x:c r="G9" s="22"/>
      <x:c r="H9" s="22"/>
      <x:c r="I9" s="22"/>
      <x:c r="J9" s="22"/>
      <x:c r="K9" s="20" t="str">
        <x:f>IF(A9="","",IFERROR(F9/E9,""))</x:f>
      </x:c>
      <x:c r="L9" s="20" t="str">
        <x:f>IF(A9="","",IFERROR((G9+H9)/E9,""))</x:f>
      </x:c>
      <x:c r="M9" s="18"/>
      <x:c r="N9" s="28" t="str">
        <x:f>IF(A9="","",IFERROR(I9*SWITCH(M9,"FE-WASTE-CH4-001",0.0009,0)*SWITCH(M9,"FE-WASTE-CH4-001",28,1),0))</x:f>
      </x:c>
      <x:c r="O9" s="18"/>
      <x:c r="P9" s="18"/>
      <x:c r="Q9" s="18" t="str">
        <x:f>IF(A9="","",IF(OR(E9="",F9="",O9="",P9="D - Faible"),"Donnees manquantes","OK"))</x:f>
      </x:c>
    </x:row>
    <x:row r="10">
      <x:c r="A10" s="18"/>
      <x:c r="B10" s="18"/>
      <x:c r="C10" s="18"/>
      <x:c r="D10" s="18"/>
      <x:c r="E10" s="22"/>
      <x:c r="F10" s="22"/>
      <x:c r="G10" s="22"/>
      <x:c r="H10" s="22"/>
      <x:c r="I10" s="22"/>
      <x:c r="J10" s="22"/>
      <x:c r="K10" s="20" t="str">
        <x:f>IF(A10="","",IFERROR(F10/E10,""))</x:f>
      </x:c>
      <x:c r="L10" s="20" t="str">
        <x:f>IF(A10="","",IFERROR((G10+H10)/E10,""))</x:f>
      </x:c>
      <x:c r="M10" s="18"/>
      <x:c r="N10" s="28" t="str">
        <x:f>IF(A10="","",IFERROR(I10*SWITCH(M10,"FE-WASTE-CH4-001",0.0009,0)*SWITCH(M10,"FE-WASTE-CH4-001",28,1),0))</x:f>
      </x:c>
      <x:c r="O10" s="18"/>
      <x:c r="P10" s="18"/>
      <x:c r="Q10" s="18" t="str">
        <x:f>IF(A10="","",IF(OR(E10="",F10="",O10="",P10="D - Faible"),"Donnees manquantes","OK"))</x:f>
      </x:c>
    </x:row>
    <x:row r="11">
      <x:c r="A11" s="18"/>
      <x:c r="B11" s="18"/>
      <x:c r="C11" s="18"/>
      <x:c r="D11" s="18"/>
      <x:c r="E11" s="22"/>
      <x:c r="F11" s="22"/>
      <x:c r="G11" s="22"/>
      <x:c r="H11" s="22"/>
      <x:c r="I11" s="22"/>
      <x:c r="J11" s="22"/>
      <x:c r="K11" s="20" t="str">
        <x:f>IF(A11="","",IFERROR(F11/E11,""))</x:f>
      </x:c>
      <x:c r="L11" s="20" t="str">
        <x:f>IF(A11="","",IFERROR((G11+H11)/E11,""))</x:f>
      </x:c>
      <x:c r="M11" s="18"/>
      <x:c r="N11" s="28" t="str">
        <x:f>IF(A11="","",IFERROR(I11*SWITCH(M11,"FE-WASTE-CH4-001",0.0009,0)*SWITCH(M11,"FE-WASTE-CH4-001",28,1),0))</x:f>
      </x:c>
      <x:c r="O11" s="18"/>
      <x:c r="P11" s="18"/>
      <x:c r="Q11" s="18" t="str">
        <x:f>IF(A11="","",IF(OR(E11="",F11="",O11="",P11="D - Faible"),"Donnees manquantes","OK"))</x:f>
      </x:c>
    </x:row>
    <x:row r="12">
      <x:c r="A12" s="18"/>
      <x:c r="B12" s="18"/>
      <x:c r="C12" s="18"/>
      <x:c r="D12" s="18"/>
      <x:c r="E12" s="22"/>
      <x:c r="F12" s="22"/>
      <x:c r="G12" s="22"/>
      <x:c r="H12" s="22"/>
      <x:c r="I12" s="22"/>
      <x:c r="J12" s="22"/>
      <x:c r="K12" s="20" t="str">
        <x:f>IF(A12="","",IFERROR(F12/E12,""))</x:f>
      </x:c>
      <x:c r="L12" s="20" t="str">
        <x:f>IF(A12="","",IFERROR((G12+H12)/E12,""))</x:f>
      </x:c>
      <x:c r="M12" s="18"/>
      <x:c r="N12" s="28" t="str">
        <x:f>IF(A12="","",IFERROR(I12*SWITCH(M12,"FE-WASTE-CH4-001",0.0009,0)*SWITCH(M12,"FE-WASTE-CH4-001",28,1),0))</x:f>
      </x:c>
      <x:c r="O12" s="18"/>
      <x:c r="P12" s="18"/>
      <x:c r="Q12" s="18" t="str">
        <x:f>IF(A12="","",IF(OR(E12="",F12="",O12="",P12="D - Faible"),"Donnees manquantes","OK"))</x:f>
      </x:c>
    </x:row>
    <x:row r="13">
      <x:c r="A13" s="18"/>
      <x:c r="B13" s="18"/>
      <x:c r="C13" s="18"/>
      <x:c r="D13" s="18"/>
      <x:c r="E13" s="22"/>
      <x:c r="F13" s="22"/>
      <x:c r="G13" s="22"/>
      <x:c r="H13" s="22"/>
      <x:c r="I13" s="22"/>
      <x:c r="J13" s="22"/>
      <x:c r="K13" s="20" t="str">
        <x:f>IF(A13="","",IFERROR(F13/E13,""))</x:f>
      </x:c>
      <x:c r="L13" s="20" t="str">
        <x:f>IF(A13="","",IFERROR((G13+H13)/E13,""))</x:f>
      </x:c>
      <x:c r="M13" s="18"/>
      <x:c r="N13" s="28" t="str">
        <x:f>IF(A13="","",IFERROR(I13*SWITCH(M13,"FE-WASTE-CH4-001",0.0009,0)*SWITCH(M13,"FE-WASTE-CH4-001",28,1),0))</x:f>
      </x:c>
      <x:c r="O13" s="18"/>
      <x:c r="P13" s="18"/>
      <x:c r="Q13" s="18" t="str">
        <x:f>IF(A13="","",IF(OR(E13="",F13="",O13="",P13="D - Faible"),"Donnees manquantes","OK"))</x:f>
      </x:c>
    </x:row>
    <x:row r="14">
      <x:c r="A14" s="18"/>
      <x:c r="B14" s="18"/>
      <x:c r="C14" s="18"/>
      <x:c r="D14" s="18"/>
      <x:c r="E14" s="22"/>
      <x:c r="F14" s="22"/>
      <x:c r="G14" s="22"/>
      <x:c r="H14" s="22"/>
      <x:c r="I14" s="22"/>
      <x:c r="J14" s="22"/>
      <x:c r="K14" s="20" t="str">
        <x:f>IF(A14="","",IFERROR(F14/E14,""))</x:f>
      </x:c>
      <x:c r="L14" s="20" t="str">
        <x:f>IF(A14="","",IFERROR((G14+H14)/E14,""))</x:f>
      </x:c>
      <x:c r="M14" s="18"/>
      <x:c r="N14" s="28" t="str">
        <x:f>IF(A14="","",IFERROR(I14*SWITCH(M14,"FE-WASTE-CH4-001",0.0009,0)*SWITCH(M14,"FE-WASTE-CH4-001",28,1),0))</x:f>
      </x:c>
      <x:c r="O14" s="18"/>
      <x:c r="P14" s="18"/>
      <x:c r="Q14" s="18" t="str">
        <x:f>IF(A14="","",IF(OR(E14="",F14="",O14="",P14="D - Faible"),"Donnees manquantes","OK"))</x:f>
      </x:c>
    </x:row>
    <x:row r="15">
      <x:c r="A15" s="18"/>
      <x:c r="B15" s="18"/>
      <x:c r="C15" s="18"/>
      <x:c r="D15" s="18"/>
      <x:c r="E15" s="22"/>
      <x:c r="F15" s="22"/>
      <x:c r="G15" s="22"/>
      <x:c r="H15" s="22"/>
      <x:c r="I15" s="22"/>
      <x:c r="J15" s="22"/>
      <x:c r="K15" s="20" t="str">
        <x:f>IF(A15="","",IFERROR(F15/E15,""))</x:f>
      </x:c>
      <x:c r="L15" s="20" t="str">
        <x:f>IF(A15="","",IFERROR((G15+H15)/E15,""))</x:f>
      </x:c>
      <x:c r="M15" s="18"/>
      <x:c r="N15" s="28" t="str">
        <x:f>IF(A15="","",IFERROR(I15*SWITCH(M15,"FE-WASTE-CH4-001",0.0009,0)*SWITCH(M15,"FE-WASTE-CH4-001",28,1),0))</x:f>
      </x:c>
      <x:c r="O15" s="18"/>
      <x:c r="P15" s="18"/>
      <x:c r="Q15" s="18" t="str">
        <x:f>IF(A15="","",IF(OR(E15="",F15="",O15="",P15="D - Faible"),"Donnees manquantes","OK"))</x:f>
      </x:c>
    </x:row>
    <x:row r="16">
      <x:c r="A16" s="18"/>
      <x:c r="B16" s="18"/>
      <x:c r="C16" s="18"/>
      <x:c r="D16" s="18"/>
      <x:c r="E16" s="22"/>
      <x:c r="F16" s="22"/>
      <x:c r="G16" s="22"/>
      <x:c r="H16" s="22"/>
      <x:c r="I16" s="22"/>
      <x:c r="J16" s="22"/>
      <x:c r="K16" s="20" t="str">
        <x:f>IF(A16="","",IFERROR(F16/E16,""))</x:f>
      </x:c>
      <x:c r="L16" s="20" t="str">
        <x:f>IF(A16="","",IFERROR((G16+H16)/E16,""))</x:f>
      </x:c>
      <x:c r="M16" s="18"/>
      <x:c r="N16" s="28" t="str">
        <x:f>IF(A16="","",IFERROR(I16*SWITCH(M16,"FE-WASTE-CH4-001",0.0009,0)*SWITCH(M16,"FE-WASTE-CH4-001",28,1),0))</x:f>
      </x:c>
      <x:c r="O16" s="18"/>
      <x:c r="P16" s="18"/>
      <x:c r="Q16" s="18" t="str">
        <x:f>IF(A16="","",IF(OR(E16="",F16="",O16="",P16="D - Faible"),"Donnees manquantes","OK"))</x:f>
      </x:c>
    </x:row>
    <x:row r="17">
      <x:c r="A17" s="18"/>
      <x:c r="B17" s="18"/>
      <x:c r="C17" s="18"/>
      <x:c r="D17" s="18"/>
      <x:c r="E17" s="22"/>
      <x:c r="F17" s="22"/>
      <x:c r="G17" s="22"/>
      <x:c r="H17" s="22"/>
      <x:c r="I17" s="22"/>
      <x:c r="J17" s="22"/>
      <x:c r="K17" s="20" t="str">
        <x:f>IF(A17="","",IFERROR(F17/E17,""))</x:f>
      </x:c>
      <x:c r="L17" s="20" t="str">
        <x:f>IF(A17="","",IFERROR((G17+H17)/E17,""))</x:f>
      </x:c>
      <x:c r="M17" s="18"/>
      <x:c r="N17" s="28" t="str">
        <x:f>IF(A17="","",IFERROR(I17*SWITCH(M17,"FE-WASTE-CH4-001",0.0009,0)*SWITCH(M17,"FE-WASTE-CH4-001",28,1),0))</x:f>
      </x:c>
      <x:c r="O17" s="18"/>
      <x:c r="P17" s="18"/>
      <x:c r="Q17" s="18" t="str">
        <x:f>IF(A17="","",IF(OR(E17="",F17="",O17="",P17="D - Faible"),"Donnees manquantes","OK"))</x:f>
      </x:c>
    </x:row>
    <x:row r="18">
      <x:c r="A18" s="18"/>
      <x:c r="B18" s="18"/>
      <x:c r="C18" s="18"/>
      <x:c r="D18" s="18"/>
      <x:c r="E18" s="22"/>
      <x:c r="F18" s="22"/>
      <x:c r="G18" s="22"/>
      <x:c r="H18" s="22"/>
      <x:c r="I18" s="22"/>
      <x:c r="J18" s="22"/>
      <x:c r="K18" s="20" t="str">
        <x:f>IF(A18="","",IFERROR(F18/E18,""))</x:f>
      </x:c>
      <x:c r="L18" s="20" t="str">
        <x:f>IF(A18="","",IFERROR((G18+H18)/E18,""))</x:f>
      </x:c>
      <x:c r="M18" s="18"/>
      <x:c r="N18" s="28" t="str">
        <x:f>IF(A18="","",IFERROR(I18*SWITCH(M18,"FE-WASTE-CH4-001",0.0009,0)*SWITCH(M18,"FE-WASTE-CH4-001",28,1),0))</x:f>
      </x:c>
      <x:c r="O18" s="18"/>
      <x:c r="P18" s="18"/>
      <x:c r="Q18" s="18" t="str">
        <x:f>IF(A18="","",IF(OR(E18="",F18="",O18="",P18="D - Faible"),"Donnees manquantes","OK"))</x:f>
      </x:c>
    </x:row>
    <x:row r="19">
      <x:c r="A19" s="18"/>
      <x:c r="B19" s="18"/>
      <x:c r="C19" s="18"/>
      <x:c r="D19" s="18"/>
      <x:c r="E19" s="22"/>
      <x:c r="F19" s="22"/>
      <x:c r="G19" s="22"/>
      <x:c r="H19" s="22"/>
      <x:c r="I19" s="22"/>
      <x:c r="J19" s="22"/>
      <x:c r="K19" s="20" t="str">
        <x:f>IF(A19="","",IFERROR(F19/E19,""))</x:f>
      </x:c>
      <x:c r="L19" s="20" t="str">
        <x:f>IF(A19="","",IFERROR((G19+H19)/E19,""))</x:f>
      </x:c>
      <x:c r="M19" s="18"/>
      <x:c r="N19" s="28" t="str">
        <x:f>IF(A19="","",IFERROR(I19*SWITCH(M19,"FE-WASTE-CH4-001",0.0009,0)*SWITCH(M19,"FE-WASTE-CH4-001",28,1),0))</x:f>
      </x:c>
      <x:c r="O19" s="18"/>
      <x:c r="P19" s="18"/>
      <x:c r="Q19" s="18" t="str">
        <x:f>IF(A19="","",IF(OR(E19="",F19="",O19="",P19="D - Faible"),"Donnees manquantes","OK"))</x:f>
      </x:c>
    </x:row>
    <x:row r="20">
      <x:c r="A20" s="18"/>
      <x:c r="B20" s="18"/>
      <x:c r="C20" s="18"/>
      <x:c r="D20" s="18"/>
      <x:c r="E20" s="22"/>
      <x:c r="F20" s="22"/>
      <x:c r="G20" s="22"/>
      <x:c r="H20" s="22"/>
      <x:c r="I20" s="22"/>
      <x:c r="J20" s="22"/>
      <x:c r="K20" s="20" t="str">
        <x:f>IF(A20="","",IFERROR(F20/E20,""))</x:f>
      </x:c>
      <x:c r="L20" s="20" t="str">
        <x:f>IF(A20="","",IFERROR((G20+H20)/E20,""))</x:f>
      </x:c>
      <x:c r="M20" s="18"/>
      <x:c r="N20" s="28" t="str">
        <x:f>IF(A20="","",IFERROR(I20*SWITCH(M20,"FE-WASTE-CH4-001",0.0009,0)*SWITCH(M20,"FE-WASTE-CH4-001",28,1),0))</x:f>
      </x:c>
      <x:c r="O20" s="18"/>
      <x:c r="P20" s="18"/>
      <x:c r="Q20" s="18" t="str">
        <x:f>IF(A20="","",IF(OR(E20="",F20="",O20="",P20="D - Faible"),"Donnees manquantes","OK"))</x:f>
      </x:c>
    </x:row>
    <x:row r="21">
      <x:c r="A21" s="18"/>
      <x:c r="B21" s="18"/>
      <x:c r="C21" s="18"/>
      <x:c r="D21" s="18"/>
      <x:c r="E21" s="22"/>
      <x:c r="F21" s="22"/>
      <x:c r="G21" s="22"/>
      <x:c r="H21" s="22"/>
      <x:c r="I21" s="22"/>
      <x:c r="J21" s="22"/>
      <x:c r="K21" s="20" t="str">
        <x:f>IF(A21="","",IFERROR(F21/E21,""))</x:f>
      </x:c>
      <x:c r="L21" s="20" t="str">
        <x:f>IF(A21="","",IFERROR((G21+H21)/E21,""))</x:f>
      </x:c>
      <x:c r="M21" s="18"/>
      <x:c r="N21" s="28" t="str">
        <x:f>IF(A21="","",IFERROR(I21*SWITCH(M21,"FE-WASTE-CH4-001",0.0009,0)*SWITCH(M21,"FE-WASTE-CH4-001",28,1),0))</x:f>
      </x:c>
      <x:c r="O21" s="18"/>
      <x:c r="P21" s="18"/>
      <x:c r="Q21" s="18" t="str">
        <x:f>IF(A21="","",IF(OR(E21="",F21="",O21="",P21="D - Faible"),"Donnees manquantes","OK"))</x:f>
      </x:c>
    </x:row>
    <x:row r="22">
      <x:c r="A22" s="18"/>
      <x:c r="B22" s="18"/>
      <x:c r="C22" s="18"/>
      <x:c r="D22" s="18"/>
      <x:c r="E22" s="22"/>
      <x:c r="F22" s="22"/>
      <x:c r="G22" s="22"/>
      <x:c r="H22" s="22"/>
      <x:c r="I22" s="22"/>
      <x:c r="J22" s="22"/>
      <x:c r="K22" s="20" t="str">
        <x:f>IF(A22="","",IFERROR(F22/E22,""))</x:f>
      </x:c>
      <x:c r="L22" s="20" t="str">
        <x:f>IF(A22="","",IFERROR((G22+H22)/E22,""))</x:f>
      </x:c>
      <x:c r="M22" s="18"/>
      <x:c r="N22" s="28" t="str">
        <x:f>IF(A22="","",IFERROR(I22*SWITCH(M22,"FE-WASTE-CH4-001",0.0009,0)*SWITCH(M22,"FE-WASTE-CH4-001",28,1),0))</x:f>
      </x:c>
      <x:c r="O22" s="18"/>
      <x:c r="P22" s="18"/>
      <x:c r="Q22" s="18" t="str">
        <x:f>IF(A22="","",IF(OR(E22="",F22="",O22="",P22="D - Faible"),"Donnees manquantes","OK"))</x:f>
      </x:c>
    </x:row>
    <x:row r="23">
      <x:c r="A23" s="18"/>
      <x:c r="B23" s="18"/>
      <x:c r="C23" s="18"/>
      <x:c r="D23" s="18"/>
      <x:c r="E23" s="22"/>
      <x:c r="F23" s="22"/>
      <x:c r="G23" s="22"/>
      <x:c r="H23" s="22"/>
      <x:c r="I23" s="22"/>
      <x:c r="J23" s="22"/>
      <x:c r="K23" s="20" t="str">
        <x:f>IF(A23="","",IFERROR(F23/E23,""))</x:f>
      </x:c>
      <x:c r="L23" s="20" t="str">
        <x:f>IF(A23="","",IFERROR((G23+H23)/E23,""))</x:f>
      </x:c>
      <x:c r="M23" s="18"/>
      <x:c r="N23" s="28" t="str">
        <x:f>IF(A23="","",IFERROR(I23*SWITCH(M23,"FE-WASTE-CH4-001",0.0009,0)*SWITCH(M23,"FE-WASTE-CH4-001",28,1),0))</x:f>
      </x:c>
      <x:c r="O23" s="18"/>
      <x:c r="P23" s="18"/>
      <x:c r="Q23" s="18" t="str">
        <x:f>IF(A23="","",IF(OR(E23="",F23="",O23="",P23="D - Faible"),"Donnees manquantes","OK"))</x:f>
      </x:c>
    </x:row>
    <x:row r="24">
      <x:c r="A24" s="18"/>
      <x:c r="B24" s="18"/>
      <x:c r="C24" s="18"/>
      <x:c r="D24" s="18"/>
      <x:c r="E24" s="22"/>
      <x:c r="F24" s="22"/>
      <x:c r="G24" s="22"/>
      <x:c r="H24" s="22"/>
      <x:c r="I24" s="22"/>
      <x:c r="J24" s="22"/>
      <x:c r="K24" s="20" t="str">
        <x:f>IF(A24="","",IFERROR(F24/E24,""))</x:f>
      </x:c>
      <x:c r="L24" s="20" t="str">
        <x:f>IF(A24="","",IFERROR((G24+H24)/E24,""))</x:f>
      </x:c>
      <x:c r="M24" s="18"/>
      <x:c r="N24" s="28" t="str">
        <x:f>IF(A24="","",IFERROR(I24*SWITCH(M24,"FE-WASTE-CH4-001",0.0009,0)*SWITCH(M24,"FE-WASTE-CH4-001",28,1),0))</x:f>
      </x:c>
      <x:c r="O24" s="18"/>
      <x:c r="P24" s="18"/>
      <x:c r="Q24" s="18" t="str">
        <x:f>IF(A24="","",IF(OR(E24="",F24="",O24="",P24="D - Faible"),"Donnees manquantes","OK"))</x:f>
      </x:c>
    </x:row>
    <x:row r="25">
      <x:c r="A25" s="18"/>
      <x:c r="B25" s="18"/>
      <x:c r="C25" s="18"/>
      <x:c r="D25" s="18"/>
      <x:c r="E25" s="22"/>
      <x:c r="F25" s="22"/>
      <x:c r="G25" s="22"/>
      <x:c r="H25" s="22"/>
      <x:c r="I25" s="22"/>
      <x:c r="J25" s="22"/>
      <x:c r="K25" s="20" t="str">
        <x:f>IF(A25="","",IFERROR(F25/E25,""))</x:f>
      </x:c>
      <x:c r="L25" s="20" t="str">
        <x:f>IF(A25="","",IFERROR((G25+H25)/E25,""))</x:f>
      </x:c>
      <x:c r="M25" s="18"/>
      <x:c r="N25" s="28" t="str">
        <x:f>IF(A25="","",IFERROR(I25*SWITCH(M25,"FE-WASTE-CH4-001",0.0009,0)*SWITCH(M25,"FE-WASTE-CH4-001",28,1),0))</x:f>
      </x:c>
      <x:c r="O25" s="18"/>
      <x:c r="P25" s="18"/>
      <x:c r="Q25" s="18" t="str">
        <x:f>IF(A25="","",IF(OR(E25="",F25="",O25="",P25="D - Faible"),"Donnees manquantes","OK"))</x:f>
      </x:c>
    </x:row>
    <x:row r="26">
      <x:c r="A26" s="18"/>
      <x:c r="B26" s="18"/>
      <x:c r="C26" s="18"/>
      <x:c r="D26" s="18"/>
      <x:c r="E26" s="22"/>
      <x:c r="F26" s="22"/>
      <x:c r="G26" s="22"/>
      <x:c r="H26" s="22"/>
      <x:c r="I26" s="22"/>
      <x:c r="J26" s="22"/>
      <x:c r="K26" s="20" t="str">
        <x:f>IF(A26="","",IFERROR(F26/E26,""))</x:f>
      </x:c>
      <x:c r="L26" s="20" t="str">
        <x:f>IF(A26="","",IFERROR((G26+H26)/E26,""))</x:f>
      </x:c>
      <x:c r="M26" s="18"/>
      <x:c r="N26" s="28" t="str">
        <x:f>IF(A26="","",IFERROR(I26*SWITCH(M26,"FE-WASTE-CH4-001",0.0009,0)*SWITCH(M26,"FE-WASTE-CH4-001",28,1),0))</x:f>
      </x:c>
      <x:c r="O26" s="18"/>
      <x:c r="P26" s="18"/>
      <x:c r="Q26" s="18" t="str">
        <x:f>IF(A26="","",IF(OR(E26="",F26="",O26="",P26="D - Faible"),"Donnees manquantes","OK"))</x:f>
      </x:c>
    </x:row>
    <x:row r="27">
      <x:c r="A27" s="18"/>
      <x:c r="B27" s="18"/>
      <x:c r="C27" s="18"/>
      <x:c r="D27" s="18"/>
      <x:c r="E27" s="22"/>
      <x:c r="F27" s="22"/>
      <x:c r="G27" s="22"/>
      <x:c r="H27" s="22"/>
      <x:c r="I27" s="22"/>
      <x:c r="J27" s="22"/>
      <x:c r="K27" s="20" t="str">
        <x:f>IF(A27="","",IFERROR(F27/E27,""))</x:f>
      </x:c>
      <x:c r="L27" s="20" t="str">
        <x:f>IF(A27="","",IFERROR((G27+H27)/E27,""))</x:f>
      </x:c>
      <x:c r="M27" s="18"/>
      <x:c r="N27" s="28" t="str">
        <x:f>IF(A27="","",IFERROR(I27*SWITCH(M27,"FE-WASTE-CH4-001",0.0009,0)*SWITCH(M27,"FE-WASTE-CH4-001",28,1),0))</x:f>
      </x:c>
      <x:c r="O27" s="18"/>
      <x:c r="P27" s="18"/>
      <x:c r="Q27" s="18" t="str">
        <x:f>IF(A27="","",IF(OR(E27="",F27="",O27="",P27="D - Faible"),"Donnees manquantes","OK"))</x:f>
      </x:c>
    </x:row>
    <x:row r="28">
      <x:c r="A28" s="18"/>
      <x:c r="B28" s="18"/>
      <x:c r="C28" s="18"/>
      <x:c r="D28" s="18"/>
      <x:c r="E28" s="22"/>
      <x:c r="F28" s="22"/>
      <x:c r="G28" s="22"/>
      <x:c r="H28" s="22"/>
      <x:c r="I28" s="22"/>
      <x:c r="J28" s="22"/>
      <x:c r="K28" s="20" t="str">
        <x:f>IF(A28="","",IFERROR(F28/E28,""))</x:f>
      </x:c>
      <x:c r="L28" s="20" t="str">
        <x:f>IF(A28="","",IFERROR((G28+H28)/E28,""))</x:f>
      </x:c>
      <x:c r="M28" s="18"/>
      <x:c r="N28" s="28" t="str">
        <x:f>IF(A28="","",IFERROR(I28*SWITCH(M28,"FE-WASTE-CH4-001",0.0009,0)*SWITCH(M28,"FE-WASTE-CH4-001",28,1),0))</x:f>
      </x:c>
      <x:c r="O28" s="18"/>
      <x:c r="P28" s="18"/>
      <x:c r="Q28" s="18" t="str">
        <x:f>IF(A28="","",IF(OR(E28="",F28="",O28="",P28="D - Faible"),"Donnees manquantes","OK"))</x:f>
      </x:c>
    </x:row>
    <x:row r="29">
      <x:c r="A29" s="18"/>
      <x:c r="B29" s="18"/>
      <x:c r="C29" s="18"/>
      <x:c r="D29" s="18"/>
      <x:c r="E29" s="22"/>
      <x:c r="F29" s="22"/>
      <x:c r="G29" s="22"/>
      <x:c r="H29" s="22"/>
      <x:c r="I29" s="22"/>
      <x:c r="J29" s="22"/>
      <x:c r="K29" s="20" t="str">
        <x:f>IF(A29="","",IFERROR(F29/E29,""))</x:f>
      </x:c>
      <x:c r="L29" s="20" t="str">
        <x:f>IF(A29="","",IFERROR((G29+H29)/E29,""))</x:f>
      </x:c>
      <x:c r="M29" s="18"/>
      <x:c r="N29" s="28" t="str">
        <x:f>IF(A29="","",IFERROR(I29*SWITCH(M29,"FE-WASTE-CH4-001",0.0009,0)*SWITCH(M29,"FE-WASTE-CH4-001",28,1),0))</x:f>
      </x:c>
      <x:c r="O29" s="18"/>
      <x:c r="P29" s="18"/>
      <x:c r="Q29" s="18" t="str">
        <x:f>IF(A29="","",IF(OR(E29="",F29="",O29="",P29="D - Faible"),"Donnees manquantes","OK"))</x:f>
      </x:c>
    </x:row>
    <x:row r="30">
      <x:c r="A30" s="18"/>
      <x:c r="B30" s="18"/>
      <x:c r="C30" s="18"/>
      <x:c r="D30" s="18"/>
      <x:c r="E30" s="22"/>
      <x:c r="F30" s="22"/>
      <x:c r="G30" s="22"/>
      <x:c r="H30" s="22"/>
      <x:c r="I30" s="22"/>
      <x:c r="J30" s="22"/>
      <x:c r="K30" s="20" t="str">
        <x:f>IF(A30="","",IFERROR(F30/E30,""))</x:f>
      </x:c>
      <x:c r="L30" s="20" t="str">
        <x:f>IF(A30="","",IFERROR((G30+H30)/E30,""))</x:f>
      </x:c>
      <x:c r="M30" s="18"/>
      <x:c r="N30" s="28" t="str">
        <x:f>IF(A30="","",IFERROR(I30*SWITCH(M30,"FE-WASTE-CH4-001",0.0009,0)*SWITCH(M30,"FE-WASTE-CH4-001",28,1),0))</x:f>
      </x:c>
      <x:c r="O30" s="18"/>
      <x:c r="P30" s="18"/>
      <x:c r="Q30" s="18" t="str">
        <x:f>IF(A30="","",IF(OR(E30="",F30="",O30="",P30="D - Faible"),"Donnees manquantes","OK"))</x:f>
      </x:c>
    </x:row>
    <x:row r="31">
      <x:c r="A31" s="18"/>
      <x:c r="B31" s="18"/>
      <x:c r="C31" s="18"/>
      <x:c r="D31" s="18"/>
      <x:c r="E31" s="22"/>
      <x:c r="F31" s="22"/>
      <x:c r="G31" s="22"/>
      <x:c r="H31" s="22"/>
      <x:c r="I31" s="22"/>
      <x:c r="J31" s="22"/>
      <x:c r="K31" s="20" t="str">
        <x:f>IF(A31="","",IFERROR(F31/E31,""))</x:f>
      </x:c>
      <x:c r="L31" s="20" t="str">
        <x:f>IF(A31="","",IFERROR((G31+H31)/E31,""))</x:f>
      </x:c>
      <x:c r="M31" s="18"/>
      <x:c r="N31" s="28" t="str">
        <x:f>IF(A31="","",IFERROR(I31*SWITCH(M31,"FE-WASTE-CH4-001",0.0009,0)*SWITCH(M31,"FE-WASTE-CH4-001",28,1),0))</x:f>
      </x:c>
      <x:c r="O31" s="18"/>
      <x:c r="P31" s="18"/>
      <x:c r="Q31" s="18" t="str">
        <x:f>IF(A31="","",IF(OR(E31="",F31="",O31="",P31="D - Faible"),"Donnees manquantes","OK"))</x:f>
      </x:c>
    </x:row>
    <x:row r="32">
      <x:c r="A32" s="18"/>
      <x:c r="B32" s="18"/>
      <x:c r="C32" s="18"/>
      <x:c r="D32" s="18"/>
      <x:c r="E32" s="22"/>
      <x:c r="F32" s="22"/>
      <x:c r="G32" s="22"/>
      <x:c r="H32" s="22"/>
      <x:c r="I32" s="22"/>
      <x:c r="J32" s="22"/>
      <x:c r="K32" s="20" t="str">
        <x:f>IF(A32="","",IFERROR(F32/E32,""))</x:f>
      </x:c>
      <x:c r="L32" s="20" t="str">
        <x:f>IF(A32="","",IFERROR((G32+H32)/E32,""))</x:f>
      </x:c>
      <x:c r="M32" s="18"/>
      <x:c r="N32" s="28" t="str">
        <x:f>IF(A32="","",IFERROR(I32*SWITCH(M32,"FE-WASTE-CH4-001",0.0009,0)*SWITCH(M32,"FE-WASTE-CH4-001",28,1),0))</x:f>
      </x:c>
      <x:c r="O32" s="18"/>
      <x:c r="P32" s="18"/>
      <x:c r="Q32" s="18" t="str">
        <x:f>IF(A32="","",IF(OR(E32="",F32="",O32="",P32="D - Faible"),"Donnees manquantes","OK"))</x:f>
      </x:c>
    </x:row>
    <x:row r="33">
      <x:c r="A33" s="18"/>
      <x:c r="B33" s="18"/>
      <x:c r="C33" s="18"/>
      <x:c r="D33" s="18"/>
      <x:c r="E33" s="22"/>
      <x:c r="F33" s="22"/>
      <x:c r="G33" s="22"/>
      <x:c r="H33" s="22"/>
      <x:c r="I33" s="22"/>
      <x:c r="J33" s="22"/>
      <x:c r="K33" s="20" t="str">
        <x:f>IF(A33="","",IFERROR(F33/E33,""))</x:f>
      </x:c>
      <x:c r="L33" s="20" t="str">
        <x:f>IF(A33="","",IFERROR((G33+H33)/E33,""))</x:f>
      </x:c>
      <x:c r="M33" s="18"/>
      <x:c r="N33" s="28" t="str">
        <x:f>IF(A33="","",IFERROR(I33*SWITCH(M33,"FE-WASTE-CH4-001",0.0009,0)*SWITCH(M33,"FE-WASTE-CH4-001",28,1),0))</x:f>
      </x:c>
      <x:c r="O33" s="18"/>
      <x:c r="P33" s="18"/>
      <x:c r="Q33" s="18" t="str">
        <x:f>IF(A33="","",IF(OR(E33="",F33="",O33="",P33="D - Faible"),"Donnees manquantes","OK"))</x:f>
      </x:c>
    </x:row>
    <x:row r="34">
      <x:c r="A34" s="18"/>
      <x:c r="B34" s="18"/>
      <x:c r="C34" s="18"/>
      <x:c r="D34" s="18"/>
      <x:c r="E34" s="22"/>
      <x:c r="F34" s="22"/>
      <x:c r="G34" s="22"/>
      <x:c r="H34" s="22"/>
      <x:c r="I34" s="22"/>
      <x:c r="J34" s="22"/>
      <x:c r="K34" s="20" t="str">
        <x:f>IF(A34="","",IFERROR(F34/E34,""))</x:f>
      </x:c>
      <x:c r="L34" s="20" t="str">
        <x:f>IF(A34="","",IFERROR((G34+H34)/E34,""))</x:f>
      </x:c>
      <x:c r="M34" s="18"/>
      <x:c r="N34" s="28" t="str">
        <x:f>IF(A34="","",IFERROR(I34*SWITCH(M34,"FE-WASTE-CH4-001",0.0009,0)*SWITCH(M34,"FE-WASTE-CH4-001",28,1),0))</x:f>
      </x:c>
      <x:c r="O34" s="18"/>
      <x:c r="P34" s="18"/>
      <x:c r="Q34" s="18" t="str">
        <x:f>IF(A34="","",IF(OR(E34="",F34="",O34="",P34="D - Faible"),"Donnees manquantes","OK"))</x:f>
      </x:c>
    </x:row>
    <x:row r="35">
      <x:c r="A35" s="18"/>
      <x:c r="B35" s="18"/>
      <x:c r="C35" s="18"/>
      <x:c r="D35" s="18"/>
      <x:c r="E35" s="22"/>
      <x:c r="F35" s="22"/>
      <x:c r="G35" s="22"/>
      <x:c r="H35" s="22"/>
      <x:c r="I35" s="22"/>
      <x:c r="J35" s="22"/>
      <x:c r="K35" s="20" t="str">
        <x:f>IF(A35="","",IFERROR(F35/E35,""))</x:f>
      </x:c>
      <x:c r="L35" s="20" t="str">
        <x:f>IF(A35="","",IFERROR((G35+H35)/E35,""))</x:f>
      </x:c>
      <x:c r="M35" s="18"/>
      <x:c r="N35" s="28" t="str">
        <x:f>IF(A35="","",IFERROR(I35*SWITCH(M35,"FE-WASTE-CH4-001",0.0009,0)*SWITCH(M35,"FE-WASTE-CH4-001",28,1),0))</x:f>
      </x:c>
      <x:c r="O35" s="18"/>
      <x:c r="P35" s="18"/>
      <x:c r="Q35" s="18" t="str">
        <x:f>IF(A35="","",IF(OR(E35="",F35="",O35="",P35="D - Faible"),"Donnees manquantes","OK"))</x:f>
      </x:c>
    </x:row>
    <x:row r="36">
      <x:c r="A36" s="18"/>
      <x:c r="B36" s="18"/>
      <x:c r="C36" s="18"/>
      <x:c r="D36" s="18"/>
      <x:c r="E36" s="22"/>
      <x:c r="F36" s="22"/>
      <x:c r="G36" s="22"/>
      <x:c r="H36" s="22"/>
      <x:c r="I36" s="22"/>
      <x:c r="J36" s="22"/>
      <x:c r="K36" s="20" t="str">
        <x:f>IF(A36="","",IFERROR(F36/E36,""))</x:f>
      </x:c>
      <x:c r="L36" s="20" t="str">
        <x:f>IF(A36="","",IFERROR((G36+H36)/E36,""))</x:f>
      </x:c>
      <x:c r="M36" s="18"/>
      <x:c r="N36" s="28" t="str">
        <x:f>IF(A36="","",IFERROR(I36*SWITCH(M36,"FE-WASTE-CH4-001",0.0009,0)*SWITCH(M36,"FE-WASTE-CH4-001",28,1),0))</x:f>
      </x:c>
      <x:c r="O36" s="18"/>
      <x:c r="P36" s="18"/>
      <x:c r="Q36" s="18" t="str">
        <x:f>IF(A36="","",IF(OR(E36="",F36="",O36="",P36="D - Faible"),"Donnees manquantes","OK"))</x:f>
      </x:c>
    </x:row>
    <x:row r="37">
      <x:c r="A37" s="18"/>
      <x:c r="B37" s="18"/>
      <x:c r="C37" s="18"/>
      <x:c r="D37" s="18"/>
      <x:c r="E37" s="22"/>
      <x:c r="F37" s="22"/>
      <x:c r="G37" s="22"/>
      <x:c r="H37" s="22"/>
      <x:c r="I37" s="22"/>
      <x:c r="J37" s="22"/>
      <x:c r="K37" s="20" t="str">
        <x:f>IF(A37="","",IFERROR(F37/E37,""))</x:f>
      </x:c>
      <x:c r="L37" s="20" t="str">
        <x:f>IF(A37="","",IFERROR((G37+H37)/E37,""))</x:f>
      </x:c>
      <x:c r="M37" s="18"/>
      <x:c r="N37" s="28" t="str">
        <x:f>IF(A37="","",IFERROR(I37*SWITCH(M37,"FE-WASTE-CH4-001",0.0009,0)*SWITCH(M37,"FE-WASTE-CH4-001",28,1),0))</x:f>
      </x:c>
      <x:c r="O37" s="18"/>
      <x:c r="P37" s="18"/>
      <x:c r="Q37" s="18" t="str">
        <x:f>IF(A37="","",IF(OR(E37="",F37="",O37="",P37="D - Faible"),"Donnees manquantes","OK"))</x:f>
      </x:c>
    </x:row>
    <x:row r="38">
      <x:c r="A38" s="18"/>
      <x:c r="B38" s="18"/>
      <x:c r="C38" s="18"/>
      <x:c r="D38" s="18"/>
      <x:c r="E38" s="22"/>
      <x:c r="F38" s="22"/>
      <x:c r="G38" s="22"/>
      <x:c r="H38" s="22"/>
      <x:c r="I38" s="22"/>
      <x:c r="J38" s="22"/>
      <x:c r="K38" s="20" t="str">
        <x:f>IF(A38="","",IFERROR(F38/E38,""))</x:f>
      </x:c>
      <x:c r="L38" s="20" t="str">
        <x:f>IF(A38="","",IFERROR((G38+H38)/E38,""))</x:f>
      </x:c>
      <x:c r="M38" s="18"/>
      <x:c r="N38" s="28" t="str">
        <x:f>IF(A38="","",IFERROR(I38*SWITCH(M38,"FE-WASTE-CH4-001",0.0009,0)*SWITCH(M38,"FE-WASTE-CH4-001",28,1),0))</x:f>
      </x:c>
      <x:c r="O38" s="18"/>
      <x:c r="P38" s="18"/>
      <x:c r="Q38" s="18" t="str">
        <x:f>IF(A38="","",IF(OR(E38="",F38="",O38="",P38="D - Faible"),"Donnees manquantes","OK"))</x:f>
      </x:c>
    </x:row>
    <x:row r="39">
      <x:c r="A39" s="18"/>
      <x:c r="B39" s="18"/>
      <x:c r="C39" s="18"/>
      <x:c r="D39" s="18"/>
      <x:c r="E39" s="22"/>
      <x:c r="F39" s="22"/>
      <x:c r="G39" s="22"/>
      <x:c r="H39" s="22"/>
      <x:c r="I39" s="22"/>
      <x:c r="J39" s="22"/>
      <x:c r="K39" s="20" t="str">
        <x:f>IF(A39="","",IFERROR(F39/E39,""))</x:f>
      </x:c>
      <x:c r="L39" s="20" t="str">
        <x:f>IF(A39="","",IFERROR((G39+H39)/E39,""))</x:f>
      </x:c>
      <x:c r="M39" s="18"/>
      <x:c r="N39" s="28" t="str">
        <x:f>IF(A39="","",IFERROR(I39*SWITCH(M39,"FE-WASTE-CH4-001",0.0009,0)*SWITCH(M39,"FE-WASTE-CH4-001",28,1),0))</x:f>
      </x:c>
      <x:c r="O39" s="18"/>
      <x:c r="P39" s="18"/>
      <x:c r="Q39" s="18" t="str">
        <x:f>IF(A39="","",IF(OR(E39="",F39="",O39="",P39="D - Faible"),"Donnees manquantes","OK"))</x:f>
      </x:c>
    </x:row>
    <x:row r="40">
      <x:c r="A40" s="18"/>
      <x:c r="B40" s="18"/>
      <x:c r="C40" s="18"/>
      <x:c r="D40" s="18"/>
      <x:c r="E40" s="22"/>
      <x:c r="F40" s="22"/>
      <x:c r="G40" s="22"/>
      <x:c r="H40" s="22"/>
      <x:c r="I40" s="22"/>
      <x:c r="J40" s="22"/>
      <x:c r="K40" s="20" t="str">
        <x:f>IF(A40="","",IFERROR(F40/E40,""))</x:f>
      </x:c>
      <x:c r="L40" s="20" t="str">
        <x:f>IF(A40="","",IFERROR((G40+H40)/E40,""))</x:f>
      </x:c>
      <x:c r="M40" s="18"/>
      <x:c r="N40" s="28" t="str">
        <x:f>IF(A40="","",IFERROR(I40*SWITCH(M40,"FE-WASTE-CH4-001",0.0009,0)*SWITCH(M40,"FE-WASTE-CH4-001",28,1),0))</x:f>
      </x:c>
      <x:c r="O40" s="18"/>
      <x:c r="P40" s="18"/>
      <x:c r="Q40" s="18" t="str">
        <x:f>IF(A40="","",IF(OR(E40="",F40="",O40="",P40="D - Faible"),"Donnees manquantes","OK"))</x:f>
      </x:c>
    </x:row>
    <x:row r="41">
      <x:c r="A41" s="18"/>
      <x:c r="B41" s="18"/>
      <x:c r="C41" s="18"/>
      <x:c r="D41" s="18"/>
      <x:c r="E41" s="22"/>
      <x:c r="F41" s="22"/>
      <x:c r="G41" s="22"/>
      <x:c r="H41" s="22"/>
      <x:c r="I41" s="22"/>
      <x:c r="J41" s="22"/>
      <x:c r="K41" s="20" t="str">
        <x:f>IF(A41="","",IFERROR(F41/E41,""))</x:f>
      </x:c>
      <x:c r="L41" s="20" t="str">
        <x:f>IF(A41="","",IFERROR((G41+H41)/E41,""))</x:f>
      </x:c>
      <x:c r="M41" s="18"/>
      <x:c r="N41" s="28" t="str">
        <x:f>IF(A41="","",IFERROR(I41*SWITCH(M41,"FE-WASTE-CH4-001",0.0009,0)*SWITCH(M41,"FE-WASTE-CH4-001",28,1),0))</x:f>
      </x:c>
      <x:c r="O41" s="18"/>
      <x:c r="P41" s="18"/>
      <x:c r="Q41" s="18" t="str">
        <x:f>IF(A41="","",IF(OR(E41="",F41="",O41="",P41="D - Faible"),"Donnees manquantes","OK"))</x:f>
      </x:c>
    </x:row>
    <x:row r="42">
      <x:c r="A42" s="18"/>
      <x:c r="B42" s="18"/>
      <x:c r="C42" s="18"/>
      <x:c r="D42" s="18"/>
      <x:c r="E42" s="22"/>
      <x:c r="F42" s="22"/>
      <x:c r="G42" s="22"/>
      <x:c r="H42" s="22"/>
      <x:c r="I42" s="22"/>
      <x:c r="J42" s="22"/>
      <x:c r="K42" s="20" t="str">
        <x:f>IF(A42="","",IFERROR(F42/E42,""))</x:f>
      </x:c>
      <x:c r="L42" s="20" t="str">
        <x:f>IF(A42="","",IFERROR((G42+H42)/E42,""))</x:f>
      </x:c>
      <x:c r="M42" s="18"/>
      <x:c r="N42" s="28" t="str">
        <x:f>IF(A42="","",IFERROR(I42*SWITCH(M42,"FE-WASTE-CH4-001",0.0009,0)*SWITCH(M42,"FE-WASTE-CH4-001",28,1),0))</x:f>
      </x:c>
      <x:c r="O42" s="18"/>
      <x:c r="P42" s="18"/>
      <x:c r="Q42" s="18" t="str">
        <x:f>IF(A42="","",IF(OR(E42="",F42="",O42="",P42="D - Faible"),"Donnees manquantes","OK"))</x:f>
      </x:c>
    </x:row>
    <x:row r="43">
      <x:c r="A43" s="18"/>
      <x:c r="B43" s="18"/>
      <x:c r="C43" s="18"/>
      <x:c r="D43" s="18"/>
      <x:c r="E43" s="22"/>
      <x:c r="F43" s="22"/>
      <x:c r="G43" s="22"/>
      <x:c r="H43" s="22"/>
      <x:c r="I43" s="22"/>
      <x:c r="J43" s="22"/>
      <x:c r="K43" s="20" t="str">
        <x:f>IF(A43="","",IFERROR(F43/E43,""))</x:f>
      </x:c>
      <x:c r="L43" s="20" t="str">
        <x:f>IF(A43="","",IFERROR((G43+H43)/E43,""))</x:f>
      </x:c>
      <x:c r="M43" s="18"/>
      <x:c r="N43" s="28" t="str">
        <x:f>IF(A43="","",IFERROR(I43*SWITCH(M43,"FE-WASTE-CH4-001",0.0009,0)*SWITCH(M43,"FE-WASTE-CH4-001",28,1),0))</x:f>
      </x:c>
      <x:c r="O43" s="18"/>
      <x:c r="P43" s="18"/>
      <x:c r="Q43" s="18" t="str">
        <x:f>IF(A43="","",IF(OR(E43="",F43="",O43="",P43="D - Faible"),"Donnees manquantes","OK"))</x:f>
      </x:c>
    </x:row>
    <x:row r="44">
      <x:c r="A44" s="18"/>
      <x:c r="B44" s="18"/>
      <x:c r="C44" s="18"/>
      <x:c r="D44" s="18"/>
      <x:c r="E44" s="22"/>
      <x:c r="F44" s="22"/>
      <x:c r="G44" s="22"/>
      <x:c r="H44" s="22"/>
      <x:c r="I44" s="22"/>
      <x:c r="J44" s="22"/>
      <x:c r="K44" s="20" t="str">
        <x:f>IF(A44="","",IFERROR(F44/E44,""))</x:f>
      </x:c>
      <x:c r="L44" s="20" t="str">
        <x:f>IF(A44="","",IFERROR((G44+H44)/E44,""))</x:f>
      </x:c>
      <x:c r="M44" s="18"/>
      <x:c r="N44" s="28" t="str">
        <x:f>IF(A44="","",IFERROR(I44*SWITCH(M44,"FE-WASTE-CH4-001",0.0009,0)*SWITCH(M44,"FE-WASTE-CH4-001",28,1),0))</x:f>
      </x:c>
      <x:c r="O44" s="18"/>
      <x:c r="P44" s="18"/>
      <x:c r="Q44" s="18" t="str">
        <x:f>IF(A44="","",IF(OR(E44="",F44="",O44="",P44="D - Faible"),"Donnees manquantes","OK"))</x:f>
      </x:c>
    </x:row>
  </x:sheetData>
  <x:mergeCells>
    <x:mergeCell ref="A1:J1"/>
    <x:mergeCell ref="A2:J2"/>
  </x:mergeCells>
  <x:conditionalFormatting sqref="Q5:Q44">
    <x:cfRule type="containsText" dxfId="48" priority="1" operator="containsText" text="Retard"/>
    <x:cfRule type="containsText" dxfId="49" priority="2" operator="containsText" text="critique"/>
    <x:cfRule type="containsText" dxfId="50" priority="3" operator="containsText" text="manquant"/>
    <x:cfRule type="containsText" dxfId="5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D5:D44">
      <x:formula1>"Plateau,Medina,Grand Dakar,Hann Bel-Air,Parcelles Assainies,Yoff,Ouakam,Ngor,Point E,Fann,Dakar - Ensemble ville"</x:formula1>
    </x:dataValidation>
    <x:dataValidation type="list" errorStyle="warning" showInputMessage="1" showErrorMessage="1" errorTitle="Valeur inattendue" error="Cette colonne utilise une liste controlee." promptTitle="Liste controlee" prompt="Choisir une valeur dans la liste." sqref="P5:P44">
      <x:formula1>"A - Verifiee,B - Bonne,C - Estimee,D - Faible,A confirmer"</x:formula1>
    </x:dataValidation>
  </x:dataValidations>
  <x:pageMargins left="0.7" right="0.7" top="0.75" bottom="0.75" header="0.3" footer="0.3"/>
  <x:tableParts count="1">
    <x:tablePart xmlns:r="http://schemas.openxmlformats.org/officeDocument/2006/relationships" r:id="R03bc4a98e5e8494e"/>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27.5" hidden="0" customWidth="1"/>
    <x:col min="3" max="3" width="16.25" hidden="0" customWidth="1"/>
    <x:col min="4" max="4" width="18.75" hidden="0" customWidth="1"/>
    <x:col min="5" max="5" width="21.25" hidden="0" customWidth="1"/>
    <x:col min="6" max="6" width="23.75" hidden="0" customWidth="1"/>
    <x:col min="7" max="7" width="15" hidden="0" customWidth="1"/>
    <x:col min="8" max="8" width="27.5" hidden="0" customWidth="1"/>
    <x:col min="9" max="9" width="16.8799991607666" hidden="0" customWidth="1"/>
    <x:col min="10" max="10" width="18.1299991607666" hidden="0" customWidth="1"/>
    <x:col min="11" max="11" width="21.25" hidden="0" customWidth="1"/>
    <x:col min="12" max="12" width="18.75" hidden="0" customWidth="1"/>
    <x:col min="13" max="13" width="14.380000114440918" hidden="0" customWidth="1"/>
    <x:col min="14" max="14" width="27.5" hidden="0" customWidth="1"/>
    <x:col min="15" max="15" width="27.5" hidden="0" customWidth="1"/>
    <x:col min="16" max="16" width="18.1299991607666" hidden="0" customWidth="1"/>
  </x:cols>
  <x:sheetData>
    <x:row r="1" ht="25.5" customHeight="1">
      <x:c r="A1" s="2" t="str">
        <x:v>Parties prenantes</x:v>
      </x:c>
      <x:c r="B1" s="2"/>
      <x:c r="C1" s="2"/>
      <x:c r="D1" s="2"/>
      <x:c r="E1" s="2"/>
      <x:c r="F1" s="2"/>
      <x:c r="G1" s="2"/>
      <x:c r="H1" s="2"/>
      <x:c r="I1" s="2"/>
      <x:c r="J1" s="2"/>
    </x:row>
    <x:row r="2" ht="31.5" customHeight="1">
      <x:c r="A2" s="5" t="str">
        <x:v>Registre des acteurs, responsabilites, engagement et coordination.</x:v>
      </x:c>
      <x:c r="B2" s="5"/>
      <x:c r="C2" s="5"/>
      <x:c r="D2" s="5"/>
      <x:c r="E2" s="5"/>
      <x:c r="F2" s="5"/>
      <x:c r="G2" s="5"/>
      <x:c r="H2" s="5"/>
      <x:c r="I2" s="5"/>
      <x:c r="J2" s="5"/>
    </x:row>
    <x:row r="4" ht="28.5" customHeight="1">
      <x:c r="A4" s="16" t="str">
        <x:v>Stakeholder_ID</x:v>
      </x:c>
      <x:c r="B4" s="16" t="str">
        <x:v>Organisation</x:v>
      </x:c>
      <x:c r="C4" s="16" t="str">
        <x:v>Type</x:v>
      </x:c>
      <x:c r="D4" s="16" t="str">
        <x:v>Contact</x:v>
      </x:c>
      <x:c r="E4" s="16" t="str">
        <x:v>Fonction</x:v>
      </x:c>
      <x:c r="F4" s="16" t="str">
        <x:v>Email_Tel</x:v>
      </x:c>
      <x:c r="G4" s="16" t="str">
        <x:v>Domaine</x:v>
      </x:c>
      <x:c r="H4" s="16" t="str">
        <x:v>Role_MRV</x:v>
      </x:c>
      <x:c r="I4" s="16" t="str">
        <x:v>Niveau_influence</x:v>
      </x:c>
      <x:c r="J4" s="16" t="str">
        <x:v>Niveau_engagement</x:v>
      </x:c>
      <x:c r="K4" s="16" t="str">
        <x:v>Projets_lies</x:v>
      </x:c>
      <x:c r="L4" s="16" t="str">
        <x:v>Frequence_coordination</x:v>
      </x:c>
      <x:c r="M4" s="16" t="str">
        <x:v>Derniere_reunion</x:v>
      </x:c>
      <x:c r="N4" s="16" t="str">
        <x:v>Prochaine_action</x:v>
      </x:c>
      <x:c r="O4" s="16" t="str">
        <x:v>Commentaires</x:v>
      </x:c>
      <x:c r="P4" s="16" t="str">
        <x:v>Alerte_engagement</x:v>
      </x:c>
    </x:row>
    <x:row r="5">
      <x:c r="A5" s="18" t="str">
        <x:v>STK-001</x:v>
      </x:c>
      <x:c r="B5" s="18" t="str">
        <x:v>Direction Environnement</x:v>
      </x:c>
      <x:c r="C5" s="18" t="str">
        <x:v>Municipalite</x:v>
      </x:c>
      <x:c r="D5" s="18" t="str">
        <x:v>A renseigner</x:v>
      </x:c>
      <x:c r="E5" s="18" t="str">
        <x:v>Point focal climat</x:v>
      </x:c>
      <x:c r="F5" s="18" t="str">
        <x:v>contact@villededakar.sn</x:v>
      </x:c>
      <x:c r="G5" s="18" t="str">
        <x:v>Reporting</x:v>
      </x:c>
      <x:c r="H5" s="18" t="str">
        <x:v>Coordination MRV</x:v>
      </x:c>
      <x:c r="I5" s="18" t="str">
        <x:v>Strategique</x:v>
      </x:c>
      <x:c r="J5" s="18" t="str">
        <x:v>Eleve</x:v>
      </x:c>
      <x:c r="K5" s="18" t="str">
        <x:v>Tous</x:v>
      </x:c>
      <x:c r="L5" s="18" t="str">
        <x:v>Mensuelle</x:v>
      </x:c>
      <x:c r="M5" s="19" t="n">
        <x:v>46152</x:v>
      </x:c>
      <x:c r="N5" s="18" t="str">
        <x:v>Valider planning reporting</x:v>
      </x:c>
      <x:c r="O5" s="18" t="str"/>
      <x:c r="P5" s="18" t="str">
        <x:f>IF(A5="","",IF(OR(J5="Faible",N5=""),"Engagement a renforcer","OK"))</x:f>
        <x:v>OK</x:v>
      </x:c>
    </x:row>
    <x:row r="6">
      <x:c r="A6" s="18" t="str">
        <x:v>STK-002</x:v>
      </x:c>
      <x:c r="B6" s="18" t="str">
        <x:v>Direction Energie</x:v>
      </x:c>
      <x:c r="C6" s="18" t="str">
        <x:v>Municipalite</x:v>
      </x:c>
      <x:c r="D6" s="18" t="str">
        <x:v>A renseigner</x:v>
      </x:c>
      <x:c r="E6" s="18" t="str">
        <x:v>Responsable energie</x:v>
      </x:c>
      <x:c r="F6" s="18" t="str">
        <x:v>energie@villededakar.sn</x:v>
      </x:c>
      <x:c r="G6" s="18" t="str">
        <x:v>Energie</x:v>
      </x:c>
      <x:c r="H6" s="18" t="str">
        <x:v>Fourniture donnees energie</x:v>
      </x:c>
      <x:c r="I6" s="18" t="str">
        <x:v>Eleve</x:v>
      </x:c>
      <x:c r="J6" s="18" t="str">
        <x:v>Eleve</x:v>
      </x:c>
      <x:c r="K6" s="18" t="str">
        <x:v>PRJ-001; PRJ-006</x:v>
      </x:c>
      <x:c r="L6" s="18" t="str">
        <x:v>Mensuelle</x:v>
      </x:c>
      <x:c r="M6" s="19" t="n">
        <x:v>46154</x:v>
      </x:c>
      <x:c r="N6" s="18" t="str">
        <x:v>Actualiser factures energie</x:v>
      </x:c>
      <x:c r="O6" s="18" t="str"/>
      <x:c r="P6" s="18" t="str">
        <x:f>IF(A6="","",IF(OR(J6="Faible",N6=""),"Engagement a renforcer","OK"))</x:f>
        <x:v>OK</x:v>
      </x:c>
    </x:row>
    <x:row r="7">
      <x:c r="A7" s="18" t="str">
        <x:v>STK-003</x:v>
      </x:c>
      <x:c r="B7" s="18" t="str">
        <x:v>Direction Mobilite</x:v>
      </x:c>
      <x:c r="C7" s="18" t="str">
        <x:v>Municipalite</x:v>
      </x:c>
      <x:c r="D7" s="18" t="str">
        <x:v>A renseigner</x:v>
      </x:c>
      <x:c r="E7" s="18" t="str">
        <x:v>Responsable mobilite</x:v>
      </x:c>
      <x:c r="F7" s="18" t="str">
        <x:v>mobilite@villededakar.sn</x:v>
      </x:c>
      <x:c r="G7" s="18" t="str">
        <x:v>Mobilite</x:v>
      </x:c>
      <x:c r="H7" s="18" t="str">
        <x:v>Fourniture donnees transport</x:v>
      </x:c>
      <x:c r="I7" s="18" t="str">
        <x:v>Eleve</x:v>
      </x:c>
      <x:c r="J7" s="18" t="str">
        <x:v>Moyen</x:v>
      </x:c>
      <x:c r="K7" s="18" t="str">
        <x:v>PRJ-003</x:v>
      </x:c>
      <x:c r="L7" s="18" t="str">
        <x:v>Trimestrielle</x:v>
      </x:c>
      <x:c r="M7" s="19" t="n">
        <x:v>46112</x:v>
      </x:c>
      <x:c r="N7" s="18" t="str">
        <x:v>Partager donnees T1</x:v>
      </x:c>
      <x:c r="O7" s="18" t="str"/>
      <x:c r="P7" s="18" t="str">
        <x:f>IF(A7="","",IF(OR(J7="Faible",N7=""),"Engagement a renforcer","OK"))</x:f>
        <x:v>OK</x:v>
      </x:c>
    </x:row>
    <x:row r="8">
      <x:c r="A8" s="18"/>
      <x:c r="B8" s="18"/>
      <x:c r="C8" s="18"/>
      <x:c r="D8" s="18"/>
      <x:c r="E8" s="18"/>
      <x:c r="F8" s="18"/>
      <x:c r="G8" s="18"/>
      <x:c r="H8" s="18"/>
      <x:c r="I8" s="18"/>
      <x:c r="J8" s="18"/>
      <x:c r="K8" s="18"/>
      <x:c r="L8" s="18"/>
      <x:c r="M8" s="19"/>
      <x:c r="N8" s="18"/>
      <x:c r="O8" s="18"/>
      <x:c r="P8" s="18" t="str">
        <x:f>IF(A8="","",IF(OR(J8="Faible",N8=""),"Engagement a renforcer","OK"))</x:f>
      </x:c>
    </x:row>
    <x:row r="9">
      <x:c r="A9" s="18"/>
      <x:c r="B9" s="18"/>
      <x:c r="C9" s="18"/>
      <x:c r="D9" s="18"/>
      <x:c r="E9" s="18"/>
      <x:c r="F9" s="18"/>
      <x:c r="G9" s="18"/>
      <x:c r="H9" s="18"/>
      <x:c r="I9" s="18"/>
      <x:c r="J9" s="18"/>
      <x:c r="K9" s="18"/>
      <x:c r="L9" s="18"/>
      <x:c r="M9" s="19"/>
      <x:c r="N9" s="18"/>
      <x:c r="O9" s="18"/>
      <x:c r="P9" s="18" t="str">
        <x:f>IF(A9="","",IF(OR(J9="Faible",N9=""),"Engagement a renforcer","OK"))</x:f>
      </x:c>
    </x:row>
    <x:row r="10">
      <x:c r="A10" s="18"/>
      <x:c r="B10" s="18"/>
      <x:c r="C10" s="18"/>
      <x:c r="D10" s="18"/>
      <x:c r="E10" s="18"/>
      <x:c r="F10" s="18"/>
      <x:c r="G10" s="18"/>
      <x:c r="H10" s="18"/>
      <x:c r="I10" s="18"/>
      <x:c r="J10" s="18"/>
      <x:c r="K10" s="18"/>
      <x:c r="L10" s="18"/>
      <x:c r="M10" s="19"/>
      <x:c r="N10" s="18"/>
      <x:c r="O10" s="18"/>
      <x:c r="P10" s="18" t="str">
        <x:f>IF(A10="","",IF(OR(J10="Faible",N10=""),"Engagement a renforcer","OK"))</x:f>
      </x:c>
    </x:row>
    <x:row r="11">
      <x:c r="A11" s="18"/>
      <x:c r="B11" s="18"/>
      <x:c r="C11" s="18"/>
      <x:c r="D11" s="18"/>
      <x:c r="E11" s="18"/>
      <x:c r="F11" s="18"/>
      <x:c r="G11" s="18"/>
      <x:c r="H11" s="18"/>
      <x:c r="I11" s="18"/>
      <x:c r="J11" s="18"/>
      <x:c r="K11" s="18"/>
      <x:c r="L11" s="18"/>
      <x:c r="M11" s="19"/>
      <x:c r="N11" s="18"/>
      <x:c r="O11" s="18"/>
      <x:c r="P11" s="18" t="str">
        <x:f>IF(A11="","",IF(OR(J11="Faible",N11=""),"Engagement a renforcer","OK"))</x:f>
      </x:c>
    </x:row>
    <x:row r="12">
      <x:c r="A12" s="18"/>
      <x:c r="B12" s="18"/>
      <x:c r="C12" s="18"/>
      <x:c r="D12" s="18"/>
      <x:c r="E12" s="18"/>
      <x:c r="F12" s="18"/>
      <x:c r="G12" s="18"/>
      <x:c r="H12" s="18"/>
      <x:c r="I12" s="18"/>
      <x:c r="J12" s="18"/>
      <x:c r="K12" s="18"/>
      <x:c r="L12" s="18"/>
      <x:c r="M12" s="19"/>
      <x:c r="N12" s="18"/>
      <x:c r="O12" s="18"/>
      <x:c r="P12" s="18" t="str">
        <x:f>IF(A12="","",IF(OR(J12="Faible",N12=""),"Engagement a renforcer","OK"))</x:f>
      </x:c>
    </x:row>
    <x:row r="13">
      <x:c r="A13" s="18"/>
      <x:c r="B13" s="18"/>
      <x:c r="C13" s="18"/>
      <x:c r="D13" s="18"/>
      <x:c r="E13" s="18"/>
      <x:c r="F13" s="18"/>
      <x:c r="G13" s="18"/>
      <x:c r="H13" s="18"/>
      <x:c r="I13" s="18"/>
      <x:c r="J13" s="18"/>
      <x:c r="K13" s="18"/>
      <x:c r="L13" s="18"/>
      <x:c r="M13" s="19"/>
      <x:c r="N13" s="18"/>
      <x:c r="O13" s="18"/>
      <x:c r="P13" s="18" t="str">
        <x:f>IF(A13="","",IF(OR(J13="Faible",N13=""),"Engagement a renforcer","OK"))</x:f>
      </x:c>
    </x:row>
    <x:row r="14">
      <x:c r="A14" s="18"/>
      <x:c r="B14" s="18"/>
      <x:c r="C14" s="18"/>
      <x:c r="D14" s="18"/>
      <x:c r="E14" s="18"/>
      <x:c r="F14" s="18"/>
      <x:c r="G14" s="18"/>
      <x:c r="H14" s="18"/>
      <x:c r="I14" s="18"/>
      <x:c r="J14" s="18"/>
      <x:c r="K14" s="18"/>
      <x:c r="L14" s="18"/>
      <x:c r="M14" s="19"/>
      <x:c r="N14" s="18"/>
      <x:c r="O14" s="18"/>
      <x:c r="P14" s="18" t="str">
        <x:f>IF(A14="","",IF(OR(J14="Faible",N14=""),"Engagement a renforcer","OK"))</x:f>
      </x:c>
    </x:row>
    <x:row r="15">
      <x:c r="A15" s="18"/>
      <x:c r="B15" s="18"/>
      <x:c r="C15" s="18"/>
      <x:c r="D15" s="18"/>
      <x:c r="E15" s="18"/>
      <x:c r="F15" s="18"/>
      <x:c r="G15" s="18"/>
      <x:c r="H15" s="18"/>
      <x:c r="I15" s="18"/>
      <x:c r="J15" s="18"/>
      <x:c r="K15" s="18"/>
      <x:c r="L15" s="18"/>
      <x:c r="M15" s="19"/>
      <x:c r="N15" s="18"/>
      <x:c r="O15" s="18"/>
      <x:c r="P15" s="18" t="str">
        <x:f>IF(A15="","",IF(OR(J15="Faible",N15=""),"Engagement a renforcer","OK"))</x:f>
      </x:c>
    </x:row>
    <x:row r="16">
      <x:c r="A16" s="18"/>
      <x:c r="B16" s="18"/>
      <x:c r="C16" s="18"/>
      <x:c r="D16" s="18"/>
      <x:c r="E16" s="18"/>
      <x:c r="F16" s="18"/>
      <x:c r="G16" s="18"/>
      <x:c r="H16" s="18"/>
      <x:c r="I16" s="18"/>
      <x:c r="J16" s="18"/>
      <x:c r="K16" s="18"/>
      <x:c r="L16" s="18"/>
      <x:c r="M16" s="19"/>
      <x:c r="N16" s="18"/>
      <x:c r="O16" s="18"/>
      <x:c r="P16" s="18" t="str">
        <x:f>IF(A16="","",IF(OR(J16="Faible",N16=""),"Engagement a renforcer","OK"))</x:f>
      </x:c>
    </x:row>
    <x:row r="17">
      <x:c r="A17" s="18"/>
      <x:c r="B17" s="18"/>
      <x:c r="C17" s="18"/>
      <x:c r="D17" s="18"/>
      <x:c r="E17" s="18"/>
      <x:c r="F17" s="18"/>
      <x:c r="G17" s="18"/>
      <x:c r="H17" s="18"/>
      <x:c r="I17" s="18"/>
      <x:c r="J17" s="18"/>
      <x:c r="K17" s="18"/>
      <x:c r="L17" s="18"/>
      <x:c r="M17" s="19"/>
      <x:c r="N17" s="18"/>
      <x:c r="O17" s="18"/>
      <x:c r="P17" s="18" t="str">
        <x:f>IF(A17="","",IF(OR(J17="Faible",N17=""),"Engagement a renforcer","OK"))</x:f>
      </x:c>
    </x:row>
    <x:row r="18">
      <x:c r="A18" s="18"/>
      <x:c r="B18" s="18"/>
      <x:c r="C18" s="18"/>
      <x:c r="D18" s="18"/>
      <x:c r="E18" s="18"/>
      <x:c r="F18" s="18"/>
      <x:c r="G18" s="18"/>
      <x:c r="H18" s="18"/>
      <x:c r="I18" s="18"/>
      <x:c r="J18" s="18"/>
      <x:c r="K18" s="18"/>
      <x:c r="L18" s="18"/>
      <x:c r="M18" s="19"/>
      <x:c r="N18" s="18"/>
      <x:c r="O18" s="18"/>
      <x:c r="P18" s="18" t="str">
        <x:f>IF(A18="","",IF(OR(J18="Faible",N18=""),"Engagement a renforcer","OK"))</x:f>
      </x:c>
    </x:row>
    <x:row r="19">
      <x:c r="A19" s="18"/>
      <x:c r="B19" s="18"/>
      <x:c r="C19" s="18"/>
      <x:c r="D19" s="18"/>
      <x:c r="E19" s="18"/>
      <x:c r="F19" s="18"/>
      <x:c r="G19" s="18"/>
      <x:c r="H19" s="18"/>
      <x:c r="I19" s="18"/>
      <x:c r="J19" s="18"/>
      <x:c r="K19" s="18"/>
      <x:c r="L19" s="18"/>
      <x:c r="M19" s="19"/>
      <x:c r="N19" s="18"/>
      <x:c r="O19" s="18"/>
      <x:c r="P19" s="18" t="str">
        <x:f>IF(A19="","",IF(OR(J19="Faible",N19=""),"Engagement a renforcer","OK"))</x:f>
      </x:c>
    </x:row>
    <x:row r="20">
      <x:c r="A20" s="18"/>
      <x:c r="B20" s="18"/>
      <x:c r="C20" s="18"/>
      <x:c r="D20" s="18"/>
      <x:c r="E20" s="18"/>
      <x:c r="F20" s="18"/>
      <x:c r="G20" s="18"/>
      <x:c r="H20" s="18"/>
      <x:c r="I20" s="18"/>
      <x:c r="J20" s="18"/>
      <x:c r="K20" s="18"/>
      <x:c r="L20" s="18"/>
      <x:c r="M20" s="19"/>
      <x:c r="N20" s="18"/>
      <x:c r="O20" s="18"/>
      <x:c r="P20" s="18" t="str">
        <x:f>IF(A20="","",IF(OR(J20="Faible",N20=""),"Engagement a renforcer","OK"))</x:f>
      </x:c>
    </x:row>
    <x:row r="21">
      <x:c r="A21" s="18"/>
      <x:c r="B21" s="18"/>
      <x:c r="C21" s="18"/>
      <x:c r="D21" s="18"/>
      <x:c r="E21" s="18"/>
      <x:c r="F21" s="18"/>
      <x:c r="G21" s="18"/>
      <x:c r="H21" s="18"/>
      <x:c r="I21" s="18"/>
      <x:c r="J21" s="18"/>
      <x:c r="K21" s="18"/>
      <x:c r="L21" s="18"/>
      <x:c r="M21" s="19"/>
      <x:c r="N21" s="18"/>
      <x:c r="O21" s="18"/>
      <x:c r="P21" s="18" t="str">
        <x:f>IF(A21="","",IF(OR(J21="Faible",N21=""),"Engagement a renforcer","OK"))</x:f>
      </x:c>
    </x:row>
    <x:row r="22">
      <x:c r="A22" s="18"/>
      <x:c r="B22" s="18"/>
      <x:c r="C22" s="18"/>
      <x:c r="D22" s="18"/>
      <x:c r="E22" s="18"/>
      <x:c r="F22" s="18"/>
      <x:c r="G22" s="18"/>
      <x:c r="H22" s="18"/>
      <x:c r="I22" s="18"/>
      <x:c r="J22" s="18"/>
      <x:c r="K22" s="18"/>
      <x:c r="L22" s="18"/>
      <x:c r="M22" s="19"/>
      <x:c r="N22" s="18"/>
      <x:c r="O22" s="18"/>
      <x:c r="P22" s="18" t="str">
        <x:f>IF(A22="","",IF(OR(J22="Faible",N22=""),"Engagement a renforcer","OK"))</x:f>
      </x:c>
    </x:row>
    <x:row r="23">
      <x:c r="A23" s="18"/>
      <x:c r="B23" s="18"/>
      <x:c r="C23" s="18"/>
      <x:c r="D23" s="18"/>
      <x:c r="E23" s="18"/>
      <x:c r="F23" s="18"/>
      <x:c r="G23" s="18"/>
      <x:c r="H23" s="18"/>
      <x:c r="I23" s="18"/>
      <x:c r="J23" s="18"/>
      <x:c r="K23" s="18"/>
      <x:c r="L23" s="18"/>
      <x:c r="M23" s="19"/>
      <x:c r="N23" s="18"/>
      <x:c r="O23" s="18"/>
      <x:c r="P23" s="18" t="str">
        <x:f>IF(A23="","",IF(OR(J23="Faible",N23=""),"Engagement a renforcer","OK"))</x:f>
      </x:c>
    </x:row>
    <x:row r="24">
      <x:c r="A24" s="18"/>
      <x:c r="B24" s="18"/>
      <x:c r="C24" s="18"/>
      <x:c r="D24" s="18"/>
      <x:c r="E24" s="18"/>
      <x:c r="F24" s="18"/>
      <x:c r="G24" s="18"/>
      <x:c r="H24" s="18"/>
      <x:c r="I24" s="18"/>
      <x:c r="J24" s="18"/>
      <x:c r="K24" s="18"/>
      <x:c r="L24" s="18"/>
      <x:c r="M24" s="19"/>
      <x:c r="N24" s="18"/>
      <x:c r="O24" s="18"/>
      <x:c r="P24" s="18" t="str">
        <x:f>IF(A24="","",IF(OR(J24="Faible",N24=""),"Engagement a renforcer","OK"))</x:f>
      </x:c>
    </x:row>
    <x:row r="25">
      <x:c r="A25" s="18"/>
      <x:c r="B25" s="18"/>
      <x:c r="C25" s="18"/>
      <x:c r="D25" s="18"/>
      <x:c r="E25" s="18"/>
      <x:c r="F25" s="18"/>
      <x:c r="G25" s="18"/>
      <x:c r="H25" s="18"/>
      <x:c r="I25" s="18"/>
      <x:c r="J25" s="18"/>
      <x:c r="K25" s="18"/>
      <x:c r="L25" s="18"/>
      <x:c r="M25" s="19"/>
      <x:c r="N25" s="18"/>
      <x:c r="O25" s="18"/>
      <x:c r="P25" s="18" t="str">
        <x:f>IF(A25="","",IF(OR(J25="Faible",N25=""),"Engagement a renforcer","OK"))</x:f>
      </x:c>
    </x:row>
    <x:row r="26">
      <x:c r="A26" s="18"/>
      <x:c r="B26" s="18"/>
      <x:c r="C26" s="18"/>
      <x:c r="D26" s="18"/>
      <x:c r="E26" s="18"/>
      <x:c r="F26" s="18"/>
      <x:c r="G26" s="18"/>
      <x:c r="H26" s="18"/>
      <x:c r="I26" s="18"/>
      <x:c r="J26" s="18"/>
      <x:c r="K26" s="18"/>
      <x:c r="L26" s="18"/>
      <x:c r="M26" s="19"/>
      <x:c r="N26" s="18"/>
      <x:c r="O26" s="18"/>
      <x:c r="P26" s="18" t="str">
        <x:f>IF(A26="","",IF(OR(J26="Faible",N26=""),"Engagement a renforcer","OK"))</x:f>
      </x:c>
    </x:row>
    <x:row r="27">
      <x:c r="A27" s="18"/>
      <x:c r="B27" s="18"/>
      <x:c r="C27" s="18"/>
      <x:c r="D27" s="18"/>
      <x:c r="E27" s="18"/>
      <x:c r="F27" s="18"/>
      <x:c r="G27" s="18"/>
      <x:c r="H27" s="18"/>
      <x:c r="I27" s="18"/>
      <x:c r="J27" s="18"/>
      <x:c r="K27" s="18"/>
      <x:c r="L27" s="18"/>
      <x:c r="M27" s="19"/>
      <x:c r="N27" s="18"/>
      <x:c r="O27" s="18"/>
      <x:c r="P27" s="18" t="str">
        <x:f>IF(A27="","",IF(OR(J27="Faible",N27=""),"Engagement a renforcer","OK"))</x:f>
      </x:c>
    </x:row>
    <x:row r="28">
      <x:c r="A28" s="18"/>
      <x:c r="B28" s="18"/>
      <x:c r="C28" s="18"/>
      <x:c r="D28" s="18"/>
      <x:c r="E28" s="18"/>
      <x:c r="F28" s="18"/>
      <x:c r="G28" s="18"/>
      <x:c r="H28" s="18"/>
      <x:c r="I28" s="18"/>
      <x:c r="J28" s="18"/>
      <x:c r="K28" s="18"/>
      <x:c r="L28" s="18"/>
      <x:c r="M28" s="19"/>
      <x:c r="N28" s="18"/>
      <x:c r="O28" s="18"/>
      <x:c r="P28" s="18" t="str">
        <x:f>IF(A28="","",IF(OR(J28="Faible",N28=""),"Engagement a renforcer","OK"))</x:f>
      </x:c>
    </x:row>
    <x:row r="29">
      <x:c r="A29" s="18"/>
      <x:c r="B29" s="18"/>
      <x:c r="C29" s="18"/>
      <x:c r="D29" s="18"/>
      <x:c r="E29" s="18"/>
      <x:c r="F29" s="18"/>
      <x:c r="G29" s="18"/>
      <x:c r="H29" s="18"/>
      <x:c r="I29" s="18"/>
      <x:c r="J29" s="18"/>
      <x:c r="K29" s="18"/>
      <x:c r="L29" s="18"/>
      <x:c r="M29" s="19"/>
      <x:c r="N29" s="18"/>
      <x:c r="O29" s="18"/>
      <x:c r="P29" s="18" t="str">
        <x:f>IF(A29="","",IF(OR(J29="Faible",N29=""),"Engagement a renforcer","OK"))</x:f>
      </x:c>
    </x:row>
    <x:row r="30">
      <x:c r="A30" s="18"/>
      <x:c r="B30" s="18"/>
      <x:c r="C30" s="18"/>
      <x:c r="D30" s="18"/>
      <x:c r="E30" s="18"/>
      <x:c r="F30" s="18"/>
      <x:c r="G30" s="18"/>
      <x:c r="H30" s="18"/>
      <x:c r="I30" s="18"/>
      <x:c r="J30" s="18"/>
      <x:c r="K30" s="18"/>
      <x:c r="L30" s="18"/>
      <x:c r="M30" s="19"/>
      <x:c r="N30" s="18"/>
      <x:c r="O30" s="18"/>
      <x:c r="P30" s="18" t="str">
        <x:f>IF(A30="","",IF(OR(J30="Faible",N30=""),"Engagement a renforcer","OK"))</x:f>
      </x:c>
    </x:row>
    <x:row r="31">
      <x:c r="A31" s="18"/>
      <x:c r="B31" s="18"/>
      <x:c r="C31" s="18"/>
      <x:c r="D31" s="18"/>
      <x:c r="E31" s="18"/>
      <x:c r="F31" s="18"/>
      <x:c r="G31" s="18"/>
      <x:c r="H31" s="18"/>
      <x:c r="I31" s="18"/>
      <x:c r="J31" s="18"/>
      <x:c r="K31" s="18"/>
      <x:c r="L31" s="18"/>
      <x:c r="M31" s="19"/>
      <x:c r="N31" s="18"/>
      <x:c r="O31" s="18"/>
      <x:c r="P31" s="18" t="str">
        <x:f>IF(A31="","",IF(OR(J31="Faible",N31=""),"Engagement a renforcer","OK"))</x:f>
      </x:c>
    </x:row>
    <x:row r="32">
      <x:c r="A32" s="18"/>
      <x:c r="B32" s="18"/>
      <x:c r="C32" s="18"/>
      <x:c r="D32" s="18"/>
      <x:c r="E32" s="18"/>
      <x:c r="F32" s="18"/>
      <x:c r="G32" s="18"/>
      <x:c r="H32" s="18"/>
      <x:c r="I32" s="18"/>
      <x:c r="J32" s="18"/>
      <x:c r="K32" s="18"/>
      <x:c r="L32" s="18"/>
      <x:c r="M32" s="19"/>
      <x:c r="N32" s="18"/>
      <x:c r="O32" s="18"/>
      <x:c r="P32" s="18" t="str">
        <x:f>IF(A32="","",IF(OR(J32="Faible",N32=""),"Engagement a renforcer","OK"))</x:f>
      </x:c>
    </x:row>
    <x:row r="33">
      <x:c r="A33" s="18"/>
      <x:c r="B33" s="18"/>
      <x:c r="C33" s="18"/>
      <x:c r="D33" s="18"/>
      <x:c r="E33" s="18"/>
      <x:c r="F33" s="18"/>
      <x:c r="G33" s="18"/>
      <x:c r="H33" s="18"/>
      <x:c r="I33" s="18"/>
      <x:c r="J33" s="18"/>
      <x:c r="K33" s="18"/>
      <x:c r="L33" s="18"/>
      <x:c r="M33" s="19"/>
      <x:c r="N33" s="18"/>
      <x:c r="O33" s="18"/>
      <x:c r="P33" s="18" t="str">
        <x:f>IF(A33="","",IF(OR(J33="Faible",N33=""),"Engagement a renforcer","OK"))</x:f>
      </x:c>
    </x:row>
    <x:row r="34">
      <x:c r="A34" s="18"/>
      <x:c r="B34" s="18"/>
      <x:c r="C34" s="18"/>
      <x:c r="D34" s="18"/>
      <x:c r="E34" s="18"/>
      <x:c r="F34" s="18"/>
      <x:c r="G34" s="18"/>
      <x:c r="H34" s="18"/>
      <x:c r="I34" s="18"/>
      <x:c r="J34" s="18"/>
      <x:c r="K34" s="18"/>
      <x:c r="L34" s="18"/>
      <x:c r="M34" s="19"/>
      <x:c r="N34" s="18"/>
      <x:c r="O34" s="18"/>
      <x:c r="P34" s="18" t="str">
        <x:f>IF(A34="","",IF(OR(J34="Faible",N34=""),"Engagement a renforcer","OK"))</x:f>
      </x:c>
    </x:row>
    <x:row r="35">
      <x:c r="A35" s="18"/>
      <x:c r="B35" s="18"/>
      <x:c r="C35" s="18"/>
      <x:c r="D35" s="18"/>
      <x:c r="E35" s="18"/>
      <x:c r="F35" s="18"/>
      <x:c r="G35" s="18"/>
      <x:c r="H35" s="18"/>
      <x:c r="I35" s="18"/>
      <x:c r="J35" s="18"/>
      <x:c r="K35" s="18"/>
      <x:c r="L35" s="18"/>
      <x:c r="M35" s="19"/>
      <x:c r="N35" s="18"/>
      <x:c r="O35" s="18"/>
      <x:c r="P35" s="18" t="str">
        <x:f>IF(A35="","",IF(OR(J35="Faible",N35=""),"Engagement a renforcer","OK"))</x:f>
      </x:c>
    </x:row>
    <x:row r="36">
      <x:c r="A36" s="18"/>
      <x:c r="B36" s="18"/>
      <x:c r="C36" s="18"/>
      <x:c r="D36" s="18"/>
      <x:c r="E36" s="18"/>
      <x:c r="F36" s="18"/>
      <x:c r="G36" s="18"/>
      <x:c r="H36" s="18"/>
      <x:c r="I36" s="18"/>
      <x:c r="J36" s="18"/>
      <x:c r="K36" s="18"/>
      <x:c r="L36" s="18"/>
      <x:c r="M36" s="19"/>
      <x:c r="N36" s="18"/>
      <x:c r="O36" s="18"/>
      <x:c r="P36" s="18" t="str">
        <x:f>IF(A36="","",IF(OR(J36="Faible",N36=""),"Engagement a renforcer","OK"))</x:f>
      </x:c>
    </x:row>
    <x:row r="37">
      <x:c r="A37" s="18"/>
      <x:c r="B37" s="18"/>
      <x:c r="C37" s="18"/>
      <x:c r="D37" s="18"/>
      <x:c r="E37" s="18"/>
      <x:c r="F37" s="18"/>
      <x:c r="G37" s="18"/>
      <x:c r="H37" s="18"/>
      <x:c r="I37" s="18"/>
      <x:c r="J37" s="18"/>
      <x:c r="K37" s="18"/>
      <x:c r="L37" s="18"/>
      <x:c r="M37" s="19"/>
      <x:c r="N37" s="18"/>
      <x:c r="O37" s="18"/>
      <x:c r="P37" s="18" t="str">
        <x:f>IF(A37="","",IF(OR(J37="Faible",N37=""),"Engagement a renforcer","OK"))</x:f>
      </x:c>
    </x:row>
    <x:row r="38">
      <x:c r="A38" s="18"/>
      <x:c r="B38" s="18"/>
      <x:c r="C38" s="18"/>
      <x:c r="D38" s="18"/>
      <x:c r="E38" s="18"/>
      <x:c r="F38" s="18"/>
      <x:c r="G38" s="18"/>
      <x:c r="H38" s="18"/>
      <x:c r="I38" s="18"/>
      <x:c r="J38" s="18"/>
      <x:c r="K38" s="18"/>
      <x:c r="L38" s="18"/>
      <x:c r="M38" s="19"/>
      <x:c r="N38" s="18"/>
      <x:c r="O38" s="18"/>
      <x:c r="P38" s="18" t="str">
        <x:f>IF(A38="","",IF(OR(J38="Faible",N38=""),"Engagement a renforcer","OK"))</x:f>
      </x:c>
    </x:row>
    <x:row r="39">
      <x:c r="A39" s="18"/>
      <x:c r="B39" s="18"/>
      <x:c r="C39" s="18"/>
      <x:c r="D39" s="18"/>
      <x:c r="E39" s="18"/>
      <x:c r="F39" s="18"/>
      <x:c r="G39" s="18"/>
      <x:c r="H39" s="18"/>
      <x:c r="I39" s="18"/>
      <x:c r="J39" s="18"/>
      <x:c r="K39" s="18"/>
      <x:c r="L39" s="18"/>
      <x:c r="M39" s="19"/>
      <x:c r="N39" s="18"/>
      <x:c r="O39" s="18"/>
      <x:c r="P39" s="18" t="str">
        <x:f>IF(A39="","",IF(OR(J39="Faible",N39=""),"Engagement a renforcer","OK"))</x:f>
      </x:c>
    </x:row>
    <x:row r="40">
      <x:c r="A40" s="18"/>
      <x:c r="B40" s="18"/>
      <x:c r="C40" s="18"/>
      <x:c r="D40" s="18"/>
      <x:c r="E40" s="18"/>
      <x:c r="F40" s="18"/>
      <x:c r="G40" s="18"/>
      <x:c r="H40" s="18"/>
      <x:c r="I40" s="18"/>
      <x:c r="J40" s="18"/>
      <x:c r="K40" s="18"/>
      <x:c r="L40" s="18"/>
      <x:c r="M40" s="19"/>
      <x:c r="N40" s="18"/>
      <x:c r="O40" s="18"/>
      <x:c r="P40" s="18" t="str">
        <x:f>IF(A40="","",IF(OR(J40="Faible",N40=""),"Engagement a renforcer","OK"))</x:f>
      </x:c>
    </x:row>
    <x:row r="41">
      <x:c r="A41" s="18"/>
      <x:c r="B41" s="18"/>
      <x:c r="C41" s="18"/>
      <x:c r="D41" s="18"/>
      <x:c r="E41" s="18"/>
      <x:c r="F41" s="18"/>
      <x:c r="G41" s="18"/>
      <x:c r="H41" s="18"/>
      <x:c r="I41" s="18"/>
      <x:c r="J41" s="18"/>
      <x:c r="K41" s="18"/>
      <x:c r="L41" s="18"/>
      <x:c r="M41" s="19"/>
      <x:c r="N41" s="18"/>
      <x:c r="O41" s="18"/>
      <x:c r="P41" s="18" t="str">
        <x:f>IF(A41="","",IF(OR(J41="Faible",N41=""),"Engagement a renforcer","OK"))</x:f>
      </x:c>
    </x:row>
    <x:row r="42">
      <x:c r="A42" s="18"/>
      <x:c r="B42" s="18"/>
      <x:c r="C42" s="18"/>
      <x:c r="D42" s="18"/>
      <x:c r="E42" s="18"/>
      <x:c r="F42" s="18"/>
      <x:c r="G42" s="18"/>
      <x:c r="H42" s="18"/>
      <x:c r="I42" s="18"/>
      <x:c r="J42" s="18"/>
      <x:c r="K42" s="18"/>
      <x:c r="L42" s="18"/>
      <x:c r="M42" s="19"/>
      <x:c r="N42" s="18"/>
      <x:c r="O42" s="18"/>
      <x:c r="P42" s="18" t="str">
        <x:f>IF(A42="","",IF(OR(J42="Faible",N42=""),"Engagement a renforcer","OK"))</x:f>
      </x:c>
    </x:row>
    <x:row r="43">
      <x:c r="A43" s="18"/>
      <x:c r="B43" s="18"/>
      <x:c r="C43" s="18"/>
      <x:c r="D43" s="18"/>
      <x:c r="E43" s="18"/>
      <x:c r="F43" s="18"/>
      <x:c r="G43" s="18"/>
      <x:c r="H43" s="18"/>
      <x:c r="I43" s="18"/>
      <x:c r="J43" s="18"/>
      <x:c r="K43" s="18"/>
      <x:c r="L43" s="18"/>
      <x:c r="M43" s="19"/>
      <x:c r="N43" s="18"/>
      <x:c r="O43" s="18"/>
      <x:c r="P43" s="18" t="str">
        <x:f>IF(A43="","",IF(OR(J43="Faible",N43=""),"Engagement a renforcer","OK"))</x:f>
      </x:c>
    </x:row>
    <x:row r="44">
      <x:c r="A44" s="18"/>
      <x:c r="B44" s="18"/>
      <x:c r="C44" s="18"/>
      <x:c r="D44" s="18"/>
      <x:c r="E44" s="18"/>
      <x:c r="F44" s="18"/>
      <x:c r="G44" s="18"/>
      <x:c r="H44" s="18"/>
      <x:c r="I44" s="18"/>
      <x:c r="J44" s="18"/>
      <x:c r="K44" s="18"/>
      <x:c r="L44" s="18"/>
      <x:c r="M44" s="19"/>
      <x:c r="N44" s="18"/>
      <x:c r="O44" s="18"/>
      <x:c r="P44" s="18" t="str">
        <x:f>IF(A44="","",IF(OR(J44="Faible",N44=""),"Engagement a renforcer","OK"))</x:f>
      </x:c>
    </x:row>
  </x:sheetData>
  <x:mergeCells>
    <x:mergeCell ref="A1:J1"/>
    <x:mergeCell ref="A2:J2"/>
  </x:mergeCells>
  <x:conditionalFormatting sqref="P5:P44">
    <x:cfRule type="containsText" dxfId="52" priority="1" operator="containsText" text="Retard"/>
    <x:cfRule type="containsText" dxfId="53" priority="2" operator="containsText" text="critique"/>
    <x:cfRule type="containsText" dxfId="54" priority="3" operator="containsText" text="manquant"/>
    <x:cfRule type="containsText" dxfId="5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G5:G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I5:I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J5:J44">
      <x:formula1>"Faible,Moyen,Eleve,Strategique"</x:formula1>
    </x:dataValidation>
    <x:dataValidation type="list" errorStyle="warning" showInputMessage="1" showErrorMessage="1" errorTitle="Valeur inattendue" error="Cette colonne utilise une liste controlee." promptTitle="Liste controlee" prompt="Choisir une valeur dans la liste." sqref="L5:L44">
      <x:formula1>"Mensuelle,Trimestrielle,Semestrielle,Annuelle,Ponctuelle"</x:formula1>
    </x:dataValidation>
  </x:dataValidations>
  <x:pageMargins left="0.7" right="0.7" top="0.75" bottom="0.75" header="0.3" footer="0.3"/>
  <x:tableParts count="1">
    <x:tablePart xmlns:r="http://schemas.openxmlformats.org/officeDocument/2006/relationships" r:id="Ra10ee4cc1fd04e46"/>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0" hidden="0" customWidth="1"/>
    <x:col min="4" max="4" width="27.5" hidden="0" customWidth="1"/>
    <x:col min="5" max="5" width="23.75" hidden="0" customWidth="1"/>
    <x:col min="6" max="6" width="18.1299991607666" hidden="0" customWidth="1"/>
    <x:col min="7" max="7" width="18.1299991607666" hidden="0" customWidth="1"/>
    <x:col min="8" max="8" width="18.1299991607666" hidden="0" customWidth="1"/>
    <x:col min="9" max="9" width="18.1299991607666" hidden="0" customWidth="1"/>
    <x:col min="10" max="10" width="18.75" hidden="0" customWidth="1"/>
    <x:col min="11" max="11" width="14.380000114440918" hidden="0" customWidth="1"/>
    <x:col min="12" max="12" width="18.1299991607666" hidden="0" customWidth="1"/>
    <x:col min="13" max="13" width="18.1299991607666" hidden="0" customWidth="1"/>
    <x:col min="14" max="14" width="28.75" hidden="0" customWidth="1"/>
  </x:cols>
  <x:sheetData>
    <x:row r="1" ht="25.5" customHeight="1">
      <x:c r="A1" s="2" t="str">
        <x:v>Budgets climat</x:v>
      </x:c>
      <x:c r="B1" s="2"/>
      <x:c r="C1" s="2"/>
      <x:c r="D1" s="2"/>
      <x:c r="E1" s="2"/>
      <x:c r="F1" s="2"/>
      <x:c r="G1" s="2"/>
      <x:c r="H1" s="2"/>
      <x:c r="I1" s="2"/>
      <x:c r="J1" s="2"/>
    </x:row>
    <x:row r="2" ht="31.5" customHeight="1">
      <x:c r="A2" s="5" t="str">
        <x:v>Suivi budgetaire par projet, annee et ligne budgetaire.</x:v>
      </x:c>
      <x:c r="B2" s="5"/>
      <x:c r="C2" s="5"/>
      <x:c r="D2" s="5"/>
      <x:c r="E2" s="5"/>
      <x:c r="F2" s="5"/>
      <x:c r="G2" s="5"/>
      <x:c r="H2" s="5"/>
      <x:c r="I2" s="5"/>
      <x:c r="J2" s="5"/>
    </x:row>
    <x:row r="4" ht="28.5" customHeight="1">
      <x:c r="A4" s="16" t="str">
        <x:v>Budget_ID</x:v>
      </x:c>
      <x:c r="B4" s="16" t="str">
        <x:v>Project_ID</x:v>
      </x:c>
      <x:c r="C4" s="16" t="str">
        <x:v>Annee</x:v>
      </x:c>
      <x:c r="D4" s="16" t="str">
        <x:v>Ligne_budgetaire</x:v>
      </x:c>
      <x:c r="E4" s="16" t="str">
        <x:v>Source_budgetaire</x:v>
      </x:c>
      <x:c r="F4" s="16" t="str">
        <x:v>Budget_prevu_XOF</x:v>
      </x:c>
      <x:c r="G4" s="16" t="str">
        <x:v>Budget_vote_XOF</x:v>
      </x:c>
      <x:c r="H4" s="16" t="str">
        <x:v>Budget_engage_XOF</x:v>
      </x:c>
      <x:c r="I4" s="16" t="str">
        <x:v>Budget_execute_XOF</x:v>
      </x:c>
      <x:c r="J4" s="16" t="str">
        <x:v>Reste_a_executer_XOF</x:v>
      </x:c>
      <x:c r="K4" s="16" t="str">
        <x:v>Taux_execution</x:v>
      </x:c>
      <x:c r="L4" s="16" t="str">
        <x:v>Ecart_budget_XOF</x:v>
      </x:c>
      <x:c r="M4" s="16" t="str">
        <x:v>Alerte_execution</x:v>
      </x:c>
      <x:c r="N4" s="16" t="str">
        <x:v>Commentaires</x:v>
      </x:c>
    </x:row>
    <x:row r="5">
      <x:c r="A5" s="18" t="str">
        <x:v>BUD-001</x:v>
      </x:c>
      <x:c r="B5" s="18" t="str">
        <x:v>PRJ-001</x:v>
      </x:c>
      <x:c r="C5" s="18" t="n">
        <x:v>2026</x:v>
      </x:c>
      <x:c r="D5" s="18" t="str">
        <x:v>Equipements solaires</x:v>
      </x:c>
      <x:c r="E5" s="18" t="str">
        <x:v>Budget municipal + bailleur</x:v>
      </x:c>
      <x:c r="F5" s="21" t="n">
        <x:v>900000000</x:v>
      </x:c>
      <x:c r="G5" s="21" t="n">
        <x:v>750000000</x:v>
      </x:c>
      <x:c r="H5" s="21" t="n">
        <x:v>500000000</x:v>
      </x:c>
      <x:c r="I5" s="21" t="n">
        <x:v>280000000</x:v>
      </x:c>
      <x:c r="J5" s="21" t="n">
        <x:f>IF(A5="","",MAX(0,G5-I5))</x:f>
        <x:v>470000000</x:v>
      </x:c>
      <x:c r="K5" s="20" t="n">
        <x:f>IF(A5="","",IFERROR(I5/G5,""))</x:f>
        <x:v>0.37333333333333335</x:v>
      </x:c>
      <x:c r="L5" s="21" t="n">
        <x:f>IF(A5="","",G5-F5)</x:f>
        <x:v>-150000000</x:v>
      </x:c>
      <x:c r="M5" s="18" t="str">
        <x:f>IF(A5="","",IF(G5=0,"Budget non vote",IF(AND(C5=YEAR(TODAY()),K5&lt;0.25,MONTH(TODAY())&gt;6),"Execution faible","OK")))</x:f>
        <x:v>OK</x:v>
      </x:c>
      <x:c r="N5" s="18" t="str"/>
    </x:row>
    <x:row r="6">
      <x:c r="A6" s="18" t="str">
        <x:v>BUD-002</x:v>
      </x:c>
      <x:c r="B6" s="18" t="str">
        <x:v>PRJ-002</x:v>
      </x:c>
      <x:c r="C6" s="18" t="n">
        <x:v>2026</x:v>
      </x:c>
      <x:c r="D6" s="18" t="str">
        <x:v>Plateformes compostage</x:v>
      </x:c>
      <x:c r="E6" s="18" t="str">
        <x:v>Subvention sollicitee</x:v>
      </x:c>
      <x:c r="F6" s="21" t="n">
        <x:v>600000000</x:v>
      </x:c>
      <x:c r="G6" s="21" t="n">
        <x:v>350000000</x:v>
      </x:c>
      <x:c r="H6" s="21" t="n">
        <x:v>120000000</x:v>
      </x:c>
      <x:c r="I6" s="21" t="n">
        <x:v>65000000</x:v>
      </x:c>
      <x:c r="J6" s="21" t="n">
        <x:f>IF(A6="","",MAX(0,G6-I6))</x:f>
        <x:v>285000000</x:v>
      </x:c>
      <x:c r="K6" s="20" t="n">
        <x:f>IF(A6="","",IFERROR(I6/G6,""))</x:f>
        <x:v>0.18571428571428572</x:v>
      </x:c>
      <x:c r="L6" s="21" t="n">
        <x:f>IF(A6="","",G6-F6)</x:f>
        <x:v>-250000000</x:v>
      </x:c>
      <x:c r="M6" s="18" t="str">
        <x:f>IF(A6="","",IF(G6=0,"Budget non vote",IF(AND(C6=YEAR(TODAY()),K6&lt;0.25,MONTH(TODAY())&gt;6),"Execution faible","OK")))</x:f>
        <x:v>OK</x:v>
      </x:c>
      <x:c r="N6" s="18" t="str"/>
    </x:row>
    <x:row r="7">
      <x:c r="A7" s="18" t="str">
        <x:v>BUD-003</x:v>
      </x:c>
      <x:c r="B7" s="18" t="str">
        <x:v>PRJ-004</x:v>
      </x:c>
      <x:c r="C7" s="18" t="n">
        <x:v>2026</x:v>
      </x:c>
      <x:c r="D7" s="18" t="str">
        <x:v>Etudes et travaux drainage</x:v>
      </x:c>
      <x:c r="E7" s="18" t="str">
        <x:v>Etat + bailleur</x:v>
      </x:c>
      <x:c r="F7" s="21" t="n">
        <x:v>1100000000</x:v>
      </x:c>
      <x:c r="G7" s="21" t="n">
        <x:v>500000000</x:v>
      </x:c>
      <x:c r="H7" s="21" t="n">
        <x:v>150000000</x:v>
      </x:c>
      <x:c r="I7" s="21" t="n">
        <x:v>90000000</x:v>
      </x:c>
      <x:c r="J7" s="21" t="n">
        <x:f>IF(A7="","",MAX(0,G7-I7))</x:f>
        <x:v>410000000</x:v>
      </x:c>
      <x:c r="K7" s="20" t="n">
        <x:f>IF(A7="","",IFERROR(I7/G7,""))</x:f>
        <x:v>0.18</x:v>
      </x:c>
      <x:c r="L7" s="21" t="n">
        <x:f>IF(A7="","",G7-F7)</x:f>
        <x:v>-600000000</x:v>
      </x:c>
      <x:c r="M7" s="18" t="str">
        <x:f>IF(A7="","",IF(G7=0,"Budget non vote",IF(AND(C7=YEAR(TODAY()),K7&lt;0.25,MONTH(TODAY())&gt;6),"Execution faible","OK")))</x:f>
        <x:v>OK</x:v>
      </x:c>
      <x:c r="N7" s="18" t="str"/>
    </x:row>
    <x:row r="8">
      <x:c r="A8" s="18"/>
      <x:c r="B8" s="18"/>
      <x:c r="C8" s="18"/>
      <x:c r="D8" s="18"/>
      <x:c r="E8" s="18"/>
      <x:c r="F8" s="21"/>
      <x:c r="G8" s="21"/>
      <x:c r="H8" s="21"/>
      <x:c r="I8" s="21"/>
      <x:c r="J8" s="21" t="str">
        <x:f>IF(A8="","",MAX(0,G8-I8))</x:f>
      </x:c>
      <x:c r="K8" s="20" t="str">
        <x:f>IF(A8="","",IFERROR(I8/G8,""))</x:f>
      </x:c>
      <x:c r="L8" s="21" t="str">
        <x:f>IF(A8="","",G8-F8)</x:f>
      </x:c>
      <x:c r="M8" s="18" t="str">
        <x:f>IF(A8="","",IF(G8=0,"Budget non vote",IF(AND(C8=YEAR(TODAY()),K8&lt;0.25,MONTH(TODAY())&gt;6),"Execution faible","OK")))</x:f>
      </x:c>
      <x:c r="N8" s="18"/>
    </x:row>
    <x:row r="9">
      <x:c r="A9" s="18"/>
      <x:c r="B9" s="18"/>
      <x:c r="C9" s="18"/>
      <x:c r="D9" s="18"/>
      <x:c r="E9" s="18"/>
      <x:c r="F9" s="21"/>
      <x:c r="G9" s="21"/>
      <x:c r="H9" s="21"/>
      <x:c r="I9" s="21"/>
      <x:c r="J9" s="21" t="str">
        <x:f>IF(A9="","",MAX(0,G9-I9))</x:f>
      </x:c>
      <x:c r="K9" s="20" t="str">
        <x:f>IF(A9="","",IFERROR(I9/G9,""))</x:f>
      </x:c>
      <x:c r="L9" s="21" t="str">
        <x:f>IF(A9="","",G9-F9)</x:f>
      </x:c>
      <x:c r="M9" s="18" t="str">
        <x:f>IF(A9="","",IF(G9=0,"Budget non vote",IF(AND(C9=YEAR(TODAY()),K9&lt;0.25,MONTH(TODAY())&gt;6),"Execution faible","OK")))</x:f>
      </x:c>
      <x:c r="N9" s="18"/>
    </x:row>
    <x:row r="10">
      <x:c r="A10" s="18"/>
      <x:c r="B10" s="18"/>
      <x:c r="C10" s="18"/>
      <x:c r="D10" s="18"/>
      <x:c r="E10" s="18"/>
      <x:c r="F10" s="21"/>
      <x:c r="G10" s="21"/>
      <x:c r="H10" s="21"/>
      <x:c r="I10" s="21"/>
      <x:c r="J10" s="21" t="str">
        <x:f>IF(A10="","",MAX(0,G10-I10))</x:f>
      </x:c>
      <x:c r="K10" s="20" t="str">
        <x:f>IF(A10="","",IFERROR(I10/G10,""))</x:f>
      </x:c>
      <x:c r="L10" s="21" t="str">
        <x:f>IF(A10="","",G10-F10)</x:f>
      </x:c>
      <x:c r="M10" s="18" t="str">
        <x:f>IF(A10="","",IF(G10=0,"Budget non vote",IF(AND(C10=YEAR(TODAY()),K10&lt;0.25,MONTH(TODAY())&gt;6),"Execution faible","OK")))</x:f>
      </x:c>
      <x:c r="N10" s="18"/>
    </x:row>
    <x:row r="11">
      <x:c r="A11" s="18"/>
      <x:c r="B11" s="18"/>
      <x:c r="C11" s="18"/>
      <x:c r="D11" s="18"/>
      <x:c r="E11" s="18"/>
      <x:c r="F11" s="21"/>
      <x:c r="G11" s="21"/>
      <x:c r="H11" s="21"/>
      <x:c r="I11" s="21"/>
      <x:c r="J11" s="21" t="str">
        <x:f>IF(A11="","",MAX(0,G11-I11))</x:f>
      </x:c>
      <x:c r="K11" s="20" t="str">
        <x:f>IF(A11="","",IFERROR(I11/G11,""))</x:f>
      </x:c>
      <x:c r="L11" s="21" t="str">
        <x:f>IF(A11="","",G11-F11)</x:f>
      </x:c>
      <x:c r="M11" s="18" t="str">
        <x:f>IF(A11="","",IF(G11=0,"Budget non vote",IF(AND(C11=YEAR(TODAY()),K11&lt;0.25,MONTH(TODAY())&gt;6),"Execution faible","OK")))</x:f>
      </x:c>
      <x:c r="N11" s="18"/>
    </x:row>
    <x:row r="12">
      <x:c r="A12" s="18"/>
      <x:c r="B12" s="18"/>
      <x:c r="C12" s="18"/>
      <x:c r="D12" s="18"/>
      <x:c r="E12" s="18"/>
      <x:c r="F12" s="21"/>
      <x:c r="G12" s="21"/>
      <x:c r="H12" s="21"/>
      <x:c r="I12" s="21"/>
      <x:c r="J12" s="21" t="str">
        <x:f>IF(A12="","",MAX(0,G12-I12))</x:f>
      </x:c>
      <x:c r="K12" s="20" t="str">
        <x:f>IF(A12="","",IFERROR(I12/G12,""))</x:f>
      </x:c>
      <x:c r="L12" s="21" t="str">
        <x:f>IF(A12="","",G12-F12)</x:f>
      </x:c>
      <x:c r="M12" s="18" t="str">
        <x:f>IF(A12="","",IF(G12=0,"Budget non vote",IF(AND(C12=YEAR(TODAY()),K12&lt;0.25,MONTH(TODAY())&gt;6),"Execution faible","OK")))</x:f>
      </x:c>
      <x:c r="N12" s="18"/>
    </x:row>
    <x:row r="13">
      <x:c r="A13" s="18"/>
      <x:c r="B13" s="18"/>
      <x:c r="C13" s="18"/>
      <x:c r="D13" s="18"/>
      <x:c r="E13" s="18"/>
      <x:c r="F13" s="21"/>
      <x:c r="G13" s="21"/>
      <x:c r="H13" s="21"/>
      <x:c r="I13" s="21"/>
      <x:c r="J13" s="21" t="str">
        <x:f>IF(A13="","",MAX(0,G13-I13))</x:f>
      </x:c>
      <x:c r="K13" s="20" t="str">
        <x:f>IF(A13="","",IFERROR(I13/G13,""))</x:f>
      </x:c>
      <x:c r="L13" s="21" t="str">
        <x:f>IF(A13="","",G13-F13)</x:f>
      </x:c>
      <x:c r="M13" s="18" t="str">
        <x:f>IF(A13="","",IF(G13=0,"Budget non vote",IF(AND(C13=YEAR(TODAY()),K13&lt;0.25,MONTH(TODAY())&gt;6),"Execution faible","OK")))</x:f>
      </x:c>
      <x:c r="N13" s="18"/>
    </x:row>
    <x:row r="14">
      <x:c r="A14" s="18"/>
      <x:c r="B14" s="18"/>
      <x:c r="C14" s="18"/>
      <x:c r="D14" s="18"/>
      <x:c r="E14" s="18"/>
      <x:c r="F14" s="21"/>
      <x:c r="G14" s="21"/>
      <x:c r="H14" s="21"/>
      <x:c r="I14" s="21"/>
      <x:c r="J14" s="21" t="str">
        <x:f>IF(A14="","",MAX(0,G14-I14))</x:f>
      </x:c>
      <x:c r="K14" s="20" t="str">
        <x:f>IF(A14="","",IFERROR(I14/G14,""))</x:f>
      </x:c>
      <x:c r="L14" s="21" t="str">
        <x:f>IF(A14="","",G14-F14)</x:f>
      </x:c>
      <x:c r="M14" s="18" t="str">
        <x:f>IF(A14="","",IF(G14=0,"Budget non vote",IF(AND(C14=YEAR(TODAY()),K14&lt;0.25,MONTH(TODAY())&gt;6),"Execution faible","OK")))</x:f>
      </x:c>
      <x:c r="N14" s="18"/>
    </x:row>
    <x:row r="15">
      <x:c r="A15" s="18"/>
      <x:c r="B15" s="18"/>
      <x:c r="C15" s="18"/>
      <x:c r="D15" s="18"/>
      <x:c r="E15" s="18"/>
      <x:c r="F15" s="21"/>
      <x:c r="G15" s="21"/>
      <x:c r="H15" s="21"/>
      <x:c r="I15" s="21"/>
      <x:c r="J15" s="21" t="str">
        <x:f>IF(A15="","",MAX(0,G15-I15))</x:f>
      </x:c>
      <x:c r="K15" s="20" t="str">
        <x:f>IF(A15="","",IFERROR(I15/G15,""))</x:f>
      </x:c>
      <x:c r="L15" s="21" t="str">
        <x:f>IF(A15="","",G15-F15)</x:f>
      </x:c>
      <x:c r="M15" s="18" t="str">
        <x:f>IF(A15="","",IF(G15=0,"Budget non vote",IF(AND(C15=YEAR(TODAY()),K15&lt;0.25,MONTH(TODAY())&gt;6),"Execution faible","OK")))</x:f>
      </x:c>
      <x:c r="N15" s="18"/>
    </x:row>
    <x:row r="16">
      <x:c r="A16" s="18"/>
      <x:c r="B16" s="18"/>
      <x:c r="C16" s="18"/>
      <x:c r="D16" s="18"/>
      <x:c r="E16" s="18"/>
      <x:c r="F16" s="21"/>
      <x:c r="G16" s="21"/>
      <x:c r="H16" s="21"/>
      <x:c r="I16" s="21"/>
      <x:c r="J16" s="21" t="str">
        <x:f>IF(A16="","",MAX(0,G16-I16))</x:f>
      </x:c>
      <x:c r="K16" s="20" t="str">
        <x:f>IF(A16="","",IFERROR(I16/G16,""))</x:f>
      </x:c>
      <x:c r="L16" s="21" t="str">
        <x:f>IF(A16="","",G16-F16)</x:f>
      </x:c>
      <x:c r="M16" s="18" t="str">
        <x:f>IF(A16="","",IF(G16=0,"Budget non vote",IF(AND(C16=YEAR(TODAY()),K16&lt;0.25,MONTH(TODAY())&gt;6),"Execution faible","OK")))</x:f>
      </x:c>
      <x:c r="N16" s="18"/>
    </x:row>
    <x:row r="17">
      <x:c r="A17" s="18"/>
      <x:c r="B17" s="18"/>
      <x:c r="C17" s="18"/>
      <x:c r="D17" s="18"/>
      <x:c r="E17" s="18"/>
      <x:c r="F17" s="21"/>
      <x:c r="G17" s="21"/>
      <x:c r="H17" s="21"/>
      <x:c r="I17" s="21"/>
      <x:c r="J17" s="21" t="str">
        <x:f>IF(A17="","",MAX(0,G17-I17))</x:f>
      </x:c>
      <x:c r="K17" s="20" t="str">
        <x:f>IF(A17="","",IFERROR(I17/G17,""))</x:f>
      </x:c>
      <x:c r="L17" s="21" t="str">
        <x:f>IF(A17="","",G17-F17)</x:f>
      </x:c>
      <x:c r="M17" s="18" t="str">
        <x:f>IF(A17="","",IF(G17=0,"Budget non vote",IF(AND(C17=YEAR(TODAY()),K17&lt;0.25,MONTH(TODAY())&gt;6),"Execution faible","OK")))</x:f>
      </x:c>
      <x:c r="N17" s="18"/>
    </x:row>
    <x:row r="18">
      <x:c r="A18" s="18"/>
      <x:c r="B18" s="18"/>
      <x:c r="C18" s="18"/>
      <x:c r="D18" s="18"/>
      <x:c r="E18" s="18"/>
      <x:c r="F18" s="21"/>
      <x:c r="G18" s="21"/>
      <x:c r="H18" s="21"/>
      <x:c r="I18" s="21"/>
      <x:c r="J18" s="21" t="str">
        <x:f>IF(A18="","",MAX(0,G18-I18))</x:f>
      </x:c>
      <x:c r="K18" s="20" t="str">
        <x:f>IF(A18="","",IFERROR(I18/G18,""))</x:f>
      </x:c>
      <x:c r="L18" s="21" t="str">
        <x:f>IF(A18="","",G18-F18)</x:f>
      </x:c>
      <x:c r="M18" s="18" t="str">
        <x:f>IF(A18="","",IF(G18=0,"Budget non vote",IF(AND(C18=YEAR(TODAY()),K18&lt;0.25,MONTH(TODAY())&gt;6),"Execution faible","OK")))</x:f>
      </x:c>
      <x:c r="N18" s="18"/>
    </x:row>
    <x:row r="19">
      <x:c r="A19" s="18"/>
      <x:c r="B19" s="18"/>
      <x:c r="C19" s="18"/>
      <x:c r="D19" s="18"/>
      <x:c r="E19" s="18"/>
      <x:c r="F19" s="21"/>
      <x:c r="G19" s="21"/>
      <x:c r="H19" s="21"/>
      <x:c r="I19" s="21"/>
      <x:c r="J19" s="21" t="str">
        <x:f>IF(A19="","",MAX(0,G19-I19))</x:f>
      </x:c>
      <x:c r="K19" s="20" t="str">
        <x:f>IF(A19="","",IFERROR(I19/G19,""))</x:f>
      </x:c>
      <x:c r="L19" s="21" t="str">
        <x:f>IF(A19="","",G19-F19)</x:f>
      </x:c>
      <x:c r="M19" s="18" t="str">
        <x:f>IF(A19="","",IF(G19=0,"Budget non vote",IF(AND(C19=YEAR(TODAY()),K19&lt;0.25,MONTH(TODAY())&gt;6),"Execution faible","OK")))</x:f>
      </x:c>
      <x:c r="N19" s="18"/>
    </x:row>
    <x:row r="20">
      <x:c r="A20" s="18"/>
      <x:c r="B20" s="18"/>
      <x:c r="C20" s="18"/>
      <x:c r="D20" s="18"/>
      <x:c r="E20" s="18"/>
      <x:c r="F20" s="21"/>
      <x:c r="G20" s="21"/>
      <x:c r="H20" s="21"/>
      <x:c r="I20" s="21"/>
      <x:c r="J20" s="21" t="str">
        <x:f>IF(A20="","",MAX(0,G20-I20))</x:f>
      </x:c>
      <x:c r="K20" s="20" t="str">
        <x:f>IF(A20="","",IFERROR(I20/G20,""))</x:f>
      </x:c>
      <x:c r="L20" s="21" t="str">
        <x:f>IF(A20="","",G20-F20)</x:f>
      </x:c>
      <x:c r="M20" s="18" t="str">
        <x:f>IF(A20="","",IF(G20=0,"Budget non vote",IF(AND(C20=YEAR(TODAY()),K20&lt;0.25,MONTH(TODAY())&gt;6),"Execution faible","OK")))</x:f>
      </x:c>
      <x:c r="N20" s="18"/>
    </x:row>
    <x:row r="21">
      <x:c r="A21" s="18"/>
      <x:c r="B21" s="18"/>
      <x:c r="C21" s="18"/>
      <x:c r="D21" s="18"/>
      <x:c r="E21" s="18"/>
      <x:c r="F21" s="21"/>
      <x:c r="G21" s="21"/>
      <x:c r="H21" s="21"/>
      <x:c r="I21" s="21"/>
      <x:c r="J21" s="21" t="str">
        <x:f>IF(A21="","",MAX(0,G21-I21))</x:f>
      </x:c>
      <x:c r="K21" s="20" t="str">
        <x:f>IF(A21="","",IFERROR(I21/G21,""))</x:f>
      </x:c>
      <x:c r="L21" s="21" t="str">
        <x:f>IF(A21="","",G21-F21)</x:f>
      </x:c>
      <x:c r="M21" s="18" t="str">
        <x:f>IF(A21="","",IF(G21=0,"Budget non vote",IF(AND(C21=YEAR(TODAY()),K21&lt;0.25,MONTH(TODAY())&gt;6),"Execution faible","OK")))</x:f>
      </x:c>
      <x:c r="N21" s="18"/>
    </x:row>
    <x:row r="22">
      <x:c r="A22" s="18"/>
      <x:c r="B22" s="18"/>
      <x:c r="C22" s="18"/>
      <x:c r="D22" s="18"/>
      <x:c r="E22" s="18"/>
      <x:c r="F22" s="21"/>
      <x:c r="G22" s="21"/>
      <x:c r="H22" s="21"/>
      <x:c r="I22" s="21"/>
      <x:c r="J22" s="21" t="str">
        <x:f>IF(A22="","",MAX(0,G22-I22))</x:f>
      </x:c>
      <x:c r="K22" s="20" t="str">
        <x:f>IF(A22="","",IFERROR(I22/G22,""))</x:f>
      </x:c>
      <x:c r="L22" s="21" t="str">
        <x:f>IF(A22="","",G22-F22)</x:f>
      </x:c>
      <x:c r="M22" s="18" t="str">
        <x:f>IF(A22="","",IF(G22=0,"Budget non vote",IF(AND(C22=YEAR(TODAY()),K22&lt;0.25,MONTH(TODAY())&gt;6),"Execution faible","OK")))</x:f>
      </x:c>
      <x:c r="N22" s="18"/>
    </x:row>
    <x:row r="23">
      <x:c r="A23" s="18"/>
      <x:c r="B23" s="18"/>
      <x:c r="C23" s="18"/>
      <x:c r="D23" s="18"/>
      <x:c r="E23" s="18"/>
      <x:c r="F23" s="21"/>
      <x:c r="G23" s="21"/>
      <x:c r="H23" s="21"/>
      <x:c r="I23" s="21"/>
      <x:c r="J23" s="21" t="str">
        <x:f>IF(A23="","",MAX(0,G23-I23))</x:f>
      </x:c>
      <x:c r="K23" s="20" t="str">
        <x:f>IF(A23="","",IFERROR(I23/G23,""))</x:f>
      </x:c>
      <x:c r="L23" s="21" t="str">
        <x:f>IF(A23="","",G23-F23)</x:f>
      </x:c>
      <x:c r="M23" s="18" t="str">
        <x:f>IF(A23="","",IF(G23=0,"Budget non vote",IF(AND(C23=YEAR(TODAY()),K23&lt;0.25,MONTH(TODAY())&gt;6),"Execution faible","OK")))</x:f>
      </x:c>
      <x:c r="N23" s="18"/>
    </x:row>
    <x:row r="24">
      <x:c r="A24" s="18"/>
      <x:c r="B24" s="18"/>
      <x:c r="C24" s="18"/>
      <x:c r="D24" s="18"/>
      <x:c r="E24" s="18"/>
      <x:c r="F24" s="21"/>
      <x:c r="G24" s="21"/>
      <x:c r="H24" s="21"/>
      <x:c r="I24" s="21"/>
      <x:c r="J24" s="21" t="str">
        <x:f>IF(A24="","",MAX(0,G24-I24))</x:f>
      </x:c>
      <x:c r="K24" s="20" t="str">
        <x:f>IF(A24="","",IFERROR(I24/G24,""))</x:f>
      </x:c>
      <x:c r="L24" s="21" t="str">
        <x:f>IF(A24="","",G24-F24)</x:f>
      </x:c>
      <x:c r="M24" s="18" t="str">
        <x:f>IF(A24="","",IF(G24=0,"Budget non vote",IF(AND(C24=YEAR(TODAY()),K24&lt;0.25,MONTH(TODAY())&gt;6),"Execution faible","OK")))</x:f>
      </x:c>
      <x:c r="N24" s="18"/>
    </x:row>
    <x:row r="25">
      <x:c r="A25" s="18"/>
      <x:c r="B25" s="18"/>
      <x:c r="C25" s="18"/>
      <x:c r="D25" s="18"/>
      <x:c r="E25" s="18"/>
      <x:c r="F25" s="21"/>
      <x:c r="G25" s="21"/>
      <x:c r="H25" s="21"/>
      <x:c r="I25" s="21"/>
      <x:c r="J25" s="21" t="str">
        <x:f>IF(A25="","",MAX(0,G25-I25))</x:f>
      </x:c>
      <x:c r="K25" s="20" t="str">
        <x:f>IF(A25="","",IFERROR(I25/G25,""))</x:f>
      </x:c>
      <x:c r="L25" s="21" t="str">
        <x:f>IF(A25="","",G25-F25)</x:f>
      </x:c>
      <x:c r="M25" s="18" t="str">
        <x:f>IF(A25="","",IF(G25=0,"Budget non vote",IF(AND(C25=YEAR(TODAY()),K25&lt;0.25,MONTH(TODAY())&gt;6),"Execution faible","OK")))</x:f>
      </x:c>
      <x:c r="N25" s="18"/>
    </x:row>
    <x:row r="26">
      <x:c r="A26" s="18"/>
      <x:c r="B26" s="18"/>
      <x:c r="C26" s="18"/>
      <x:c r="D26" s="18"/>
      <x:c r="E26" s="18"/>
      <x:c r="F26" s="21"/>
      <x:c r="G26" s="21"/>
      <x:c r="H26" s="21"/>
      <x:c r="I26" s="21"/>
      <x:c r="J26" s="21" t="str">
        <x:f>IF(A26="","",MAX(0,G26-I26))</x:f>
      </x:c>
      <x:c r="K26" s="20" t="str">
        <x:f>IF(A26="","",IFERROR(I26/G26,""))</x:f>
      </x:c>
      <x:c r="L26" s="21" t="str">
        <x:f>IF(A26="","",G26-F26)</x:f>
      </x:c>
      <x:c r="M26" s="18" t="str">
        <x:f>IF(A26="","",IF(G26=0,"Budget non vote",IF(AND(C26=YEAR(TODAY()),K26&lt;0.25,MONTH(TODAY())&gt;6),"Execution faible","OK")))</x:f>
      </x:c>
      <x:c r="N26" s="18"/>
    </x:row>
    <x:row r="27">
      <x:c r="A27" s="18"/>
      <x:c r="B27" s="18"/>
      <x:c r="C27" s="18"/>
      <x:c r="D27" s="18"/>
      <x:c r="E27" s="18"/>
      <x:c r="F27" s="21"/>
      <x:c r="G27" s="21"/>
      <x:c r="H27" s="21"/>
      <x:c r="I27" s="21"/>
      <x:c r="J27" s="21" t="str">
        <x:f>IF(A27="","",MAX(0,G27-I27))</x:f>
      </x:c>
      <x:c r="K27" s="20" t="str">
        <x:f>IF(A27="","",IFERROR(I27/G27,""))</x:f>
      </x:c>
      <x:c r="L27" s="21" t="str">
        <x:f>IF(A27="","",G27-F27)</x:f>
      </x:c>
      <x:c r="M27" s="18" t="str">
        <x:f>IF(A27="","",IF(G27=0,"Budget non vote",IF(AND(C27=YEAR(TODAY()),K27&lt;0.25,MONTH(TODAY())&gt;6),"Execution faible","OK")))</x:f>
      </x:c>
      <x:c r="N27" s="18"/>
    </x:row>
    <x:row r="28">
      <x:c r="A28" s="18"/>
      <x:c r="B28" s="18"/>
      <x:c r="C28" s="18"/>
      <x:c r="D28" s="18"/>
      <x:c r="E28" s="18"/>
      <x:c r="F28" s="21"/>
      <x:c r="G28" s="21"/>
      <x:c r="H28" s="21"/>
      <x:c r="I28" s="21"/>
      <x:c r="J28" s="21" t="str">
        <x:f>IF(A28="","",MAX(0,G28-I28))</x:f>
      </x:c>
      <x:c r="K28" s="20" t="str">
        <x:f>IF(A28="","",IFERROR(I28/G28,""))</x:f>
      </x:c>
      <x:c r="L28" s="21" t="str">
        <x:f>IF(A28="","",G28-F28)</x:f>
      </x:c>
      <x:c r="M28" s="18" t="str">
        <x:f>IF(A28="","",IF(G28=0,"Budget non vote",IF(AND(C28=YEAR(TODAY()),K28&lt;0.25,MONTH(TODAY())&gt;6),"Execution faible","OK")))</x:f>
      </x:c>
      <x:c r="N28" s="18"/>
    </x:row>
    <x:row r="29">
      <x:c r="A29" s="18"/>
      <x:c r="B29" s="18"/>
      <x:c r="C29" s="18"/>
      <x:c r="D29" s="18"/>
      <x:c r="E29" s="18"/>
      <x:c r="F29" s="21"/>
      <x:c r="G29" s="21"/>
      <x:c r="H29" s="21"/>
      <x:c r="I29" s="21"/>
      <x:c r="J29" s="21" t="str">
        <x:f>IF(A29="","",MAX(0,G29-I29))</x:f>
      </x:c>
      <x:c r="K29" s="20" t="str">
        <x:f>IF(A29="","",IFERROR(I29/G29,""))</x:f>
      </x:c>
      <x:c r="L29" s="21" t="str">
        <x:f>IF(A29="","",G29-F29)</x:f>
      </x:c>
      <x:c r="M29" s="18" t="str">
        <x:f>IF(A29="","",IF(G29=0,"Budget non vote",IF(AND(C29=YEAR(TODAY()),K29&lt;0.25,MONTH(TODAY())&gt;6),"Execution faible","OK")))</x:f>
      </x:c>
      <x:c r="N29" s="18"/>
    </x:row>
    <x:row r="30">
      <x:c r="A30" s="18"/>
      <x:c r="B30" s="18"/>
      <x:c r="C30" s="18"/>
      <x:c r="D30" s="18"/>
      <x:c r="E30" s="18"/>
      <x:c r="F30" s="21"/>
      <x:c r="G30" s="21"/>
      <x:c r="H30" s="21"/>
      <x:c r="I30" s="21"/>
      <x:c r="J30" s="21" t="str">
        <x:f>IF(A30="","",MAX(0,G30-I30))</x:f>
      </x:c>
      <x:c r="K30" s="20" t="str">
        <x:f>IF(A30="","",IFERROR(I30/G30,""))</x:f>
      </x:c>
      <x:c r="L30" s="21" t="str">
        <x:f>IF(A30="","",G30-F30)</x:f>
      </x:c>
      <x:c r="M30" s="18" t="str">
        <x:f>IF(A30="","",IF(G30=0,"Budget non vote",IF(AND(C30=YEAR(TODAY()),K30&lt;0.25,MONTH(TODAY())&gt;6),"Execution faible","OK")))</x:f>
      </x:c>
      <x:c r="N30" s="18"/>
    </x:row>
    <x:row r="31">
      <x:c r="A31" s="18"/>
      <x:c r="B31" s="18"/>
      <x:c r="C31" s="18"/>
      <x:c r="D31" s="18"/>
      <x:c r="E31" s="18"/>
      <x:c r="F31" s="21"/>
      <x:c r="G31" s="21"/>
      <x:c r="H31" s="21"/>
      <x:c r="I31" s="21"/>
      <x:c r="J31" s="21" t="str">
        <x:f>IF(A31="","",MAX(0,G31-I31))</x:f>
      </x:c>
      <x:c r="K31" s="20" t="str">
        <x:f>IF(A31="","",IFERROR(I31/G31,""))</x:f>
      </x:c>
      <x:c r="L31" s="21" t="str">
        <x:f>IF(A31="","",G31-F31)</x:f>
      </x:c>
      <x:c r="M31" s="18" t="str">
        <x:f>IF(A31="","",IF(G31=0,"Budget non vote",IF(AND(C31=YEAR(TODAY()),K31&lt;0.25,MONTH(TODAY())&gt;6),"Execution faible","OK")))</x:f>
      </x:c>
      <x:c r="N31" s="18"/>
    </x:row>
    <x:row r="32">
      <x:c r="A32" s="18"/>
      <x:c r="B32" s="18"/>
      <x:c r="C32" s="18"/>
      <x:c r="D32" s="18"/>
      <x:c r="E32" s="18"/>
      <x:c r="F32" s="21"/>
      <x:c r="G32" s="21"/>
      <x:c r="H32" s="21"/>
      <x:c r="I32" s="21"/>
      <x:c r="J32" s="21" t="str">
        <x:f>IF(A32="","",MAX(0,G32-I32))</x:f>
      </x:c>
      <x:c r="K32" s="20" t="str">
        <x:f>IF(A32="","",IFERROR(I32/G32,""))</x:f>
      </x:c>
      <x:c r="L32" s="21" t="str">
        <x:f>IF(A32="","",G32-F32)</x:f>
      </x:c>
      <x:c r="M32" s="18" t="str">
        <x:f>IF(A32="","",IF(G32=0,"Budget non vote",IF(AND(C32=YEAR(TODAY()),K32&lt;0.25,MONTH(TODAY())&gt;6),"Execution faible","OK")))</x:f>
      </x:c>
      <x:c r="N32" s="18"/>
    </x:row>
    <x:row r="33">
      <x:c r="A33" s="18"/>
      <x:c r="B33" s="18"/>
      <x:c r="C33" s="18"/>
      <x:c r="D33" s="18"/>
      <x:c r="E33" s="18"/>
      <x:c r="F33" s="21"/>
      <x:c r="G33" s="21"/>
      <x:c r="H33" s="21"/>
      <x:c r="I33" s="21"/>
      <x:c r="J33" s="21" t="str">
        <x:f>IF(A33="","",MAX(0,G33-I33))</x:f>
      </x:c>
      <x:c r="K33" s="20" t="str">
        <x:f>IF(A33="","",IFERROR(I33/G33,""))</x:f>
      </x:c>
      <x:c r="L33" s="21" t="str">
        <x:f>IF(A33="","",G33-F33)</x:f>
      </x:c>
      <x:c r="M33" s="18" t="str">
        <x:f>IF(A33="","",IF(G33=0,"Budget non vote",IF(AND(C33=YEAR(TODAY()),K33&lt;0.25,MONTH(TODAY())&gt;6),"Execution faible","OK")))</x:f>
      </x:c>
      <x:c r="N33" s="18"/>
    </x:row>
    <x:row r="34">
      <x:c r="A34" s="18"/>
      <x:c r="B34" s="18"/>
      <x:c r="C34" s="18"/>
      <x:c r="D34" s="18"/>
      <x:c r="E34" s="18"/>
      <x:c r="F34" s="21"/>
      <x:c r="G34" s="21"/>
      <x:c r="H34" s="21"/>
      <x:c r="I34" s="21"/>
      <x:c r="J34" s="21" t="str">
        <x:f>IF(A34="","",MAX(0,G34-I34))</x:f>
      </x:c>
      <x:c r="K34" s="20" t="str">
        <x:f>IF(A34="","",IFERROR(I34/G34,""))</x:f>
      </x:c>
      <x:c r="L34" s="21" t="str">
        <x:f>IF(A34="","",G34-F34)</x:f>
      </x:c>
      <x:c r="M34" s="18" t="str">
        <x:f>IF(A34="","",IF(G34=0,"Budget non vote",IF(AND(C34=YEAR(TODAY()),K34&lt;0.25,MONTH(TODAY())&gt;6),"Execution faible","OK")))</x:f>
      </x:c>
      <x:c r="N34" s="18"/>
    </x:row>
    <x:row r="35">
      <x:c r="A35" s="18"/>
      <x:c r="B35" s="18"/>
      <x:c r="C35" s="18"/>
      <x:c r="D35" s="18"/>
      <x:c r="E35" s="18"/>
      <x:c r="F35" s="21"/>
      <x:c r="G35" s="21"/>
      <x:c r="H35" s="21"/>
      <x:c r="I35" s="21"/>
      <x:c r="J35" s="21" t="str">
        <x:f>IF(A35="","",MAX(0,G35-I35))</x:f>
      </x:c>
      <x:c r="K35" s="20" t="str">
        <x:f>IF(A35="","",IFERROR(I35/G35,""))</x:f>
      </x:c>
      <x:c r="L35" s="21" t="str">
        <x:f>IF(A35="","",G35-F35)</x:f>
      </x:c>
      <x:c r="M35" s="18" t="str">
        <x:f>IF(A35="","",IF(G35=0,"Budget non vote",IF(AND(C35=YEAR(TODAY()),K35&lt;0.25,MONTH(TODAY())&gt;6),"Execution faible","OK")))</x:f>
      </x:c>
      <x:c r="N35" s="18"/>
    </x:row>
    <x:row r="36">
      <x:c r="A36" s="18"/>
      <x:c r="B36" s="18"/>
      <x:c r="C36" s="18"/>
      <x:c r="D36" s="18"/>
      <x:c r="E36" s="18"/>
      <x:c r="F36" s="21"/>
      <x:c r="G36" s="21"/>
      <x:c r="H36" s="21"/>
      <x:c r="I36" s="21"/>
      <x:c r="J36" s="21" t="str">
        <x:f>IF(A36="","",MAX(0,G36-I36))</x:f>
      </x:c>
      <x:c r="K36" s="20" t="str">
        <x:f>IF(A36="","",IFERROR(I36/G36,""))</x:f>
      </x:c>
      <x:c r="L36" s="21" t="str">
        <x:f>IF(A36="","",G36-F36)</x:f>
      </x:c>
      <x:c r="M36" s="18" t="str">
        <x:f>IF(A36="","",IF(G36=0,"Budget non vote",IF(AND(C36=YEAR(TODAY()),K36&lt;0.25,MONTH(TODAY())&gt;6),"Execution faible","OK")))</x:f>
      </x:c>
      <x:c r="N36" s="18"/>
    </x:row>
    <x:row r="37">
      <x:c r="A37" s="18"/>
      <x:c r="B37" s="18"/>
      <x:c r="C37" s="18"/>
      <x:c r="D37" s="18"/>
      <x:c r="E37" s="18"/>
      <x:c r="F37" s="21"/>
      <x:c r="G37" s="21"/>
      <x:c r="H37" s="21"/>
      <x:c r="I37" s="21"/>
      <x:c r="J37" s="21" t="str">
        <x:f>IF(A37="","",MAX(0,G37-I37))</x:f>
      </x:c>
      <x:c r="K37" s="20" t="str">
        <x:f>IF(A37="","",IFERROR(I37/G37,""))</x:f>
      </x:c>
      <x:c r="L37" s="21" t="str">
        <x:f>IF(A37="","",G37-F37)</x:f>
      </x:c>
      <x:c r="M37" s="18" t="str">
        <x:f>IF(A37="","",IF(G37=0,"Budget non vote",IF(AND(C37=YEAR(TODAY()),K37&lt;0.25,MONTH(TODAY())&gt;6),"Execution faible","OK")))</x:f>
      </x:c>
      <x:c r="N37" s="18"/>
    </x:row>
    <x:row r="38">
      <x:c r="A38" s="18"/>
      <x:c r="B38" s="18"/>
      <x:c r="C38" s="18"/>
      <x:c r="D38" s="18"/>
      <x:c r="E38" s="18"/>
      <x:c r="F38" s="21"/>
      <x:c r="G38" s="21"/>
      <x:c r="H38" s="21"/>
      <x:c r="I38" s="21"/>
      <x:c r="J38" s="21" t="str">
        <x:f>IF(A38="","",MAX(0,G38-I38))</x:f>
      </x:c>
      <x:c r="K38" s="20" t="str">
        <x:f>IF(A38="","",IFERROR(I38/G38,""))</x:f>
      </x:c>
      <x:c r="L38" s="21" t="str">
        <x:f>IF(A38="","",G38-F38)</x:f>
      </x:c>
      <x:c r="M38" s="18" t="str">
        <x:f>IF(A38="","",IF(G38=0,"Budget non vote",IF(AND(C38=YEAR(TODAY()),K38&lt;0.25,MONTH(TODAY())&gt;6),"Execution faible","OK")))</x:f>
      </x:c>
      <x:c r="N38" s="18"/>
    </x:row>
    <x:row r="39">
      <x:c r="A39" s="18"/>
      <x:c r="B39" s="18"/>
      <x:c r="C39" s="18"/>
      <x:c r="D39" s="18"/>
      <x:c r="E39" s="18"/>
      <x:c r="F39" s="21"/>
      <x:c r="G39" s="21"/>
      <x:c r="H39" s="21"/>
      <x:c r="I39" s="21"/>
      <x:c r="J39" s="21" t="str">
        <x:f>IF(A39="","",MAX(0,G39-I39))</x:f>
      </x:c>
      <x:c r="K39" s="20" t="str">
        <x:f>IF(A39="","",IFERROR(I39/G39,""))</x:f>
      </x:c>
      <x:c r="L39" s="21" t="str">
        <x:f>IF(A39="","",G39-F39)</x:f>
      </x:c>
      <x:c r="M39" s="18" t="str">
        <x:f>IF(A39="","",IF(G39=0,"Budget non vote",IF(AND(C39=YEAR(TODAY()),K39&lt;0.25,MONTH(TODAY())&gt;6),"Execution faible","OK")))</x:f>
      </x:c>
      <x:c r="N39" s="18"/>
    </x:row>
    <x:row r="40">
      <x:c r="A40" s="18"/>
      <x:c r="B40" s="18"/>
      <x:c r="C40" s="18"/>
      <x:c r="D40" s="18"/>
      <x:c r="E40" s="18"/>
      <x:c r="F40" s="21"/>
      <x:c r="G40" s="21"/>
      <x:c r="H40" s="21"/>
      <x:c r="I40" s="21"/>
      <x:c r="J40" s="21" t="str">
        <x:f>IF(A40="","",MAX(0,G40-I40))</x:f>
      </x:c>
      <x:c r="K40" s="20" t="str">
        <x:f>IF(A40="","",IFERROR(I40/G40,""))</x:f>
      </x:c>
      <x:c r="L40" s="21" t="str">
        <x:f>IF(A40="","",G40-F40)</x:f>
      </x:c>
      <x:c r="M40" s="18" t="str">
        <x:f>IF(A40="","",IF(G40=0,"Budget non vote",IF(AND(C40=YEAR(TODAY()),K40&lt;0.25,MONTH(TODAY())&gt;6),"Execution faible","OK")))</x:f>
      </x:c>
      <x:c r="N40" s="18"/>
    </x:row>
    <x:row r="41">
      <x:c r="A41" s="18"/>
      <x:c r="B41" s="18"/>
      <x:c r="C41" s="18"/>
      <x:c r="D41" s="18"/>
      <x:c r="E41" s="18"/>
      <x:c r="F41" s="21"/>
      <x:c r="G41" s="21"/>
      <x:c r="H41" s="21"/>
      <x:c r="I41" s="21"/>
      <x:c r="J41" s="21" t="str">
        <x:f>IF(A41="","",MAX(0,G41-I41))</x:f>
      </x:c>
      <x:c r="K41" s="20" t="str">
        <x:f>IF(A41="","",IFERROR(I41/G41,""))</x:f>
      </x:c>
      <x:c r="L41" s="21" t="str">
        <x:f>IF(A41="","",G41-F41)</x:f>
      </x:c>
      <x:c r="M41" s="18" t="str">
        <x:f>IF(A41="","",IF(G41=0,"Budget non vote",IF(AND(C41=YEAR(TODAY()),K41&lt;0.25,MONTH(TODAY())&gt;6),"Execution faible","OK")))</x:f>
      </x:c>
      <x:c r="N41" s="18"/>
    </x:row>
    <x:row r="42">
      <x:c r="A42" s="18"/>
      <x:c r="B42" s="18"/>
      <x:c r="C42" s="18"/>
      <x:c r="D42" s="18"/>
      <x:c r="E42" s="18"/>
      <x:c r="F42" s="21"/>
      <x:c r="G42" s="21"/>
      <x:c r="H42" s="21"/>
      <x:c r="I42" s="21"/>
      <x:c r="J42" s="21" t="str">
        <x:f>IF(A42="","",MAX(0,G42-I42))</x:f>
      </x:c>
      <x:c r="K42" s="20" t="str">
        <x:f>IF(A42="","",IFERROR(I42/G42,""))</x:f>
      </x:c>
      <x:c r="L42" s="21" t="str">
        <x:f>IF(A42="","",G42-F42)</x:f>
      </x:c>
      <x:c r="M42" s="18" t="str">
        <x:f>IF(A42="","",IF(G42=0,"Budget non vote",IF(AND(C42=YEAR(TODAY()),K42&lt;0.25,MONTH(TODAY())&gt;6),"Execution faible","OK")))</x:f>
      </x:c>
      <x:c r="N42" s="18"/>
    </x:row>
    <x:row r="43">
      <x:c r="A43" s="18"/>
      <x:c r="B43" s="18"/>
      <x:c r="C43" s="18"/>
      <x:c r="D43" s="18"/>
      <x:c r="E43" s="18"/>
      <x:c r="F43" s="21"/>
      <x:c r="G43" s="21"/>
      <x:c r="H43" s="21"/>
      <x:c r="I43" s="21"/>
      <x:c r="J43" s="21" t="str">
        <x:f>IF(A43="","",MAX(0,G43-I43))</x:f>
      </x:c>
      <x:c r="K43" s="20" t="str">
        <x:f>IF(A43="","",IFERROR(I43/G43,""))</x:f>
      </x:c>
      <x:c r="L43" s="21" t="str">
        <x:f>IF(A43="","",G43-F43)</x:f>
      </x:c>
      <x:c r="M43" s="18" t="str">
        <x:f>IF(A43="","",IF(G43=0,"Budget non vote",IF(AND(C43=YEAR(TODAY()),K43&lt;0.25,MONTH(TODAY())&gt;6),"Execution faible","OK")))</x:f>
      </x:c>
      <x:c r="N43" s="18"/>
    </x:row>
    <x:row r="44">
      <x:c r="A44" s="18"/>
      <x:c r="B44" s="18"/>
      <x:c r="C44" s="18"/>
      <x:c r="D44" s="18"/>
      <x:c r="E44" s="18"/>
      <x:c r="F44" s="21"/>
      <x:c r="G44" s="21"/>
      <x:c r="H44" s="21"/>
      <x:c r="I44" s="21"/>
      <x:c r="J44" s="21" t="str">
        <x:f>IF(A44="","",MAX(0,G44-I44))</x:f>
      </x:c>
      <x:c r="K44" s="20" t="str">
        <x:f>IF(A44="","",IFERROR(I44/G44,""))</x:f>
      </x:c>
      <x:c r="L44" s="21" t="str">
        <x:f>IF(A44="","",G44-F44)</x:f>
      </x:c>
      <x:c r="M44" s="18" t="str">
        <x:f>IF(A44="","",IF(G44=0,"Budget non vote",IF(AND(C44=YEAR(TODAY()),K44&lt;0.25,MONTH(TODAY())&gt;6),"Execution faible","OK")))</x:f>
      </x:c>
      <x:c r="N44" s="18"/>
    </x:row>
  </x:sheetData>
  <x:mergeCells>
    <x:mergeCell ref="A1:J1"/>
    <x:mergeCell ref="A2:J2"/>
  </x:mergeCells>
  <x:conditionalFormatting sqref="M5:M44">
    <x:cfRule type="containsText" dxfId="56" priority="1" operator="containsText" text="Retard"/>
    <x:cfRule type="containsText" dxfId="57" priority="2" operator="containsText" text="critique"/>
    <x:cfRule type="containsText" dxfId="58" priority="3" operator="containsText" text="manquant"/>
    <x:cfRule type="containsText" dxfId="59" priority="4" operator="containsText" text="OK"/>
  </x:conditionalFormatting>
  <x:pageMargins left="0.7" right="0.7" top="0.75" bottom="0.75" header="0.3" footer="0.3"/>
  <x:tableParts count="1">
    <x:tablePart xmlns:r="http://schemas.openxmlformats.org/officeDocument/2006/relationships" r:id="R442371e5ca2c45bd"/>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27.5" hidden="0" customWidth="1"/>
    <x:col min="4" max="4" width="18.75" hidden="0" customWidth="1"/>
    <x:col min="5" max="5" width="10" hidden="0" customWidth="1"/>
    <x:col min="6" max="6" width="18.1299991607666" hidden="0" customWidth="1"/>
    <x:col min="7" max="7" width="18.1299991607666" hidden="0" customWidth="1"/>
    <x:col min="8" max="8" width="18.1299991607666" hidden="0" customWidth="1"/>
    <x:col min="9" max="9" width="15" hidden="0" customWidth="1"/>
    <x:col min="10" max="10" width="17.5" hidden="0" customWidth="1"/>
    <x:col min="11" max="11" width="14.380000114440918" hidden="0" customWidth="1"/>
    <x:col min="12" max="12" width="14.380000114440918" hidden="0" customWidth="1"/>
    <x:col min="13" max="13" width="15.630000114440918" hidden="0" customWidth="1"/>
    <x:col min="14" max="14" width="31.25" hidden="0" customWidth="1"/>
    <x:col min="15" max="15" width="19.3799991607666" hidden="0" customWidth="1"/>
  </x:cols>
  <x:sheetData>
    <x:row r="1" ht="25.5" customHeight="1">
      <x:c r="A1" s="2" t="str">
        <x:v>Financements climat</x:v>
      </x:c>
      <x:c r="B1" s="2"/>
      <x:c r="C1" s="2"/>
      <x:c r="D1" s="2"/>
      <x:c r="E1" s="2"/>
      <x:c r="F1" s="2"/>
      <x:c r="G1" s="2"/>
      <x:c r="H1" s="2"/>
      <x:c r="I1" s="2"/>
      <x:c r="J1" s="2"/>
    </x:row>
    <x:row r="2" ht="31.5" customHeight="1">
      <x:c r="A2" s="5" t="str">
        <x:v>Suivi des financements demandes, approuves, decaisses et besoins residuels.</x:v>
      </x:c>
      <x:c r="B2" s="5"/>
      <x:c r="C2" s="5"/>
      <x:c r="D2" s="5"/>
      <x:c r="E2" s="5"/>
      <x:c r="F2" s="5"/>
      <x:c r="G2" s="5"/>
      <x:c r="H2" s="5"/>
      <x:c r="I2" s="5"/>
      <x:c r="J2" s="5"/>
    </x:row>
    <x:row r="4" ht="28.5" customHeight="1">
      <x:c r="A4" s="16" t="str">
        <x:v>Finance_ID</x:v>
      </x:c>
      <x:c r="B4" s="16" t="str">
        <x:v>Project_ID</x:v>
      </x:c>
      <x:c r="C4" s="16" t="str">
        <x:v>Bailleur</x:v>
      </x:c>
      <x:c r="D4" s="16" t="str">
        <x:v>Instrument</x:v>
      </x:c>
      <x:c r="E4" s="16" t="str">
        <x:v>Devise</x:v>
      </x:c>
      <x:c r="F4" s="16" t="str">
        <x:v>Montant_demande</x:v>
      </x:c>
      <x:c r="G4" s="16" t="str">
        <x:v>Montant_approuve</x:v>
      </x:c>
      <x:c r="H4" s="16" t="str">
        <x:v>Montant_decaisse</x:v>
      </x:c>
      <x:c r="I4" s="16" t="str">
        <x:v>Taux_decaissement</x:v>
      </x:c>
      <x:c r="J4" s="16" t="str">
        <x:v>Statut_financement</x:v>
      </x:c>
      <x:c r="K4" s="16" t="str">
        <x:v>Date_soumission</x:v>
      </x:c>
      <x:c r="L4" s="16" t="str">
        <x:v>Date_decision</x:v>
      </x:c>
      <x:c r="M4" s="16" t="str">
        <x:v>Prochaine_echeance</x:v>
      </x:c>
      <x:c r="N4" s="16" t="str">
        <x:v>Conditionnalites</x:v>
      </x:c>
      <x:c r="O4" s="16" t="str">
        <x:v>Alerte_financement</x:v>
      </x:c>
    </x:row>
    <x:row r="5">
      <x:c r="A5" s="18" t="str">
        <x:v>FIN-001</x:v>
      </x:c>
      <x:c r="B5" s="18" t="str">
        <x:v>PRJ-001</x:v>
      </x:c>
      <x:c r="C5" s="18" t="str">
        <x:v>Bailleur energie durable</x:v>
      </x:c>
      <x:c r="D5" s="18" t="str">
        <x:v>Subvention</x:v>
      </x:c>
      <x:c r="E5" s="18" t="str">
        <x:v>XOF</x:v>
      </x:c>
      <x:c r="F5" s="22" t="n">
        <x:v>1500000000</x:v>
      </x:c>
      <x:c r="G5" s="22" t="n">
        <x:v>1100000000</x:v>
      </x:c>
      <x:c r="H5" s="22" t="n">
        <x:v>400000000</x:v>
      </x:c>
      <x:c r="I5" s="20" t="n">
        <x:f>IF(A5="","",IFERROR(H5/G5,""))</x:f>
        <x:v>0.36363636363636365</x:v>
      </x:c>
      <x:c r="J5" s="18" t="str">
        <x:v>Approuve</x:v>
      </x:c>
      <x:c r="K5" s="19" t="n">
        <x:v>45778</x:v>
      </x:c>
      <x:c r="L5" s="19" t="n">
        <x:v>46006</x:v>
      </x:c>
      <x:c r="M5" s="19" t="n">
        <x:v>46203</x:v>
      </x:c>
      <x:c r="N5" s="18" t="str">
        <x:v>Rapport technique semestriel</x:v>
      </x:c>
      <x:c r="O5" s="18" t="str">
        <x:f>IF(A5="","",IF(AND(M5&lt;TODAY(),J5&lt;&gt;"Cloture"),"Echeance financement en retard",IF(G5=0,"Financement critique",IF(I5&lt;0.25,"Decaissement faible","OK"))))</x:f>
        <x:v>OK</x:v>
      </x:c>
    </x:row>
    <x:row r="6">
      <x:c r="A6" s="18" t="str">
        <x:v>FIN-002</x:v>
      </x:c>
      <x:c r="B6" s="18" t="str">
        <x:v>PRJ-002</x:v>
      </x:c>
      <x:c r="C6" s="18" t="str">
        <x:v>Fonds climat dechets</x:v>
      </x:c>
      <x:c r="D6" s="18" t="str">
        <x:v>Subvention</x:v>
      </x:c>
      <x:c r="E6" s="18" t="str">
        <x:v>XOF</x:v>
      </x:c>
      <x:c r="F6" s="22" t="n">
        <x:v>900000000</x:v>
      </x:c>
      <x:c r="G6" s="22" t="n">
        <x:v>350000000</x:v>
      </x:c>
      <x:c r="H6" s="22" t="n">
        <x:v>75000000</x:v>
      </x:c>
      <x:c r="I6" s="20" t="n">
        <x:f>IF(A6="","",IFERROR(H6/G6,""))</x:f>
        <x:v>0.21428571428571427</x:v>
      </x:c>
      <x:c r="J6" s="18" t="str">
        <x:v>Negociation</x:v>
      </x:c>
      <x:c r="K6" s="19" t="n">
        <x:v>46068</x:v>
      </x:c>
      <x:c r="L6" s="19"/>
      <x:c r="M6" s="19" t="n">
        <x:v>46188</x:v>
      </x:c>
      <x:c r="N6" s="18" t="str">
        <x:v>Plan de sauvegarde environnementale</x:v>
      </x:c>
      <x:c r="O6" s="18" t="str">
        <x:f>IF(A6="","",IF(AND(M6&lt;TODAY(),J6&lt;&gt;"Cloture"),"Echeance financement en retard",IF(G6=0,"Financement critique",IF(I6&lt;0.25,"Decaissement faible","OK"))))</x:f>
        <x:v>Decaissement faible</x:v>
      </x:c>
    </x:row>
    <x:row r="7">
      <x:c r="A7" s="18" t="str">
        <x:v>FIN-003</x:v>
      </x:c>
      <x:c r="B7" s="18" t="str">
        <x:v>PRJ-006</x:v>
      </x:c>
      <x:c r="C7" s="18" t="str">
        <x:v>PPP eclairage</x:v>
      </x:c>
      <x:c r="D7" s="18" t="str">
        <x:v>PPP</x:v>
      </x:c>
      <x:c r="E7" s="18" t="str">
        <x:v>XOF</x:v>
      </x:c>
      <x:c r="F7" s="22" t="n">
        <x:v>2100000000</x:v>
      </x:c>
      <x:c r="G7" s="22" t="n">
        <x:v>0</x:v>
      </x:c>
      <x:c r="H7" s="22" t="n">
        <x:v>0</x:v>
      </x:c>
      <x:c r="I7" s="20" t="str">
        <x:f>IF(A7="","",IFERROR(H7/G7,""))</x:f>
      </x:c>
      <x:c r="J7" s="18" t="str">
        <x:v>Prospection</x:v>
      </x:c>
      <x:c r="K7" s="19"/>
      <x:c r="L7" s="19"/>
      <x:c r="M7" s="19" t="n">
        <x:v>46234</x:v>
      </x:c>
      <x:c r="N7" s="18" t="str">
        <x:v>Modele ESCO</x:v>
      </x:c>
      <x:c r="O7" s="18" t="str">
        <x:f>IF(A7="","",IF(AND(M7&lt;TODAY(),J7&lt;&gt;"Cloture"),"Echeance financement en retard",IF(G7=0,"Financement critique",IF(I7&lt;0.25,"Decaissement faible","OK"))))</x:f>
        <x:v>Financement critique</x:v>
      </x:c>
    </x:row>
    <x:row r="8">
      <x:c r="A8" s="18"/>
      <x:c r="B8" s="18"/>
      <x:c r="C8" s="18"/>
      <x:c r="D8" s="18"/>
      <x:c r="E8" s="18"/>
      <x:c r="F8" s="22"/>
      <x:c r="G8" s="22"/>
      <x:c r="H8" s="22"/>
      <x:c r="I8" s="20" t="str">
        <x:f>IF(A8="","",IFERROR(H8/G8,""))</x:f>
      </x:c>
      <x:c r="J8" s="18"/>
      <x:c r="K8" s="19"/>
      <x:c r="L8" s="19"/>
      <x:c r="M8" s="19"/>
      <x:c r="N8" s="18"/>
      <x:c r="O8" s="18" t="str">
        <x:f>IF(A8="","",IF(AND(M8&lt;TODAY(),J8&lt;&gt;"Cloture"),"Echeance financement en retard",IF(G8=0,"Financement critique",IF(I8&lt;0.25,"Decaissement faible","OK"))))</x:f>
      </x:c>
    </x:row>
    <x:row r="9">
      <x:c r="A9" s="18"/>
      <x:c r="B9" s="18"/>
      <x:c r="C9" s="18"/>
      <x:c r="D9" s="18"/>
      <x:c r="E9" s="18"/>
      <x:c r="F9" s="22"/>
      <x:c r="G9" s="22"/>
      <x:c r="H9" s="22"/>
      <x:c r="I9" s="20" t="str">
        <x:f>IF(A9="","",IFERROR(H9/G9,""))</x:f>
      </x:c>
      <x:c r="J9" s="18"/>
      <x:c r="K9" s="19"/>
      <x:c r="L9" s="19"/>
      <x:c r="M9" s="19"/>
      <x:c r="N9" s="18"/>
      <x:c r="O9" s="18" t="str">
        <x:f>IF(A9="","",IF(AND(M9&lt;TODAY(),J9&lt;&gt;"Cloture"),"Echeance financement en retard",IF(G9=0,"Financement critique",IF(I9&lt;0.25,"Decaissement faible","OK"))))</x:f>
      </x:c>
    </x:row>
    <x:row r="10">
      <x:c r="A10" s="18"/>
      <x:c r="B10" s="18"/>
      <x:c r="C10" s="18"/>
      <x:c r="D10" s="18"/>
      <x:c r="E10" s="18"/>
      <x:c r="F10" s="22"/>
      <x:c r="G10" s="22"/>
      <x:c r="H10" s="22"/>
      <x:c r="I10" s="20" t="str">
        <x:f>IF(A10="","",IFERROR(H10/G10,""))</x:f>
      </x:c>
      <x:c r="J10" s="18"/>
      <x:c r="K10" s="19"/>
      <x:c r="L10" s="19"/>
      <x:c r="M10" s="19"/>
      <x:c r="N10" s="18"/>
      <x:c r="O10" s="18" t="str">
        <x:f>IF(A10="","",IF(AND(M10&lt;TODAY(),J10&lt;&gt;"Cloture"),"Echeance financement en retard",IF(G10=0,"Financement critique",IF(I10&lt;0.25,"Decaissement faible","OK"))))</x:f>
      </x:c>
    </x:row>
    <x:row r="11">
      <x:c r="A11" s="18"/>
      <x:c r="B11" s="18"/>
      <x:c r="C11" s="18"/>
      <x:c r="D11" s="18"/>
      <x:c r="E11" s="18"/>
      <x:c r="F11" s="22"/>
      <x:c r="G11" s="22"/>
      <x:c r="H11" s="22"/>
      <x:c r="I11" s="20" t="str">
        <x:f>IF(A11="","",IFERROR(H11/G11,""))</x:f>
      </x:c>
      <x:c r="J11" s="18"/>
      <x:c r="K11" s="19"/>
      <x:c r="L11" s="19"/>
      <x:c r="M11" s="19"/>
      <x:c r="N11" s="18"/>
      <x:c r="O11" s="18" t="str">
        <x:f>IF(A11="","",IF(AND(M11&lt;TODAY(),J11&lt;&gt;"Cloture"),"Echeance financement en retard",IF(G11=0,"Financement critique",IF(I11&lt;0.25,"Decaissement faible","OK"))))</x:f>
      </x:c>
    </x:row>
    <x:row r="12">
      <x:c r="A12" s="18"/>
      <x:c r="B12" s="18"/>
      <x:c r="C12" s="18"/>
      <x:c r="D12" s="18"/>
      <x:c r="E12" s="18"/>
      <x:c r="F12" s="22"/>
      <x:c r="G12" s="22"/>
      <x:c r="H12" s="22"/>
      <x:c r="I12" s="20" t="str">
        <x:f>IF(A12="","",IFERROR(H12/G12,""))</x:f>
      </x:c>
      <x:c r="J12" s="18"/>
      <x:c r="K12" s="19"/>
      <x:c r="L12" s="19"/>
      <x:c r="M12" s="19"/>
      <x:c r="N12" s="18"/>
      <x:c r="O12" s="18" t="str">
        <x:f>IF(A12="","",IF(AND(M12&lt;TODAY(),J12&lt;&gt;"Cloture"),"Echeance financement en retard",IF(G12=0,"Financement critique",IF(I12&lt;0.25,"Decaissement faible","OK"))))</x:f>
      </x:c>
    </x:row>
    <x:row r="13">
      <x:c r="A13" s="18"/>
      <x:c r="B13" s="18"/>
      <x:c r="C13" s="18"/>
      <x:c r="D13" s="18"/>
      <x:c r="E13" s="18"/>
      <x:c r="F13" s="22"/>
      <x:c r="G13" s="22"/>
      <x:c r="H13" s="22"/>
      <x:c r="I13" s="20" t="str">
        <x:f>IF(A13="","",IFERROR(H13/G13,""))</x:f>
      </x:c>
      <x:c r="J13" s="18"/>
      <x:c r="K13" s="19"/>
      <x:c r="L13" s="19"/>
      <x:c r="M13" s="19"/>
      <x:c r="N13" s="18"/>
      <x:c r="O13" s="18" t="str">
        <x:f>IF(A13="","",IF(AND(M13&lt;TODAY(),J13&lt;&gt;"Cloture"),"Echeance financement en retard",IF(G13=0,"Financement critique",IF(I13&lt;0.25,"Decaissement faible","OK"))))</x:f>
      </x:c>
    </x:row>
    <x:row r="14">
      <x:c r="A14" s="18"/>
      <x:c r="B14" s="18"/>
      <x:c r="C14" s="18"/>
      <x:c r="D14" s="18"/>
      <x:c r="E14" s="18"/>
      <x:c r="F14" s="22"/>
      <x:c r="G14" s="22"/>
      <x:c r="H14" s="22"/>
      <x:c r="I14" s="20" t="str">
        <x:f>IF(A14="","",IFERROR(H14/G14,""))</x:f>
      </x:c>
      <x:c r="J14" s="18"/>
      <x:c r="K14" s="19"/>
      <x:c r="L14" s="19"/>
      <x:c r="M14" s="19"/>
      <x:c r="N14" s="18"/>
      <x:c r="O14" s="18" t="str">
        <x:f>IF(A14="","",IF(AND(M14&lt;TODAY(),J14&lt;&gt;"Cloture"),"Echeance financement en retard",IF(G14=0,"Financement critique",IF(I14&lt;0.25,"Decaissement faible","OK"))))</x:f>
      </x:c>
    </x:row>
    <x:row r="15">
      <x:c r="A15" s="18"/>
      <x:c r="B15" s="18"/>
      <x:c r="C15" s="18"/>
      <x:c r="D15" s="18"/>
      <x:c r="E15" s="18"/>
      <x:c r="F15" s="22"/>
      <x:c r="G15" s="22"/>
      <x:c r="H15" s="22"/>
      <x:c r="I15" s="20" t="str">
        <x:f>IF(A15="","",IFERROR(H15/G15,""))</x:f>
      </x:c>
      <x:c r="J15" s="18"/>
      <x:c r="K15" s="19"/>
      <x:c r="L15" s="19"/>
      <x:c r="M15" s="19"/>
      <x:c r="N15" s="18"/>
      <x:c r="O15" s="18" t="str">
        <x:f>IF(A15="","",IF(AND(M15&lt;TODAY(),J15&lt;&gt;"Cloture"),"Echeance financement en retard",IF(G15=0,"Financement critique",IF(I15&lt;0.25,"Decaissement faible","OK"))))</x:f>
      </x:c>
    </x:row>
    <x:row r="16">
      <x:c r="A16" s="18"/>
      <x:c r="B16" s="18"/>
      <x:c r="C16" s="18"/>
      <x:c r="D16" s="18"/>
      <x:c r="E16" s="18"/>
      <x:c r="F16" s="22"/>
      <x:c r="G16" s="22"/>
      <x:c r="H16" s="22"/>
      <x:c r="I16" s="20" t="str">
        <x:f>IF(A16="","",IFERROR(H16/G16,""))</x:f>
      </x:c>
      <x:c r="J16" s="18"/>
      <x:c r="K16" s="19"/>
      <x:c r="L16" s="19"/>
      <x:c r="M16" s="19"/>
      <x:c r="N16" s="18"/>
      <x:c r="O16" s="18" t="str">
        <x:f>IF(A16="","",IF(AND(M16&lt;TODAY(),J16&lt;&gt;"Cloture"),"Echeance financement en retard",IF(G16=0,"Financement critique",IF(I16&lt;0.25,"Decaissement faible","OK"))))</x:f>
      </x:c>
    </x:row>
    <x:row r="17">
      <x:c r="A17" s="18"/>
      <x:c r="B17" s="18"/>
      <x:c r="C17" s="18"/>
      <x:c r="D17" s="18"/>
      <x:c r="E17" s="18"/>
      <x:c r="F17" s="22"/>
      <x:c r="G17" s="22"/>
      <x:c r="H17" s="22"/>
      <x:c r="I17" s="20" t="str">
        <x:f>IF(A17="","",IFERROR(H17/G17,""))</x:f>
      </x:c>
      <x:c r="J17" s="18"/>
      <x:c r="K17" s="19"/>
      <x:c r="L17" s="19"/>
      <x:c r="M17" s="19"/>
      <x:c r="N17" s="18"/>
      <x:c r="O17" s="18" t="str">
        <x:f>IF(A17="","",IF(AND(M17&lt;TODAY(),J17&lt;&gt;"Cloture"),"Echeance financement en retard",IF(G17=0,"Financement critique",IF(I17&lt;0.25,"Decaissement faible","OK"))))</x:f>
      </x:c>
    </x:row>
    <x:row r="18">
      <x:c r="A18" s="18"/>
      <x:c r="B18" s="18"/>
      <x:c r="C18" s="18"/>
      <x:c r="D18" s="18"/>
      <x:c r="E18" s="18"/>
      <x:c r="F18" s="22"/>
      <x:c r="G18" s="22"/>
      <x:c r="H18" s="22"/>
      <x:c r="I18" s="20" t="str">
        <x:f>IF(A18="","",IFERROR(H18/G18,""))</x:f>
      </x:c>
      <x:c r="J18" s="18"/>
      <x:c r="K18" s="19"/>
      <x:c r="L18" s="19"/>
      <x:c r="M18" s="19"/>
      <x:c r="N18" s="18"/>
      <x:c r="O18" s="18" t="str">
        <x:f>IF(A18="","",IF(AND(M18&lt;TODAY(),J18&lt;&gt;"Cloture"),"Echeance financement en retard",IF(G18=0,"Financement critique",IF(I18&lt;0.25,"Decaissement faible","OK"))))</x:f>
      </x:c>
    </x:row>
    <x:row r="19">
      <x:c r="A19" s="18"/>
      <x:c r="B19" s="18"/>
      <x:c r="C19" s="18"/>
      <x:c r="D19" s="18"/>
      <x:c r="E19" s="18"/>
      <x:c r="F19" s="22"/>
      <x:c r="G19" s="22"/>
      <x:c r="H19" s="22"/>
      <x:c r="I19" s="20" t="str">
        <x:f>IF(A19="","",IFERROR(H19/G19,""))</x:f>
      </x:c>
      <x:c r="J19" s="18"/>
      <x:c r="K19" s="19"/>
      <x:c r="L19" s="19"/>
      <x:c r="M19" s="19"/>
      <x:c r="N19" s="18"/>
      <x:c r="O19" s="18" t="str">
        <x:f>IF(A19="","",IF(AND(M19&lt;TODAY(),J19&lt;&gt;"Cloture"),"Echeance financement en retard",IF(G19=0,"Financement critique",IF(I19&lt;0.25,"Decaissement faible","OK"))))</x:f>
      </x:c>
    </x:row>
    <x:row r="20">
      <x:c r="A20" s="18"/>
      <x:c r="B20" s="18"/>
      <x:c r="C20" s="18"/>
      <x:c r="D20" s="18"/>
      <x:c r="E20" s="18"/>
      <x:c r="F20" s="22"/>
      <x:c r="G20" s="22"/>
      <x:c r="H20" s="22"/>
      <x:c r="I20" s="20" t="str">
        <x:f>IF(A20="","",IFERROR(H20/G20,""))</x:f>
      </x:c>
      <x:c r="J20" s="18"/>
      <x:c r="K20" s="19"/>
      <x:c r="L20" s="19"/>
      <x:c r="M20" s="19"/>
      <x:c r="N20" s="18"/>
      <x:c r="O20" s="18" t="str">
        <x:f>IF(A20="","",IF(AND(M20&lt;TODAY(),J20&lt;&gt;"Cloture"),"Echeance financement en retard",IF(G20=0,"Financement critique",IF(I20&lt;0.25,"Decaissement faible","OK"))))</x:f>
      </x:c>
    </x:row>
    <x:row r="21">
      <x:c r="A21" s="18"/>
      <x:c r="B21" s="18"/>
      <x:c r="C21" s="18"/>
      <x:c r="D21" s="18"/>
      <x:c r="E21" s="18"/>
      <x:c r="F21" s="22"/>
      <x:c r="G21" s="22"/>
      <x:c r="H21" s="22"/>
      <x:c r="I21" s="20" t="str">
        <x:f>IF(A21="","",IFERROR(H21/G21,""))</x:f>
      </x:c>
      <x:c r="J21" s="18"/>
      <x:c r="K21" s="19"/>
      <x:c r="L21" s="19"/>
      <x:c r="M21" s="19"/>
      <x:c r="N21" s="18"/>
      <x:c r="O21" s="18" t="str">
        <x:f>IF(A21="","",IF(AND(M21&lt;TODAY(),J21&lt;&gt;"Cloture"),"Echeance financement en retard",IF(G21=0,"Financement critique",IF(I21&lt;0.25,"Decaissement faible","OK"))))</x:f>
      </x:c>
    </x:row>
    <x:row r="22">
      <x:c r="A22" s="18"/>
      <x:c r="B22" s="18"/>
      <x:c r="C22" s="18"/>
      <x:c r="D22" s="18"/>
      <x:c r="E22" s="18"/>
      <x:c r="F22" s="22"/>
      <x:c r="G22" s="22"/>
      <x:c r="H22" s="22"/>
      <x:c r="I22" s="20" t="str">
        <x:f>IF(A22="","",IFERROR(H22/G22,""))</x:f>
      </x:c>
      <x:c r="J22" s="18"/>
      <x:c r="K22" s="19"/>
      <x:c r="L22" s="19"/>
      <x:c r="M22" s="19"/>
      <x:c r="N22" s="18"/>
      <x:c r="O22" s="18" t="str">
        <x:f>IF(A22="","",IF(AND(M22&lt;TODAY(),J22&lt;&gt;"Cloture"),"Echeance financement en retard",IF(G22=0,"Financement critique",IF(I22&lt;0.25,"Decaissement faible","OK"))))</x:f>
      </x:c>
    </x:row>
    <x:row r="23">
      <x:c r="A23" s="18"/>
      <x:c r="B23" s="18"/>
      <x:c r="C23" s="18"/>
      <x:c r="D23" s="18"/>
      <x:c r="E23" s="18"/>
      <x:c r="F23" s="22"/>
      <x:c r="G23" s="22"/>
      <x:c r="H23" s="22"/>
      <x:c r="I23" s="20" t="str">
        <x:f>IF(A23="","",IFERROR(H23/G23,""))</x:f>
      </x:c>
      <x:c r="J23" s="18"/>
      <x:c r="K23" s="19"/>
      <x:c r="L23" s="19"/>
      <x:c r="M23" s="19"/>
      <x:c r="N23" s="18"/>
      <x:c r="O23" s="18" t="str">
        <x:f>IF(A23="","",IF(AND(M23&lt;TODAY(),J23&lt;&gt;"Cloture"),"Echeance financement en retard",IF(G23=0,"Financement critique",IF(I23&lt;0.25,"Decaissement faible","OK"))))</x:f>
      </x:c>
    </x:row>
    <x:row r="24">
      <x:c r="A24" s="18"/>
      <x:c r="B24" s="18"/>
      <x:c r="C24" s="18"/>
      <x:c r="D24" s="18"/>
      <x:c r="E24" s="18"/>
      <x:c r="F24" s="22"/>
      <x:c r="G24" s="22"/>
      <x:c r="H24" s="22"/>
      <x:c r="I24" s="20" t="str">
        <x:f>IF(A24="","",IFERROR(H24/G24,""))</x:f>
      </x:c>
      <x:c r="J24" s="18"/>
      <x:c r="K24" s="19"/>
      <x:c r="L24" s="19"/>
      <x:c r="M24" s="19"/>
      <x:c r="N24" s="18"/>
      <x:c r="O24" s="18" t="str">
        <x:f>IF(A24="","",IF(AND(M24&lt;TODAY(),J24&lt;&gt;"Cloture"),"Echeance financement en retard",IF(G24=0,"Financement critique",IF(I24&lt;0.25,"Decaissement faible","OK"))))</x:f>
      </x:c>
    </x:row>
    <x:row r="25">
      <x:c r="A25" s="18"/>
      <x:c r="B25" s="18"/>
      <x:c r="C25" s="18"/>
      <x:c r="D25" s="18"/>
      <x:c r="E25" s="18"/>
      <x:c r="F25" s="22"/>
      <x:c r="G25" s="22"/>
      <x:c r="H25" s="22"/>
      <x:c r="I25" s="20" t="str">
        <x:f>IF(A25="","",IFERROR(H25/G25,""))</x:f>
      </x:c>
      <x:c r="J25" s="18"/>
      <x:c r="K25" s="19"/>
      <x:c r="L25" s="19"/>
      <x:c r="M25" s="19"/>
      <x:c r="N25" s="18"/>
      <x:c r="O25" s="18" t="str">
        <x:f>IF(A25="","",IF(AND(M25&lt;TODAY(),J25&lt;&gt;"Cloture"),"Echeance financement en retard",IF(G25=0,"Financement critique",IF(I25&lt;0.25,"Decaissement faible","OK"))))</x:f>
      </x:c>
    </x:row>
    <x:row r="26">
      <x:c r="A26" s="18"/>
      <x:c r="B26" s="18"/>
      <x:c r="C26" s="18"/>
      <x:c r="D26" s="18"/>
      <x:c r="E26" s="18"/>
      <x:c r="F26" s="22"/>
      <x:c r="G26" s="22"/>
      <x:c r="H26" s="22"/>
      <x:c r="I26" s="20" t="str">
        <x:f>IF(A26="","",IFERROR(H26/G26,""))</x:f>
      </x:c>
      <x:c r="J26" s="18"/>
      <x:c r="K26" s="19"/>
      <x:c r="L26" s="19"/>
      <x:c r="M26" s="19"/>
      <x:c r="N26" s="18"/>
      <x:c r="O26" s="18" t="str">
        <x:f>IF(A26="","",IF(AND(M26&lt;TODAY(),J26&lt;&gt;"Cloture"),"Echeance financement en retard",IF(G26=0,"Financement critique",IF(I26&lt;0.25,"Decaissement faible","OK"))))</x:f>
      </x:c>
    </x:row>
    <x:row r="27">
      <x:c r="A27" s="18"/>
      <x:c r="B27" s="18"/>
      <x:c r="C27" s="18"/>
      <x:c r="D27" s="18"/>
      <x:c r="E27" s="18"/>
      <x:c r="F27" s="22"/>
      <x:c r="G27" s="22"/>
      <x:c r="H27" s="22"/>
      <x:c r="I27" s="20" t="str">
        <x:f>IF(A27="","",IFERROR(H27/G27,""))</x:f>
      </x:c>
      <x:c r="J27" s="18"/>
      <x:c r="K27" s="19"/>
      <x:c r="L27" s="19"/>
      <x:c r="M27" s="19"/>
      <x:c r="N27" s="18"/>
      <x:c r="O27" s="18" t="str">
        <x:f>IF(A27="","",IF(AND(M27&lt;TODAY(),J27&lt;&gt;"Cloture"),"Echeance financement en retard",IF(G27=0,"Financement critique",IF(I27&lt;0.25,"Decaissement faible","OK"))))</x:f>
      </x:c>
    </x:row>
    <x:row r="28">
      <x:c r="A28" s="18"/>
      <x:c r="B28" s="18"/>
      <x:c r="C28" s="18"/>
      <x:c r="D28" s="18"/>
      <x:c r="E28" s="18"/>
      <x:c r="F28" s="22"/>
      <x:c r="G28" s="22"/>
      <x:c r="H28" s="22"/>
      <x:c r="I28" s="20" t="str">
        <x:f>IF(A28="","",IFERROR(H28/G28,""))</x:f>
      </x:c>
      <x:c r="J28" s="18"/>
      <x:c r="K28" s="19"/>
      <x:c r="L28" s="19"/>
      <x:c r="M28" s="19"/>
      <x:c r="N28" s="18"/>
      <x:c r="O28" s="18" t="str">
        <x:f>IF(A28="","",IF(AND(M28&lt;TODAY(),J28&lt;&gt;"Cloture"),"Echeance financement en retard",IF(G28=0,"Financement critique",IF(I28&lt;0.25,"Decaissement faible","OK"))))</x:f>
      </x:c>
    </x:row>
    <x:row r="29">
      <x:c r="A29" s="18"/>
      <x:c r="B29" s="18"/>
      <x:c r="C29" s="18"/>
      <x:c r="D29" s="18"/>
      <x:c r="E29" s="18"/>
      <x:c r="F29" s="22"/>
      <x:c r="G29" s="22"/>
      <x:c r="H29" s="22"/>
      <x:c r="I29" s="20" t="str">
        <x:f>IF(A29="","",IFERROR(H29/G29,""))</x:f>
      </x:c>
      <x:c r="J29" s="18"/>
      <x:c r="K29" s="19"/>
      <x:c r="L29" s="19"/>
      <x:c r="M29" s="19"/>
      <x:c r="N29" s="18"/>
      <x:c r="O29" s="18" t="str">
        <x:f>IF(A29="","",IF(AND(M29&lt;TODAY(),J29&lt;&gt;"Cloture"),"Echeance financement en retard",IF(G29=0,"Financement critique",IF(I29&lt;0.25,"Decaissement faible","OK"))))</x:f>
      </x:c>
    </x:row>
    <x:row r="30">
      <x:c r="A30" s="18"/>
      <x:c r="B30" s="18"/>
      <x:c r="C30" s="18"/>
      <x:c r="D30" s="18"/>
      <x:c r="E30" s="18"/>
      <x:c r="F30" s="22"/>
      <x:c r="G30" s="22"/>
      <x:c r="H30" s="22"/>
      <x:c r="I30" s="20" t="str">
        <x:f>IF(A30="","",IFERROR(H30/G30,""))</x:f>
      </x:c>
      <x:c r="J30" s="18"/>
      <x:c r="K30" s="19"/>
      <x:c r="L30" s="19"/>
      <x:c r="M30" s="19"/>
      <x:c r="N30" s="18"/>
      <x:c r="O30" s="18" t="str">
        <x:f>IF(A30="","",IF(AND(M30&lt;TODAY(),J30&lt;&gt;"Cloture"),"Echeance financement en retard",IF(G30=0,"Financement critique",IF(I30&lt;0.25,"Decaissement faible","OK"))))</x:f>
      </x:c>
    </x:row>
    <x:row r="31">
      <x:c r="A31" s="18"/>
      <x:c r="B31" s="18"/>
      <x:c r="C31" s="18"/>
      <x:c r="D31" s="18"/>
      <x:c r="E31" s="18"/>
      <x:c r="F31" s="22"/>
      <x:c r="G31" s="22"/>
      <x:c r="H31" s="22"/>
      <x:c r="I31" s="20" t="str">
        <x:f>IF(A31="","",IFERROR(H31/G31,""))</x:f>
      </x:c>
      <x:c r="J31" s="18"/>
      <x:c r="K31" s="19"/>
      <x:c r="L31" s="19"/>
      <x:c r="M31" s="19"/>
      <x:c r="N31" s="18"/>
      <x:c r="O31" s="18" t="str">
        <x:f>IF(A31="","",IF(AND(M31&lt;TODAY(),J31&lt;&gt;"Cloture"),"Echeance financement en retard",IF(G31=0,"Financement critique",IF(I31&lt;0.25,"Decaissement faible","OK"))))</x:f>
      </x:c>
    </x:row>
    <x:row r="32">
      <x:c r="A32" s="18"/>
      <x:c r="B32" s="18"/>
      <x:c r="C32" s="18"/>
      <x:c r="D32" s="18"/>
      <x:c r="E32" s="18"/>
      <x:c r="F32" s="22"/>
      <x:c r="G32" s="22"/>
      <x:c r="H32" s="22"/>
      <x:c r="I32" s="20" t="str">
        <x:f>IF(A32="","",IFERROR(H32/G32,""))</x:f>
      </x:c>
      <x:c r="J32" s="18"/>
      <x:c r="K32" s="19"/>
      <x:c r="L32" s="19"/>
      <x:c r="M32" s="19"/>
      <x:c r="N32" s="18"/>
      <x:c r="O32" s="18" t="str">
        <x:f>IF(A32="","",IF(AND(M32&lt;TODAY(),J32&lt;&gt;"Cloture"),"Echeance financement en retard",IF(G32=0,"Financement critique",IF(I32&lt;0.25,"Decaissement faible","OK"))))</x:f>
      </x:c>
    </x:row>
    <x:row r="33">
      <x:c r="A33" s="18"/>
      <x:c r="B33" s="18"/>
      <x:c r="C33" s="18"/>
      <x:c r="D33" s="18"/>
      <x:c r="E33" s="18"/>
      <x:c r="F33" s="22"/>
      <x:c r="G33" s="22"/>
      <x:c r="H33" s="22"/>
      <x:c r="I33" s="20" t="str">
        <x:f>IF(A33="","",IFERROR(H33/G33,""))</x:f>
      </x:c>
      <x:c r="J33" s="18"/>
      <x:c r="K33" s="19"/>
      <x:c r="L33" s="19"/>
      <x:c r="M33" s="19"/>
      <x:c r="N33" s="18"/>
      <x:c r="O33" s="18" t="str">
        <x:f>IF(A33="","",IF(AND(M33&lt;TODAY(),J33&lt;&gt;"Cloture"),"Echeance financement en retard",IF(G33=0,"Financement critique",IF(I33&lt;0.25,"Decaissement faible","OK"))))</x:f>
      </x:c>
    </x:row>
    <x:row r="34">
      <x:c r="A34" s="18"/>
      <x:c r="B34" s="18"/>
      <x:c r="C34" s="18"/>
      <x:c r="D34" s="18"/>
      <x:c r="E34" s="18"/>
      <x:c r="F34" s="22"/>
      <x:c r="G34" s="22"/>
      <x:c r="H34" s="22"/>
      <x:c r="I34" s="20" t="str">
        <x:f>IF(A34="","",IFERROR(H34/G34,""))</x:f>
      </x:c>
      <x:c r="J34" s="18"/>
      <x:c r="K34" s="19"/>
      <x:c r="L34" s="19"/>
      <x:c r="M34" s="19"/>
      <x:c r="N34" s="18"/>
      <x:c r="O34" s="18" t="str">
        <x:f>IF(A34="","",IF(AND(M34&lt;TODAY(),J34&lt;&gt;"Cloture"),"Echeance financement en retard",IF(G34=0,"Financement critique",IF(I34&lt;0.25,"Decaissement faible","OK"))))</x:f>
      </x:c>
    </x:row>
    <x:row r="35">
      <x:c r="A35" s="18"/>
      <x:c r="B35" s="18"/>
      <x:c r="C35" s="18"/>
      <x:c r="D35" s="18"/>
      <x:c r="E35" s="18"/>
      <x:c r="F35" s="22"/>
      <x:c r="G35" s="22"/>
      <x:c r="H35" s="22"/>
      <x:c r="I35" s="20" t="str">
        <x:f>IF(A35="","",IFERROR(H35/G35,""))</x:f>
      </x:c>
      <x:c r="J35" s="18"/>
      <x:c r="K35" s="19"/>
      <x:c r="L35" s="19"/>
      <x:c r="M35" s="19"/>
      <x:c r="N35" s="18"/>
      <x:c r="O35" s="18" t="str">
        <x:f>IF(A35="","",IF(AND(M35&lt;TODAY(),J35&lt;&gt;"Cloture"),"Echeance financement en retard",IF(G35=0,"Financement critique",IF(I35&lt;0.25,"Decaissement faible","OK"))))</x:f>
      </x:c>
    </x:row>
    <x:row r="36">
      <x:c r="A36" s="18"/>
      <x:c r="B36" s="18"/>
      <x:c r="C36" s="18"/>
      <x:c r="D36" s="18"/>
      <x:c r="E36" s="18"/>
      <x:c r="F36" s="22"/>
      <x:c r="G36" s="22"/>
      <x:c r="H36" s="22"/>
      <x:c r="I36" s="20" t="str">
        <x:f>IF(A36="","",IFERROR(H36/G36,""))</x:f>
      </x:c>
      <x:c r="J36" s="18"/>
      <x:c r="K36" s="19"/>
      <x:c r="L36" s="19"/>
      <x:c r="M36" s="19"/>
      <x:c r="N36" s="18"/>
      <x:c r="O36" s="18" t="str">
        <x:f>IF(A36="","",IF(AND(M36&lt;TODAY(),J36&lt;&gt;"Cloture"),"Echeance financement en retard",IF(G36=0,"Financement critique",IF(I36&lt;0.25,"Decaissement faible","OK"))))</x:f>
      </x:c>
    </x:row>
    <x:row r="37">
      <x:c r="A37" s="18"/>
      <x:c r="B37" s="18"/>
      <x:c r="C37" s="18"/>
      <x:c r="D37" s="18"/>
      <x:c r="E37" s="18"/>
      <x:c r="F37" s="22"/>
      <x:c r="G37" s="22"/>
      <x:c r="H37" s="22"/>
      <x:c r="I37" s="20" t="str">
        <x:f>IF(A37="","",IFERROR(H37/G37,""))</x:f>
      </x:c>
      <x:c r="J37" s="18"/>
      <x:c r="K37" s="19"/>
      <x:c r="L37" s="19"/>
      <x:c r="M37" s="19"/>
      <x:c r="N37" s="18"/>
      <x:c r="O37" s="18" t="str">
        <x:f>IF(A37="","",IF(AND(M37&lt;TODAY(),J37&lt;&gt;"Cloture"),"Echeance financement en retard",IF(G37=0,"Financement critique",IF(I37&lt;0.25,"Decaissement faible","OK"))))</x:f>
      </x:c>
    </x:row>
    <x:row r="38">
      <x:c r="A38" s="18"/>
      <x:c r="B38" s="18"/>
      <x:c r="C38" s="18"/>
      <x:c r="D38" s="18"/>
      <x:c r="E38" s="18"/>
      <x:c r="F38" s="22"/>
      <x:c r="G38" s="22"/>
      <x:c r="H38" s="22"/>
      <x:c r="I38" s="20" t="str">
        <x:f>IF(A38="","",IFERROR(H38/G38,""))</x:f>
      </x:c>
      <x:c r="J38" s="18"/>
      <x:c r="K38" s="19"/>
      <x:c r="L38" s="19"/>
      <x:c r="M38" s="19"/>
      <x:c r="N38" s="18"/>
      <x:c r="O38" s="18" t="str">
        <x:f>IF(A38="","",IF(AND(M38&lt;TODAY(),J38&lt;&gt;"Cloture"),"Echeance financement en retard",IF(G38=0,"Financement critique",IF(I38&lt;0.25,"Decaissement faible","OK"))))</x:f>
      </x:c>
    </x:row>
    <x:row r="39">
      <x:c r="A39" s="18"/>
      <x:c r="B39" s="18"/>
      <x:c r="C39" s="18"/>
      <x:c r="D39" s="18"/>
      <x:c r="E39" s="18"/>
      <x:c r="F39" s="22"/>
      <x:c r="G39" s="22"/>
      <x:c r="H39" s="22"/>
      <x:c r="I39" s="20" t="str">
        <x:f>IF(A39="","",IFERROR(H39/G39,""))</x:f>
      </x:c>
      <x:c r="J39" s="18"/>
      <x:c r="K39" s="19"/>
      <x:c r="L39" s="19"/>
      <x:c r="M39" s="19"/>
      <x:c r="N39" s="18"/>
      <x:c r="O39" s="18" t="str">
        <x:f>IF(A39="","",IF(AND(M39&lt;TODAY(),J39&lt;&gt;"Cloture"),"Echeance financement en retard",IF(G39=0,"Financement critique",IF(I39&lt;0.25,"Decaissement faible","OK"))))</x:f>
      </x:c>
    </x:row>
    <x:row r="40">
      <x:c r="A40" s="18"/>
      <x:c r="B40" s="18"/>
      <x:c r="C40" s="18"/>
      <x:c r="D40" s="18"/>
      <x:c r="E40" s="18"/>
      <x:c r="F40" s="22"/>
      <x:c r="G40" s="22"/>
      <x:c r="H40" s="22"/>
      <x:c r="I40" s="20" t="str">
        <x:f>IF(A40="","",IFERROR(H40/G40,""))</x:f>
      </x:c>
      <x:c r="J40" s="18"/>
      <x:c r="K40" s="19"/>
      <x:c r="L40" s="19"/>
      <x:c r="M40" s="19"/>
      <x:c r="N40" s="18"/>
      <x:c r="O40" s="18" t="str">
        <x:f>IF(A40="","",IF(AND(M40&lt;TODAY(),J40&lt;&gt;"Cloture"),"Echeance financement en retard",IF(G40=0,"Financement critique",IF(I40&lt;0.25,"Decaissement faible","OK"))))</x:f>
      </x:c>
    </x:row>
    <x:row r="41">
      <x:c r="A41" s="18"/>
      <x:c r="B41" s="18"/>
      <x:c r="C41" s="18"/>
      <x:c r="D41" s="18"/>
      <x:c r="E41" s="18"/>
      <x:c r="F41" s="22"/>
      <x:c r="G41" s="22"/>
      <x:c r="H41" s="22"/>
      <x:c r="I41" s="20" t="str">
        <x:f>IF(A41="","",IFERROR(H41/G41,""))</x:f>
      </x:c>
      <x:c r="J41" s="18"/>
      <x:c r="K41" s="19"/>
      <x:c r="L41" s="19"/>
      <x:c r="M41" s="19"/>
      <x:c r="N41" s="18"/>
      <x:c r="O41" s="18" t="str">
        <x:f>IF(A41="","",IF(AND(M41&lt;TODAY(),J41&lt;&gt;"Cloture"),"Echeance financement en retard",IF(G41=0,"Financement critique",IF(I41&lt;0.25,"Decaissement faible","OK"))))</x:f>
      </x:c>
    </x:row>
    <x:row r="42">
      <x:c r="A42" s="18"/>
      <x:c r="B42" s="18"/>
      <x:c r="C42" s="18"/>
      <x:c r="D42" s="18"/>
      <x:c r="E42" s="18"/>
      <x:c r="F42" s="22"/>
      <x:c r="G42" s="22"/>
      <x:c r="H42" s="22"/>
      <x:c r="I42" s="20" t="str">
        <x:f>IF(A42="","",IFERROR(H42/G42,""))</x:f>
      </x:c>
      <x:c r="J42" s="18"/>
      <x:c r="K42" s="19"/>
      <x:c r="L42" s="19"/>
      <x:c r="M42" s="19"/>
      <x:c r="N42" s="18"/>
      <x:c r="O42" s="18" t="str">
        <x:f>IF(A42="","",IF(AND(M42&lt;TODAY(),J42&lt;&gt;"Cloture"),"Echeance financement en retard",IF(G42=0,"Financement critique",IF(I42&lt;0.25,"Decaissement faible","OK"))))</x:f>
      </x:c>
    </x:row>
    <x:row r="43">
      <x:c r="A43" s="18"/>
      <x:c r="B43" s="18"/>
      <x:c r="C43" s="18"/>
      <x:c r="D43" s="18"/>
      <x:c r="E43" s="18"/>
      <x:c r="F43" s="22"/>
      <x:c r="G43" s="22"/>
      <x:c r="H43" s="22"/>
      <x:c r="I43" s="20" t="str">
        <x:f>IF(A43="","",IFERROR(H43/G43,""))</x:f>
      </x:c>
      <x:c r="J43" s="18"/>
      <x:c r="K43" s="19"/>
      <x:c r="L43" s="19"/>
      <x:c r="M43" s="19"/>
      <x:c r="N43" s="18"/>
      <x:c r="O43" s="18" t="str">
        <x:f>IF(A43="","",IF(AND(M43&lt;TODAY(),J43&lt;&gt;"Cloture"),"Echeance financement en retard",IF(G43=0,"Financement critique",IF(I43&lt;0.25,"Decaissement faible","OK"))))</x:f>
      </x:c>
    </x:row>
    <x:row r="44">
      <x:c r="A44" s="18"/>
      <x:c r="B44" s="18"/>
      <x:c r="C44" s="18"/>
      <x:c r="D44" s="18"/>
      <x:c r="E44" s="18"/>
      <x:c r="F44" s="22"/>
      <x:c r="G44" s="22"/>
      <x:c r="H44" s="22"/>
      <x:c r="I44" s="20" t="str">
        <x:f>IF(A44="","",IFERROR(H44/G44,""))</x:f>
      </x:c>
      <x:c r="J44" s="18"/>
      <x:c r="K44" s="19"/>
      <x:c r="L44" s="19"/>
      <x:c r="M44" s="19"/>
      <x:c r="N44" s="18"/>
      <x:c r="O44" s="18" t="str">
        <x:f>IF(A44="","",IF(AND(M44&lt;TODAY(),J44&lt;&gt;"Cloture"),"Echeance financement en retard",IF(G44=0,"Financement critique",IF(I44&lt;0.25,"Decaissement faible","OK"))))</x:f>
      </x:c>
    </x:row>
  </x:sheetData>
  <x:mergeCells>
    <x:mergeCell ref="A1:J1"/>
    <x:mergeCell ref="A2:J2"/>
  </x:mergeCells>
  <x:conditionalFormatting sqref="O5:O44">
    <x:cfRule type="containsText" dxfId="60" priority="1" operator="containsText" text="Retard"/>
    <x:cfRule type="containsText" dxfId="61" priority="2" operator="containsText" text="critique"/>
    <x:cfRule type="containsText" dxfId="62" priority="3" operator="containsText" text="manquant"/>
    <x:cfRule type="containsText" dxfId="63" priority="4" operator="containsText" text="OK"/>
  </x:conditionalFormatting>
  <x:dataValidations count="3">
    <x:dataValidation type="list" errorStyle="warning" showInputMessage="1" showErrorMessage="1" errorTitle="Valeur inattendue" error="Cette colonne utilise une liste controlee." promptTitle="Liste controlee" prompt="Choisir une valeur dans la liste." sqref="D5:D44">
      <x:formula1>"Subvention,Pret concessionnel,Budget municipal,PPP,Assistance technique,Don,Fonds climat"</x:formula1>
    </x:dataValidation>
    <x:dataValidation type="list" errorStyle="warning" showInputMessage="1" showErrorMessage="1" errorTitle="Valeur inattendue" error="Cette colonne utilise une liste controlee." promptTitle="Liste controlee" prompt="Choisir une valeur dans la liste." sqref="E5:E44">
      <x:formula1>"XOF,EUR,USD"</x:formula1>
    </x:dataValidation>
    <x:dataValidation type="list" errorStyle="warning" showInputMessage="1" showErrorMessage="1" errorTitle="Valeur inattendue" error="Cette colonne utilise une liste controlee." promptTitle="Liste controlee" prompt="Choisir une valeur dans la liste." sqref="J5:J44">
      <x:formula1>"Prospection,Soumis,Negociation,Approuve,Rejete,Decaisse,Cloture"</x:formula1>
    </x:dataValidation>
  </x:dataValidations>
  <x:pageMargins left="0.7" right="0.7" top="0.75" bottom="0.75" header="0.3" footer="0.3"/>
  <x:tableParts count="1">
    <x:tablePart xmlns:r="http://schemas.openxmlformats.org/officeDocument/2006/relationships" r:id="R46c056a76abc472c"/>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130000114440918" hidden="0" customWidth="1"/>
    <x:col min="3" max="3" width="15" hidden="0" customWidth="1"/>
    <x:col min="4" max="4" width="33.75" hidden="0" customWidth="1"/>
    <x:col min="5" max="5" width="14.380000114440918" hidden="0" customWidth="1"/>
    <x:col min="6" max="6" width="12.5" hidden="0" customWidth="1"/>
    <x:col min="7" max="7" width="10" hidden="0" customWidth="1"/>
    <x:col min="8" max="8" width="16.8799991607666" hidden="0" customWidth="1"/>
    <x:col min="9" max="9" width="32.5" hidden="0" customWidth="1"/>
    <x:col min="10" max="10" width="21.25" hidden="0" customWidth="1"/>
    <x:col min="11" max="11" width="14.380000114440918" hidden="0" customWidth="1"/>
    <x:col min="12" max="12" width="15" hidden="0" customWidth="1"/>
    <x:col min="13" max="13" width="18.1299991607666" hidden="0" customWidth="1"/>
  </x:cols>
  <x:sheetData>
    <x:row r="1" ht="25.5" customHeight="1">
      <x:c r="A1" s="2" t="str">
        <x:v>Risques et hypotheses</x:v>
      </x:c>
      <x:c r="B1" s="2"/>
      <x:c r="C1" s="2"/>
      <x:c r="D1" s="2"/>
      <x:c r="E1" s="2"/>
      <x:c r="F1" s="2"/>
      <x:c r="G1" s="2"/>
      <x:c r="H1" s="2"/>
      <x:c r="I1" s="2"/>
      <x:c r="J1" s="2"/>
    </x:row>
    <x:row r="2" ht="31.5" customHeight="1">
      <x:c r="A2" s="5" t="str">
        <x:v>Registre des risques, scores, mesures de mitigation et alertes.</x:v>
      </x:c>
      <x:c r="B2" s="5"/>
      <x:c r="C2" s="5"/>
      <x:c r="D2" s="5"/>
      <x:c r="E2" s="5"/>
      <x:c r="F2" s="5"/>
      <x:c r="G2" s="5"/>
      <x:c r="H2" s="5"/>
      <x:c r="I2" s="5"/>
      <x:c r="J2" s="5"/>
    </x:row>
    <x:row r="4" ht="28.5" customHeight="1">
      <x:c r="A4" s="16" t="str">
        <x:v>Risque_ID</x:v>
      </x:c>
      <x:c r="B4" s="16" t="str">
        <x:v>Project_ID</x:v>
      </x:c>
      <x:c r="C4" s="16" t="str">
        <x:v>Domaine</x:v>
      </x:c>
      <x:c r="D4" s="16" t="str">
        <x:v>Risque</x:v>
      </x:c>
      <x:c r="E4" s="16" t="str">
        <x:v>Probabilite</x:v>
      </x:c>
      <x:c r="F4" s="16" t="str">
        <x:v>Impact</x:v>
      </x:c>
      <x:c r="G4" s="16" t="str">
        <x:v>Score</x:v>
      </x:c>
      <x:c r="H4" s="16" t="str">
        <x:v>Niveau_criticite</x:v>
      </x:c>
      <x:c r="I4" s="16" t="str">
        <x:v>Mesure_mitigation</x:v>
      </x:c>
      <x:c r="J4" s="16" t="str">
        <x:v>Responsable</x:v>
      </x:c>
      <x:c r="K4" s="16" t="str">
        <x:v>Echeance</x:v>
      </x:c>
      <x:c r="L4" s="16" t="str">
        <x:v>Statut</x:v>
      </x:c>
      <x:c r="M4" s="16" t="str">
        <x:v>Alerte</x:v>
      </x:c>
    </x:row>
    <x:row r="5">
      <x:c r="A5" s="18" t="str">
        <x:v>RSK-001</x:v>
      </x:c>
      <x:c r="B5" s="18" t="str">
        <x:v>PRJ-004</x:v>
      </x:c>
      <x:c r="C5" s="18" t="str">
        <x:v>Financement</x:v>
      </x:c>
      <x:c r="D5" s="18" t="str">
        <x:v>Bouclage financier insuffisant</x:v>
      </x:c>
      <x:c r="E5" s="18" t="str">
        <x:v>Elevee</x:v>
      </x:c>
      <x:c r="F5" s="18" t="str">
        <x:v>Eleve</x:v>
      </x:c>
      <x:c r="G5" s="18" t="n">
        <x:f>IF(A5="","",SWITCH(E5,"Faible",1,"Moyenne",2,"Elevee",3,0)*SWITCH(F5,"Faible",1,"Moyen",2,"Eleve",3,0))</x:f>
        <x:v>9</x:v>
      </x:c>
      <x:c r="H5" s="18" t="str">
        <x:f>IF(A5="","",IF(G5&gt;=6,"Critique",IF(G5&gt;=3,"Modere","Faible")))</x:f>
        <x:v>Critique</x:v>
      </x:c>
      <x:c r="I5" s="18" t="str">
        <x:v>Structurer un paquet bailleurs</x:v>
      </x:c>
      <x:c r="J5" s="18" t="str">
        <x:v>Direction Finance</x:v>
      </x:c>
      <x:c r="K5" s="19" t="n">
        <x:v>46213</x:v>
      </x:c>
      <x:c r="L5" s="18" t="str">
        <x:v>Ouvert</x:v>
      </x:c>
      <x:c r="M5" s="18" t="str">
        <x:f>IF(A5="","",IF(AND(K5&lt;TODAY(),L5&lt;&gt;"Clos"),"Retard",IF(H5="Critique","Risque critique","OK")))</x:f>
        <x:v>Risque critique</x:v>
      </x:c>
    </x:row>
    <x:row r="6">
      <x:c r="A6" s="18" t="str">
        <x:v>RSK-002</x:v>
      </x:c>
      <x:c r="B6" s="18" t="str">
        <x:v>PRJ-005</x:v>
      </x:c>
      <x:c r="C6" s="18" t="str">
        <x:v>Donnees</x:v>
      </x:c>
      <x:c r="D6" s="18" t="str">
        <x:v>Calibration insuffisante des capteurs</x:v>
      </x:c>
      <x:c r="E6" s="18" t="str">
        <x:v>Moyenne</x:v>
      </x:c>
      <x:c r="F6" s="18" t="str">
        <x:v>Moyen</x:v>
      </x:c>
      <x:c r="G6" s="18" t="n">
        <x:f>IF(A6="","",SWITCH(E6,"Faible",1,"Moyenne",2,"Elevee",3,0)*SWITCH(F6,"Faible",1,"Moyen",2,"Eleve",3,0))</x:f>
        <x:v>4</x:v>
      </x:c>
      <x:c r="H6" s="18" t="str">
        <x:f>IF(A6="","",IF(G6&gt;=6,"Critique",IF(G6&gt;=3,"Modere","Faible")))</x:f>
        <x:v>Modere</x:v>
      </x:c>
      <x:c r="I6" s="18" t="str">
        <x:v>Protocole de calibration trimestriel</x:v>
      </x:c>
      <x:c r="J6" s="18" t="str">
        <x:v>Direction Environnement</x:v>
      </x:c>
      <x:c r="K6" s="19" t="n">
        <x:v>46183</x:v>
      </x:c>
      <x:c r="L6" s="18" t="str">
        <x:v>Ouvert</x:v>
      </x:c>
      <x:c r="M6" s="18" t="str">
        <x:f>IF(A6="","",IF(AND(K6&lt;TODAY(),L6&lt;&gt;"Clos"),"Retard",IF(H6="Critique","Risque critique","OK")))</x:f>
        <x:v>OK</x:v>
      </x:c>
    </x:row>
    <x:row r="7">
      <x:c r="A7" s="18" t="str">
        <x:v>RSK-003</x:v>
      </x:c>
      <x:c r="B7" s="18" t="str">
        <x:v>PRJ-003</x:v>
      </x:c>
      <x:c r="C7" s="18" t="str">
        <x:v>Social</x:v>
      </x:c>
      <x:c r="D7" s="18" t="str">
        <x:v>Acceptabilite locale des amenagements</x:v>
      </x:c>
      <x:c r="E7" s="18" t="str">
        <x:v>Moyenne</x:v>
      </x:c>
      <x:c r="F7" s="18" t="str">
        <x:v>Eleve</x:v>
      </x:c>
      <x:c r="G7" s="18" t="n">
        <x:f>IF(A7="","",SWITCH(E7,"Faible",1,"Moyenne",2,"Elevee",3,0)*SWITCH(F7,"Faible",1,"Moyen",2,"Eleve",3,0))</x:f>
        <x:v>6</x:v>
      </x:c>
      <x:c r="H7" s="18" t="str">
        <x:f>IF(A7="","",IF(G7&gt;=6,"Critique",IF(G7&gt;=3,"Modere","Faible")))</x:f>
        <x:v>Critique</x:v>
      </x:c>
      <x:c r="I7" s="18" t="str">
        <x:v>Concertation quartiers</x:v>
      </x:c>
      <x:c r="J7" s="18" t="str">
        <x:v>Direction Mobilite</x:v>
      </x:c>
      <x:c r="K7" s="19" t="n">
        <x:v>46203</x:v>
      </x:c>
      <x:c r="L7" s="18" t="str">
        <x:v>Ouvert</x:v>
      </x:c>
      <x:c r="M7" s="18" t="str">
        <x:f>IF(A7="","",IF(AND(K7&lt;TODAY(),L7&lt;&gt;"Clos"),"Retard",IF(H7="Critique","Risque critique","OK")))</x:f>
        <x:v>Risque critique</x:v>
      </x:c>
    </x:row>
    <x:row r="8">
      <x:c r="A8" s="18"/>
      <x:c r="B8" s="18"/>
      <x:c r="C8" s="18"/>
      <x:c r="D8" s="18"/>
      <x:c r="E8" s="18"/>
      <x:c r="F8" s="18"/>
      <x:c r="G8" s="18" t="str">
        <x:f>IF(A8="","",SWITCH(E8,"Faible",1,"Moyenne",2,"Elevee",3,0)*SWITCH(F8,"Faible",1,"Moyen",2,"Eleve",3,0))</x:f>
      </x:c>
      <x:c r="H8" s="18" t="str">
        <x:f>IF(A8="","",IF(G8&gt;=6,"Critique",IF(G8&gt;=3,"Modere","Faible")))</x:f>
      </x:c>
      <x:c r="I8" s="18"/>
      <x:c r="J8" s="18"/>
      <x:c r="K8" s="19"/>
      <x:c r="L8" s="18"/>
      <x:c r="M8" s="18" t="str">
        <x:f>IF(A8="","",IF(AND(K8&lt;TODAY(),L8&lt;&gt;"Clos"),"Retard",IF(H8="Critique","Risque critique","OK")))</x:f>
      </x:c>
    </x:row>
    <x:row r="9">
      <x:c r="A9" s="18"/>
      <x:c r="B9" s="18"/>
      <x:c r="C9" s="18"/>
      <x:c r="D9" s="18"/>
      <x:c r="E9" s="18"/>
      <x:c r="F9" s="18"/>
      <x:c r="G9" s="18" t="str">
        <x:f>IF(A9="","",SWITCH(E9,"Faible",1,"Moyenne",2,"Elevee",3,0)*SWITCH(F9,"Faible",1,"Moyen",2,"Eleve",3,0))</x:f>
      </x:c>
      <x:c r="H9" s="18" t="str">
        <x:f>IF(A9="","",IF(G9&gt;=6,"Critique",IF(G9&gt;=3,"Modere","Faible")))</x:f>
      </x:c>
      <x:c r="I9" s="18"/>
      <x:c r="J9" s="18"/>
      <x:c r="K9" s="19"/>
      <x:c r="L9" s="18"/>
      <x:c r="M9" s="18" t="str">
        <x:f>IF(A9="","",IF(AND(K9&lt;TODAY(),L9&lt;&gt;"Clos"),"Retard",IF(H9="Critique","Risque critique","OK")))</x:f>
      </x:c>
    </x:row>
    <x:row r="10">
      <x:c r="A10" s="18"/>
      <x:c r="B10" s="18"/>
      <x:c r="C10" s="18"/>
      <x:c r="D10" s="18"/>
      <x:c r="E10" s="18"/>
      <x:c r="F10" s="18"/>
      <x:c r="G10" s="18" t="str">
        <x:f>IF(A10="","",SWITCH(E10,"Faible",1,"Moyenne",2,"Elevee",3,0)*SWITCH(F10,"Faible",1,"Moyen",2,"Eleve",3,0))</x:f>
      </x:c>
      <x:c r="H10" s="18" t="str">
        <x:f>IF(A10="","",IF(G10&gt;=6,"Critique",IF(G10&gt;=3,"Modere","Faible")))</x:f>
      </x:c>
      <x:c r="I10" s="18"/>
      <x:c r="J10" s="18"/>
      <x:c r="K10" s="19"/>
      <x:c r="L10" s="18"/>
      <x:c r="M10" s="18" t="str">
        <x:f>IF(A10="","",IF(AND(K10&lt;TODAY(),L10&lt;&gt;"Clos"),"Retard",IF(H10="Critique","Risque critique","OK")))</x:f>
      </x:c>
    </x:row>
    <x:row r="11">
      <x:c r="A11" s="18"/>
      <x:c r="B11" s="18"/>
      <x:c r="C11" s="18"/>
      <x:c r="D11" s="18"/>
      <x:c r="E11" s="18"/>
      <x:c r="F11" s="18"/>
      <x:c r="G11" s="18" t="str">
        <x:f>IF(A11="","",SWITCH(E11,"Faible",1,"Moyenne",2,"Elevee",3,0)*SWITCH(F11,"Faible",1,"Moyen",2,"Eleve",3,0))</x:f>
      </x:c>
      <x:c r="H11" s="18" t="str">
        <x:f>IF(A11="","",IF(G11&gt;=6,"Critique",IF(G11&gt;=3,"Modere","Faible")))</x:f>
      </x:c>
      <x:c r="I11" s="18"/>
      <x:c r="J11" s="18"/>
      <x:c r="K11" s="19"/>
      <x:c r="L11" s="18"/>
      <x:c r="M11" s="18" t="str">
        <x:f>IF(A11="","",IF(AND(K11&lt;TODAY(),L11&lt;&gt;"Clos"),"Retard",IF(H11="Critique","Risque critique","OK")))</x:f>
      </x:c>
    </x:row>
    <x:row r="12">
      <x:c r="A12" s="18"/>
      <x:c r="B12" s="18"/>
      <x:c r="C12" s="18"/>
      <x:c r="D12" s="18"/>
      <x:c r="E12" s="18"/>
      <x:c r="F12" s="18"/>
      <x:c r="G12" s="18" t="str">
        <x:f>IF(A12="","",SWITCH(E12,"Faible",1,"Moyenne",2,"Elevee",3,0)*SWITCH(F12,"Faible",1,"Moyen",2,"Eleve",3,0))</x:f>
      </x:c>
      <x:c r="H12" s="18" t="str">
        <x:f>IF(A12="","",IF(G12&gt;=6,"Critique",IF(G12&gt;=3,"Modere","Faible")))</x:f>
      </x:c>
      <x:c r="I12" s="18"/>
      <x:c r="J12" s="18"/>
      <x:c r="K12" s="19"/>
      <x:c r="L12" s="18"/>
      <x:c r="M12" s="18" t="str">
        <x:f>IF(A12="","",IF(AND(K12&lt;TODAY(),L12&lt;&gt;"Clos"),"Retard",IF(H12="Critique","Risque critique","OK")))</x:f>
      </x:c>
    </x:row>
    <x:row r="13">
      <x:c r="A13" s="18"/>
      <x:c r="B13" s="18"/>
      <x:c r="C13" s="18"/>
      <x:c r="D13" s="18"/>
      <x:c r="E13" s="18"/>
      <x:c r="F13" s="18"/>
      <x:c r="G13" s="18" t="str">
        <x:f>IF(A13="","",SWITCH(E13,"Faible",1,"Moyenne",2,"Elevee",3,0)*SWITCH(F13,"Faible",1,"Moyen",2,"Eleve",3,0))</x:f>
      </x:c>
      <x:c r="H13" s="18" t="str">
        <x:f>IF(A13="","",IF(G13&gt;=6,"Critique",IF(G13&gt;=3,"Modere","Faible")))</x:f>
      </x:c>
      <x:c r="I13" s="18"/>
      <x:c r="J13" s="18"/>
      <x:c r="K13" s="19"/>
      <x:c r="L13" s="18"/>
      <x:c r="M13" s="18" t="str">
        <x:f>IF(A13="","",IF(AND(K13&lt;TODAY(),L13&lt;&gt;"Clos"),"Retard",IF(H13="Critique","Risque critique","OK")))</x:f>
      </x:c>
    </x:row>
    <x:row r="14">
      <x:c r="A14" s="18"/>
      <x:c r="B14" s="18"/>
      <x:c r="C14" s="18"/>
      <x:c r="D14" s="18"/>
      <x:c r="E14" s="18"/>
      <x:c r="F14" s="18"/>
      <x:c r="G14" s="18" t="str">
        <x:f>IF(A14="","",SWITCH(E14,"Faible",1,"Moyenne",2,"Elevee",3,0)*SWITCH(F14,"Faible",1,"Moyen",2,"Eleve",3,0))</x:f>
      </x:c>
      <x:c r="H14" s="18" t="str">
        <x:f>IF(A14="","",IF(G14&gt;=6,"Critique",IF(G14&gt;=3,"Modere","Faible")))</x:f>
      </x:c>
      <x:c r="I14" s="18"/>
      <x:c r="J14" s="18"/>
      <x:c r="K14" s="19"/>
      <x:c r="L14" s="18"/>
      <x:c r="M14" s="18" t="str">
        <x:f>IF(A14="","",IF(AND(K14&lt;TODAY(),L14&lt;&gt;"Clos"),"Retard",IF(H14="Critique","Risque critique","OK")))</x:f>
      </x:c>
    </x:row>
    <x:row r="15">
      <x:c r="A15" s="18"/>
      <x:c r="B15" s="18"/>
      <x:c r="C15" s="18"/>
      <x:c r="D15" s="18"/>
      <x:c r="E15" s="18"/>
      <x:c r="F15" s="18"/>
      <x:c r="G15" s="18" t="str">
        <x:f>IF(A15="","",SWITCH(E15,"Faible",1,"Moyenne",2,"Elevee",3,0)*SWITCH(F15,"Faible",1,"Moyen",2,"Eleve",3,0))</x:f>
      </x:c>
      <x:c r="H15" s="18" t="str">
        <x:f>IF(A15="","",IF(G15&gt;=6,"Critique",IF(G15&gt;=3,"Modere","Faible")))</x:f>
      </x:c>
      <x:c r="I15" s="18"/>
      <x:c r="J15" s="18"/>
      <x:c r="K15" s="19"/>
      <x:c r="L15" s="18"/>
      <x:c r="M15" s="18" t="str">
        <x:f>IF(A15="","",IF(AND(K15&lt;TODAY(),L15&lt;&gt;"Clos"),"Retard",IF(H15="Critique","Risque critique","OK")))</x:f>
      </x:c>
    </x:row>
    <x:row r="16">
      <x:c r="A16" s="18"/>
      <x:c r="B16" s="18"/>
      <x:c r="C16" s="18"/>
      <x:c r="D16" s="18"/>
      <x:c r="E16" s="18"/>
      <x:c r="F16" s="18"/>
      <x:c r="G16" s="18" t="str">
        <x:f>IF(A16="","",SWITCH(E16,"Faible",1,"Moyenne",2,"Elevee",3,0)*SWITCH(F16,"Faible",1,"Moyen",2,"Eleve",3,0))</x:f>
      </x:c>
      <x:c r="H16" s="18" t="str">
        <x:f>IF(A16="","",IF(G16&gt;=6,"Critique",IF(G16&gt;=3,"Modere","Faible")))</x:f>
      </x:c>
      <x:c r="I16" s="18"/>
      <x:c r="J16" s="18"/>
      <x:c r="K16" s="19"/>
      <x:c r="L16" s="18"/>
      <x:c r="M16" s="18" t="str">
        <x:f>IF(A16="","",IF(AND(K16&lt;TODAY(),L16&lt;&gt;"Clos"),"Retard",IF(H16="Critique","Risque critique","OK")))</x:f>
      </x:c>
    </x:row>
    <x:row r="17">
      <x:c r="A17" s="18"/>
      <x:c r="B17" s="18"/>
      <x:c r="C17" s="18"/>
      <x:c r="D17" s="18"/>
      <x:c r="E17" s="18"/>
      <x:c r="F17" s="18"/>
      <x:c r="G17" s="18" t="str">
        <x:f>IF(A17="","",SWITCH(E17,"Faible",1,"Moyenne",2,"Elevee",3,0)*SWITCH(F17,"Faible",1,"Moyen",2,"Eleve",3,0))</x:f>
      </x:c>
      <x:c r="H17" s="18" t="str">
        <x:f>IF(A17="","",IF(G17&gt;=6,"Critique",IF(G17&gt;=3,"Modere","Faible")))</x:f>
      </x:c>
      <x:c r="I17" s="18"/>
      <x:c r="J17" s="18"/>
      <x:c r="K17" s="19"/>
      <x:c r="L17" s="18"/>
      <x:c r="M17" s="18" t="str">
        <x:f>IF(A17="","",IF(AND(K17&lt;TODAY(),L17&lt;&gt;"Clos"),"Retard",IF(H17="Critique","Risque critique","OK")))</x:f>
      </x:c>
    </x:row>
    <x:row r="18">
      <x:c r="A18" s="18"/>
      <x:c r="B18" s="18"/>
      <x:c r="C18" s="18"/>
      <x:c r="D18" s="18"/>
      <x:c r="E18" s="18"/>
      <x:c r="F18" s="18"/>
      <x:c r="G18" s="18" t="str">
        <x:f>IF(A18="","",SWITCH(E18,"Faible",1,"Moyenne",2,"Elevee",3,0)*SWITCH(F18,"Faible",1,"Moyen",2,"Eleve",3,0))</x:f>
      </x:c>
      <x:c r="H18" s="18" t="str">
        <x:f>IF(A18="","",IF(G18&gt;=6,"Critique",IF(G18&gt;=3,"Modere","Faible")))</x:f>
      </x:c>
      <x:c r="I18" s="18"/>
      <x:c r="J18" s="18"/>
      <x:c r="K18" s="19"/>
      <x:c r="L18" s="18"/>
      <x:c r="M18" s="18" t="str">
        <x:f>IF(A18="","",IF(AND(K18&lt;TODAY(),L18&lt;&gt;"Clos"),"Retard",IF(H18="Critique","Risque critique","OK")))</x:f>
      </x:c>
    </x:row>
    <x:row r="19">
      <x:c r="A19" s="18"/>
      <x:c r="B19" s="18"/>
      <x:c r="C19" s="18"/>
      <x:c r="D19" s="18"/>
      <x:c r="E19" s="18"/>
      <x:c r="F19" s="18"/>
      <x:c r="G19" s="18" t="str">
        <x:f>IF(A19="","",SWITCH(E19,"Faible",1,"Moyenne",2,"Elevee",3,0)*SWITCH(F19,"Faible",1,"Moyen",2,"Eleve",3,0))</x:f>
      </x:c>
      <x:c r="H19" s="18" t="str">
        <x:f>IF(A19="","",IF(G19&gt;=6,"Critique",IF(G19&gt;=3,"Modere","Faible")))</x:f>
      </x:c>
      <x:c r="I19" s="18"/>
      <x:c r="J19" s="18"/>
      <x:c r="K19" s="19"/>
      <x:c r="L19" s="18"/>
      <x:c r="M19" s="18" t="str">
        <x:f>IF(A19="","",IF(AND(K19&lt;TODAY(),L19&lt;&gt;"Clos"),"Retard",IF(H19="Critique","Risque critique","OK")))</x:f>
      </x:c>
    </x:row>
    <x:row r="20">
      <x:c r="A20" s="18"/>
      <x:c r="B20" s="18"/>
      <x:c r="C20" s="18"/>
      <x:c r="D20" s="18"/>
      <x:c r="E20" s="18"/>
      <x:c r="F20" s="18"/>
      <x:c r="G20" s="18" t="str">
        <x:f>IF(A20="","",SWITCH(E20,"Faible",1,"Moyenne",2,"Elevee",3,0)*SWITCH(F20,"Faible",1,"Moyen",2,"Eleve",3,0))</x:f>
      </x:c>
      <x:c r="H20" s="18" t="str">
        <x:f>IF(A20="","",IF(G20&gt;=6,"Critique",IF(G20&gt;=3,"Modere","Faible")))</x:f>
      </x:c>
      <x:c r="I20" s="18"/>
      <x:c r="J20" s="18"/>
      <x:c r="K20" s="19"/>
      <x:c r="L20" s="18"/>
      <x:c r="M20" s="18" t="str">
        <x:f>IF(A20="","",IF(AND(K20&lt;TODAY(),L20&lt;&gt;"Clos"),"Retard",IF(H20="Critique","Risque critique","OK")))</x:f>
      </x:c>
    </x:row>
    <x:row r="21">
      <x:c r="A21" s="18"/>
      <x:c r="B21" s="18"/>
      <x:c r="C21" s="18"/>
      <x:c r="D21" s="18"/>
      <x:c r="E21" s="18"/>
      <x:c r="F21" s="18"/>
      <x:c r="G21" s="18" t="str">
        <x:f>IF(A21="","",SWITCH(E21,"Faible",1,"Moyenne",2,"Elevee",3,0)*SWITCH(F21,"Faible",1,"Moyen",2,"Eleve",3,0))</x:f>
      </x:c>
      <x:c r="H21" s="18" t="str">
        <x:f>IF(A21="","",IF(G21&gt;=6,"Critique",IF(G21&gt;=3,"Modere","Faible")))</x:f>
      </x:c>
      <x:c r="I21" s="18"/>
      <x:c r="J21" s="18"/>
      <x:c r="K21" s="19"/>
      <x:c r="L21" s="18"/>
      <x:c r="M21" s="18" t="str">
        <x:f>IF(A21="","",IF(AND(K21&lt;TODAY(),L21&lt;&gt;"Clos"),"Retard",IF(H21="Critique","Risque critique","OK")))</x:f>
      </x:c>
    </x:row>
    <x:row r="22">
      <x:c r="A22" s="18"/>
      <x:c r="B22" s="18"/>
      <x:c r="C22" s="18"/>
      <x:c r="D22" s="18"/>
      <x:c r="E22" s="18"/>
      <x:c r="F22" s="18"/>
      <x:c r="G22" s="18" t="str">
        <x:f>IF(A22="","",SWITCH(E22,"Faible",1,"Moyenne",2,"Elevee",3,0)*SWITCH(F22,"Faible",1,"Moyen",2,"Eleve",3,0))</x:f>
      </x:c>
      <x:c r="H22" s="18" t="str">
        <x:f>IF(A22="","",IF(G22&gt;=6,"Critique",IF(G22&gt;=3,"Modere","Faible")))</x:f>
      </x:c>
      <x:c r="I22" s="18"/>
      <x:c r="J22" s="18"/>
      <x:c r="K22" s="19"/>
      <x:c r="L22" s="18"/>
      <x:c r="M22" s="18" t="str">
        <x:f>IF(A22="","",IF(AND(K22&lt;TODAY(),L22&lt;&gt;"Clos"),"Retard",IF(H22="Critique","Risque critique","OK")))</x:f>
      </x:c>
    </x:row>
    <x:row r="23">
      <x:c r="A23" s="18"/>
      <x:c r="B23" s="18"/>
      <x:c r="C23" s="18"/>
      <x:c r="D23" s="18"/>
      <x:c r="E23" s="18"/>
      <x:c r="F23" s="18"/>
      <x:c r="G23" s="18" t="str">
        <x:f>IF(A23="","",SWITCH(E23,"Faible",1,"Moyenne",2,"Elevee",3,0)*SWITCH(F23,"Faible",1,"Moyen",2,"Eleve",3,0))</x:f>
      </x:c>
      <x:c r="H23" s="18" t="str">
        <x:f>IF(A23="","",IF(G23&gt;=6,"Critique",IF(G23&gt;=3,"Modere","Faible")))</x:f>
      </x:c>
      <x:c r="I23" s="18"/>
      <x:c r="J23" s="18"/>
      <x:c r="K23" s="19"/>
      <x:c r="L23" s="18"/>
      <x:c r="M23" s="18" t="str">
        <x:f>IF(A23="","",IF(AND(K23&lt;TODAY(),L23&lt;&gt;"Clos"),"Retard",IF(H23="Critique","Risque critique","OK")))</x:f>
      </x:c>
    </x:row>
    <x:row r="24">
      <x:c r="A24" s="18"/>
      <x:c r="B24" s="18"/>
      <x:c r="C24" s="18"/>
      <x:c r="D24" s="18"/>
      <x:c r="E24" s="18"/>
      <x:c r="F24" s="18"/>
      <x:c r="G24" s="18" t="str">
        <x:f>IF(A24="","",SWITCH(E24,"Faible",1,"Moyenne",2,"Elevee",3,0)*SWITCH(F24,"Faible",1,"Moyen",2,"Eleve",3,0))</x:f>
      </x:c>
      <x:c r="H24" s="18" t="str">
        <x:f>IF(A24="","",IF(G24&gt;=6,"Critique",IF(G24&gt;=3,"Modere","Faible")))</x:f>
      </x:c>
      <x:c r="I24" s="18"/>
      <x:c r="J24" s="18"/>
      <x:c r="K24" s="19"/>
      <x:c r="L24" s="18"/>
      <x:c r="M24" s="18" t="str">
        <x:f>IF(A24="","",IF(AND(K24&lt;TODAY(),L24&lt;&gt;"Clos"),"Retard",IF(H24="Critique","Risque critique","OK")))</x:f>
      </x:c>
    </x:row>
    <x:row r="25">
      <x:c r="A25" s="18"/>
      <x:c r="B25" s="18"/>
      <x:c r="C25" s="18"/>
      <x:c r="D25" s="18"/>
      <x:c r="E25" s="18"/>
      <x:c r="F25" s="18"/>
      <x:c r="G25" s="18" t="str">
        <x:f>IF(A25="","",SWITCH(E25,"Faible",1,"Moyenne",2,"Elevee",3,0)*SWITCH(F25,"Faible",1,"Moyen",2,"Eleve",3,0))</x:f>
      </x:c>
      <x:c r="H25" s="18" t="str">
        <x:f>IF(A25="","",IF(G25&gt;=6,"Critique",IF(G25&gt;=3,"Modere","Faible")))</x:f>
      </x:c>
      <x:c r="I25" s="18"/>
      <x:c r="J25" s="18"/>
      <x:c r="K25" s="19"/>
      <x:c r="L25" s="18"/>
      <x:c r="M25" s="18" t="str">
        <x:f>IF(A25="","",IF(AND(K25&lt;TODAY(),L25&lt;&gt;"Clos"),"Retard",IF(H25="Critique","Risque critique","OK")))</x:f>
      </x:c>
    </x:row>
    <x:row r="26">
      <x:c r="A26" s="18"/>
      <x:c r="B26" s="18"/>
      <x:c r="C26" s="18"/>
      <x:c r="D26" s="18"/>
      <x:c r="E26" s="18"/>
      <x:c r="F26" s="18"/>
      <x:c r="G26" s="18" t="str">
        <x:f>IF(A26="","",SWITCH(E26,"Faible",1,"Moyenne",2,"Elevee",3,0)*SWITCH(F26,"Faible",1,"Moyen",2,"Eleve",3,0))</x:f>
      </x:c>
      <x:c r="H26" s="18" t="str">
        <x:f>IF(A26="","",IF(G26&gt;=6,"Critique",IF(G26&gt;=3,"Modere","Faible")))</x:f>
      </x:c>
      <x:c r="I26" s="18"/>
      <x:c r="J26" s="18"/>
      <x:c r="K26" s="19"/>
      <x:c r="L26" s="18"/>
      <x:c r="M26" s="18" t="str">
        <x:f>IF(A26="","",IF(AND(K26&lt;TODAY(),L26&lt;&gt;"Clos"),"Retard",IF(H26="Critique","Risque critique","OK")))</x:f>
      </x:c>
    </x:row>
    <x:row r="27">
      <x:c r="A27" s="18"/>
      <x:c r="B27" s="18"/>
      <x:c r="C27" s="18"/>
      <x:c r="D27" s="18"/>
      <x:c r="E27" s="18"/>
      <x:c r="F27" s="18"/>
      <x:c r="G27" s="18" t="str">
        <x:f>IF(A27="","",SWITCH(E27,"Faible",1,"Moyenne",2,"Elevee",3,0)*SWITCH(F27,"Faible",1,"Moyen",2,"Eleve",3,0))</x:f>
      </x:c>
      <x:c r="H27" s="18" t="str">
        <x:f>IF(A27="","",IF(G27&gt;=6,"Critique",IF(G27&gt;=3,"Modere","Faible")))</x:f>
      </x:c>
      <x:c r="I27" s="18"/>
      <x:c r="J27" s="18"/>
      <x:c r="K27" s="19"/>
      <x:c r="L27" s="18"/>
      <x:c r="M27" s="18" t="str">
        <x:f>IF(A27="","",IF(AND(K27&lt;TODAY(),L27&lt;&gt;"Clos"),"Retard",IF(H27="Critique","Risque critique","OK")))</x:f>
      </x:c>
    </x:row>
    <x:row r="28">
      <x:c r="A28" s="18"/>
      <x:c r="B28" s="18"/>
      <x:c r="C28" s="18"/>
      <x:c r="D28" s="18"/>
      <x:c r="E28" s="18"/>
      <x:c r="F28" s="18"/>
      <x:c r="G28" s="18" t="str">
        <x:f>IF(A28="","",SWITCH(E28,"Faible",1,"Moyenne",2,"Elevee",3,0)*SWITCH(F28,"Faible",1,"Moyen",2,"Eleve",3,0))</x:f>
      </x:c>
      <x:c r="H28" s="18" t="str">
        <x:f>IF(A28="","",IF(G28&gt;=6,"Critique",IF(G28&gt;=3,"Modere","Faible")))</x:f>
      </x:c>
      <x:c r="I28" s="18"/>
      <x:c r="J28" s="18"/>
      <x:c r="K28" s="19"/>
      <x:c r="L28" s="18"/>
      <x:c r="M28" s="18" t="str">
        <x:f>IF(A28="","",IF(AND(K28&lt;TODAY(),L28&lt;&gt;"Clos"),"Retard",IF(H28="Critique","Risque critique","OK")))</x:f>
      </x:c>
    </x:row>
    <x:row r="29">
      <x:c r="A29" s="18"/>
      <x:c r="B29" s="18"/>
      <x:c r="C29" s="18"/>
      <x:c r="D29" s="18"/>
      <x:c r="E29" s="18"/>
      <x:c r="F29" s="18"/>
      <x:c r="G29" s="18" t="str">
        <x:f>IF(A29="","",SWITCH(E29,"Faible",1,"Moyenne",2,"Elevee",3,0)*SWITCH(F29,"Faible",1,"Moyen",2,"Eleve",3,0))</x:f>
      </x:c>
      <x:c r="H29" s="18" t="str">
        <x:f>IF(A29="","",IF(G29&gt;=6,"Critique",IF(G29&gt;=3,"Modere","Faible")))</x:f>
      </x:c>
      <x:c r="I29" s="18"/>
      <x:c r="J29" s="18"/>
      <x:c r="K29" s="19"/>
      <x:c r="L29" s="18"/>
      <x:c r="M29" s="18" t="str">
        <x:f>IF(A29="","",IF(AND(K29&lt;TODAY(),L29&lt;&gt;"Clos"),"Retard",IF(H29="Critique","Risque critique","OK")))</x:f>
      </x:c>
    </x:row>
    <x:row r="30">
      <x:c r="A30" s="18"/>
      <x:c r="B30" s="18"/>
      <x:c r="C30" s="18"/>
      <x:c r="D30" s="18"/>
      <x:c r="E30" s="18"/>
      <x:c r="F30" s="18"/>
      <x:c r="G30" s="18" t="str">
        <x:f>IF(A30="","",SWITCH(E30,"Faible",1,"Moyenne",2,"Elevee",3,0)*SWITCH(F30,"Faible",1,"Moyen",2,"Eleve",3,0))</x:f>
      </x:c>
      <x:c r="H30" s="18" t="str">
        <x:f>IF(A30="","",IF(G30&gt;=6,"Critique",IF(G30&gt;=3,"Modere","Faible")))</x:f>
      </x:c>
      <x:c r="I30" s="18"/>
      <x:c r="J30" s="18"/>
      <x:c r="K30" s="19"/>
      <x:c r="L30" s="18"/>
      <x:c r="M30" s="18" t="str">
        <x:f>IF(A30="","",IF(AND(K30&lt;TODAY(),L30&lt;&gt;"Clos"),"Retard",IF(H30="Critique","Risque critique","OK")))</x:f>
      </x:c>
    </x:row>
    <x:row r="31">
      <x:c r="A31" s="18"/>
      <x:c r="B31" s="18"/>
      <x:c r="C31" s="18"/>
      <x:c r="D31" s="18"/>
      <x:c r="E31" s="18"/>
      <x:c r="F31" s="18"/>
      <x:c r="G31" s="18" t="str">
        <x:f>IF(A31="","",SWITCH(E31,"Faible",1,"Moyenne",2,"Elevee",3,0)*SWITCH(F31,"Faible",1,"Moyen",2,"Eleve",3,0))</x:f>
      </x:c>
      <x:c r="H31" s="18" t="str">
        <x:f>IF(A31="","",IF(G31&gt;=6,"Critique",IF(G31&gt;=3,"Modere","Faible")))</x:f>
      </x:c>
      <x:c r="I31" s="18"/>
      <x:c r="J31" s="18"/>
      <x:c r="K31" s="19"/>
      <x:c r="L31" s="18"/>
      <x:c r="M31" s="18" t="str">
        <x:f>IF(A31="","",IF(AND(K31&lt;TODAY(),L31&lt;&gt;"Clos"),"Retard",IF(H31="Critique","Risque critique","OK")))</x:f>
      </x:c>
    </x:row>
    <x:row r="32">
      <x:c r="A32" s="18"/>
      <x:c r="B32" s="18"/>
      <x:c r="C32" s="18"/>
      <x:c r="D32" s="18"/>
      <x:c r="E32" s="18"/>
      <x:c r="F32" s="18"/>
      <x:c r="G32" s="18" t="str">
        <x:f>IF(A32="","",SWITCH(E32,"Faible",1,"Moyenne",2,"Elevee",3,0)*SWITCH(F32,"Faible",1,"Moyen",2,"Eleve",3,0))</x:f>
      </x:c>
      <x:c r="H32" s="18" t="str">
        <x:f>IF(A32="","",IF(G32&gt;=6,"Critique",IF(G32&gt;=3,"Modere","Faible")))</x:f>
      </x:c>
      <x:c r="I32" s="18"/>
      <x:c r="J32" s="18"/>
      <x:c r="K32" s="19"/>
      <x:c r="L32" s="18"/>
      <x:c r="M32" s="18" t="str">
        <x:f>IF(A32="","",IF(AND(K32&lt;TODAY(),L32&lt;&gt;"Clos"),"Retard",IF(H32="Critique","Risque critique","OK")))</x:f>
      </x:c>
    </x:row>
    <x:row r="33">
      <x:c r="A33" s="18"/>
      <x:c r="B33" s="18"/>
      <x:c r="C33" s="18"/>
      <x:c r="D33" s="18"/>
      <x:c r="E33" s="18"/>
      <x:c r="F33" s="18"/>
      <x:c r="G33" s="18" t="str">
        <x:f>IF(A33="","",SWITCH(E33,"Faible",1,"Moyenne",2,"Elevee",3,0)*SWITCH(F33,"Faible",1,"Moyen",2,"Eleve",3,0))</x:f>
      </x:c>
      <x:c r="H33" s="18" t="str">
        <x:f>IF(A33="","",IF(G33&gt;=6,"Critique",IF(G33&gt;=3,"Modere","Faible")))</x:f>
      </x:c>
      <x:c r="I33" s="18"/>
      <x:c r="J33" s="18"/>
      <x:c r="K33" s="19"/>
      <x:c r="L33" s="18"/>
      <x:c r="M33" s="18" t="str">
        <x:f>IF(A33="","",IF(AND(K33&lt;TODAY(),L33&lt;&gt;"Clos"),"Retard",IF(H33="Critique","Risque critique","OK")))</x:f>
      </x:c>
    </x:row>
    <x:row r="34">
      <x:c r="A34" s="18"/>
      <x:c r="B34" s="18"/>
      <x:c r="C34" s="18"/>
      <x:c r="D34" s="18"/>
      <x:c r="E34" s="18"/>
      <x:c r="F34" s="18"/>
      <x:c r="G34" s="18" t="str">
        <x:f>IF(A34="","",SWITCH(E34,"Faible",1,"Moyenne",2,"Elevee",3,0)*SWITCH(F34,"Faible",1,"Moyen",2,"Eleve",3,0))</x:f>
      </x:c>
      <x:c r="H34" s="18" t="str">
        <x:f>IF(A34="","",IF(G34&gt;=6,"Critique",IF(G34&gt;=3,"Modere","Faible")))</x:f>
      </x:c>
      <x:c r="I34" s="18"/>
      <x:c r="J34" s="18"/>
      <x:c r="K34" s="19"/>
      <x:c r="L34" s="18"/>
      <x:c r="M34" s="18" t="str">
        <x:f>IF(A34="","",IF(AND(K34&lt;TODAY(),L34&lt;&gt;"Clos"),"Retard",IF(H34="Critique","Risque critique","OK")))</x:f>
      </x:c>
    </x:row>
    <x:row r="35">
      <x:c r="A35" s="18"/>
      <x:c r="B35" s="18"/>
      <x:c r="C35" s="18"/>
      <x:c r="D35" s="18"/>
      <x:c r="E35" s="18"/>
      <x:c r="F35" s="18"/>
      <x:c r="G35" s="18" t="str">
        <x:f>IF(A35="","",SWITCH(E35,"Faible",1,"Moyenne",2,"Elevee",3,0)*SWITCH(F35,"Faible",1,"Moyen",2,"Eleve",3,0))</x:f>
      </x:c>
      <x:c r="H35" s="18" t="str">
        <x:f>IF(A35="","",IF(G35&gt;=6,"Critique",IF(G35&gt;=3,"Modere","Faible")))</x:f>
      </x:c>
      <x:c r="I35" s="18"/>
      <x:c r="J35" s="18"/>
      <x:c r="K35" s="19"/>
      <x:c r="L35" s="18"/>
      <x:c r="M35" s="18" t="str">
        <x:f>IF(A35="","",IF(AND(K35&lt;TODAY(),L35&lt;&gt;"Clos"),"Retard",IF(H35="Critique","Risque critique","OK")))</x:f>
      </x:c>
    </x:row>
    <x:row r="36">
      <x:c r="A36" s="18"/>
      <x:c r="B36" s="18"/>
      <x:c r="C36" s="18"/>
      <x:c r="D36" s="18"/>
      <x:c r="E36" s="18"/>
      <x:c r="F36" s="18"/>
      <x:c r="G36" s="18" t="str">
        <x:f>IF(A36="","",SWITCH(E36,"Faible",1,"Moyenne",2,"Elevee",3,0)*SWITCH(F36,"Faible",1,"Moyen",2,"Eleve",3,0))</x:f>
      </x:c>
      <x:c r="H36" s="18" t="str">
        <x:f>IF(A36="","",IF(G36&gt;=6,"Critique",IF(G36&gt;=3,"Modere","Faible")))</x:f>
      </x:c>
      <x:c r="I36" s="18"/>
      <x:c r="J36" s="18"/>
      <x:c r="K36" s="19"/>
      <x:c r="L36" s="18"/>
      <x:c r="M36" s="18" t="str">
        <x:f>IF(A36="","",IF(AND(K36&lt;TODAY(),L36&lt;&gt;"Clos"),"Retard",IF(H36="Critique","Risque critique","OK")))</x:f>
      </x:c>
    </x:row>
    <x:row r="37">
      <x:c r="A37" s="18"/>
      <x:c r="B37" s="18"/>
      <x:c r="C37" s="18"/>
      <x:c r="D37" s="18"/>
      <x:c r="E37" s="18"/>
      <x:c r="F37" s="18"/>
      <x:c r="G37" s="18" t="str">
        <x:f>IF(A37="","",SWITCH(E37,"Faible",1,"Moyenne",2,"Elevee",3,0)*SWITCH(F37,"Faible",1,"Moyen",2,"Eleve",3,0))</x:f>
      </x:c>
      <x:c r="H37" s="18" t="str">
        <x:f>IF(A37="","",IF(G37&gt;=6,"Critique",IF(G37&gt;=3,"Modere","Faible")))</x:f>
      </x:c>
      <x:c r="I37" s="18"/>
      <x:c r="J37" s="18"/>
      <x:c r="K37" s="19"/>
      <x:c r="L37" s="18"/>
      <x:c r="M37" s="18" t="str">
        <x:f>IF(A37="","",IF(AND(K37&lt;TODAY(),L37&lt;&gt;"Clos"),"Retard",IF(H37="Critique","Risque critique","OK")))</x:f>
      </x:c>
    </x:row>
    <x:row r="38">
      <x:c r="A38" s="18"/>
      <x:c r="B38" s="18"/>
      <x:c r="C38" s="18"/>
      <x:c r="D38" s="18"/>
      <x:c r="E38" s="18"/>
      <x:c r="F38" s="18"/>
      <x:c r="G38" s="18" t="str">
        <x:f>IF(A38="","",SWITCH(E38,"Faible",1,"Moyenne",2,"Elevee",3,0)*SWITCH(F38,"Faible",1,"Moyen",2,"Eleve",3,0))</x:f>
      </x:c>
      <x:c r="H38" s="18" t="str">
        <x:f>IF(A38="","",IF(G38&gt;=6,"Critique",IF(G38&gt;=3,"Modere","Faible")))</x:f>
      </x:c>
      <x:c r="I38" s="18"/>
      <x:c r="J38" s="18"/>
      <x:c r="K38" s="19"/>
      <x:c r="L38" s="18"/>
      <x:c r="M38" s="18" t="str">
        <x:f>IF(A38="","",IF(AND(K38&lt;TODAY(),L38&lt;&gt;"Clos"),"Retard",IF(H38="Critique","Risque critique","OK")))</x:f>
      </x:c>
    </x:row>
    <x:row r="39">
      <x:c r="A39" s="18"/>
      <x:c r="B39" s="18"/>
      <x:c r="C39" s="18"/>
      <x:c r="D39" s="18"/>
      <x:c r="E39" s="18"/>
      <x:c r="F39" s="18"/>
      <x:c r="G39" s="18" t="str">
        <x:f>IF(A39="","",SWITCH(E39,"Faible",1,"Moyenne",2,"Elevee",3,0)*SWITCH(F39,"Faible",1,"Moyen",2,"Eleve",3,0))</x:f>
      </x:c>
      <x:c r="H39" s="18" t="str">
        <x:f>IF(A39="","",IF(G39&gt;=6,"Critique",IF(G39&gt;=3,"Modere","Faible")))</x:f>
      </x:c>
      <x:c r="I39" s="18"/>
      <x:c r="J39" s="18"/>
      <x:c r="K39" s="19"/>
      <x:c r="L39" s="18"/>
      <x:c r="M39" s="18" t="str">
        <x:f>IF(A39="","",IF(AND(K39&lt;TODAY(),L39&lt;&gt;"Clos"),"Retard",IF(H39="Critique","Risque critique","OK")))</x:f>
      </x:c>
    </x:row>
    <x:row r="40">
      <x:c r="A40" s="18"/>
      <x:c r="B40" s="18"/>
      <x:c r="C40" s="18"/>
      <x:c r="D40" s="18"/>
      <x:c r="E40" s="18"/>
      <x:c r="F40" s="18"/>
      <x:c r="G40" s="18" t="str">
        <x:f>IF(A40="","",SWITCH(E40,"Faible",1,"Moyenne",2,"Elevee",3,0)*SWITCH(F40,"Faible",1,"Moyen",2,"Eleve",3,0))</x:f>
      </x:c>
      <x:c r="H40" s="18" t="str">
        <x:f>IF(A40="","",IF(G40&gt;=6,"Critique",IF(G40&gt;=3,"Modere","Faible")))</x:f>
      </x:c>
      <x:c r="I40" s="18"/>
      <x:c r="J40" s="18"/>
      <x:c r="K40" s="19"/>
      <x:c r="L40" s="18"/>
      <x:c r="M40" s="18" t="str">
        <x:f>IF(A40="","",IF(AND(K40&lt;TODAY(),L40&lt;&gt;"Clos"),"Retard",IF(H40="Critique","Risque critique","OK")))</x:f>
      </x:c>
    </x:row>
    <x:row r="41">
      <x:c r="A41" s="18"/>
      <x:c r="B41" s="18"/>
      <x:c r="C41" s="18"/>
      <x:c r="D41" s="18"/>
      <x:c r="E41" s="18"/>
      <x:c r="F41" s="18"/>
      <x:c r="G41" s="18" t="str">
        <x:f>IF(A41="","",SWITCH(E41,"Faible",1,"Moyenne",2,"Elevee",3,0)*SWITCH(F41,"Faible",1,"Moyen",2,"Eleve",3,0))</x:f>
      </x:c>
      <x:c r="H41" s="18" t="str">
        <x:f>IF(A41="","",IF(G41&gt;=6,"Critique",IF(G41&gt;=3,"Modere","Faible")))</x:f>
      </x:c>
      <x:c r="I41" s="18"/>
      <x:c r="J41" s="18"/>
      <x:c r="K41" s="19"/>
      <x:c r="L41" s="18"/>
      <x:c r="M41" s="18" t="str">
        <x:f>IF(A41="","",IF(AND(K41&lt;TODAY(),L41&lt;&gt;"Clos"),"Retard",IF(H41="Critique","Risque critique","OK")))</x:f>
      </x:c>
    </x:row>
    <x:row r="42">
      <x:c r="A42" s="18"/>
      <x:c r="B42" s="18"/>
      <x:c r="C42" s="18"/>
      <x:c r="D42" s="18"/>
      <x:c r="E42" s="18"/>
      <x:c r="F42" s="18"/>
      <x:c r="G42" s="18" t="str">
        <x:f>IF(A42="","",SWITCH(E42,"Faible",1,"Moyenne",2,"Elevee",3,0)*SWITCH(F42,"Faible",1,"Moyen",2,"Eleve",3,0))</x:f>
      </x:c>
      <x:c r="H42" s="18" t="str">
        <x:f>IF(A42="","",IF(G42&gt;=6,"Critique",IF(G42&gt;=3,"Modere","Faible")))</x:f>
      </x:c>
      <x:c r="I42" s="18"/>
      <x:c r="J42" s="18"/>
      <x:c r="K42" s="19"/>
      <x:c r="L42" s="18"/>
      <x:c r="M42" s="18" t="str">
        <x:f>IF(A42="","",IF(AND(K42&lt;TODAY(),L42&lt;&gt;"Clos"),"Retard",IF(H42="Critique","Risque critique","OK")))</x:f>
      </x:c>
    </x:row>
    <x:row r="43">
      <x:c r="A43" s="18"/>
      <x:c r="B43" s="18"/>
      <x:c r="C43" s="18"/>
      <x:c r="D43" s="18"/>
      <x:c r="E43" s="18"/>
      <x:c r="F43" s="18"/>
      <x:c r="G43" s="18" t="str">
        <x:f>IF(A43="","",SWITCH(E43,"Faible",1,"Moyenne",2,"Elevee",3,0)*SWITCH(F43,"Faible",1,"Moyen",2,"Eleve",3,0))</x:f>
      </x:c>
      <x:c r="H43" s="18" t="str">
        <x:f>IF(A43="","",IF(G43&gt;=6,"Critique",IF(G43&gt;=3,"Modere","Faible")))</x:f>
      </x:c>
      <x:c r="I43" s="18"/>
      <x:c r="J43" s="18"/>
      <x:c r="K43" s="19"/>
      <x:c r="L43" s="18"/>
      <x:c r="M43" s="18" t="str">
        <x:f>IF(A43="","",IF(AND(K43&lt;TODAY(),L43&lt;&gt;"Clos"),"Retard",IF(H43="Critique","Risque critique","OK")))</x:f>
      </x:c>
    </x:row>
    <x:row r="44">
      <x:c r="A44" s="18"/>
      <x:c r="B44" s="18"/>
      <x:c r="C44" s="18"/>
      <x:c r="D44" s="18"/>
      <x:c r="E44" s="18"/>
      <x:c r="F44" s="18"/>
      <x:c r="G44" s="18" t="str">
        <x:f>IF(A44="","",SWITCH(E44,"Faible",1,"Moyenne",2,"Elevee",3,0)*SWITCH(F44,"Faible",1,"Moyen",2,"Eleve",3,0))</x:f>
      </x:c>
      <x:c r="H44" s="18" t="str">
        <x:f>IF(A44="","",IF(G44&gt;=6,"Critique",IF(G44&gt;=3,"Modere","Faible")))</x:f>
      </x:c>
      <x:c r="I44" s="18"/>
      <x:c r="J44" s="18"/>
      <x:c r="K44" s="19"/>
      <x:c r="L44" s="18"/>
      <x:c r="M44" s="18" t="str">
        <x:f>IF(A44="","",IF(AND(K44&lt;TODAY(),L44&lt;&gt;"Clos"),"Retard",IF(H44="Critique","Risque critique","OK")))</x:f>
      </x:c>
    </x:row>
  </x:sheetData>
  <x:mergeCells>
    <x:mergeCell ref="A1:J1"/>
    <x:mergeCell ref="A2:J2"/>
  </x:mergeCells>
  <x:conditionalFormatting sqref="M5:M44">
    <x:cfRule type="containsText" dxfId="64" priority="1" operator="containsText" text="Retard"/>
    <x:cfRule type="containsText" dxfId="65" priority="2" operator="containsText" text="critique"/>
    <x:cfRule type="containsText" dxfId="66" priority="3" operator="containsText" text="manquant"/>
    <x:cfRule type="containsText" dxfId="67"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C5:C44">
      <x:formula1>"Financement,Technique,Donnees,Institutionnel,Social,Environnemental,Calendrier"</x:formula1>
    </x:dataValidation>
    <x:dataValidation type="list" errorStyle="warning" showInputMessage="1" showErrorMessage="1" errorTitle="Valeur inattendue" error="Cette colonne utilise une liste controlee." promptTitle="Liste controlee" prompt="Choisir une valeur dans la liste." sqref="E5:E44">
      <x:formula1>"Faible,Moyenne,Elevee"</x:formula1>
    </x:dataValidation>
    <x:dataValidation type="list" errorStyle="warning" showInputMessage="1" showErrorMessage="1" errorTitle="Valeur inattendue" error="Cette colonne utilise une liste controlee." promptTitle="Liste controlee" prompt="Choisir une valeur dans la liste." sqref="F5:F44">
      <x:formula1>"Faible,Moyen,Eleve"</x:formula1>
    </x:dataValidation>
    <x:dataValidation type="list" errorStyle="warning" showInputMessage="1" showErrorMessage="1" errorTitle="Valeur inattendue" error="Cette colonne utilise une liste controlee." promptTitle="Liste controlee" prompt="Choisir une valeur dans la liste." sqref="L5:L44">
      <x:formula1>"Ouvert,En traitement,Clos,Surveille"</x:formula1>
    </x:dataValidation>
  </x:dataValidations>
  <x:pageMargins left="0.7" right="0.7" top="0.75" bottom="0.75" header="0.3" footer="0.3"/>
  <x:tableParts count="1">
    <x:tablePart xmlns:r="http://schemas.openxmlformats.org/officeDocument/2006/relationships" r:id="R0db50e23fb3140ba"/>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3.75" hidden="0" customWidth="1"/>
    <x:col min="3" max="3" width="20" hidden="0" customWidth="1"/>
    <x:col min="4" max="4" width="23.75" hidden="0" customWidth="1"/>
    <x:col min="5" max="5" width="35" hidden="0" customWidth="1"/>
    <x:col min="6" max="6" width="21.25" hidden="0" customWidth="1"/>
    <x:col min="7" max="7" width="16.25" hidden="0" customWidth="1"/>
    <x:col min="8" max="8" width="15.630000114440918" hidden="0" customWidth="1"/>
    <x:col min="9" max="9" width="14.380000114440918" hidden="0" customWidth="1"/>
    <x:col min="10" max="10" width="16.25" hidden="0" customWidth="1"/>
    <x:col min="11" max="11" width="32.5" hidden="0" customWidth="1"/>
    <x:col min="12" max="12" width="15.630000114440918" hidden="0" customWidth="1"/>
    <x:col min="13" max="13" width="14.380000114440918" hidden="0" customWidth="1"/>
    <x:col min="14" max="14" width="18.1299991607666" hidden="0" customWidth="1"/>
  </x:cols>
  <x:sheetData>
    <x:row r="1" ht="25.5" customHeight="1">
      <x:c r="A1" s="2" t="str">
        <x:v>Controle qualite QA/QC</x:v>
      </x:c>
      <x:c r="B1" s="2"/>
      <x:c r="C1" s="2"/>
      <x:c r="D1" s="2"/>
      <x:c r="E1" s="2"/>
      <x:c r="F1" s="2"/>
      <x:c r="G1" s="2"/>
      <x:c r="H1" s="2"/>
      <x:c r="I1" s="2"/>
      <x:c r="J1" s="2"/>
    </x:row>
    <x:row r="2" ht="31.5" customHeight="1">
      <x:c r="A2" s="5" t="str">
        <x:v>Plan de controle qualite pour donnees, calculs, sources et reporting.</x:v>
      </x:c>
      <x:c r="B2" s="5"/>
      <x:c r="C2" s="5"/>
      <x:c r="D2" s="5"/>
      <x:c r="E2" s="5"/>
      <x:c r="F2" s="5"/>
      <x:c r="G2" s="5"/>
      <x:c r="H2" s="5"/>
      <x:c r="I2" s="5"/>
      <x:c r="J2" s="5"/>
    </x:row>
    <x:row r="4" ht="28.5" customHeight="1">
      <x:c r="A4" s="16" t="str">
        <x:v>Check_ID</x:v>
      </x:c>
      <x:c r="B4" s="16" t="str">
        <x:v>Domaine</x:v>
      </x:c>
      <x:c r="C4" s="16" t="str">
        <x:v>Table_source</x:v>
      </x:c>
      <x:c r="D4" s="16" t="str">
        <x:v>Controle</x:v>
      </x:c>
      <x:c r="E4" s="16" t="str">
        <x:v>Regle</x:v>
      </x:c>
      <x:c r="F4" s="16" t="str">
        <x:v>Responsable</x:v>
      </x:c>
      <x:c r="G4" s="16" t="str">
        <x:v>Frequence</x:v>
      </x:c>
      <x:c r="H4" s="16" t="str">
        <x:v>Date_dernier_controle</x:v>
      </x:c>
      <x:c r="I4" s="16" t="str">
        <x:v>Resultat</x:v>
      </x:c>
      <x:c r="J4" s="16" t="str">
        <x:v>Nombre_anomalies</x:v>
      </x:c>
      <x:c r="K4" s="16" t="str">
        <x:v>Action_corrective</x:v>
      </x:c>
      <x:c r="L4" s="16" t="str">
        <x:v>Echeance_correction</x:v>
      </x:c>
      <x:c r="M4" s="16" t="str">
        <x:v>Statut</x:v>
      </x:c>
      <x:c r="N4" s="16" t="str">
        <x:v>Alerte_QA</x:v>
      </x:c>
    </x:row>
    <x:row r="5">
      <x:c r="A5" s="18" t="str">
        <x:v>QA-001</x:v>
      </x:c>
      <x:c r="B5" s="18" t="str">
        <x:v>GES</x:v>
      </x:c>
      <x:c r="C5" s="18" t="str">
        <x:v>tblInventaireGES</x:v>
      </x:c>
      <x:c r="D5" s="18" t="str">
        <x:v>Completeness</x:v>
      </x:c>
      <x:c r="E5" s="18" t="str">
        <x:v>Toutes emissions ont annee, secteur, scope, qualite</x:v>
      </x:c>
      <x:c r="F5" s="18" t="str">
        <x:v>Cellule MRV</x:v>
      </x:c>
      <x:c r="G5" s="18" t="str">
        <x:v>Annuelle</x:v>
      </x:c>
      <x:c r="H5" s="19" t="n">
        <x:v>46142</x:v>
      </x:c>
      <x:c r="I5" s="18" t="str">
        <x:v>A verifier</x:v>
      </x:c>
      <x:c r="J5" s="18" t="n">
        <x:v>2</x:v>
      </x:c>
      <x:c r="K5" s="18" t="str">
        <x:v>Completer secteurs manquants</x:v>
      </x:c>
      <x:c r="L5" s="19" t="n">
        <x:v>46203</x:v>
      </x:c>
      <x:c r="M5" s="18" t="str">
        <x:v>Ouvert</x:v>
      </x:c>
      <x:c r="N5" s="18" t="str">
        <x:f>IF(A5="","",IF(AND(L5&lt;TODAY(),M5&lt;&gt;"Clos"),"Retard",IF(J5&gt;0,"Anomalies a traiter","OK")))</x:f>
        <x:v>Anomalies a traiter</x:v>
      </x:c>
    </x:row>
    <x:row r="6">
      <x:c r="A6" s="18" t="str">
        <x:v>QA-002</x:v>
      </x:c>
      <x:c r="B6" s="18" t="str">
        <x:v>Budget</x:v>
      </x:c>
      <x:c r="C6" s="18" t="str">
        <x:v>tblBudgets</x:v>
      </x:c>
      <x:c r="D6" s="18" t="str">
        <x:v>Coherence execution</x:v>
      </x:c>
      <x:c r="E6" s="18" t="str">
        <x:v>Execute &lt;= Vote</x:v>
      </x:c>
      <x:c r="F6" s="18" t="str">
        <x:v>Direction Finance</x:v>
      </x:c>
      <x:c r="G6" s="18" t="str">
        <x:v>Mensuelle</x:v>
      </x:c>
      <x:c r="H6" s="19" t="n">
        <x:v>46162</x:v>
      </x:c>
      <x:c r="I6" s="18" t="str">
        <x:v>OK</x:v>
      </x:c>
      <x:c r="J6" s="18" t="n">
        <x:v>0</x:v>
      </x:c>
      <x:c r="K6" s="18" t="str"/>
      <x:c r="L6" s="19"/>
      <x:c r="M6" s="18" t="str">
        <x:v>Clos</x:v>
      </x:c>
      <x:c r="N6" s="18" t="str">
        <x:f>IF(A6="","",IF(AND(L6&lt;TODAY(),M6&lt;&gt;"Clos"),"Retard",IF(J6&gt;0,"Anomalies a traiter","OK")))</x:f>
        <x:v>OK</x:v>
      </x:c>
    </x:row>
    <x:row r="7">
      <x:c r="A7" s="18" t="str">
        <x:v>QA-003</x:v>
      </x:c>
      <x:c r="B7" s="18" t="str">
        <x:v>Air</x:v>
      </x:c>
      <x:c r="C7" s="18" t="str">
        <x:v>tblQualiteAir</x:v>
      </x:c>
      <x:c r="D7" s="18" t="str">
        <x:v>Valeurs aberrantes</x:v>
      </x:c>
      <x:c r="E7" s="18" t="str">
        <x:v>Concentration &gt;= 0 et seuil renseigne</x:v>
      </x:c>
      <x:c r="F7" s="18" t="str">
        <x:v>Direction Environnement</x:v>
      </x:c>
      <x:c r="G7" s="18" t="str">
        <x:v>Mensuelle</x:v>
      </x:c>
      <x:c r="H7" s="19" t="n">
        <x:v>46143</x:v>
      </x:c>
      <x:c r="I7" s="18" t="str">
        <x:v>A verifier</x:v>
      </x:c>
      <x:c r="J7" s="18" t="n">
        <x:v>1</x:v>
      </x:c>
      <x:c r="K7" s="18" t="str">
        <x:v>Verifier capteur Medina-01</x:v>
      </x:c>
      <x:c r="L7" s="19" t="n">
        <x:v>46183</x:v>
      </x:c>
      <x:c r="M7" s="18" t="str">
        <x:v>Ouvert</x:v>
      </x:c>
      <x:c r="N7" s="18" t="str">
        <x:f>IF(A7="","",IF(AND(L7&lt;TODAY(),M7&lt;&gt;"Clos"),"Retard",IF(J7&gt;0,"Anomalies a traiter","OK")))</x:f>
        <x:v>Anomalies a traiter</x:v>
      </x:c>
    </x:row>
    <x:row r="8">
      <x:c r="A8" s="18"/>
      <x:c r="B8" s="18"/>
      <x:c r="C8" s="18"/>
      <x:c r="D8" s="18"/>
      <x:c r="E8" s="18"/>
      <x:c r="F8" s="18"/>
      <x:c r="G8" s="18"/>
      <x:c r="H8" s="19"/>
      <x:c r="I8" s="18"/>
      <x:c r="J8" s="18"/>
      <x:c r="K8" s="18"/>
      <x:c r="L8" s="19"/>
      <x:c r="M8" s="18"/>
      <x:c r="N8" s="18" t="str">
        <x:f>IF(A8="","",IF(AND(L8&lt;TODAY(),M8&lt;&gt;"Clos"),"Retard",IF(J8&gt;0,"Anomalies a traiter","OK")))</x:f>
      </x:c>
    </x:row>
    <x:row r="9">
      <x:c r="A9" s="18"/>
      <x:c r="B9" s="18"/>
      <x:c r="C9" s="18"/>
      <x:c r="D9" s="18"/>
      <x:c r="E9" s="18"/>
      <x:c r="F9" s="18"/>
      <x:c r="G9" s="18"/>
      <x:c r="H9" s="19"/>
      <x:c r="I9" s="18"/>
      <x:c r="J9" s="18"/>
      <x:c r="K9" s="18"/>
      <x:c r="L9" s="19"/>
      <x:c r="M9" s="18"/>
      <x:c r="N9" s="18" t="str">
        <x:f>IF(A9="","",IF(AND(L9&lt;TODAY(),M9&lt;&gt;"Clos"),"Retard",IF(J9&gt;0,"Anomalies a traiter","OK")))</x:f>
      </x:c>
    </x:row>
    <x:row r="10">
      <x:c r="A10" s="18"/>
      <x:c r="B10" s="18"/>
      <x:c r="C10" s="18"/>
      <x:c r="D10" s="18"/>
      <x:c r="E10" s="18"/>
      <x:c r="F10" s="18"/>
      <x:c r="G10" s="18"/>
      <x:c r="H10" s="19"/>
      <x:c r="I10" s="18"/>
      <x:c r="J10" s="18"/>
      <x:c r="K10" s="18"/>
      <x:c r="L10" s="19"/>
      <x:c r="M10" s="18"/>
      <x:c r="N10" s="18" t="str">
        <x:f>IF(A10="","",IF(AND(L10&lt;TODAY(),M10&lt;&gt;"Clos"),"Retard",IF(J10&gt;0,"Anomalies a traiter","OK")))</x:f>
      </x:c>
    </x:row>
    <x:row r="11">
      <x:c r="A11" s="18"/>
      <x:c r="B11" s="18"/>
      <x:c r="C11" s="18"/>
      <x:c r="D11" s="18"/>
      <x:c r="E11" s="18"/>
      <x:c r="F11" s="18"/>
      <x:c r="G11" s="18"/>
      <x:c r="H11" s="19"/>
      <x:c r="I11" s="18"/>
      <x:c r="J11" s="18"/>
      <x:c r="K11" s="18"/>
      <x:c r="L11" s="19"/>
      <x:c r="M11" s="18"/>
      <x:c r="N11" s="18" t="str">
        <x:f>IF(A11="","",IF(AND(L11&lt;TODAY(),M11&lt;&gt;"Clos"),"Retard",IF(J11&gt;0,"Anomalies a traiter","OK")))</x:f>
      </x:c>
    </x:row>
    <x:row r="12">
      <x:c r="A12" s="18"/>
      <x:c r="B12" s="18"/>
      <x:c r="C12" s="18"/>
      <x:c r="D12" s="18"/>
      <x:c r="E12" s="18"/>
      <x:c r="F12" s="18"/>
      <x:c r="G12" s="18"/>
      <x:c r="H12" s="19"/>
      <x:c r="I12" s="18"/>
      <x:c r="J12" s="18"/>
      <x:c r="K12" s="18"/>
      <x:c r="L12" s="19"/>
      <x:c r="M12" s="18"/>
      <x:c r="N12" s="18" t="str">
        <x:f>IF(A12="","",IF(AND(L12&lt;TODAY(),M12&lt;&gt;"Clos"),"Retard",IF(J12&gt;0,"Anomalies a traiter","OK")))</x:f>
      </x:c>
    </x:row>
    <x:row r="13">
      <x:c r="A13" s="18"/>
      <x:c r="B13" s="18"/>
      <x:c r="C13" s="18"/>
      <x:c r="D13" s="18"/>
      <x:c r="E13" s="18"/>
      <x:c r="F13" s="18"/>
      <x:c r="G13" s="18"/>
      <x:c r="H13" s="19"/>
      <x:c r="I13" s="18"/>
      <x:c r="J13" s="18"/>
      <x:c r="K13" s="18"/>
      <x:c r="L13" s="19"/>
      <x:c r="M13" s="18"/>
      <x:c r="N13" s="18" t="str">
        <x:f>IF(A13="","",IF(AND(L13&lt;TODAY(),M13&lt;&gt;"Clos"),"Retard",IF(J13&gt;0,"Anomalies a traiter","OK")))</x:f>
      </x:c>
    </x:row>
    <x:row r="14">
      <x:c r="A14" s="18"/>
      <x:c r="B14" s="18"/>
      <x:c r="C14" s="18"/>
      <x:c r="D14" s="18"/>
      <x:c r="E14" s="18"/>
      <x:c r="F14" s="18"/>
      <x:c r="G14" s="18"/>
      <x:c r="H14" s="19"/>
      <x:c r="I14" s="18"/>
      <x:c r="J14" s="18"/>
      <x:c r="K14" s="18"/>
      <x:c r="L14" s="19"/>
      <x:c r="M14" s="18"/>
      <x:c r="N14" s="18" t="str">
        <x:f>IF(A14="","",IF(AND(L14&lt;TODAY(),M14&lt;&gt;"Clos"),"Retard",IF(J14&gt;0,"Anomalies a traiter","OK")))</x:f>
      </x:c>
    </x:row>
    <x:row r="15">
      <x:c r="A15" s="18"/>
      <x:c r="B15" s="18"/>
      <x:c r="C15" s="18"/>
      <x:c r="D15" s="18"/>
      <x:c r="E15" s="18"/>
      <x:c r="F15" s="18"/>
      <x:c r="G15" s="18"/>
      <x:c r="H15" s="19"/>
      <x:c r="I15" s="18"/>
      <x:c r="J15" s="18"/>
      <x:c r="K15" s="18"/>
      <x:c r="L15" s="19"/>
      <x:c r="M15" s="18"/>
      <x:c r="N15" s="18" t="str">
        <x:f>IF(A15="","",IF(AND(L15&lt;TODAY(),M15&lt;&gt;"Clos"),"Retard",IF(J15&gt;0,"Anomalies a traiter","OK")))</x:f>
      </x:c>
    </x:row>
    <x:row r="16">
      <x:c r="A16" s="18"/>
      <x:c r="B16" s="18"/>
      <x:c r="C16" s="18"/>
      <x:c r="D16" s="18"/>
      <x:c r="E16" s="18"/>
      <x:c r="F16" s="18"/>
      <x:c r="G16" s="18"/>
      <x:c r="H16" s="19"/>
      <x:c r="I16" s="18"/>
      <x:c r="J16" s="18"/>
      <x:c r="K16" s="18"/>
      <x:c r="L16" s="19"/>
      <x:c r="M16" s="18"/>
      <x:c r="N16" s="18" t="str">
        <x:f>IF(A16="","",IF(AND(L16&lt;TODAY(),M16&lt;&gt;"Clos"),"Retard",IF(J16&gt;0,"Anomalies a traiter","OK")))</x:f>
      </x:c>
    </x:row>
    <x:row r="17">
      <x:c r="A17" s="18"/>
      <x:c r="B17" s="18"/>
      <x:c r="C17" s="18"/>
      <x:c r="D17" s="18"/>
      <x:c r="E17" s="18"/>
      <x:c r="F17" s="18"/>
      <x:c r="G17" s="18"/>
      <x:c r="H17" s="19"/>
      <x:c r="I17" s="18"/>
      <x:c r="J17" s="18"/>
      <x:c r="K17" s="18"/>
      <x:c r="L17" s="19"/>
      <x:c r="M17" s="18"/>
      <x:c r="N17" s="18" t="str">
        <x:f>IF(A17="","",IF(AND(L17&lt;TODAY(),M17&lt;&gt;"Clos"),"Retard",IF(J17&gt;0,"Anomalies a traiter","OK")))</x:f>
      </x:c>
    </x:row>
    <x:row r="18">
      <x:c r="A18" s="18"/>
      <x:c r="B18" s="18"/>
      <x:c r="C18" s="18"/>
      <x:c r="D18" s="18"/>
      <x:c r="E18" s="18"/>
      <x:c r="F18" s="18"/>
      <x:c r="G18" s="18"/>
      <x:c r="H18" s="19"/>
      <x:c r="I18" s="18"/>
      <x:c r="J18" s="18"/>
      <x:c r="K18" s="18"/>
      <x:c r="L18" s="19"/>
      <x:c r="M18" s="18"/>
      <x:c r="N18" s="18" t="str">
        <x:f>IF(A18="","",IF(AND(L18&lt;TODAY(),M18&lt;&gt;"Clos"),"Retard",IF(J18&gt;0,"Anomalies a traiter","OK")))</x:f>
      </x:c>
    </x:row>
    <x:row r="19">
      <x:c r="A19" s="18"/>
      <x:c r="B19" s="18"/>
      <x:c r="C19" s="18"/>
      <x:c r="D19" s="18"/>
      <x:c r="E19" s="18"/>
      <x:c r="F19" s="18"/>
      <x:c r="G19" s="18"/>
      <x:c r="H19" s="19"/>
      <x:c r="I19" s="18"/>
      <x:c r="J19" s="18"/>
      <x:c r="K19" s="18"/>
      <x:c r="L19" s="19"/>
      <x:c r="M19" s="18"/>
      <x:c r="N19" s="18" t="str">
        <x:f>IF(A19="","",IF(AND(L19&lt;TODAY(),M19&lt;&gt;"Clos"),"Retard",IF(J19&gt;0,"Anomalies a traiter","OK")))</x:f>
      </x:c>
    </x:row>
    <x:row r="20">
      <x:c r="A20" s="18"/>
      <x:c r="B20" s="18"/>
      <x:c r="C20" s="18"/>
      <x:c r="D20" s="18"/>
      <x:c r="E20" s="18"/>
      <x:c r="F20" s="18"/>
      <x:c r="G20" s="18"/>
      <x:c r="H20" s="19"/>
      <x:c r="I20" s="18"/>
      <x:c r="J20" s="18"/>
      <x:c r="K20" s="18"/>
      <x:c r="L20" s="19"/>
      <x:c r="M20" s="18"/>
      <x:c r="N20" s="18" t="str">
        <x:f>IF(A20="","",IF(AND(L20&lt;TODAY(),M20&lt;&gt;"Clos"),"Retard",IF(J20&gt;0,"Anomalies a traiter","OK")))</x:f>
      </x:c>
    </x:row>
    <x:row r="21">
      <x:c r="A21" s="18"/>
      <x:c r="B21" s="18"/>
      <x:c r="C21" s="18"/>
      <x:c r="D21" s="18"/>
      <x:c r="E21" s="18"/>
      <x:c r="F21" s="18"/>
      <x:c r="G21" s="18"/>
      <x:c r="H21" s="19"/>
      <x:c r="I21" s="18"/>
      <x:c r="J21" s="18"/>
      <x:c r="K21" s="18"/>
      <x:c r="L21" s="19"/>
      <x:c r="M21" s="18"/>
      <x:c r="N21" s="18" t="str">
        <x:f>IF(A21="","",IF(AND(L21&lt;TODAY(),M21&lt;&gt;"Clos"),"Retard",IF(J21&gt;0,"Anomalies a traiter","OK")))</x:f>
      </x:c>
    </x:row>
    <x:row r="22">
      <x:c r="A22" s="18"/>
      <x:c r="B22" s="18"/>
      <x:c r="C22" s="18"/>
      <x:c r="D22" s="18"/>
      <x:c r="E22" s="18"/>
      <x:c r="F22" s="18"/>
      <x:c r="G22" s="18"/>
      <x:c r="H22" s="19"/>
      <x:c r="I22" s="18"/>
      <x:c r="J22" s="18"/>
      <x:c r="K22" s="18"/>
      <x:c r="L22" s="19"/>
      <x:c r="M22" s="18"/>
      <x:c r="N22" s="18" t="str">
        <x:f>IF(A22="","",IF(AND(L22&lt;TODAY(),M22&lt;&gt;"Clos"),"Retard",IF(J22&gt;0,"Anomalies a traiter","OK")))</x:f>
      </x:c>
    </x:row>
    <x:row r="23">
      <x:c r="A23" s="18"/>
      <x:c r="B23" s="18"/>
      <x:c r="C23" s="18"/>
      <x:c r="D23" s="18"/>
      <x:c r="E23" s="18"/>
      <x:c r="F23" s="18"/>
      <x:c r="G23" s="18"/>
      <x:c r="H23" s="19"/>
      <x:c r="I23" s="18"/>
      <x:c r="J23" s="18"/>
      <x:c r="K23" s="18"/>
      <x:c r="L23" s="19"/>
      <x:c r="M23" s="18"/>
      <x:c r="N23" s="18" t="str">
        <x:f>IF(A23="","",IF(AND(L23&lt;TODAY(),M23&lt;&gt;"Clos"),"Retard",IF(J23&gt;0,"Anomalies a traiter","OK")))</x:f>
      </x:c>
    </x:row>
    <x:row r="24">
      <x:c r="A24" s="18"/>
      <x:c r="B24" s="18"/>
      <x:c r="C24" s="18"/>
      <x:c r="D24" s="18"/>
      <x:c r="E24" s="18"/>
      <x:c r="F24" s="18"/>
      <x:c r="G24" s="18"/>
      <x:c r="H24" s="19"/>
      <x:c r="I24" s="18"/>
      <x:c r="J24" s="18"/>
      <x:c r="K24" s="18"/>
      <x:c r="L24" s="19"/>
      <x:c r="M24" s="18"/>
      <x:c r="N24" s="18" t="str">
        <x:f>IF(A24="","",IF(AND(L24&lt;TODAY(),M24&lt;&gt;"Clos"),"Retard",IF(J24&gt;0,"Anomalies a traiter","OK")))</x:f>
      </x:c>
    </x:row>
    <x:row r="25">
      <x:c r="A25" s="18"/>
      <x:c r="B25" s="18"/>
      <x:c r="C25" s="18"/>
      <x:c r="D25" s="18"/>
      <x:c r="E25" s="18"/>
      <x:c r="F25" s="18"/>
      <x:c r="G25" s="18"/>
      <x:c r="H25" s="19"/>
      <x:c r="I25" s="18"/>
      <x:c r="J25" s="18"/>
      <x:c r="K25" s="18"/>
      <x:c r="L25" s="19"/>
      <x:c r="M25" s="18"/>
      <x:c r="N25" s="18" t="str">
        <x:f>IF(A25="","",IF(AND(L25&lt;TODAY(),M25&lt;&gt;"Clos"),"Retard",IF(J25&gt;0,"Anomalies a traiter","OK")))</x:f>
      </x:c>
    </x:row>
    <x:row r="26">
      <x:c r="A26" s="18"/>
      <x:c r="B26" s="18"/>
      <x:c r="C26" s="18"/>
      <x:c r="D26" s="18"/>
      <x:c r="E26" s="18"/>
      <x:c r="F26" s="18"/>
      <x:c r="G26" s="18"/>
      <x:c r="H26" s="19"/>
      <x:c r="I26" s="18"/>
      <x:c r="J26" s="18"/>
      <x:c r="K26" s="18"/>
      <x:c r="L26" s="19"/>
      <x:c r="M26" s="18"/>
      <x:c r="N26" s="18" t="str">
        <x:f>IF(A26="","",IF(AND(L26&lt;TODAY(),M26&lt;&gt;"Clos"),"Retard",IF(J26&gt;0,"Anomalies a traiter","OK")))</x:f>
      </x:c>
    </x:row>
    <x:row r="27">
      <x:c r="A27" s="18"/>
      <x:c r="B27" s="18"/>
      <x:c r="C27" s="18"/>
      <x:c r="D27" s="18"/>
      <x:c r="E27" s="18"/>
      <x:c r="F27" s="18"/>
      <x:c r="G27" s="18"/>
      <x:c r="H27" s="19"/>
      <x:c r="I27" s="18"/>
      <x:c r="J27" s="18"/>
      <x:c r="K27" s="18"/>
      <x:c r="L27" s="19"/>
      <x:c r="M27" s="18"/>
      <x:c r="N27" s="18" t="str">
        <x:f>IF(A27="","",IF(AND(L27&lt;TODAY(),M27&lt;&gt;"Clos"),"Retard",IF(J27&gt;0,"Anomalies a traiter","OK")))</x:f>
      </x:c>
    </x:row>
    <x:row r="28">
      <x:c r="A28" s="18"/>
      <x:c r="B28" s="18"/>
      <x:c r="C28" s="18"/>
      <x:c r="D28" s="18"/>
      <x:c r="E28" s="18"/>
      <x:c r="F28" s="18"/>
      <x:c r="G28" s="18"/>
      <x:c r="H28" s="19"/>
      <x:c r="I28" s="18"/>
      <x:c r="J28" s="18"/>
      <x:c r="K28" s="18"/>
      <x:c r="L28" s="19"/>
      <x:c r="M28" s="18"/>
      <x:c r="N28" s="18" t="str">
        <x:f>IF(A28="","",IF(AND(L28&lt;TODAY(),M28&lt;&gt;"Clos"),"Retard",IF(J28&gt;0,"Anomalies a traiter","OK")))</x:f>
      </x:c>
    </x:row>
    <x:row r="29">
      <x:c r="A29" s="18"/>
      <x:c r="B29" s="18"/>
      <x:c r="C29" s="18"/>
      <x:c r="D29" s="18"/>
      <x:c r="E29" s="18"/>
      <x:c r="F29" s="18"/>
      <x:c r="G29" s="18"/>
      <x:c r="H29" s="19"/>
      <x:c r="I29" s="18"/>
      <x:c r="J29" s="18"/>
      <x:c r="K29" s="18"/>
      <x:c r="L29" s="19"/>
      <x:c r="M29" s="18"/>
      <x:c r="N29" s="18" t="str">
        <x:f>IF(A29="","",IF(AND(L29&lt;TODAY(),M29&lt;&gt;"Clos"),"Retard",IF(J29&gt;0,"Anomalies a traiter","OK")))</x:f>
      </x:c>
    </x:row>
    <x:row r="30">
      <x:c r="A30" s="18"/>
      <x:c r="B30" s="18"/>
      <x:c r="C30" s="18"/>
      <x:c r="D30" s="18"/>
      <x:c r="E30" s="18"/>
      <x:c r="F30" s="18"/>
      <x:c r="G30" s="18"/>
      <x:c r="H30" s="19"/>
      <x:c r="I30" s="18"/>
      <x:c r="J30" s="18"/>
      <x:c r="K30" s="18"/>
      <x:c r="L30" s="19"/>
      <x:c r="M30" s="18"/>
      <x:c r="N30" s="18" t="str">
        <x:f>IF(A30="","",IF(AND(L30&lt;TODAY(),M30&lt;&gt;"Clos"),"Retard",IF(J30&gt;0,"Anomalies a traiter","OK")))</x:f>
      </x:c>
    </x:row>
    <x:row r="31">
      <x:c r="A31" s="18"/>
      <x:c r="B31" s="18"/>
      <x:c r="C31" s="18"/>
      <x:c r="D31" s="18"/>
      <x:c r="E31" s="18"/>
      <x:c r="F31" s="18"/>
      <x:c r="G31" s="18"/>
      <x:c r="H31" s="19"/>
      <x:c r="I31" s="18"/>
      <x:c r="J31" s="18"/>
      <x:c r="K31" s="18"/>
      <x:c r="L31" s="19"/>
      <x:c r="M31" s="18"/>
      <x:c r="N31" s="18" t="str">
        <x:f>IF(A31="","",IF(AND(L31&lt;TODAY(),M31&lt;&gt;"Clos"),"Retard",IF(J31&gt;0,"Anomalies a traiter","OK")))</x:f>
      </x:c>
    </x:row>
    <x:row r="32">
      <x:c r="A32" s="18"/>
      <x:c r="B32" s="18"/>
      <x:c r="C32" s="18"/>
      <x:c r="D32" s="18"/>
      <x:c r="E32" s="18"/>
      <x:c r="F32" s="18"/>
      <x:c r="G32" s="18"/>
      <x:c r="H32" s="19"/>
      <x:c r="I32" s="18"/>
      <x:c r="J32" s="18"/>
      <x:c r="K32" s="18"/>
      <x:c r="L32" s="19"/>
      <x:c r="M32" s="18"/>
      <x:c r="N32" s="18" t="str">
        <x:f>IF(A32="","",IF(AND(L32&lt;TODAY(),M32&lt;&gt;"Clos"),"Retard",IF(J32&gt;0,"Anomalies a traiter","OK")))</x:f>
      </x:c>
    </x:row>
    <x:row r="33">
      <x:c r="A33" s="18"/>
      <x:c r="B33" s="18"/>
      <x:c r="C33" s="18"/>
      <x:c r="D33" s="18"/>
      <x:c r="E33" s="18"/>
      <x:c r="F33" s="18"/>
      <x:c r="G33" s="18"/>
      <x:c r="H33" s="19"/>
      <x:c r="I33" s="18"/>
      <x:c r="J33" s="18"/>
      <x:c r="K33" s="18"/>
      <x:c r="L33" s="19"/>
      <x:c r="M33" s="18"/>
      <x:c r="N33" s="18" t="str">
        <x:f>IF(A33="","",IF(AND(L33&lt;TODAY(),M33&lt;&gt;"Clos"),"Retard",IF(J33&gt;0,"Anomalies a traiter","OK")))</x:f>
      </x:c>
    </x:row>
    <x:row r="34">
      <x:c r="A34" s="18"/>
      <x:c r="B34" s="18"/>
      <x:c r="C34" s="18"/>
      <x:c r="D34" s="18"/>
      <x:c r="E34" s="18"/>
      <x:c r="F34" s="18"/>
      <x:c r="G34" s="18"/>
      <x:c r="H34" s="19"/>
      <x:c r="I34" s="18"/>
      <x:c r="J34" s="18"/>
      <x:c r="K34" s="18"/>
      <x:c r="L34" s="19"/>
      <x:c r="M34" s="18"/>
      <x:c r="N34" s="18" t="str">
        <x:f>IF(A34="","",IF(AND(L34&lt;TODAY(),M34&lt;&gt;"Clos"),"Retard",IF(J34&gt;0,"Anomalies a traiter","OK")))</x:f>
      </x:c>
    </x:row>
    <x:row r="35">
      <x:c r="A35" s="18"/>
      <x:c r="B35" s="18"/>
      <x:c r="C35" s="18"/>
      <x:c r="D35" s="18"/>
      <x:c r="E35" s="18"/>
      <x:c r="F35" s="18"/>
      <x:c r="G35" s="18"/>
      <x:c r="H35" s="19"/>
      <x:c r="I35" s="18"/>
      <x:c r="J35" s="18"/>
      <x:c r="K35" s="18"/>
      <x:c r="L35" s="19"/>
      <x:c r="M35" s="18"/>
      <x:c r="N35" s="18" t="str">
        <x:f>IF(A35="","",IF(AND(L35&lt;TODAY(),M35&lt;&gt;"Clos"),"Retard",IF(J35&gt;0,"Anomalies a traiter","OK")))</x:f>
      </x:c>
    </x:row>
    <x:row r="36">
      <x:c r="A36" s="18"/>
      <x:c r="B36" s="18"/>
      <x:c r="C36" s="18"/>
      <x:c r="D36" s="18"/>
      <x:c r="E36" s="18"/>
      <x:c r="F36" s="18"/>
      <x:c r="G36" s="18"/>
      <x:c r="H36" s="19"/>
      <x:c r="I36" s="18"/>
      <x:c r="J36" s="18"/>
      <x:c r="K36" s="18"/>
      <x:c r="L36" s="19"/>
      <x:c r="M36" s="18"/>
      <x:c r="N36" s="18" t="str">
        <x:f>IF(A36="","",IF(AND(L36&lt;TODAY(),M36&lt;&gt;"Clos"),"Retard",IF(J36&gt;0,"Anomalies a traiter","OK")))</x:f>
      </x:c>
    </x:row>
    <x:row r="37">
      <x:c r="A37" s="18"/>
      <x:c r="B37" s="18"/>
      <x:c r="C37" s="18"/>
      <x:c r="D37" s="18"/>
      <x:c r="E37" s="18"/>
      <x:c r="F37" s="18"/>
      <x:c r="G37" s="18"/>
      <x:c r="H37" s="19"/>
      <x:c r="I37" s="18"/>
      <x:c r="J37" s="18"/>
      <x:c r="K37" s="18"/>
      <x:c r="L37" s="19"/>
      <x:c r="M37" s="18"/>
      <x:c r="N37" s="18" t="str">
        <x:f>IF(A37="","",IF(AND(L37&lt;TODAY(),M37&lt;&gt;"Clos"),"Retard",IF(J37&gt;0,"Anomalies a traiter","OK")))</x:f>
      </x:c>
    </x:row>
    <x:row r="38">
      <x:c r="A38" s="18"/>
      <x:c r="B38" s="18"/>
      <x:c r="C38" s="18"/>
      <x:c r="D38" s="18"/>
      <x:c r="E38" s="18"/>
      <x:c r="F38" s="18"/>
      <x:c r="G38" s="18"/>
      <x:c r="H38" s="19"/>
      <x:c r="I38" s="18"/>
      <x:c r="J38" s="18"/>
      <x:c r="K38" s="18"/>
      <x:c r="L38" s="19"/>
      <x:c r="M38" s="18"/>
      <x:c r="N38" s="18" t="str">
        <x:f>IF(A38="","",IF(AND(L38&lt;TODAY(),M38&lt;&gt;"Clos"),"Retard",IF(J38&gt;0,"Anomalies a traiter","OK")))</x:f>
      </x:c>
    </x:row>
    <x:row r="39">
      <x:c r="A39" s="18"/>
      <x:c r="B39" s="18"/>
      <x:c r="C39" s="18"/>
      <x:c r="D39" s="18"/>
      <x:c r="E39" s="18"/>
      <x:c r="F39" s="18"/>
      <x:c r="G39" s="18"/>
      <x:c r="H39" s="19"/>
      <x:c r="I39" s="18"/>
      <x:c r="J39" s="18"/>
      <x:c r="K39" s="18"/>
      <x:c r="L39" s="19"/>
      <x:c r="M39" s="18"/>
      <x:c r="N39" s="18" t="str">
        <x:f>IF(A39="","",IF(AND(L39&lt;TODAY(),M39&lt;&gt;"Clos"),"Retard",IF(J39&gt;0,"Anomalies a traiter","OK")))</x:f>
      </x:c>
    </x:row>
    <x:row r="40">
      <x:c r="A40" s="18"/>
      <x:c r="B40" s="18"/>
      <x:c r="C40" s="18"/>
      <x:c r="D40" s="18"/>
      <x:c r="E40" s="18"/>
      <x:c r="F40" s="18"/>
      <x:c r="G40" s="18"/>
      <x:c r="H40" s="19"/>
      <x:c r="I40" s="18"/>
      <x:c r="J40" s="18"/>
      <x:c r="K40" s="18"/>
      <x:c r="L40" s="19"/>
      <x:c r="M40" s="18"/>
      <x:c r="N40" s="18" t="str">
        <x:f>IF(A40="","",IF(AND(L40&lt;TODAY(),M40&lt;&gt;"Clos"),"Retard",IF(J40&gt;0,"Anomalies a traiter","OK")))</x:f>
      </x:c>
    </x:row>
    <x:row r="41">
      <x:c r="A41" s="18"/>
      <x:c r="B41" s="18"/>
      <x:c r="C41" s="18"/>
      <x:c r="D41" s="18"/>
      <x:c r="E41" s="18"/>
      <x:c r="F41" s="18"/>
      <x:c r="G41" s="18"/>
      <x:c r="H41" s="19"/>
      <x:c r="I41" s="18"/>
      <x:c r="J41" s="18"/>
      <x:c r="K41" s="18"/>
      <x:c r="L41" s="19"/>
      <x:c r="M41" s="18"/>
      <x:c r="N41" s="18" t="str">
        <x:f>IF(A41="","",IF(AND(L41&lt;TODAY(),M41&lt;&gt;"Clos"),"Retard",IF(J41&gt;0,"Anomalies a traiter","OK")))</x:f>
      </x:c>
    </x:row>
    <x:row r="42">
      <x:c r="A42" s="18"/>
      <x:c r="B42" s="18"/>
      <x:c r="C42" s="18"/>
      <x:c r="D42" s="18"/>
      <x:c r="E42" s="18"/>
      <x:c r="F42" s="18"/>
      <x:c r="G42" s="18"/>
      <x:c r="H42" s="19"/>
      <x:c r="I42" s="18"/>
      <x:c r="J42" s="18"/>
      <x:c r="K42" s="18"/>
      <x:c r="L42" s="19"/>
      <x:c r="M42" s="18"/>
      <x:c r="N42" s="18" t="str">
        <x:f>IF(A42="","",IF(AND(L42&lt;TODAY(),M42&lt;&gt;"Clos"),"Retard",IF(J42&gt;0,"Anomalies a traiter","OK")))</x:f>
      </x:c>
    </x:row>
    <x:row r="43">
      <x:c r="A43" s="18"/>
      <x:c r="B43" s="18"/>
      <x:c r="C43" s="18"/>
      <x:c r="D43" s="18"/>
      <x:c r="E43" s="18"/>
      <x:c r="F43" s="18"/>
      <x:c r="G43" s="18"/>
      <x:c r="H43" s="19"/>
      <x:c r="I43" s="18"/>
      <x:c r="J43" s="18"/>
      <x:c r="K43" s="18"/>
      <x:c r="L43" s="19"/>
      <x:c r="M43" s="18"/>
      <x:c r="N43" s="18" t="str">
        <x:f>IF(A43="","",IF(AND(L43&lt;TODAY(),M43&lt;&gt;"Clos"),"Retard",IF(J43&gt;0,"Anomalies a traiter","OK")))</x:f>
      </x:c>
    </x:row>
    <x:row r="44">
      <x:c r="A44" s="18"/>
      <x:c r="B44" s="18"/>
      <x:c r="C44" s="18"/>
      <x:c r="D44" s="18"/>
      <x:c r="E44" s="18"/>
      <x:c r="F44" s="18"/>
      <x:c r="G44" s="18"/>
      <x:c r="H44" s="19"/>
      <x:c r="I44" s="18"/>
      <x:c r="J44" s="18"/>
      <x:c r="K44" s="18"/>
      <x:c r="L44" s="19"/>
      <x:c r="M44" s="18"/>
      <x:c r="N44" s="18" t="str">
        <x:f>IF(A44="","",IF(AND(L44&lt;TODAY(),M44&lt;&gt;"Clos"),"Retard",IF(J44&gt;0,"Anomalies a traiter","OK")))</x:f>
      </x:c>
    </x:row>
  </x:sheetData>
  <x:mergeCells>
    <x:mergeCell ref="A1:J1"/>
    <x:mergeCell ref="A2:J2"/>
  </x:mergeCells>
  <x:conditionalFormatting sqref="N5:N44">
    <x:cfRule type="containsText" dxfId="68" priority="1" operator="containsText" text="Retard"/>
    <x:cfRule type="containsText" dxfId="69" priority="2" operator="containsText" text="critique"/>
    <x:cfRule type="containsText" dxfId="70" priority="3" operator="containsText" text="manquant"/>
    <x:cfRule type="containsText" dxfId="71"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B5:B44">
      <x:formula1>"GES,Air,Mobilite,Energie,Dechets,Budget,Financement,Reporting"</x:formula1>
    </x:dataValidation>
    <x:dataValidation type="list" errorStyle="warning" showInputMessage="1" showErrorMessage="1" errorTitle="Valeur inattendue" error="Cette colonne utilise une liste controlee." promptTitle="Liste controlee" prompt="Choisir une valeur dans la liste." sqref="G5:G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I5:I44">
      <x:formula1>"OK,A verifier,Non conforme,Non realise"</x:formula1>
    </x:dataValidation>
    <x:dataValidation type="list" errorStyle="warning" showInputMessage="1" showErrorMessage="1" errorTitle="Valeur inattendue" error="Cette colonne utilise une liste controlee." promptTitle="Liste controlee" prompt="Choisir une valeur dans la liste." sqref="M5:M44">
      <x:formula1>"Ouvert,En traitement,Clos"</x:formula1>
    </x:dataValidation>
  </x:dataValidations>
  <x:pageMargins left="0.7" right="0.7" top="0.75" bottom="0.75" header="0.3" footer="0.3"/>
  <x:tableParts count="1">
    <x:tablePart xmlns:r="http://schemas.openxmlformats.org/officeDocument/2006/relationships" r:id="R948e8e8d162b41a3"/>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31.25" hidden="0" customWidth="1"/>
    <x:col min="3" max="3" width="22.5" hidden="0" customWidth="1"/>
    <x:col min="4" max="4" width="22.5" hidden="0" customWidth="1"/>
    <x:col min="5" max="5" width="22.5" hidden="0" customWidth="1"/>
    <x:col min="6" max="6" width="18.75" hidden="0" customWidth="1"/>
    <x:col min="7" max="7" width="21.25" hidden="0" customWidth="1"/>
    <x:col min="8" max="8" width="21.25" hidden="0" customWidth="1"/>
    <x:col min="9" max="9" width="16.25" hidden="0" customWidth="1"/>
    <x:col min="10" max="10" width="21.25" hidden="0" customWidth="1"/>
    <x:col min="11" max="11" width="18.1299991607666" hidden="0" customWidth="1"/>
    <x:col min="12" max="12" width="16.8799991607666" hidden="0" customWidth="1"/>
    <x:col min="13" max="13" width="16.8799991607666" hidden="0" customWidth="1"/>
    <x:col min="14" max="14" width="18.1299991607666" hidden="0" customWidth="1"/>
  </x:cols>
  <x:sheetData>
    <x:row r="1" ht="25.5" customHeight="1">
      <x:c r="A1" s="2" t="str">
        <x:v>Mapping des cadres de reporting</x:v>
      </x:c>
      <x:c r="B1" s="2"/>
      <x:c r="C1" s="2"/>
      <x:c r="D1" s="2"/>
      <x:c r="E1" s="2"/>
      <x:c r="F1" s="2"/>
      <x:c r="G1" s="2"/>
      <x:c r="H1" s="2"/>
      <x:c r="I1" s="2"/>
      <x:c r="J1" s="2"/>
    </x:row>
    <x:row r="2" ht="31.5" customHeight="1">
      <x:c r="A2" s="5" t="str">
        <x:v>Correspondance entre indicateurs internes et exigences CDP-ICLEI, C40, ICLEI/GPC, CoM SSA et CDN.</x:v>
      </x:c>
      <x:c r="B2" s="5"/>
      <x:c r="C2" s="5"/>
      <x:c r="D2" s="5"/>
      <x:c r="E2" s="5"/>
      <x:c r="F2" s="5"/>
      <x:c r="G2" s="5"/>
      <x:c r="H2" s="5"/>
      <x:c r="I2" s="5"/>
      <x:c r="J2" s="5"/>
    </x:row>
    <x:row r="4" ht="28.5" customHeight="1">
      <x:c r="A4" s="16" t="str">
        <x:v>Mapping_ID</x:v>
      </x:c>
      <x:c r="B4" s="16" t="str">
        <x:v>Indicateur_interne</x:v>
      </x:c>
      <x:c r="C4" s="16" t="str">
        <x:v>Source_donnee</x:v>
      </x:c>
      <x:c r="D4" s="16" t="str">
        <x:v>CDP_ICLEI_Module</x:v>
      </x:c>
      <x:c r="E4" s="16" t="str">
        <x:v>C40_Exigence</x:v>
      </x:c>
      <x:c r="F4" s="16" t="str">
        <x:v>ICLEI_GPC</x:v>
      </x:c>
      <x:c r="G4" s="16" t="str">
        <x:v>COMSSA_SEACAP</x:v>
      </x:c>
      <x:c r="H4" s="16" t="str">
        <x:v>CDN_Senegal</x:v>
      </x:c>
      <x:c r="I4" s="16" t="str">
        <x:v>Frequence</x:v>
      </x:c>
      <x:c r="J4" s="16" t="str">
        <x:v>Responsable</x:v>
      </x:c>
      <x:c r="K4" s="16" t="str">
        <x:v>Niveau_preparation</x:v>
      </x:c>
      <x:c r="L4" s="16" t="str">
        <x:v>Donnee_obligatoire</x:v>
      </x:c>
      <x:c r="M4" s="16" t="str">
        <x:v>Statut_reporting</x:v>
      </x:c>
      <x:c r="N4" s="16" t="str">
        <x:v>Alerte</x:v>
      </x:c>
    </x:row>
    <x:row r="5">
      <x:c r="A5" s="18" t="str">
        <x:v>MAP-001</x:v>
      </x:c>
      <x:c r="B5" s="18" t="str">
        <x:v>Emissions totales tCO2e par secteur</x:v>
      </x:c>
      <x:c r="C5" s="18" t="str">
        <x:v>08_INVENTAIRE_GES</x:v>
      </x:c>
      <x:c r="D5" s="18" t="str">
        <x:v>Emissions inventory</x:v>
      </x:c>
      <x:c r="E5" s="18" t="str">
        <x:v>Emissions and targets</x:v>
      </x:c>
      <x:c r="F5" s="18" t="str">
        <x:v>GPC BASIC/BASIC+</x:v>
      </x:c>
      <x:c r="G5" s="18" t="str">
        <x:v>Mitigation inventory</x:v>
      </x:c>
      <x:c r="H5" s="18" t="str">
        <x:v>Mitigation MRV</x:v>
      </x:c>
      <x:c r="I5" s="18" t="str">
        <x:v>Annuelle</x:v>
      </x:c>
      <x:c r="J5" s="18" t="str">
        <x:v>Referent GES</x:v>
      </x:c>
      <x:c r="K5" s="18" t="str">
        <x:v>Pret</x:v>
      </x:c>
      <x:c r="L5" s="18" t="str">
        <x:v>Oui</x:v>
      </x:c>
      <x:c r="M5" s="18" t="str">
        <x:v>Pret</x:v>
      </x:c>
      <x:c r="N5" s="18" t="str">
        <x:f>IF(A5="","",IF(OR(K5="A completer",K5="A verifier",M5&lt;&gt;"Pret"),"Reporting a completer","OK"))</x:f>
        <x:v>OK</x:v>
      </x:c>
    </x:row>
    <x:row r="6">
      <x:c r="A6" s="18" t="str">
        <x:v>MAP-002</x:v>
      </x:c>
      <x:c r="B6" s="18" t="str">
        <x:v>Actions climat et avancement</x:v>
      </x:c>
      <x:c r="C6" s="18" t="str">
        <x:v>05_PROJETS_CLIMAT</x:v>
      </x:c>
      <x:c r="D6" s="18" t="str">
        <x:v>Climate actions</x:v>
      </x:c>
      <x:c r="E6" s="18" t="str">
        <x:v>CAP implementation</x:v>
      </x:c>
      <x:c r="F6" s="18" t="str">
        <x:v>Action tracking</x:v>
      </x:c>
      <x:c r="G6" s="18" t="str">
        <x:v>SEACAP actions</x:v>
      </x:c>
      <x:c r="H6" s="18" t="str">
        <x:v>Contribution territoriale</x:v>
      </x:c>
      <x:c r="I6" s="18" t="str">
        <x:v>Annuelle</x:v>
      </x:c>
      <x:c r="J6" s="18" t="str">
        <x:v>Cellule climat</x:v>
      </x:c>
      <x:c r="K6" s="18" t="str">
        <x:v>A completer</x:v>
      </x:c>
      <x:c r="L6" s="18" t="str">
        <x:v>Oui</x:v>
      </x:c>
      <x:c r="M6" s="18" t="str">
        <x:v>A completer</x:v>
      </x:c>
      <x:c r="N6" s="18" t="str">
        <x:f>IF(A6="","",IF(OR(K6="A completer",K6="A verifier",M6&lt;&gt;"Pret"),"Reporting a completer","OK"))</x:f>
        <x:v>Reporting a completer</x:v>
      </x:c>
    </x:row>
    <x:row r="7">
      <x:c r="A7" s="18" t="str">
        <x:v>MAP-003</x:v>
      </x:c>
      <x:c r="B7" s="18" t="str">
        <x:v>Qualite de l'air PM2.5/NO2</x:v>
      </x:c>
      <x:c r="C7" s="18" t="str">
        <x:v>11_QUALITE_AIR</x:v>
      </x:c>
      <x:c r="D7" s="18" t="str">
        <x:v>Air quality</x:v>
      </x:c>
      <x:c r="E7" s="18" t="str">
        <x:v>Clean Air Accelerator</x:v>
      </x:c>
      <x:c r="F7" s="18" t="str">
        <x:v>Co-benefits</x:v>
      </x:c>
      <x:c r="G7" s="18" t="str">
        <x:v>Sante urbaine</x:v>
      </x:c>
      <x:c r="H7" s="18" t="str">
        <x:v>Co-benefices</x:v>
      </x:c>
      <x:c r="I7" s="18" t="str">
        <x:v>Annuelle</x:v>
      </x:c>
      <x:c r="J7" s="18" t="str">
        <x:v>Direction Environnement</x:v>
      </x:c>
      <x:c r="K7" s="18" t="str">
        <x:v>A verifier</x:v>
      </x:c>
      <x:c r="L7" s="18" t="str">
        <x:v>Partiel</x:v>
      </x:c>
      <x:c r="M7" s="18" t="str">
        <x:v>A verifier</x:v>
      </x:c>
      <x:c r="N7" s="18" t="str">
        <x:f>IF(A7="","",IF(OR(K7="A completer",K7="A verifier",M7&lt;&gt;"Pret"),"Reporting a completer","OK"))</x:f>
        <x:v>Reporting a completer</x:v>
      </x:c>
    </x:row>
    <x:row r="8">
      <x:c r="A8" s="18" t="str">
        <x:v>MAP-004</x:v>
      </x:c>
      <x:c r="B8" s="18" t="str">
        <x:v>Budget et financement climat</x:v>
      </x:c>
      <x:c r="C8" s="18" t="str">
        <x:v>16_BUDGETS;17_FINANCEMENTS</x:v>
      </x:c>
      <x:c r="D8" s="18" t="str">
        <x:v>Finance</x:v>
      </x:c>
      <x:c r="E8" s="18" t="str">
        <x:v>Finance and delivery</x:v>
      </x:c>
      <x:c r="F8" s="18" t="str">
        <x:v>Support needs</x:v>
      </x:c>
      <x:c r="G8" s="18" t="str">
        <x:v>Financing SEACAP</x:v>
      </x:c>
      <x:c r="H8" s="18" t="str">
        <x:v>Besoins financement</x:v>
      </x:c>
      <x:c r="I8" s="18" t="str">
        <x:v>Annuelle</x:v>
      </x:c>
      <x:c r="J8" s="18" t="str">
        <x:v>Direction Finance</x:v>
      </x:c>
      <x:c r="K8" s="18" t="str">
        <x:v>A completer</x:v>
      </x:c>
      <x:c r="L8" s="18" t="str">
        <x:v>Oui</x:v>
      </x:c>
      <x:c r="M8" s="18" t="str">
        <x:v>A completer</x:v>
      </x:c>
      <x:c r="N8" s="18" t="str">
        <x:f>IF(A8="","",IF(OR(K8="A completer",K8="A verifier",M8&lt;&gt;"Pret"),"Reporting a completer","OK"))</x:f>
        <x:v>Reporting a completer</x:v>
      </x:c>
    </x:row>
    <x:row r="9">
      <x:c r="A9" s="18"/>
      <x:c r="B9" s="18"/>
      <x:c r="C9" s="18"/>
      <x:c r="D9" s="18"/>
      <x:c r="E9" s="18"/>
      <x:c r="F9" s="18"/>
      <x:c r="G9" s="18"/>
      <x:c r="H9" s="18"/>
      <x:c r="I9" s="18"/>
      <x:c r="J9" s="18"/>
      <x:c r="K9" s="18"/>
      <x:c r="L9" s="18"/>
      <x:c r="M9" s="18"/>
      <x:c r="N9" s="18" t="str">
        <x:f>IF(A9="","",IF(OR(K9="A completer",K9="A verifier",M9&lt;&gt;"Pret"),"Reporting a completer","OK"))</x:f>
      </x:c>
    </x:row>
    <x:row r="10">
      <x:c r="A10" s="18"/>
      <x:c r="B10" s="18"/>
      <x:c r="C10" s="18"/>
      <x:c r="D10" s="18"/>
      <x:c r="E10" s="18"/>
      <x:c r="F10" s="18"/>
      <x:c r="G10" s="18"/>
      <x:c r="H10" s="18"/>
      <x:c r="I10" s="18"/>
      <x:c r="J10" s="18"/>
      <x:c r="K10" s="18"/>
      <x:c r="L10" s="18"/>
      <x:c r="M10" s="18"/>
      <x:c r="N10" s="18" t="str">
        <x:f>IF(A10="","",IF(OR(K10="A completer",K10="A verifier",M10&lt;&gt;"Pret"),"Reporting a completer","OK"))</x:f>
      </x:c>
    </x:row>
    <x:row r="11">
      <x:c r="A11" s="18"/>
      <x:c r="B11" s="18"/>
      <x:c r="C11" s="18"/>
      <x:c r="D11" s="18"/>
      <x:c r="E11" s="18"/>
      <x:c r="F11" s="18"/>
      <x:c r="G11" s="18"/>
      <x:c r="H11" s="18"/>
      <x:c r="I11" s="18"/>
      <x:c r="J11" s="18"/>
      <x:c r="K11" s="18"/>
      <x:c r="L11" s="18"/>
      <x:c r="M11" s="18"/>
      <x:c r="N11" s="18" t="str">
        <x:f>IF(A11="","",IF(OR(K11="A completer",K11="A verifier",M11&lt;&gt;"Pret"),"Reporting a completer","OK"))</x:f>
      </x:c>
    </x:row>
    <x:row r="12">
      <x:c r="A12" s="18"/>
      <x:c r="B12" s="18"/>
      <x:c r="C12" s="18"/>
      <x:c r="D12" s="18"/>
      <x:c r="E12" s="18"/>
      <x:c r="F12" s="18"/>
      <x:c r="G12" s="18"/>
      <x:c r="H12" s="18"/>
      <x:c r="I12" s="18"/>
      <x:c r="J12" s="18"/>
      <x:c r="K12" s="18"/>
      <x:c r="L12" s="18"/>
      <x:c r="M12" s="18"/>
      <x:c r="N12" s="18" t="str">
        <x:f>IF(A12="","",IF(OR(K12="A completer",K12="A verifier",M12&lt;&gt;"Pret"),"Reporting a completer","OK"))</x:f>
      </x:c>
    </x:row>
    <x:row r="13">
      <x:c r="A13" s="18"/>
      <x:c r="B13" s="18"/>
      <x:c r="C13" s="18"/>
      <x:c r="D13" s="18"/>
      <x:c r="E13" s="18"/>
      <x:c r="F13" s="18"/>
      <x:c r="G13" s="18"/>
      <x:c r="H13" s="18"/>
      <x:c r="I13" s="18"/>
      <x:c r="J13" s="18"/>
      <x:c r="K13" s="18"/>
      <x:c r="L13" s="18"/>
      <x:c r="M13" s="18"/>
      <x:c r="N13" s="18" t="str">
        <x:f>IF(A13="","",IF(OR(K13="A completer",K13="A verifier",M13&lt;&gt;"Pret"),"Reporting a completer","OK"))</x:f>
      </x:c>
    </x:row>
    <x:row r="14">
      <x:c r="A14" s="18"/>
      <x:c r="B14" s="18"/>
      <x:c r="C14" s="18"/>
      <x:c r="D14" s="18"/>
      <x:c r="E14" s="18"/>
      <x:c r="F14" s="18"/>
      <x:c r="G14" s="18"/>
      <x:c r="H14" s="18"/>
      <x:c r="I14" s="18"/>
      <x:c r="J14" s="18"/>
      <x:c r="K14" s="18"/>
      <x:c r="L14" s="18"/>
      <x:c r="M14" s="18"/>
      <x:c r="N14" s="18" t="str">
        <x:f>IF(A14="","",IF(OR(K14="A completer",K14="A verifier",M14&lt;&gt;"Pret"),"Reporting a completer","OK"))</x:f>
      </x:c>
    </x:row>
    <x:row r="15">
      <x:c r="A15" s="18"/>
      <x:c r="B15" s="18"/>
      <x:c r="C15" s="18"/>
      <x:c r="D15" s="18"/>
      <x:c r="E15" s="18"/>
      <x:c r="F15" s="18"/>
      <x:c r="G15" s="18"/>
      <x:c r="H15" s="18"/>
      <x:c r="I15" s="18"/>
      <x:c r="J15" s="18"/>
      <x:c r="K15" s="18"/>
      <x:c r="L15" s="18"/>
      <x:c r="M15" s="18"/>
      <x:c r="N15" s="18" t="str">
        <x:f>IF(A15="","",IF(OR(K15="A completer",K15="A verifier",M15&lt;&gt;"Pret"),"Reporting a completer","OK"))</x:f>
      </x:c>
    </x:row>
    <x:row r="16">
      <x:c r="A16" s="18"/>
      <x:c r="B16" s="18"/>
      <x:c r="C16" s="18"/>
      <x:c r="D16" s="18"/>
      <x:c r="E16" s="18"/>
      <x:c r="F16" s="18"/>
      <x:c r="G16" s="18"/>
      <x:c r="H16" s="18"/>
      <x:c r="I16" s="18"/>
      <x:c r="J16" s="18"/>
      <x:c r="K16" s="18"/>
      <x:c r="L16" s="18"/>
      <x:c r="M16" s="18"/>
      <x:c r="N16" s="18" t="str">
        <x:f>IF(A16="","",IF(OR(K16="A completer",K16="A verifier",M16&lt;&gt;"Pret"),"Reporting a completer","OK"))</x:f>
      </x:c>
    </x:row>
    <x:row r="17">
      <x:c r="A17" s="18"/>
      <x:c r="B17" s="18"/>
      <x:c r="C17" s="18"/>
      <x:c r="D17" s="18"/>
      <x:c r="E17" s="18"/>
      <x:c r="F17" s="18"/>
      <x:c r="G17" s="18"/>
      <x:c r="H17" s="18"/>
      <x:c r="I17" s="18"/>
      <x:c r="J17" s="18"/>
      <x:c r="K17" s="18"/>
      <x:c r="L17" s="18"/>
      <x:c r="M17" s="18"/>
      <x:c r="N17" s="18" t="str">
        <x:f>IF(A17="","",IF(OR(K17="A completer",K17="A verifier",M17&lt;&gt;"Pret"),"Reporting a completer","OK"))</x:f>
      </x:c>
    </x:row>
    <x:row r="18">
      <x:c r="A18" s="18"/>
      <x:c r="B18" s="18"/>
      <x:c r="C18" s="18"/>
      <x:c r="D18" s="18"/>
      <x:c r="E18" s="18"/>
      <x:c r="F18" s="18"/>
      <x:c r="G18" s="18"/>
      <x:c r="H18" s="18"/>
      <x:c r="I18" s="18"/>
      <x:c r="J18" s="18"/>
      <x:c r="K18" s="18"/>
      <x:c r="L18" s="18"/>
      <x:c r="M18" s="18"/>
      <x:c r="N18" s="18" t="str">
        <x:f>IF(A18="","",IF(OR(K18="A completer",K18="A verifier",M18&lt;&gt;"Pret"),"Reporting a completer","OK"))</x:f>
      </x:c>
    </x:row>
    <x:row r="19">
      <x:c r="A19" s="18"/>
      <x:c r="B19" s="18"/>
      <x:c r="C19" s="18"/>
      <x:c r="D19" s="18"/>
      <x:c r="E19" s="18"/>
      <x:c r="F19" s="18"/>
      <x:c r="G19" s="18"/>
      <x:c r="H19" s="18"/>
      <x:c r="I19" s="18"/>
      <x:c r="J19" s="18"/>
      <x:c r="K19" s="18"/>
      <x:c r="L19" s="18"/>
      <x:c r="M19" s="18"/>
      <x:c r="N19" s="18" t="str">
        <x:f>IF(A19="","",IF(OR(K19="A completer",K19="A verifier",M19&lt;&gt;"Pret"),"Reporting a completer","OK"))</x:f>
      </x:c>
    </x:row>
    <x:row r="20">
      <x:c r="A20" s="18"/>
      <x:c r="B20" s="18"/>
      <x:c r="C20" s="18"/>
      <x:c r="D20" s="18"/>
      <x:c r="E20" s="18"/>
      <x:c r="F20" s="18"/>
      <x:c r="G20" s="18"/>
      <x:c r="H20" s="18"/>
      <x:c r="I20" s="18"/>
      <x:c r="J20" s="18"/>
      <x:c r="K20" s="18"/>
      <x:c r="L20" s="18"/>
      <x:c r="M20" s="18"/>
      <x:c r="N20" s="18" t="str">
        <x:f>IF(A20="","",IF(OR(K20="A completer",K20="A verifier",M20&lt;&gt;"Pret"),"Reporting a completer","OK"))</x:f>
      </x:c>
    </x:row>
    <x:row r="21">
      <x:c r="A21" s="18"/>
      <x:c r="B21" s="18"/>
      <x:c r="C21" s="18"/>
      <x:c r="D21" s="18"/>
      <x:c r="E21" s="18"/>
      <x:c r="F21" s="18"/>
      <x:c r="G21" s="18"/>
      <x:c r="H21" s="18"/>
      <x:c r="I21" s="18"/>
      <x:c r="J21" s="18"/>
      <x:c r="K21" s="18"/>
      <x:c r="L21" s="18"/>
      <x:c r="M21" s="18"/>
      <x:c r="N21" s="18" t="str">
        <x:f>IF(A21="","",IF(OR(K21="A completer",K21="A verifier",M21&lt;&gt;"Pret"),"Reporting a completer","OK"))</x:f>
      </x:c>
    </x:row>
    <x:row r="22">
      <x:c r="A22" s="18"/>
      <x:c r="B22" s="18"/>
      <x:c r="C22" s="18"/>
      <x:c r="D22" s="18"/>
      <x:c r="E22" s="18"/>
      <x:c r="F22" s="18"/>
      <x:c r="G22" s="18"/>
      <x:c r="H22" s="18"/>
      <x:c r="I22" s="18"/>
      <x:c r="J22" s="18"/>
      <x:c r="K22" s="18"/>
      <x:c r="L22" s="18"/>
      <x:c r="M22" s="18"/>
      <x:c r="N22" s="18" t="str">
        <x:f>IF(A22="","",IF(OR(K22="A completer",K22="A verifier",M22&lt;&gt;"Pret"),"Reporting a completer","OK"))</x:f>
      </x:c>
    </x:row>
    <x:row r="23">
      <x:c r="A23" s="18"/>
      <x:c r="B23" s="18"/>
      <x:c r="C23" s="18"/>
      <x:c r="D23" s="18"/>
      <x:c r="E23" s="18"/>
      <x:c r="F23" s="18"/>
      <x:c r="G23" s="18"/>
      <x:c r="H23" s="18"/>
      <x:c r="I23" s="18"/>
      <x:c r="J23" s="18"/>
      <x:c r="K23" s="18"/>
      <x:c r="L23" s="18"/>
      <x:c r="M23" s="18"/>
      <x:c r="N23" s="18" t="str">
        <x:f>IF(A23="","",IF(OR(K23="A completer",K23="A verifier",M23&lt;&gt;"Pret"),"Reporting a completer","OK"))</x:f>
      </x:c>
    </x:row>
    <x:row r="24">
      <x:c r="A24" s="18"/>
      <x:c r="B24" s="18"/>
      <x:c r="C24" s="18"/>
      <x:c r="D24" s="18"/>
      <x:c r="E24" s="18"/>
      <x:c r="F24" s="18"/>
      <x:c r="G24" s="18"/>
      <x:c r="H24" s="18"/>
      <x:c r="I24" s="18"/>
      <x:c r="J24" s="18"/>
      <x:c r="K24" s="18"/>
      <x:c r="L24" s="18"/>
      <x:c r="M24" s="18"/>
      <x:c r="N24" s="18" t="str">
        <x:f>IF(A24="","",IF(OR(K24="A completer",K24="A verifier",M24&lt;&gt;"Pret"),"Reporting a completer","OK"))</x:f>
      </x:c>
    </x:row>
    <x:row r="25">
      <x:c r="A25" s="18"/>
      <x:c r="B25" s="18"/>
      <x:c r="C25" s="18"/>
      <x:c r="D25" s="18"/>
      <x:c r="E25" s="18"/>
      <x:c r="F25" s="18"/>
      <x:c r="G25" s="18"/>
      <x:c r="H25" s="18"/>
      <x:c r="I25" s="18"/>
      <x:c r="J25" s="18"/>
      <x:c r="K25" s="18"/>
      <x:c r="L25" s="18"/>
      <x:c r="M25" s="18"/>
      <x:c r="N25" s="18" t="str">
        <x:f>IF(A25="","",IF(OR(K25="A completer",K25="A verifier",M25&lt;&gt;"Pret"),"Reporting a completer","OK"))</x:f>
      </x:c>
    </x:row>
    <x:row r="26">
      <x:c r="A26" s="18"/>
      <x:c r="B26" s="18"/>
      <x:c r="C26" s="18"/>
      <x:c r="D26" s="18"/>
      <x:c r="E26" s="18"/>
      <x:c r="F26" s="18"/>
      <x:c r="G26" s="18"/>
      <x:c r="H26" s="18"/>
      <x:c r="I26" s="18"/>
      <x:c r="J26" s="18"/>
      <x:c r="K26" s="18"/>
      <x:c r="L26" s="18"/>
      <x:c r="M26" s="18"/>
      <x:c r="N26" s="18" t="str">
        <x:f>IF(A26="","",IF(OR(K26="A completer",K26="A verifier",M26&lt;&gt;"Pret"),"Reporting a completer","OK"))</x:f>
      </x:c>
    </x:row>
    <x:row r="27">
      <x:c r="A27" s="18"/>
      <x:c r="B27" s="18"/>
      <x:c r="C27" s="18"/>
      <x:c r="D27" s="18"/>
      <x:c r="E27" s="18"/>
      <x:c r="F27" s="18"/>
      <x:c r="G27" s="18"/>
      <x:c r="H27" s="18"/>
      <x:c r="I27" s="18"/>
      <x:c r="J27" s="18"/>
      <x:c r="K27" s="18"/>
      <x:c r="L27" s="18"/>
      <x:c r="M27" s="18"/>
      <x:c r="N27" s="18" t="str">
        <x:f>IF(A27="","",IF(OR(K27="A completer",K27="A verifier",M27&lt;&gt;"Pret"),"Reporting a completer","OK"))</x:f>
      </x:c>
    </x:row>
    <x:row r="28">
      <x:c r="A28" s="18"/>
      <x:c r="B28" s="18"/>
      <x:c r="C28" s="18"/>
      <x:c r="D28" s="18"/>
      <x:c r="E28" s="18"/>
      <x:c r="F28" s="18"/>
      <x:c r="G28" s="18"/>
      <x:c r="H28" s="18"/>
      <x:c r="I28" s="18"/>
      <x:c r="J28" s="18"/>
      <x:c r="K28" s="18"/>
      <x:c r="L28" s="18"/>
      <x:c r="M28" s="18"/>
      <x:c r="N28" s="18" t="str">
        <x:f>IF(A28="","",IF(OR(K28="A completer",K28="A verifier",M28&lt;&gt;"Pret"),"Reporting a completer","OK"))</x:f>
      </x:c>
    </x:row>
    <x:row r="29">
      <x:c r="A29" s="18"/>
      <x:c r="B29" s="18"/>
      <x:c r="C29" s="18"/>
      <x:c r="D29" s="18"/>
      <x:c r="E29" s="18"/>
      <x:c r="F29" s="18"/>
      <x:c r="G29" s="18"/>
      <x:c r="H29" s="18"/>
      <x:c r="I29" s="18"/>
      <x:c r="J29" s="18"/>
      <x:c r="K29" s="18"/>
      <x:c r="L29" s="18"/>
      <x:c r="M29" s="18"/>
      <x:c r="N29" s="18" t="str">
        <x:f>IF(A29="","",IF(OR(K29="A completer",K29="A verifier",M29&lt;&gt;"Pret"),"Reporting a completer","OK"))</x:f>
      </x:c>
    </x:row>
    <x:row r="30">
      <x:c r="A30" s="18"/>
      <x:c r="B30" s="18"/>
      <x:c r="C30" s="18"/>
      <x:c r="D30" s="18"/>
      <x:c r="E30" s="18"/>
      <x:c r="F30" s="18"/>
      <x:c r="G30" s="18"/>
      <x:c r="H30" s="18"/>
      <x:c r="I30" s="18"/>
      <x:c r="J30" s="18"/>
      <x:c r="K30" s="18"/>
      <x:c r="L30" s="18"/>
      <x:c r="M30" s="18"/>
      <x:c r="N30" s="18" t="str">
        <x:f>IF(A30="","",IF(OR(K30="A completer",K30="A verifier",M30&lt;&gt;"Pret"),"Reporting a completer","OK"))</x:f>
      </x:c>
    </x:row>
    <x:row r="31">
      <x:c r="A31" s="18"/>
      <x:c r="B31" s="18"/>
      <x:c r="C31" s="18"/>
      <x:c r="D31" s="18"/>
      <x:c r="E31" s="18"/>
      <x:c r="F31" s="18"/>
      <x:c r="G31" s="18"/>
      <x:c r="H31" s="18"/>
      <x:c r="I31" s="18"/>
      <x:c r="J31" s="18"/>
      <x:c r="K31" s="18"/>
      <x:c r="L31" s="18"/>
      <x:c r="M31" s="18"/>
      <x:c r="N31" s="18" t="str">
        <x:f>IF(A31="","",IF(OR(K31="A completer",K31="A verifier",M31&lt;&gt;"Pret"),"Reporting a completer","OK"))</x:f>
      </x:c>
    </x:row>
    <x:row r="32">
      <x:c r="A32" s="18"/>
      <x:c r="B32" s="18"/>
      <x:c r="C32" s="18"/>
      <x:c r="D32" s="18"/>
      <x:c r="E32" s="18"/>
      <x:c r="F32" s="18"/>
      <x:c r="G32" s="18"/>
      <x:c r="H32" s="18"/>
      <x:c r="I32" s="18"/>
      <x:c r="J32" s="18"/>
      <x:c r="K32" s="18"/>
      <x:c r="L32" s="18"/>
      <x:c r="M32" s="18"/>
      <x:c r="N32" s="18" t="str">
        <x:f>IF(A32="","",IF(OR(K32="A completer",K32="A verifier",M32&lt;&gt;"Pret"),"Reporting a completer","OK"))</x:f>
      </x:c>
    </x:row>
    <x:row r="33">
      <x:c r="A33" s="18"/>
      <x:c r="B33" s="18"/>
      <x:c r="C33" s="18"/>
      <x:c r="D33" s="18"/>
      <x:c r="E33" s="18"/>
      <x:c r="F33" s="18"/>
      <x:c r="G33" s="18"/>
      <x:c r="H33" s="18"/>
      <x:c r="I33" s="18"/>
      <x:c r="J33" s="18"/>
      <x:c r="K33" s="18"/>
      <x:c r="L33" s="18"/>
      <x:c r="M33" s="18"/>
      <x:c r="N33" s="18" t="str">
        <x:f>IF(A33="","",IF(OR(K33="A completer",K33="A verifier",M33&lt;&gt;"Pret"),"Reporting a completer","OK"))</x:f>
      </x:c>
    </x:row>
    <x:row r="34">
      <x:c r="A34" s="18"/>
      <x:c r="B34" s="18"/>
      <x:c r="C34" s="18"/>
      <x:c r="D34" s="18"/>
      <x:c r="E34" s="18"/>
      <x:c r="F34" s="18"/>
      <x:c r="G34" s="18"/>
      <x:c r="H34" s="18"/>
      <x:c r="I34" s="18"/>
      <x:c r="J34" s="18"/>
      <x:c r="K34" s="18"/>
      <x:c r="L34" s="18"/>
      <x:c r="M34" s="18"/>
      <x:c r="N34" s="18" t="str">
        <x:f>IF(A34="","",IF(OR(K34="A completer",K34="A verifier",M34&lt;&gt;"Pret"),"Reporting a completer","OK"))</x:f>
      </x:c>
    </x:row>
    <x:row r="35">
      <x:c r="A35" s="18"/>
      <x:c r="B35" s="18"/>
      <x:c r="C35" s="18"/>
      <x:c r="D35" s="18"/>
      <x:c r="E35" s="18"/>
      <x:c r="F35" s="18"/>
      <x:c r="G35" s="18"/>
      <x:c r="H35" s="18"/>
      <x:c r="I35" s="18"/>
      <x:c r="J35" s="18"/>
      <x:c r="K35" s="18"/>
      <x:c r="L35" s="18"/>
      <x:c r="M35" s="18"/>
      <x:c r="N35" s="18" t="str">
        <x:f>IF(A35="","",IF(OR(K35="A completer",K35="A verifier",M35&lt;&gt;"Pret"),"Reporting a completer","OK"))</x:f>
      </x:c>
    </x:row>
    <x:row r="36">
      <x:c r="A36" s="18"/>
      <x:c r="B36" s="18"/>
      <x:c r="C36" s="18"/>
      <x:c r="D36" s="18"/>
      <x:c r="E36" s="18"/>
      <x:c r="F36" s="18"/>
      <x:c r="G36" s="18"/>
      <x:c r="H36" s="18"/>
      <x:c r="I36" s="18"/>
      <x:c r="J36" s="18"/>
      <x:c r="K36" s="18"/>
      <x:c r="L36" s="18"/>
      <x:c r="M36" s="18"/>
      <x:c r="N36" s="18" t="str">
        <x:f>IF(A36="","",IF(OR(K36="A completer",K36="A verifier",M36&lt;&gt;"Pret"),"Reporting a completer","OK"))</x:f>
      </x:c>
    </x:row>
    <x:row r="37">
      <x:c r="A37" s="18"/>
      <x:c r="B37" s="18"/>
      <x:c r="C37" s="18"/>
      <x:c r="D37" s="18"/>
      <x:c r="E37" s="18"/>
      <x:c r="F37" s="18"/>
      <x:c r="G37" s="18"/>
      <x:c r="H37" s="18"/>
      <x:c r="I37" s="18"/>
      <x:c r="J37" s="18"/>
      <x:c r="K37" s="18"/>
      <x:c r="L37" s="18"/>
      <x:c r="M37" s="18"/>
      <x:c r="N37" s="18" t="str">
        <x:f>IF(A37="","",IF(OR(K37="A completer",K37="A verifier",M37&lt;&gt;"Pret"),"Reporting a completer","OK"))</x:f>
      </x:c>
    </x:row>
    <x:row r="38">
      <x:c r="A38" s="18"/>
      <x:c r="B38" s="18"/>
      <x:c r="C38" s="18"/>
      <x:c r="D38" s="18"/>
      <x:c r="E38" s="18"/>
      <x:c r="F38" s="18"/>
      <x:c r="G38" s="18"/>
      <x:c r="H38" s="18"/>
      <x:c r="I38" s="18"/>
      <x:c r="J38" s="18"/>
      <x:c r="K38" s="18"/>
      <x:c r="L38" s="18"/>
      <x:c r="M38" s="18"/>
      <x:c r="N38" s="18" t="str">
        <x:f>IF(A38="","",IF(OR(K38="A completer",K38="A verifier",M38&lt;&gt;"Pret"),"Reporting a completer","OK"))</x:f>
      </x:c>
    </x:row>
    <x:row r="39">
      <x:c r="A39" s="18"/>
      <x:c r="B39" s="18"/>
      <x:c r="C39" s="18"/>
      <x:c r="D39" s="18"/>
      <x:c r="E39" s="18"/>
      <x:c r="F39" s="18"/>
      <x:c r="G39" s="18"/>
      <x:c r="H39" s="18"/>
      <x:c r="I39" s="18"/>
      <x:c r="J39" s="18"/>
      <x:c r="K39" s="18"/>
      <x:c r="L39" s="18"/>
      <x:c r="M39" s="18"/>
      <x:c r="N39" s="18" t="str">
        <x:f>IF(A39="","",IF(OR(K39="A completer",K39="A verifier",M39&lt;&gt;"Pret"),"Reporting a completer","OK"))</x:f>
      </x:c>
    </x:row>
    <x:row r="40">
      <x:c r="A40" s="18"/>
      <x:c r="B40" s="18"/>
      <x:c r="C40" s="18"/>
      <x:c r="D40" s="18"/>
      <x:c r="E40" s="18"/>
      <x:c r="F40" s="18"/>
      <x:c r="G40" s="18"/>
      <x:c r="H40" s="18"/>
      <x:c r="I40" s="18"/>
      <x:c r="J40" s="18"/>
      <x:c r="K40" s="18"/>
      <x:c r="L40" s="18"/>
      <x:c r="M40" s="18"/>
      <x:c r="N40" s="18" t="str">
        <x:f>IF(A40="","",IF(OR(K40="A completer",K40="A verifier",M40&lt;&gt;"Pret"),"Reporting a completer","OK"))</x:f>
      </x:c>
    </x:row>
    <x:row r="41">
      <x:c r="A41" s="18"/>
      <x:c r="B41" s="18"/>
      <x:c r="C41" s="18"/>
      <x:c r="D41" s="18"/>
      <x:c r="E41" s="18"/>
      <x:c r="F41" s="18"/>
      <x:c r="G41" s="18"/>
      <x:c r="H41" s="18"/>
      <x:c r="I41" s="18"/>
      <x:c r="J41" s="18"/>
      <x:c r="K41" s="18"/>
      <x:c r="L41" s="18"/>
      <x:c r="M41" s="18"/>
      <x:c r="N41" s="18" t="str">
        <x:f>IF(A41="","",IF(OR(K41="A completer",K41="A verifier",M41&lt;&gt;"Pret"),"Reporting a completer","OK"))</x:f>
      </x:c>
    </x:row>
    <x:row r="42">
      <x:c r="A42" s="18"/>
      <x:c r="B42" s="18"/>
      <x:c r="C42" s="18"/>
      <x:c r="D42" s="18"/>
      <x:c r="E42" s="18"/>
      <x:c r="F42" s="18"/>
      <x:c r="G42" s="18"/>
      <x:c r="H42" s="18"/>
      <x:c r="I42" s="18"/>
      <x:c r="J42" s="18"/>
      <x:c r="K42" s="18"/>
      <x:c r="L42" s="18"/>
      <x:c r="M42" s="18"/>
      <x:c r="N42" s="18" t="str">
        <x:f>IF(A42="","",IF(OR(K42="A completer",K42="A verifier",M42&lt;&gt;"Pret"),"Reporting a completer","OK"))</x:f>
      </x:c>
    </x:row>
    <x:row r="43">
      <x:c r="A43" s="18"/>
      <x:c r="B43" s="18"/>
      <x:c r="C43" s="18"/>
      <x:c r="D43" s="18"/>
      <x:c r="E43" s="18"/>
      <x:c r="F43" s="18"/>
      <x:c r="G43" s="18"/>
      <x:c r="H43" s="18"/>
      <x:c r="I43" s="18"/>
      <x:c r="J43" s="18"/>
      <x:c r="K43" s="18"/>
      <x:c r="L43" s="18"/>
      <x:c r="M43" s="18"/>
      <x:c r="N43" s="18" t="str">
        <x:f>IF(A43="","",IF(OR(K43="A completer",K43="A verifier",M43&lt;&gt;"Pret"),"Reporting a completer","OK"))</x:f>
      </x:c>
    </x:row>
    <x:row r="44">
      <x:c r="A44" s="18"/>
      <x:c r="B44" s="18"/>
      <x:c r="C44" s="18"/>
      <x:c r="D44" s="18"/>
      <x:c r="E44" s="18"/>
      <x:c r="F44" s="18"/>
      <x:c r="G44" s="18"/>
      <x:c r="H44" s="18"/>
      <x:c r="I44" s="18"/>
      <x:c r="J44" s="18"/>
      <x:c r="K44" s="18"/>
      <x:c r="L44" s="18"/>
      <x:c r="M44" s="18"/>
      <x:c r="N44" s="18" t="str">
        <x:f>IF(A44="","",IF(OR(K44="A completer",K44="A verifier",M44&lt;&gt;"Pret"),"Reporting a completer","OK"))</x:f>
      </x:c>
    </x:row>
  </x:sheetData>
  <x:mergeCells>
    <x:mergeCell ref="A1:J1"/>
    <x:mergeCell ref="A2:J2"/>
  </x:mergeCells>
  <x:conditionalFormatting sqref="N5:N44">
    <x:cfRule type="containsText" dxfId="72" priority="1" operator="containsText" text="Retard"/>
    <x:cfRule type="containsText" dxfId="73" priority="2" operator="containsText" text="critique"/>
    <x:cfRule type="containsText" dxfId="74" priority="3" operator="containsText" text="manquant"/>
    <x:cfRule type="containsText" dxfId="75" priority="4" operator="containsText" text="OK"/>
  </x:conditionalFormatting>
  <x:dataValidations count="4">
    <x:dataValidation type="list" errorStyle="warning" showInputMessage="1" showErrorMessage="1" errorTitle="Valeur inattendue" error="Cette colonne utilise une liste controlee." promptTitle="Liste controlee" prompt="Choisir une valeur dans la liste." sqref="I5:I44">
      <x:formula1>"Mensuelle,Trimestrielle,Semestrielle,Annuelle,Ponctuelle"</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 type="list" errorStyle="warning" showInputMessage="1" showErrorMessage="1" errorTitle="Valeur inattendue" error="Cette colonne utilise une liste controlee." promptTitle="Liste controlee" prompt="Choisir une valeur dans la liste." sqref="L5:L44">
      <x:formula1>"Oui,Non,Partiel,Non applicable"</x:formula1>
    </x:dataValidation>
    <x:dataValidation type="list" errorStyle="warning" showInputMessage="1" showErrorMessage="1" errorTitle="Valeur inattendue" error="Cette colonne utilise une liste controlee." promptTitle="Liste controlee" prompt="Choisir une valeur dans la liste." sqref="M5:M44">
      <x:formula1>"Pret,A completer,A verifier,Non disponible,Soumis"</x:formula1>
    </x:dataValidation>
  </x:dataValidations>
  <x:pageMargins left="0.7" right="0.7" top="0.75" bottom="0.75" header="0.3" footer="0.3"/>
  <x:tableParts count="1">
    <x:tablePart xmlns:r="http://schemas.openxmlformats.org/officeDocument/2006/relationships" r:id="Rb5bb70b7d096456e"/>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1.25" hidden="0" customWidth="1"/>
    <x:col min="3" max="3" width="38.75" hidden="0" customWidth="1"/>
    <x:col min="4" max="4" width="26.25" hidden="0" customWidth="1"/>
    <x:col min="5" max="5" width="18.75" hidden="0" customWidth="1"/>
    <x:col min="6" max="6" width="22.5" hidden="0" customWidth="1"/>
    <x:col min="7" max="7" width="20" hidden="0" customWidth="1"/>
    <x:col min="8" max="8" width="16.25" hidden="0" customWidth="1"/>
    <x:col min="9" max="9" width="21.25" hidden="0" customWidth="1"/>
    <x:col min="10" max="10" width="27.5" hidden="0" customWidth="1"/>
    <x:col min="11" max="11" width="18.1299991607666" hidden="0" customWidth="1"/>
  </x:cols>
  <x:sheetData>
    <x:row r="1" ht="25.5" customHeight="1">
      <x:c r="A1" s="2" t="str">
        <x:v>Pre-remplissage CDP-ICLEI Track</x:v>
      </x:c>
      <x:c r="B1" s="2"/>
      <x:c r="C1" s="2"/>
      <x:c r="D1" s="2"/>
      <x:c r="E1" s="2"/>
      <x:c r="F1" s="2"/>
      <x:c r="G1" s="2"/>
      <x:c r="H1" s="2"/>
      <x:c r="I1" s="2"/>
      <x:c r="J1" s="2"/>
    </x:row>
    <x:row r="2" ht="31.5" customHeight="1">
      <x:c r="A2" s="5" t="str">
        <x:v>Table de preparation interne pour le reporting CDP-ICLEI Track. Adapter les libelles aux questionnaires annuels.</x:v>
      </x:c>
      <x:c r="B2" s="5"/>
      <x:c r="C2" s="5"/>
      <x:c r="D2" s="5"/>
      <x:c r="E2" s="5"/>
      <x:c r="F2" s="5"/>
      <x:c r="G2" s="5"/>
      <x:c r="H2" s="5"/>
      <x:c r="I2" s="5"/>
      <x:c r="J2" s="5"/>
    </x:row>
    <x:row r="4" ht="28.5" customHeight="1">
      <x:c r="A4" s="16" t="str">
        <x:v>Champ_ID</x:v>
      </x:c>
      <x:c r="B4" s="16" t="str">
        <x:v>Section_CDP_ICLEI</x:v>
      </x:c>
      <x:c r="C4" s="16" t="str">
        <x:v>Question_indicative</x:v>
      </x:c>
      <x:c r="D4" s="16" t="str">
        <x:v>Donnee_interne</x:v>
      </x:c>
      <x:c r="E4" s="16" t="str">
        <x:v>Onglet_source</x:v>
      </x:c>
      <x:c r="F4" s="16" t="str">
        <x:v>Champ_source</x:v>
      </x:c>
      <x:c r="G4" s="16" t="str">
        <x:v>Valeur_pre_remplie</x:v>
      </x:c>
      <x:c r="H4" s="16" t="str">
        <x:v>Statut</x:v>
      </x:c>
      <x:c r="I4" s="16" t="str">
        <x:v>Responsable</x:v>
      </x:c>
      <x:c r="J4" s="16" t="str">
        <x:v>Commentaires</x:v>
      </x:c>
      <x:c r="K4" s="16" t="str">
        <x:v>Alerte</x:v>
      </x:c>
    </x:row>
    <x:row r="5">
      <x:c r="A5" s="18" t="str">
        <x:v>CDP-001</x:v>
      </x:c>
      <x:c r="B5" s="18" t="str">
        <x:v>Gouvernance</x:v>
      </x:c>
      <x:c r="C5" s="18" t="str">
        <x:v>Decrire la gouvernance climatique de la juridiction</x:v>
      </x:c>
      <x:c r="D5" s="18" t="str">
        <x:v>Parties prenantes et roles</x:v>
      </x:c>
      <x:c r="E5" s="18" t="str">
        <x:v>15_PARTIES_PRENANTES</x:v>
      </x:c>
      <x:c r="F5" s="18" t="str">
        <x:v>Role_MRV</x:v>
      </x:c>
      <x:c r="G5" s="18" t="str">
        <x:f>IF(A5="","",SWITCH(A5,"CDP-002",SUM('08_INVENTAIRE_GES'!$H$5:$H$104),"CDP-003",COUNTA('05_PROJETS_CLIMAT'!$A$5:$A$104),""))</x:f>
      </x:c>
      <x:c r="H5" s="18" t="str">
        <x:v>A completer</x:v>
      </x:c>
      <x:c r="I5" s="18" t="str">
        <x:v>Cellule climat</x:v>
      </x:c>
      <x:c r="J5" s="18" t="str"/>
      <x:c r="K5" s="18" t="str">
        <x:f>IF(A5="","",IF(H5&lt;&gt;"Pret","A finaliser","OK"))</x:f>
        <x:v>A finaliser</x:v>
      </x:c>
    </x:row>
    <x:row r="6">
      <x:c r="A6" s="18" t="str">
        <x:v>CDP-002</x:v>
      </x:c>
      <x:c r="B6" s="18" t="str">
        <x:v>Inventaire emissions</x:v>
      </x:c>
      <x:c r="C6" s="18" t="str">
        <x:v>Reporter les emissions territoriales par secteur</x:v>
      </x:c>
      <x:c r="D6" s="18" t="str">
        <x:v>Emissions totales tCO2e</x:v>
      </x:c>
      <x:c r="E6" s="18" t="str">
        <x:v>08_INVENTAIRE_GES</x:v>
      </x:c>
      <x:c r="F6" s="18" t="str">
        <x:v>Emissions_tCO2e</x:v>
      </x:c>
      <x:c r="G6" s="18" t="n">
        <x:f>IF(A6="","",SWITCH(A6,"CDP-002",SUM('08_INVENTAIRE_GES'!$H$5:$H$104),"CDP-003",COUNTA('05_PROJETS_CLIMAT'!$A$5:$A$104),""))</x:f>
        <x:v>1515200</x:v>
      </x:c>
      <x:c r="H6" s="18" t="str">
        <x:v>A verifier</x:v>
      </x:c>
      <x:c r="I6" s="18" t="str">
        <x:v>Referent GES</x:v>
      </x:c>
      <x:c r="J6" s="18" t="str"/>
      <x:c r="K6" s="18" t="str">
        <x:f>IF(A6="","",IF(H6&lt;&gt;"Pret","A finaliser","OK"))</x:f>
        <x:v>A finaliser</x:v>
      </x:c>
    </x:row>
    <x:row r="7">
      <x:c r="A7" s="18" t="str">
        <x:v>CDP-003</x:v>
      </x:c>
      <x:c r="B7" s="18" t="str">
        <x:v>Actions</x:v>
      </x:c>
      <x:c r="C7" s="18" t="str">
        <x:v>Lister les actions de mitigation/adaptation</x:v>
      </x:c>
      <x:c r="D7" s="18" t="str">
        <x:v>Projets climat</x:v>
      </x:c>
      <x:c r="E7" s="18" t="str">
        <x:v>05_PROJETS_CLIMAT</x:v>
      </x:c>
      <x:c r="F7" s="18" t="str">
        <x:v>Nom_projet; Statut</x:v>
      </x:c>
      <x:c r="G7" s="18" t="n">
        <x:f>IF(A7="","",SWITCH(A7,"CDP-002",SUM('08_INVENTAIRE_GES'!$H$5:$H$104),"CDP-003",COUNTA('05_PROJETS_CLIMAT'!$A$5:$A$104),""))</x:f>
        <x:v>6</x:v>
      </x:c>
      <x:c r="H7" s="18" t="str">
        <x:v>A completer</x:v>
      </x:c>
      <x:c r="I7" s="18" t="str">
        <x:v>Cellule climat</x:v>
      </x:c>
      <x:c r="J7" s="18" t="str"/>
      <x:c r="K7" s="18" t="str">
        <x:f>IF(A7="","",IF(H7&lt;&gt;"Pret","A finaliser","OK"))</x:f>
        <x:v>A finaliser</x:v>
      </x:c>
    </x:row>
    <x:row r="8">
      <x:c r="A8" s="18" t="str">
        <x:v>CDP-004</x:v>
      </x:c>
      <x:c r="B8" s="18" t="str">
        <x:v>Risques et adaptation</x:v>
      </x:c>
      <x:c r="C8" s="18" t="str">
        <x:v>Identifier les risques climatiques</x:v>
      </x:c>
      <x:c r="D8" s="18" t="str">
        <x:v>Risques et resilience</x:v>
      </x:c>
      <x:c r="E8" s="18" t="str">
        <x:v>18_RISQUES_HYPOTHESES</x:v>
      </x:c>
      <x:c r="F8" s="18" t="str">
        <x:v>Risque; Score</x:v>
      </x:c>
      <x:c r="G8" s="18" t="str">
        <x:f>IF(A8="","",SWITCH(A8,"CDP-002",SUM('08_INVENTAIRE_GES'!$H$5:$H$104),"CDP-003",COUNTA('05_PROJETS_CLIMAT'!$A$5:$A$104),""))</x:f>
      </x:c>
      <x:c r="H8" s="18" t="str">
        <x:v>A completer</x:v>
      </x:c>
      <x:c r="I8" s="18" t="str">
        <x:v>Direction Planification</x:v>
      </x:c>
      <x:c r="J8" s="18" t="str"/>
      <x:c r="K8" s="18" t="str">
        <x:f>IF(A8="","",IF(H8&lt;&gt;"Pret","A finaliser","OK"))</x:f>
        <x:v>A finaliser</x:v>
      </x:c>
    </x:row>
    <x:row r="9">
      <x:c r="A9" s="18"/>
      <x:c r="B9" s="18"/>
      <x:c r="C9" s="18"/>
      <x:c r="D9" s="18"/>
      <x:c r="E9" s="18"/>
      <x:c r="F9" s="18"/>
      <x:c r="G9" s="18" t="str">
        <x:f>IF(A9="","",SWITCH(A9,"CDP-002",SUM('08_INVENTAIRE_GES'!$H$5:$H$104),"CDP-003",COUNTA('05_PROJETS_CLIMAT'!$A$5:$A$104),""))</x:f>
      </x:c>
      <x:c r="H9" s="18"/>
      <x:c r="I9" s="18"/>
      <x:c r="J9" s="18"/>
      <x:c r="K9" s="18" t="str">
        <x:f>IF(A9="","",IF(H9&lt;&gt;"Pret","A finaliser","OK"))</x:f>
      </x:c>
    </x:row>
    <x:row r="10">
      <x:c r="A10" s="18"/>
      <x:c r="B10" s="18"/>
      <x:c r="C10" s="18"/>
      <x:c r="D10" s="18"/>
      <x:c r="E10" s="18"/>
      <x:c r="F10" s="18"/>
      <x:c r="G10" s="18" t="str">
        <x:f>IF(A10="","",SWITCH(A10,"CDP-002",SUM('08_INVENTAIRE_GES'!$H$5:$H$104),"CDP-003",COUNTA('05_PROJETS_CLIMAT'!$A$5:$A$104),""))</x:f>
      </x:c>
      <x:c r="H10" s="18"/>
      <x:c r="I10" s="18"/>
      <x:c r="J10" s="18"/>
      <x:c r="K10" s="18" t="str">
        <x:f>IF(A10="","",IF(H10&lt;&gt;"Pret","A finaliser","OK"))</x:f>
      </x:c>
    </x:row>
    <x:row r="11">
      <x:c r="A11" s="18"/>
      <x:c r="B11" s="18"/>
      <x:c r="C11" s="18"/>
      <x:c r="D11" s="18"/>
      <x:c r="E11" s="18"/>
      <x:c r="F11" s="18"/>
      <x:c r="G11" s="18" t="str">
        <x:f>IF(A11="","",SWITCH(A11,"CDP-002",SUM('08_INVENTAIRE_GES'!$H$5:$H$104),"CDP-003",COUNTA('05_PROJETS_CLIMAT'!$A$5:$A$104),""))</x:f>
      </x:c>
      <x:c r="H11" s="18"/>
      <x:c r="I11" s="18"/>
      <x:c r="J11" s="18"/>
      <x:c r="K11" s="18" t="str">
        <x:f>IF(A11="","",IF(H11&lt;&gt;"Pret","A finaliser","OK"))</x:f>
      </x:c>
    </x:row>
    <x:row r="12">
      <x:c r="A12" s="18"/>
      <x:c r="B12" s="18"/>
      <x:c r="C12" s="18"/>
      <x:c r="D12" s="18"/>
      <x:c r="E12" s="18"/>
      <x:c r="F12" s="18"/>
      <x:c r="G12" s="18" t="str">
        <x:f>IF(A12="","",SWITCH(A12,"CDP-002",SUM('08_INVENTAIRE_GES'!$H$5:$H$104),"CDP-003",COUNTA('05_PROJETS_CLIMAT'!$A$5:$A$104),""))</x:f>
      </x:c>
      <x:c r="H12" s="18"/>
      <x:c r="I12" s="18"/>
      <x:c r="J12" s="18"/>
      <x:c r="K12" s="18" t="str">
        <x:f>IF(A12="","",IF(H12&lt;&gt;"Pret","A finaliser","OK"))</x:f>
      </x:c>
    </x:row>
    <x:row r="13">
      <x:c r="A13" s="18"/>
      <x:c r="B13" s="18"/>
      <x:c r="C13" s="18"/>
      <x:c r="D13" s="18"/>
      <x:c r="E13" s="18"/>
      <x:c r="F13" s="18"/>
      <x:c r="G13" s="18" t="str">
        <x:f>IF(A13="","",SWITCH(A13,"CDP-002",SUM('08_INVENTAIRE_GES'!$H$5:$H$104),"CDP-003",COUNTA('05_PROJETS_CLIMAT'!$A$5:$A$104),""))</x:f>
      </x:c>
      <x:c r="H13" s="18"/>
      <x:c r="I13" s="18"/>
      <x:c r="J13" s="18"/>
      <x:c r="K13" s="18" t="str">
        <x:f>IF(A13="","",IF(H13&lt;&gt;"Pret","A finaliser","OK"))</x:f>
      </x:c>
    </x:row>
    <x:row r="14">
      <x:c r="A14" s="18"/>
      <x:c r="B14" s="18"/>
      <x:c r="C14" s="18"/>
      <x:c r="D14" s="18"/>
      <x:c r="E14" s="18"/>
      <x:c r="F14" s="18"/>
      <x:c r="G14" s="18" t="str">
        <x:f>IF(A14="","",SWITCH(A14,"CDP-002",SUM('08_INVENTAIRE_GES'!$H$5:$H$104),"CDP-003",COUNTA('05_PROJETS_CLIMAT'!$A$5:$A$104),""))</x:f>
      </x:c>
      <x:c r="H14" s="18"/>
      <x:c r="I14" s="18"/>
      <x:c r="J14" s="18"/>
      <x:c r="K14" s="18" t="str">
        <x:f>IF(A14="","",IF(H14&lt;&gt;"Pret","A finaliser","OK"))</x:f>
      </x:c>
    </x:row>
    <x:row r="15">
      <x:c r="A15" s="18"/>
      <x:c r="B15" s="18"/>
      <x:c r="C15" s="18"/>
      <x:c r="D15" s="18"/>
      <x:c r="E15" s="18"/>
      <x:c r="F15" s="18"/>
      <x:c r="G15" s="18" t="str">
        <x:f>IF(A15="","",SWITCH(A15,"CDP-002",SUM('08_INVENTAIRE_GES'!$H$5:$H$104),"CDP-003",COUNTA('05_PROJETS_CLIMAT'!$A$5:$A$104),""))</x:f>
      </x:c>
      <x:c r="H15" s="18"/>
      <x:c r="I15" s="18"/>
      <x:c r="J15" s="18"/>
      <x:c r="K15" s="18" t="str">
        <x:f>IF(A15="","",IF(H15&lt;&gt;"Pret","A finaliser","OK"))</x:f>
      </x:c>
    </x:row>
    <x:row r="16">
      <x:c r="A16" s="18"/>
      <x:c r="B16" s="18"/>
      <x:c r="C16" s="18"/>
      <x:c r="D16" s="18"/>
      <x:c r="E16" s="18"/>
      <x:c r="F16" s="18"/>
      <x:c r="G16" s="18" t="str">
        <x:f>IF(A16="","",SWITCH(A16,"CDP-002",SUM('08_INVENTAIRE_GES'!$H$5:$H$104),"CDP-003",COUNTA('05_PROJETS_CLIMAT'!$A$5:$A$104),""))</x:f>
      </x:c>
      <x:c r="H16" s="18"/>
      <x:c r="I16" s="18"/>
      <x:c r="J16" s="18"/>
      <x:c r="K16" s="18" t="str">
        <x:f>IF(A16="","",IF(H16&lt;&gt;"Pret","A finaliser","OK"))</x:f>
      </x:c>
    </x:row>
    <x:row r="17">
      <x:c r="A17" s="18"/>
      <x:c r="B17" s="18"/>
      <x:c r="C17" s="18"/>
      <x:c r="D17" s="18"/>
      <x:c r="E17" s="18"/>
      <x:c r="F17" s="18"/>
      <x:c r="G17" s="18" t="str">
        <x:f>IF(A17="","",SWITCH(A17,"CDP-002",SUM('08_INVENTAIRE_GES'!$H$5:$H$104),"CDP-003",COUNTA('05_PROJETS_CLIMAT'!$A$5:$A$104),""))</x:f>
      </x:c>
      <x:c r="H17" s="18"/>
      <x:c r="I17" s="18"/>
      <x:c r="J17" s="18"/>
      <x:c r="K17" s="18" t="str">
        <x:f>IF(A17="","",IF(H17&lt;&gt;"Pret","A finaliser","OK"))</x:f>
      </x:c>
    </x:row>
    <x:row r="18">
      <x:c r="A18" s="18"/>
      <x:c r="B18" s="18"/>
      <x:c r="C18" s="18"/>
      <x:c r="D18" s="18"/>
      <x:c r="E18" s="18"/>
      <x:c r="F18" s="18"/>
      <x:c r="G18" s="18" t="str">
        <x:f>IF(A18="","",SWITCH(A18,"CDP-002",SUM('08_INVENTAIRE_GES'!$H$5:$H$104),"CDP-003",COUNTA('05_PROJETS_CLIMAT'!$A$5:$A$104),""))</x:f>
      </x:c>
      <x:c r="H18" s="18"/>
      <x:c r="I18" s="18"/>
      <x:c r="J18" s="18"/>
      <x:c r="K18" s="18" t="str">
        <x:f>IF(A18="","",IF(H18&lt;&gt;"Pret","A finaliser","OK"))</x:f>
      </x:c>
    </x:row>
    <x:row r="19">
      <x:c r="A19" s="18"/>
      <x:c r="B19" s="18"/>
      <x:c r="C19" s="18"/>
      <x:c r="D19" s="18"/>
      <x:c r="E19" s="18"/>
      <x:c r="F19" s="18"/>
      <x:c r="G19" s="18" t="str">
        <x:f>IF(A19="","",SWITCH(A19,"CDP-002",SUM('08_INVENTAIRE_GES'!$H$5:$H$104),"CDP-003",COUNTA('05_PROJETS_CLIMAT'!$A$5:$A$104),""))</x:f>
      </x:c>
      <x:c r="H19" s="18"/>
      <x:c r="I19" s="18"/>
      <x:c r="J19" s="18"/>
      <x:c r="K19" s="18" t="str">
        <x:f>IF(A19="","",IF(H19&lt;&gt;"Pret","A finaliser","OK"))</x:f>
      </x:c>
    </x:row>
    <x:row r="20">
      <x:c r="A20" s="18"/>
      <x:c r="B20" s="18"/>
      <x:c r="C20" s="18"/>
      <x:c r="D20" s="18"/>
      <x:c r="E20" s="18"/>
      <x:c r="F20" s="18"/>
      <x:c r="G20" s="18" t="str">
        <x:f>IF(A20="","",SWITCH(A20,"CDP-002",SUM('08_INVENTAIRE_GES'!$H$5:$H$104),"CDP-003",COUNTA('05_PROJETS_CLIMAT'!$A$5:$A$104),""))</x:f>
      </x:c>
      <x:c r="H20" s="18"/>
      <x:c r="I20" s="18"/>
      <x:c r="J20" s="18"/>
      <x:c r="K20" s="18" t="str">
        <x:f>IF(A20="","",IF(H20&lt;&gt;"Pret","A finaliser","OK"))</x:f>
      </x:c>
    </x:row>
    <x:row r="21">
      <x:c r="A21" s="18"/>
      <x:c r="B21" s="18"/>
      <x:c r="C21" s="18"/>
      <x:c r="D21" s="18"/>
      <x:c r="E21" s="18"/>
      <x:c r="F21" s="18"/>
      <x:c r="G21" s="18" t="str">
        <x:f>IF(A21="","",SWITCH(A21,"CDP-002",SUM('08_INVENTAIRE_GES'!$H$5:$H$104),"CDP-003",COUNTA('05_PROJETS_CLIMAT'!$A$5:$A$104),""))</x:f>
      </x:c>
      <x:c r="H21" s="18"/>
      <x:c r="I21" s="18"/>
      <x:c r="J21" s="18"/>
      <x:c r="K21" s="18" t="str">
        <x:f>IF(A21="","",IF(H21&lt;&gt;"Pret","A finaliser","OK"))</x:f>
      </x:c>
    </x:row>
    <x:row r="22">
      <x:c r="A22" s="18"/>
      <x:c r="B22" s="18"/>
      <x:c r="C22" s="18"/>
      <x:c r="D22" s="18"/>
      <x:c r="E22" s="18"/>
      <x:c r="F22" s="18"/>
      <x:c r="G22" s="18" t="str">
        <x:f>IF(A22="","",SWITCH(A22,"CDP-002",SUM('08_INVENTAIRE_GES'!$H$5:$H$104),"CDP-003",COUNTA('05_PROJETS_CLIMAT'!$A$5:$A$104),""))</x:f>
      </x:c>
      <x:c r="H22" s="18"/>
      <x:c r="I22" s="18"/>
      <x:c r="J22" s="18"/>
      <x:c r="K22" s="18" t="str">
        <x:f>IF(A22="","",IF(H22&lt;&gt;"Pret","A finaliser","OK"))</x:f>
      </x:c>
    </x:row>
    <x:row r="23">
      <x:c r="A23" s="18"/>
      <x:c r="B23" s="18"/>
      <x:c r="C23" s="18"/>
      <x:c r="D23" s="18"/>
      <x:c r="E23" s="18"/>
      <x:c r="F23" s="18"/>
      <x:c r="G23" s="18" t="str">
        <x:f>IF(A23="","",SWITCH(A23,"CDP-002",SUM('08_INVENTAIRE_GES'!$H$5:$H$104),"CDP-003",COUNTA('05_PROJETS_CLIMAT'!$A$5:$A$104),""))</x:f>
      </x:c>
      <x:c r="H23" s="18"/>
      <x:c r="I23" s="18"/>
      <x:c r="J23" s="18"/>
      <x:c r="K23" s="18" t="str">
        <x:f>IF(A23="","",IF(H23&lt;&gt;"Pret","A finaliser","OK"))</x:f>
      </x:c>
    </x:row>
    <x:row r="24">
      <x:c r="A24" s="18"/>
      <x:c r="B24" s="18"/>
      <x:c r="C24" s="18"/>
      <x:c r="D24" s="18"/>
      <x:c r="E24" s="18"/>
      <x:c r="F24" s="18"/>
      <x:c r="G24" s="18" t="str">
        <x:f>IF(A24="","",SWITCH(A24,"CDP-002",SUM('08_INVENTAIRE_GES'!$H$5:$H$104),"CDP-003",COUNTA('05_PROJETS_CLIMAT'!$A$5:$A$104),""))</x:f>
      </x:c>
      <x:c r="H24" s="18"/>
      <x:c r="I24" s="18"/>
      <x:c r="J24" s="18"/>
      <x:c r="K24" s="18" t="str">
        <x:f>IF(A24="","",IF(H24&lt;&gt;"Pret","A finaliser","OK"))</x:f>
      </x:c>
    </x:row>
    <x:row r="25">
      <x:c r="A25" s="18"/>
      <x:c r="B25" s="18"/>
      <x:c r="C25" s="18"/>
      <x:c r="D25" s="18"/>
      <x:c r="E25" s="18"/>
      <x:c r="F25" s="18"/>
      <x:c r="G25" s="18" t="str">
        <x:f>IF(A25="","",SWITCH(A25,"CDP-002",SUM('08_INVENTAIRE_GES'!$H$5:$H$104),"CDP-003",COUNTA('05_PROJETS_CLIMAT'!$A$5:$A$104),""))</x:f>
      </x:c>
      <x:c r="H25" s="18"/>
      <x:c r="I25" s="18"/>
      <x:c r="J25" s="18"/>
      <x:c r="K25" s="18" t="str">
        <x:f>IF(A25="","",IF(H25&lt;&gt;"Pret","A finaliser","OK"))</x:f>
      </x:c>
    </x:row>
    <x:row r="26">
      <x:c r="A26" s="18"/>
      <x:c r="B26" s="18"/>
      <x:c r="C26" s="18"/>
      <x:c r="D26" s="18"/>
      <x:c r="E26" s="18"/>
      <x:c r="F26" s="18"/>
      <x:c r="G26" s="18" t="str">
        <x:f>IF(A26="","",SWITCH(A26,"CDP-002",SUM('08_INVENTAIRE_GES'!$H$5:$H$104),"CDP-003",COUNTA('05_PROJETS_CLIMAT'!$A$5:$A$104),""))</x:f>
      </x:c>
      <x:c r="H26" s="18"/>
      <x:c r="I26" s="18"/>
      <x:c r="J26" s="18"/>
      <x:c r="K26" s="18" t="str">
        <x:f>IF(A26="","",IF(H26&lt;&gt;"Pret","A finaliser","OK"))</x:f>
      </x:c>
    </x:row>
    <x:row r="27">
      <x:c r="A27" s="18"/>
      <x:c r="B27" s="18"/>
      <x:c r="C27" s="18"/>
      <x:c r="D27" s="18"/>
      <x:c r="E27" s="18"/>
      <x:c r="F27" s="18"/>
      <x:c r="G27" s="18" t="str">
        <x:f>IF(A27="","",SWITCH(A27,"CDP-002",SUM('08_INVENTAIRE_GES'!$H$5:$H$104),"CDP-003",COUNTA('05_PROJETS_CLIMAT'!$A$5:$A$104),""))</x:f>
      </x:c>
      <x:c r="H27" s="18"/>
      <x:c r="I27" s="18"/>
      <x:c r="J27" s="18"/>
      <x:c r="K27" s="18" t="str">
        <x:f>IF(A27="","",IF(H27&lt;&gt;"Pret","A finaliser","OK"))</x:f>
      </x:c>
    </x:row>
    <x:row r="28">
      <x:c r="A28" s="18"/>
      <x:c r="B28" s="18"/>
      <x:c r="C28" s="18"/>
      <x:c r="D28" s="18"/>
      <x:c r="E28" s="18"/>
      <x:c r="F28" s="18"/>
      <x:c r="G28" s="18" t="str">
        <x:f>IF(A28="","",SWITCH(A28,"CDP-002",SUM('08_INVENTAIRE_GES'!$H$5:$H$104),"CDP-003",COUNTA('05_PROJETS_CLIMAT'!$A$5:$A$104),""))</x:f>
      </x:c>
      <x:c r="H28" s="18"/>
      <x:c r="I28" s="18"/>
      <x:c r="J28" s="18"/>
      <x:c r="K28" s="18" t="str">
        <x:f>IF(A28="","",IF(H28&lt;&gt;"Pret","A finaliser","OK"))</x:f>
      </x:c>
    </x:row>
    <x:row r="29">
      <x:c r="A29" s="18"/>
      <x:c r="B29" s="18"/>
      <x:c r="C29" s="18"/>
      <x:c r="D29" s="18"/>
      <x:c r="E29" s="18"/>
      <x:c r="F29" s="18"/>
      <x:c r="G29" s="18" t="str">
        <x:f>IF(A29="","",SWITCH(A29,"CDP-002",SUM('08_INVENTAIRE_GES'!$H$5:$H$104),"CDP-003",COUNTA('05_PROJETS_CLIMAT'!$A$5:$A$104),""))</x:f>
      </x:c>
      <x:c r="H29" s="18"/>
      <x:c r="I29" s="18"/>
      <x:c r="J29" s="18"/>
      <x:c r="K29" s="18" t="str">
        <x:f>IF(A29="","",IF(H29&lt;&gt;"Pret","A finaliser","OK"))</x:f>
      </x:c>
    </x:row>
    <x:row r="30">
      <x:c r="A30" s="18"/>
      <x:c r="B30" s="18"/>
      <x:c r="C30" s="18"/>
      <x:c r="D30" s="18"/>
      <x:c r="E30" s="18"/>
      <x:c r="F30" s="18"/>
      <x:c r="G30" s="18" t="str">
        <x:f>IF(A30="","",SWITCH(A30,"CDP-002",SUM('08_INVENTAIRE_GES'!$H$5:$H$104),"CDP-003",COUNTA('05_PROJETS_CLIMAT'!$A$5:$A$104),""))</x:f>
      </x:c>
      <x:c r="H30" s="18"/>
      <x:c r="I30" s="18"/>
      <x:c r="J30" s="18"/>
      <x:c r="K30" s="18" t="str">
        <x:f>IF(A30="","",IF(H30&lt;&gt;"Pret","A finaliser","OK"))</x:f>
      </x:c>
    </x:row>
    <x:row r="31">
      <x:c r="A31" s="18"/>
      <x:c r="B31" s="18"/>
      <x:c r="C31" s="18"/>
      <x:c r="D31" s="18"/>
      <x:c r="E31" s="18"/>
      <x:c r="F31" s="18"/>
      <x:c r="G31" s="18" t="str">
        <x:f>IF(A31="","",SWITCH(A31,"CDP-002",SUM('08_INVENTAIRE_GES'!$H$5:$H$104),"CDP-003",COUNTA('05_PROJETS_CLIMAT'!$A$5:$A$104),""))</x:f>
      </x:c>
      <x:c r="H31" s="18"/>
      <x:c r="I31" s="18"/>
      <x:c r="J31" s="18"/>
      <x:c r="K31" s="18" t="str">
        <x:f>IF(A31="","",IF(H31&lt;&gt;"Pret","A finaliser","OK"))</x:f>
      </x:c>
    </x:row>
    <x:row r="32">
      <x:c r="A32" s="18"/>
      <x:c r="B32" s="18"/>
      <x:c r="C32" s="18"/>
      <x:c r="D32" s="18"/>
      <x:c r="E32" s="18"/>
      <x:c r="F32" s="18"/>
      <x:c r="G32" s="18" t="str">
        <x:f>IF(A32="","",SWITCH(A32,"CDP-002",SUM('08_INVENTAIRE_GES'!$H$5:$H$104),"CDP-003",COUNTA('05_PROJETS_CLIMAT'!$A$5:$A$104),""))</x:f>
      </x:c>
      <x:c r="H32" s="18"/>
      <x:c r="I32" s="18"/>
      <x:c r="J32" s="18"/>
      <x:c r="K32" s="18" t="str">
        <x:f>IF(A32="","",IF(H32&lt;&gt;"Pret","A finaliser","OK"))</x:f>
      </x:c>
    </x:row>
    <x:row r="33">
      <x:c r="A33" s="18"/>
      <x:c r="B33" s="18"/>
      <x:c r="C33" s="18"/>
      <x:c r="D33" s="18"/>
      <x:c r="E33" s="18"/>
      <x:c r="F33" s="18"/>
      <x:c r="G33" s="18" t="str">
        <x:f>IF(A33="","",SWITCH(A33,"CDP-002",SUM('08_INVENTAIRE_GES'!$H$5:$H$104),"CDP-003",COUNTA('05_PROJETS_CLIMAT'!$A$5:$A$104),""))</x:f>
      </x:c>
      <x:c r="H33" s="18"/>
      <x:c r="I33" s="18"/>
      <x:c r="J33" s="18"/>
      <x:c r="K33" s="18" t="str">
        <x:f>IF(A33="","",IF(H33&lt;&gt;"Pret","A finaliser","OK"))</x:f>
      </x:c>
    </x:row>
    <x:row r="34">
      <x:c r="A34" s="18"/>
      <x:c r="B34" s="18"/>
      <x:c r="C34" s="18"/>
      <x:c r="D34" s="18"/>
      <x:c r="E34" s="18"/>
      <x:c r="F34" s="18"/>
      <x:c r="G34" s="18" t="str">
        <x:f>IF(A34="","",SWITCH(A34,"CDP-002",SUM('08_INVENTAIRE_GES'!$H$5:$H$104),"CDP-003",COUNTA('05_PROJETS_CLIMAT'!$A$5:$A$104),""))</x:f>
      </x:c>
      <x:c r="H34" s="18"/>
      <x:c r="I34" s="18"/>
      <x:c r="J34" s="18"/>
      <x:c r="K34" s="18" t="str">
        <x:f>IF(A34="","",IF(H34&lt;&gt;"Pret","A finaliser","OK"))</x:f>
      </x:c>
    </x:row>
    <x:row r="35">
      <x:c r="A35" s="18"/>
      <x:c r="B35" s="18"/>
      <x:c r="C35" s="18"/>
      <x:c r="D35" s="18"/>
      <x:c r="E35" s="18"/>
      <x:c r="F35" s="18"/>
      <x:c r="G35" s="18" t="str">
        <x:f>IF(A35="","",SWITCH(A35,"CDP-002",SUM('08_INVENTAIRE_GES'!$H$5:$H$104),"CDP-003",COUNTA('05_PROJETS_CLIMAT'!$A$5:$A$104),""))</x:f>
      </x:c>
      <x:c r="H35" s="18"/>
      <x:c r="I35" s="18"/>
      <x:c r="J35" s="18"/>
      <x:c r="K35" s="18" t="str">
        <x:f>IF(A35="","",IF(H35&lt;&gt;"Pret","A finaliser","OK"))</x:f>
      </x:c>
    </x:row>
    <x:row r="36">
      <x:c r="A36" s="18"/>
      <x:c r="B36" s="18"/>
      <x:c r="C36" s="18"/>
      <x:c r="D36" s="18"/>
      <x:c r="E36" s="18"/>
      <x:c r="F36" s="18"/>
      <x:c r="G36" s="18" t="str">
        <x:f>IF(A36="","",SWITCH(A36,"CDP-002",SUM('08_INVENTAIRE_GES'!$H$5:$H$104),"CDP-003",COUNTA('05_PROJETS_CLIMAT'!$A$5:$A$104),""))</x:f>
      </x:c>
      <x:c r="H36" s="18"/>
      <x:c r="I36" s="18"/>
      <x:c r="J36" s="18"/>
      <x:c r="K36" s="18" t="str">
        <x:f>IF(A36="","",IF(H36&lt;&gt;"Pret","A finaliser","OK"))</x:f>
      </x:c>
    </x:row>
    <x:row r="37">
      <x:c r="A37" s="18"/>
      <x:c r="B37" s="18"/>
      <x:c r="C37" s="18"/>
      <x:c r="D37" s="18"/>
      <x:c r="E37" s="18"/>
      <x:c r="F37" s="18"/>
      <x:c r="G37" s="18" t="str">
        <x:f>IF(A37="","",SWITCH(A37,"CDP-002",SUM('08_INVENTAIRE_GES'!$H$5:$H$104),"CDP-003",COUNTA('05_PROJETS_CLIMAT'!$A$5:$A$104),""))</x:f>
      </x:c>
      <x:c r="H37" s="18"/>
      <x:c r="I37" s="18"/>
      <x:c r="J37" s="18"/>
      <x:c r="K37" s="18" t="str">
        <x:f>IF(A37="","",IF(H37&lt;&gt;"Pret","A finaliser","OK"))</x:f>
      </x:c>
    </x:row>
    <x:row r="38">
      <x:c r="A38" s="18"/>
      <x:c r="B38" s="18"/>
      <x:c r="C38" s="18"/>
      <x:c r="D38" s="18"/>
      <x:c r="E38" s="18"/>
      <x:c r="F38" s="18"/>
      <x:c r="G38" s="18" t="str">
        <x:f>IF(A38="","",SWITCH(A38,"CDP-002",SUM('08_INVENTAIRE_GES'!$H$5:$H$104),"CDP-003",COUNTA('05_PROJETS_CLIMAT'!$A$5:$A$104),""))</x:f>
      </x:c>
      <x:c r="H38" s="18"/>
      <x:c r="I38" s="18"/>
      <x:c r="J38" s="18"/>
      <x:c r="K38" s="18" t="str">
        <x:f>IF(A38="","",IF(H38&lt;&gt;"Pret","A finaliser","OK"))</x:f>
      </x:c>
    </x:row>
    <x:row r="39">
      <x:c r="A39" s="18"/>
      <x:c r="B39" s="18"/>
      <x:c r="C39" s="18"/>
      <x:c r="D39" s="18"/>
      <x:c r="E39" s="18"/>
      <x:c r="F39" s="18"/>
      <x:c r="G39" s="18" t="str">
        <x:f>IF(A39="","",SWITCH(A39,"CDP-002",SUM('08_INVENTAIRE_GES'!$H$5:$H$104),"CDP-003",COUNTA('05_PROJETS_CLIMAT'!$A$5:$A$104),""))</x:f>
      </x:c>
      <x:c r="H39" s="18"/>
      <x:c r="I39" s="18"/>
      <x:c r="J39" s="18"/>
      <x:c r="K39" s="18" t="str">
        <x:f>IF(A39="","",IF(H39&lt;&gt;"Pret","A finaliser","OK"))</x:f>
      </x:c>
    </x:row>
    <x:row r="40">
      <x:c r="A40" s="18"/>
      <x:c r="B40" s="18"/>
      <x:c r="C40" s="18"/>
      <x:c r="D40" s="18"/>
      <x:c r="E40" s="18"/>
      <x:c r="F40" s="18"/>
      <x:c r="G40" s="18" t="str">
        <x:f>IF(A40="","",SWITCH(A40,"CDP-002",SUM('08_INVENTAIRE_GES'!$H$5:$H$104),"CDP-003",COUNTA('05_PROJETS_CLIMAT'!$A$5:$A$104),""))</x:f>
      </x:c>
      <x:c r="H40" s="18"/>
      <x:c r="I40" s="18"/>
      <x:c r="J40" s="18"/>
      <x:c r="K40" s="18" t="str">
        <x:f>IF(A40="","",IF(H40&lt;&gt;"Pret","A finaliser","OK"))</x:f>
      </x:c>
    </x:row>
    <x:row r="41">
      <x:c r="A41" s="18"/>
      <x:c r="B41" s="18"/>
      <x:c r="C41" s="18"/>
      <x:c r="D41" s="18"/>
      <x:c r="E41" s="18"/>
      <x:c r="F41" s="18"/>
      <x:c r="G41" s="18" t="str">
        <x:f>IF(A41="","",SWITCH(A41,"CDP-002",SUM('08_INVENTAIRE_GES'!$H$5:$H$104),"CDP-003",COUNTA('05_PROJETS_CLIMAT'!$A$5:$A$104),""))</x:f>
      </x:c>
      <x:c r="H41" s="18"/>
      <x:c r="I41" s="18"/>
      <x:c r="J41" s="18"/>
      <x:c r="K41" s="18" t="str">
        <x:f>IF(A41="","",IF(H41&lt;&gt;"Pret","A finaliser","OK"))</x:f>
      </x:c>
    </x:row>
    <x:row r="42">
      <x:c r="A42" s="18"/>
      <x:c r="B42" s="18"/>
      <x:c r="C42" s="18"/>
      <x:c r="D42" s="18"/>
      <x:c r="E42" s="18"/>
      <x:c r="F42" s="18"/>
      <x:c r="G42" s="18" t="str">
        <x:f>IF(A42="","",SWITCH(A42,"CDP-002",SUM('08_INVENTAIRE_GES'!$H$5:$H$104),"CDP-003",COUNTA('05_PROJETS_CLIMAT'!$A$5:$A$104),""))</x:f>
      </x:c>
      <x:c r="H42" s="18"/>
      <x:c r="I42" s="18"/>
      <x:c r="J42" s="18"/>
      <x:c r="K42" s="18" t="str">
        <x:f>IF(A42="","",IF(H42&lt;&gt;"Pret","A finaliser","OK"))</x:f>
      </x:c>
    </x:row>
    <x:row r="43">
      <x:c r="A43" s="18"/>
      <x:c r="B43" s="18"/>
      <x:c r="C43" s="18"/>
      <x:c r="D43" s="18"/>
      <x:c r="E43" s="18"/>
      <x:c r="F43" s="18"/>
      <x:c r="G43" s="18" t="str">
        <x:f>IF(A43="","",SWITCH(A43,"CDP-002",SUM('08_INVENTAIRE_GES'!$H$5:$H$104),"CDP-003",COUNTA('05_PROJETS_CLIMAT'!$A$5:$A$104),""))</x:f>
      </x:c>
      <x:c r="H43" s="18"/>
      <x:c r="I43" s="18"/>
      <x:c r="J43" s="18"/>
      <x:c r="K43" s="18" t="str">
        <x:f>IF(A43="","",IF(H43&lt;&gt;"Pret","A finaliser","OK"))</x:f>
      </x:c>
    </x:row>
    <x:row r="44">
      <x:c r="A44" s="18"/>
      <x:c r="B44" s="18"/>
      <x:c r="C44" s="18"/>
      <x:c r="D44" s="18"/>
      <x:c r="E44" s="18"/>
      <x:c r="F44" s="18"/>
      <x:c r="G44" s="18" t="str">
        <x:f>IF(A44="","",SWITCH(A44,"CDP-002",SUM('08_INVENTAIRE_GES'!$H$5:$H$104),"CDP-003",COUNTA('05_PROJETS_CLIMAT'!$A$5:$A$104),""))</x:f>
      </x:c>
      <x:c r="H44" s="18"/>
      <x:c r="I44" s="18"/>
      <x:c r="J44" s="18"/>
      <x:c r="K44" s="18" t="str">
        <x:f>IF(A44="","",IF(H44&lt;&gt;"Pret","A finaliser","OK"))</x:f>
      </x:c>
    </x:row>
  </x:sheetData>
  <x:mergeCells>
    <x:mergeCell ref="A1:J1"/>
    <x:mergeCell ref="A2:J2"/>
  </x:mergeCells>
  <x:conditionalFormatting sqref="K5:K44">
    <x:cfRule type="containsText" dxfId="76" priority="1" operator="containsText" text="Retard"/>
    <x:cfRule type="containsText" dxfId="77" priority="2" operator="containsText" text="critique"/>
    <x:cfRule type="containsText" dxfId="78" priority="3" operator="containsText" text="manquant"/>
    <x:cfRule type="containsText" dxfId="79"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2c772c7341614d9f"/>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8.75" hidden="0" customWidth="1"/>
    <x:col min="3" max="3" width="31.25" hidden="0" customWidth="1"/>
    <x:col min="4" max="4" width="28.75" hidden="0" customWidth="1"/>
    <x:col min="5" max="5" width="18.75" hidden="0" customWidth="1"/>
    <x:col min="6" max="6" width="16.25" hidden="0" customWidth="1"/>
    <x:col min="7" max="7" width="11.25" hidden="0" customWidth="1"/>
    <x:col min="8" max="8" width="10" hidden="0" customWidth="1"/>
    <x:col min="9" max="9" width="16.25" hidden="0" customWidth="1"/>
    <x:col min="10" max="10" width="21.25" hidden="0" customWidth="1"/>
    <x:col min="11" max="11" width="18.1299991607666" hidden="0" customWidth="1"/>
  </x:cols>
  <x:sheetData>
    <x:row r="1" ht="25.5" customHeight="1">
      <x:c r="A1" s="2" t="str">
        <x:v>Suivi reporting C40</x:v>
      </x:c>
      <x:c r="B1" s="2"/>
      <x:c r="C1" s="2"/>
      <x:c r="D1" s="2"/>
      <x:c r="E1" s="2"/>
      <x:c r="F1" s="2"/>
      <x:c r="G1" s="2"/>
      <x:c r="H1" s="2"/>
      <x:c r="I1" s="2"/>
      <x:c r="J1" s="2"/>
    </x:row>
    <x:row r="2" ht="31.5" customHeight="1">
      <x:c r="A2" s="5" t="str">
        <x:v>Preparation des elements compatibles avec les axes C40: emissions, energie, transport, dechets, air, resilience et finance.</x:v>
      </x:c>
      <x:c r="B2" s="5"/>
      <x:c r="C2" s="5"/>
      <x:c r="D2" s="5"/>
      <x:c r="E2" s="5"/>
      <x:c r="F2" s="5"/>
      <x:c r="G2" s="5"/>
      <x:c r="H2" s="5"/>
      <x:c r="I2" s="5"/>
      <x:c r="J2" s="5"/>
    </x:row>
    <x:row r="4" ht="28.5" customHeight="1">
      <x:c r="A4" s="16" t="str">
        <x:v>C40_ID</x:v>
      </x:c>
      <x:c r="B4" s="16" t="str">
        <x:v>Axe_C40</x:v>
      </x:c>
      <x:c r="C4" s="16" t="str">
        <x:v>Engagement_indicatif</x:v>
      </x:c>
      <x:c r="D4" s="16" t="str">
        <x:v>Indicateur_Dakar</x:v>
      </x:c>
      <x:c r="E4" s="16" t="str">
        <x:v>Onglet_source</x:v>
      </x:c>
      <x:c r="F4" s="16" t="str">
        <x:v>Valeur</x:v>
      </x:c>
      <x:c r="G4" s="16" t="str">
        <x:v>Unite</x:v>
      </x:c>
      <x:c r="H4" s="16" t="str">
        <x:v>Annee</x:v>
      </x:c>
      <x:c r="I4" s="16" t="str">
        <x:v>Statut</x:v>
      </x:c>
      <x:c r="J4" s="16" t="str">
        <x:v>Responsable</x:v>
      </x:c>
      <x:c r="K4" s="16" t="str">
        <x:v>Alerte</x:v>
      </x:c>
    </x:row>
    <x:row r="5">
      <x:c r="A5" s="18" t="str">
        <x:v>C40-001</x:v>
      </x:c>
      <x:c r="B5" s="18" t="str">
        <x:v>Emissions</x:v>
      </x:c>
      <x:c r="C5" s="18" t="str">
        <x:v>Reduction emissions et trajectoire</x:v>
      </x:c>
      <x:c r="D5" s="18" t="str">
        <x:v>Emissions territoriales totales</x:v>
      </x:c>
      <x:c r="E5" s="18" t="str">
        <x:v>08_INVENTAIRE_GES</x:v>
      </x:c>
      <x:c r="F5" s="24" t="n">
        <x:f>IF(A5="","",SWITCH(A5,"C40-001",SUM('08_INVENTAIRE_GES'!$H$5:$H$104),"C40-002",AVERAGEIF('11_QUALITE_AIR'!$H$5:$H$104,"PM2.5",'11_QUALITE_AIR'!$I$5:$I$104),"C40-003",AVERAGE('14_DECHETS'!$L$5:$L$104),"C40-004",SUMIF('12_MOBILITE'!$C$5:$C$104,"Marche",'12_MOBILITE'!$N$5:$N$104)+SUMIF('12_MOBILITE'!$C$5:$C$104,"Velo",'12_MOBILITE'!$N$5:$N$104),""))</x:f>
        <x:v>1515200</x:v>
      </x:c>
      <x:c r="G5" s="18" t="str">
        <x:v>tCO2e</x:v>
      </x:c>
      <x:c r="H5" s="18" t="n">
        <x:v>2025</x:v>
      </x:c>
      <x:c r="I5" s="18" t="str">
        <x:v>A verifier</x:v>
      </x:c>
      <x:c r="J5" s="18" t="str">
        <x:v>Referent GES</x:v>
      </x:c>
      <x:c r="K5" s="18" t="str">
        <x:f>IF(A5="","",IF(I5&lt;&gt;"Pret","A finaliser","OK"))</x:f>
        <x:v>A finaliser</x:v>
      </x:c>
    </x:row>
    <x:row r="6">
      <x:c r="A6" s="18" t="str">
        <x:v>C40-002</x:v>
      </x:c>
      <x:c r="B6" s="18" t="str">
        <x:v>Clean air</x:v>
      </x:c>
      <x:c r="C6" s="18" t="str">
        <x:v>Qualite de l'air et sante</x:v>
      </x:c>
      <x:c r="D6" s="18" t="str">
        <x:v>Moyenne PM2.5</x:v>
      </x:c>
      <x:c r="E6" s="18" t="str">
        <x:v>11_QUALITE_AIR</x:v>
      </x:c>
      <x:c r="F6" s="24" t="n">
        <x:f>IF(A6="","",SWITCH(A6,"C40-001",SUM('08_INVENTAIRE_GES'!$H$5:$H$104),"C40-002",AVERAGEIF('11_QUALITE_AIR'!$H$5:$H$104,"PM2.5",'11_QUALITE_AIR'!$I$5:$I$104),"C40-003",AVERAGE('14_DECHETS'!$L$5:$L$104),"C40-004",SUMIF('12_MOBILITE'!$C$5:$C$104,"Marche",'12_MOBILITE'!$N$5:$N$104)+SUMIF('12_MOBILITE'!$C$5:$C$104,"Velo",'12_MOBILITE'!$N$5:$N$104),""))</x:f>
        <x:v>25</x:v>
      </x:c>
      <x:c r="G6" s="18" t="str">
        <x:v>ug/m3</x:v>
      </x:c>
      <x:c r="H6" s="18" t="n">
        <x:v>2026</x:v>
      </x:c>
      <x:c r="I6" s="18" t="str">
        <x:v>A verifier</x:v>
      </x:c>
      <x:c r="J6" s="18" t="str">
        <x:v>Direction Environnement</x:v>
      </x:c>
      <x:c r="K6" s="18" t="str">
        <x:f>IF(A6="","",IF(I6&lt;&gt;"Pret","A finaliser","OK"))</x:f>
        <x:v>A finaliser</x:v>
      </x:c>
    </x:row>
    <x:row r="7">
      <x:c r="A7" s="18" t="str">
        <x:v>C40-003</x:v>
      </x:c>
      <x:c r="B7" s="18" t="str">
        <x:v>Waste</x:v>
      </x:c>
      <x:c r="C7" s="18" t="str">
        <x:v>Reduction methane dechets</x:v>
      </x:c>
      <x:c r="D7" s="18" t="str">
        <x:v>Taux valorisation dechets</x:v>
      </x:c>
      <x:c r="E7" s="18" t="str">
        <x:v>14_DECHETS</x:v>
      </x:c>
      <x:c r="F7" s="24" t="n">
        <x:f>IF(A7="","",SWITCH(A7,"C40-001",SUM('08_INVENTAIRE_GES'!$H$5:$H$104),"C40-002",AVERAGEIF('11_QUALITE_AIR'!$H$5:$H$104,"PM2.5",'11_QUALITE_AIR'!$I$5:$I$104),"C40-003",AVERAGE('14_DECHETS'!$L$5:$L$104),"C40-004",SUMIF('12_MOBILITE'!$C$5:$C$104,"Marche",'12_MOBILITE'!$N$5:$N$104)+SUMIF('12_MOBILITE'!$C$5:$C$104,"Velo",'12_MOBILITE'!$N$5:$N$104),""))</x:f>
        <x:v>0.12114914021164021</x:v>
      </x:c>
      <x:c r="G7" s="18" t="str">
        <x:v>%</x:v>
      </x:c>
      <x:c r="H7" s="18" t="n">
        <x:v>2025</x:v>
      </x:c>
      <x:c r="I7" s="18" t="str">
        <x:v>A completer</x:v>
      </x:c>
      <x:c r="J7" s="18" t="str">
        <x:v>Direction Dechets</x:v>
      </x:c>
      <x:c r="K7" s="18" t="str">
        <x:f>IF(A7="","",IF(I7&lt;&gt;"Pret","A finaliser","OK"))</x:f>
        <x:v>A finaliser</x:v>
      </x:c>
    </x:row>
    <x:row r="8">
      <x:c r="A8" s="18" t="str">
        <x:v>C40-004</x:v>
      </x:c>
      <x:c r="B8" s="18" t="str">
        <x:v>Transport</x:v>
      </x:c>
      <x:c r="C8" s="18" t="str">
        <x:v>Mobilite zero emission et active</x:v>
      </x:c>
      <x:c r="D8" s="18" t="str">
        <x:v>Part mobilite active</x:v>
      </x:c>
      <x:c r="E8" s="18" t="str">
        <x:v>12_MOBILITE</x:v>
      </x:c>
      <x:c r="F8" s="24" t="n">
        <x:f>IF(A8="","",SWITCH(A8,"C40-001",SUM('08_INVENTAIRE_GES'!$H$5:$H$104),"C40-002",AVERAGEIF('11_QUALITE_AIR'!$H$5:$H$104,"PM2.5",'11_QUALITE_AIR'!$I$5:$I$104),"C40-003",AVERAGE('14_DECHETS'!$L$5:$L$104),"C40-004",SUMIF('12_MOBILITE'!$C$5:$C$104,"Marche",'12_MOBILITE'!$N$5:$N$104)+SUMIF('12_MOBILITE'!$C$5:$C$104,"Velo",'12_MOBILITE'!$N$5:$N$104),""))</x:f>
        <x:v>0.35</x:v>
      </x:c>
      <x:c r="G8" s="18" t="str">
        <x:v>%</x:v>
      </x:c>
      <x:c r="H8" s="18" t="n">
        <x:v>2025</x:v>
      </x:c>
      <x:c r="I8" s="18" t="str">
        <x:v>A completer</x:v>
      </x:c>
      <x:c r="J8" s="18" t="str">
        <x:v>Direction Mobilite</x:v>
      </x:c>
      <x:c r="K8" s="18" t="str">
        <x:f>IF(A8="","",IF(I8&lt;&gt;"Pret","A finaliser","OK"))</x:f>
        <x:v>A finaliser</x:v>
      </x:c>
    </x:row>
    <x:row r="9">
      <x:c r="A9" s="18"/>
      <x:c r="B9" s="18"/>
      <x:c r="C9" s="18"/>
      <x:c r="D9" s="18"/>
      <x:c r="E9" s="18"/>
      <x:c r="F9" s="24" t="str">
        <x:f>IF(A9="","",SWITCH(A9,"C40-001",SUM('08_INVENTAIRE_GES'!$H$5:$H$104),"C40-002",AVERAGEIF('11_QUALITE_AIR'!$H$5:$H$104,"PM2.5",'11_QUALITE_AIR'!$I$5:$I$104),"C40-003",AVERAGE('14_DECHETS'!$L$5:$L$104),"C40-004",SUMIF('12_MOBILITE'!$C$5:$C$104,"Marche",'12_MOBILITE'!$N$5:$N$104)+SUMIF('12_MOBILITE'!$C$5:$C$104,"Velo",'12_MOBILITE'!$N$5:$N$104),""))</x:f>
      </x:c>
      <x:c r="G9" s="18"/>
      <x:c r="H9" s="18"/>
      <x:c r="I9" s="18"/>
      <x:c r="J9" s="18"/>
      <x:c r="K9" s="18" t="str">
        <x:f>IF(A9="","",IF(I9&lt;&gt;"Pret","A finaliser","OK"))</x:f>
      </x:c>
    </x:row>
    <x:row r="10">
      <x:c r="A10" s="18"/>
      <x:c r="B10" s="18"/>
      <x:c r="C10" s="18"/>
      <x:c r="D10" s="18"/>
      <x:c r="E10" s="18"/>
      <x:c r="F10" s="24" t="str">
        <x:f>IF(A10="","",SWITCH(A10,"C40-001",SUM('08_INVENTAIRE_GES'!$H$5:$H$104),"C40-002",AVERAGEIF('11_QUALITE_AIR'!$H$5:$H$104,"PM2.5",'11_QUALITE_AIR'!$I$5:$I$104),"C40-003",AVERAGE('14_DECHETS'!$L$5:$L$104),"C40-004",SUMIF('12_MOBILITE'!$C$5:$C$104,"Marche",'12_MOBILITE'!$N$5:$N$104)+SUMIF('12_MOBILITE'!$C$5:$C$104,"Velo",'12_MOBILITE'!$N$5:$N$104),""))</x:f>
      </x:c>
      <x:c r="G10" s="18"/>
      <x:c r="H10" s="18"/>
      <x:c r="I10" s="18"/>
      <x:c r="J10" s="18"/>
      <x:c r="K10" s="18" t="str">
        <x:f>IF(A10="","",IF(I10&lt;&gt;"Pret","A finaliser","OK"))</x:f>
      </x:c>
    </x:row>
    <x:row r="11">
      <x:c r="A11" s="18"/>
      <x:c r="B11" s="18"/>
      <x:c r="C11" s="18"/>
      <x:c r="D11" s="18"/>
      <x:c r="E11" s="18"/>
      <x:c r="F11" s="24" t="str">
        <x:f>IF(A11="","",SWITCH(A11,"C40-001",SUM('08_INVENTAIRE_GES'!$H$5:$H$104),"C40-002",AVERAGEIF('11_QUALITE_AIR'!$H$5:$H$104,"PM2.5",'11_QUALITE_AIR'!$I$5:$I$104),"C40-003",AVERAGE('14_DECHETS'!$L$5:$L$104),"C40-004",SUMIF('12_MOBILITE'!$C$5:$C$104,"Marche",'12_MOBILITE'!$N$5:$N$104)+SUMIF('12_MOBILITE'!$C$5:$C$104,"Velo",'12_MOBILITE'!$N$5:$N$104),""))</x:f>
      </x:c>
      <x:c r="G11" s="18"/>
      <x:c r="H11" s="18"/>
      <x:c r="I11" s="18"/>
      <x:c r="J11" s="18"/>
      <x:c r="K11" s="18" t="str">
        <x:f>IF(A11="","",IF(I11&lt;&gt;"Pret","A finaliser","OK"))</x:f>
      </x:c>
    </x:row>
    <x:row r="12">
      <x:c r="A12" s="18"/>
      <x:c r="B12" s="18"/>
      <x:c r="C12" s="18"/>
      <x:c r="D12" s="18"/>
      <x:c r="E12" s="18"/>
      <x:c r="F12" s="24" t="str">
        <x:f>IF(A12="","",SWITCH(A12,"C40-001",SUM('08_INVENTAIRE_GES'!$H$5:$H$104),"C40-002",AVERAGEIF('11_QUALITE_AIR'!$H$5:$H$104,"PM2.5",'11_QUALITE_AIR'!$I$5:$I$104),"C40-003",AVERAGE('14_DECHETS'!$L$5:$L$104),"C40-004",SUMIF('12_MOBILITE'!$C$5:$C$104,"Marche",'12_MOBILITE'!$N$5:$N$104)+SUMIF('12_MOBILITE'!$C$5:$C$104,"Velo",'12_MOBILITE'!$N$5:$N$104),""))</x:f>
      </x:c>
      <x:c r="G12" s="18"/>
      <x:c r="H12" s="18"/>
      <x:c r="I12" s="18"/>
      <x:c r="J12" s="18"/>
      <x:c r="K12" s="18" t="str">
        <x:f>IF(A12="","",IF(I12&lt;&gt;"Pret","A finaliser","OK"))</x:f>
      </x:c>
    </x:row>
    <x:row r="13">
      <x:c r="A13" s="18"/>
      <x:c r="B13" s="18"/>
      <x:c r="C13" s="18"/>
      <x:c r="D13" s="18"/>
      <x:c r="E13" s="18"/>
      <x:c r="F13" s="24" t="str">
        <x:f>IF(A13="","",SWITCH(A13,"C40-001",SUM('08_INVENTAIRE_GES'!$H$5:$H$104),"C40-002",AVERAGEIF('11_QUALITE_AIR'!$H$5:$H$104,"PM2.5",'11_QUALITE_AIR'!$I$5:$I$104),"C40-003",AVERAGE('14_DECHETS'!$L$5:$L$104),"C40-004",SUMIF('12_MOBILITE'!$C$5:$C$104,"Marche",'12_MOBILITE'!$N$5:$N$104)+SUMIF('12_MOBILITE'!$C$5:$C$104,"Velo",'12_MOBILITE'!$N$5:$N$104),""))</x:f>
      </x:c>
      <x:c r="G13" s="18"/>
      <x:c r="H13" s="18"/>
      <x:c r="I13" s="18"/>
      <x:c r="J13" s="18"/>
      <x:c r="K13" s="18" t="str">
        <x:f>IF(A13="","",IF(I13&lt;&gt;"Pret","A finaliser","OK"))</x:f>
      </x:c>
    </x:row>
    <x:row r="14">
      <x:c r="A14" s="18"/>
      <x:c r="B14" s="18"/>
      <x:c r="C14" s="18"/>
      <x:c r="D14" s="18"/>
      <x:c r="E14" s="18"/>
      <x:c r="F14" s="24" t="str">
        <x:f>IF(A14="","",SWITCH(A14,"C40-001",SUM('08_INVENTAIRE_GES'!$H$5:$H$104),"C40-002",AVERAGEIF('11_QUALITE_AIR'!$H$5:$H$104,"PM2.5",'11_QUALITE_AIR'!$I$5:$I$104),"C40-003",AVERAGE('14_DECHETS'!$L$5:$L$104),"C40-004",SUMIF('12_MOBILITE'!$C$5:$C$104,"Marche",'12_MOBILITE'!$N$5:$N$104)+SUMIF('12_MOBILITE'!$C$5:$C$104,"Velo",'12_MOBILITE'!$N$5:$N$104),""))</x:f>
      </x:c>
      <x:c r="G14" s="18"/>
      <x:c r="H14" s="18"/>
      <x:c r="I14" s="18"/>
      <x:c r="J14" s="18"/>
      <x:c r="K14" s="18" t="str">
        <x:f>IF(A14="","",IF(I14&lt;&gt;"Pret","A finaliser","OK"))</x:f>
      </x:c>
    </x:row>
    <x:row r="15">
      <x:c r="A15" s="18"/>
      <x:c r="B15" s="18"/>
      <x:c r="C15" s="18"/>
      <x:c r="D15" s="18"/>
      <x:c r="E15" s="18"/>
      <x:c r="F15" s="24" t="str">
        <x:f>IF(A15="","",SWITCH(A15,"C40-001",SUM('08_INVENTAIRE_GES'!$H$5:$H$104),"C40-002",AVERAGEIF('11_QUALITE_AIR'!$H$5:$H$104,"PM2.5",'11_QUALITE_AIR'!$I$5:$I$104),"C40-003",AVERAGE('14_DECHETS'!$L$5:$L$104),"C40-004",SUMIF('12_MOBILITE'!$C$5:$C$104,"Marche",'12_MOBILITE'!$N$5:$N$104)+SUMIF('12_MOBILITE'!$C$5:$C$104,"Velo",'12_MOBILITE'!$N$5:$N$104),""))</x:f>
      </x:c>
      <x:c r="G15" s="18"/>
      <x:c r="H15" s="18"/>
      <x:c r="I15" s="18"/>
      <x:c r="J15" s="18"/>
      <x:c r="K15" s="18" t="str">
        <x:f>IF(A15="","",IF(I15&lt;&gt;"Pret","A finaliser","OK"))</x:f>
      </x:c>
    </x:row>
    <x:row r="16">
      <x:c r="A16" s="18"/>
      <x:c r="B16" s="18"/>
      <x:c r="C16" s="18"/>
      <x:c r="D16" s="18"/>
      <x:c r="E16" s="18"/>
      <x:c r="F16" s="24" t="str">
        <x:f>IF(A16="","",SWITCH(A16,"C40-001",SUM('08_INVENTAIRE_GES'!$H$5:$H$104),"C40-002",AVERAGEIF('11_QUALITE_AIR'!$H$5:$H$104,"PM2.5",'11_QUALITE_AIR'!$I$5:$I$104),"C40-003",AVERAGE('14_DECHETS'!$L$5:$L$104),"C40-004",SUMIF('12_MOBILITE'!$C$5:$C$104,"Marche",'12_MOBILITE'!$N$5:$N$104)+SUMIF('12_MOBILITE'!$C$5:$C$104,"Velo",'12_MOBILITE'!$N$5:$N$104),""))</x:f>
      </x:c>
      <x:c r="G16" s="18"/>
      <x:c r="H16" s="18"/>
      <x:c r="I16" s="18"/>
      <x:c r="J16" s="18"/>
      <x:c r="K16" s="18" t="str">
        <x:f>IF(A16="","",IF(I16&lt;&gt;"Pret","A finaliser","OK"))</x:f>
      </x:c>
    </x:row>
    <x:row r="17">
      <x:c r="A17" s="18"/>
      <x:c r="B17" s="18"/>
      <x:c r="C17" s="18"/>
      <x:c r="D17" s="18"/>
      <x:c r="E17" s="18"/>
      <x:c r="F17" s="24" t="str">
        <x:f>IF(A17="","",SWITCH(A17,"C40-001",SUM('08_INVENTAIRE_GES'!$H$5:$H$104),"C40-002",AVERAGEIF('11_QUALITE_AIR'!$H$5:$H$104,"PM2.5",'11_QUALITE_AIR'!$I$5:$I$104),"C40-003",AVERAGE('14_DECHETS'!$L$5:$L$104),"C40-004",SUMIF('12_MOBILITE'!$C$5:$C$104,"Marche",'12_MOBILITE'!$N$5:$N$104)+SUMIF('12_MOBILITE'!$C$5:$C$104,"Velo",'12_MOBILITE'!$N$5:$N$104),""))</x:f>
      </x:c>
      <x:c r="G17" s="18"/>
      <x:c r="H17" s="18"/>
      <x:c r="I17" s="18"/>
      <x:c r="J17" s="18"/>
      <x:c r="K17" s="18" t="str">
        <x:f>IF(A17="","",IF(I17&lt;&gt;"Pret","A finaliser","OK"))</x:f>
      </x:c>
    </x:row>
    <x:row r="18">
      <x:c r="A18" s="18"/>
      <x:c r="B18" s="18"/>
      <x:c r="C18" s="18"/>
      <x:c r="D18" s="18"/>
      <x:c r="E18" s="18"/>
      <x:c r="F18" s="24" t="str">
        <x:f>IF(A18="","",SWITCH(A18,"C40-001",SUM('08_INVENTAIRE_GES'!$H$5:$H$104),"C40-002",AVERAGEIF('11_QUALITE_AIR'!$H$5:$H$104,"PM2.5",'11_QUALITE_AIR'!$I$5:$I$104),"C40-003",AVERAGE('14_DECHETS'!$L$5:$L$104),"C40-004",SUMIF('12_MOBILITE'!$C$5:$C$104,"Marche",'12_MOBILITE'!$N$5:$N$104)+SUMIF('12_MOBILITE'!$C$5:$C$104,"Velo",'12_MOBILITE'!$N$5:$N$104),""))</x:f>
      </x:c>
      <x:c r="G18" s="18"/>
      <x:c r="H18" s="18"/>
      <x:c r="I18" s="18"/>
      <x:c r="J18" s="18"/>
      <x:c r="K18" s="18" t="str">
        <x:f>IF(A18="","",IF(I18&lt;&gt;"Pret","A finaliser","OK"))</x:f>
      </x:c>
    </x:row>
    <x:row r="19">
      <x:c r="A19" s="18"/>
      <x:c r="B19" s="18"/>
      <x:c r="C19" s="18"/>
      <x:c r="D19" s="18"/>
      <x:c r="E19" s="18"/>
      <x:c r="F19" s="24" t="str">
        <x:f>IF(A19="","",SWITCH(A19,"C40-001",SUM('08_INVENTAIRE_GES'!$H$5:$H$104),"C40-002",AVERAGEIF('11_QUALITE_AIR'!$H$5:$H$104,"PM2.5",'11_QUALITE_AIR'!$I$5:$I$104),"C40-003",AVERAGE('14_DECHETS'!$L$5:$L$104),"C40-004",SUMIF('12_MOBILITE'!$C$5:$C$104,"Marche",'12_MOBILITE'!$N$5:$N$104)+SUMIF('12_MOBILITE'!$C$5:$C$104,"Velo",'12_MOBILITE'!$N$5:$N$104),""))</x:f>
      </x:c>
      <x:c r="G19" s="18"/>
      <x:c r="H19" s="18"/>
      <x:c r="I19" s="18"/>
      <x:c r="J19" s="18"/>
      <x:c r="K19" s="18" t="str">
        <x:f>IF(A19="","",IF(I19&lt;&gt;"Pret","A finaliser","OK"))</x:f>
      </x:c>
    </x:row>
    <x:row r="20">
      <x:c r="A20" s="18"/>
      <x:c r="B20" s="18"/>
      <x:c r="C20" s="18"/>
      <x:c r="D20" s="18"/>
      <x:c r="E20" s="18"/>
      <x:c r="F20" s="24" t="str">
        <x:f>IF(A20="","",SWITCH(A20,"C40-001",SUM('08_INVENTAIRE_GES'!$H$5:$H$104),"C40-002",AVERAGEIF('11_QUALITE_AIR'!$H$5:$H$104,"PM2.5",'11_QUALITE_AIR'!$I$5:$I$104),"C40-003",AVERAGE('14_DECHETS'!$L$5:$L$104),"C40-004",SUMIF('12_MOBILITE'!$C$5:$C$104,"Marche",'12_MOBILITE'!$N$5:$N$104)+SUMIF('12_MOBILITE'!$C$5:$C$104,"Velo",'12_MOBILITE'!$N$5:$N$104),""))</x:f>
      </x:c>
      <x:c r="G20" s="18"/>
      <x:c r="H20" s="18"/>
      <x:c r="I20" s="18"/>
      <x:c r="J20" s="18"/>
      <x:c r="K20" s="18" t="str">
        <x:f>IF(A20="","",IF(I20&lt;&gt;"Pret","A finaliser","OK"))</x:f>
      </x:c>
    </x:row>
    <x:row r="21">
      <x:c r="A21" s="18"/>
      <x:c r="B21" s="18"/>
      <x:c r="C21" s="18"/>
      <x:c r="D21" s="18"/>
      <x:c r="E21" s="18"/>
      <x:c r="F21" s="24" t="str">
        <x:f>IF(A21="","",SWITCH(A21,"C40-001",SUM('08_INVENTAIRE_GES'!$H$5:$H$104),"C40-002",AVERAGEIF('11_QUALITE_AIR'!$H$5:$H$104,"PM2.5",'11_QUALITE_AIR'!$I$5:$I$104),"C40-003",AVERAGE('14_DECHETS'!$L$5:$L$104),"C40-004",SUMIF('12_MOBILITE'!$C$5:$C$104,"Marche",'12_MOBILITE'!$N$5:$N$104)+SUMIF('12_MOBILITE'!$C$5:$C$104,"Velo",'12_MOBILITE'!$N$5:$N$104),""))</x:f>
      </x:c>
      <x:c r="G21" s="18"/>
      <x:c r="H21" s="18"/>
      <x:c r="I21" s="18"/>
      <x:c r="J21" s="18"/>
      <x:c r="K21" s="18" t="str">
        <x:f>IF(A21="","",IF(I21&lt;&gt;"Pret","A finaliser","OK"))</x:f>
      </x:c>
    </x:row>
    <x:row r="22">
      <x:c r="A22" s="18"/>
      <x:c r="B22" s="18"/>
      <x:c r="C22" s="18"/>
      <x:c r="D22" s="18"/>
      <x:c r="E22" s="18"/>
      <x:c r="F22" s="24" t="str">
        <x:f>IF(A22="","",SWITCH(A22,"C40-001",SUM('08_INVENTAIRE_GES'!$H$5:$H$104),"C40-002",AVERAGEIF('11_QUALITE_AIR'!$H$5:$H$104,"PM2.5",'11_QUALITE_AIR'!$I$5:$I$104),"C40-003",AVERAGE('14_DECHETS'!$L$5:$L$104),"C40-004",SUMIF('12_MOBILITE'!$C$5:$C$104,"Marche",'12_MOBILITE'!$N$5:$N$104)+SUMIF('12_MOBILITE'!$C$5:$C$104,"Velo",'12_MOBILITE'!$N$5:$N$104),""))</x:f>
      </x:c>
      <x:c r="G22" s="18"/>
      <x:c r="H22" s="18"/>
      <x:c r="I22" s="18"/>
      <x:c r="J22" s="18"/>
      <x:c r="K22" s="18" t="str">
        <x:f>IF(A22="","",IF(I22&lt;&gt;"Pret","A finaliser","OK"))</x:f>
      </x:c>
    </x:row>
    <x:row r="23">
      <x:c r="A23" s="18"/>
      <x:c r="B23" s="18"/>
      <x:c r="C23" s="18"/>
      <x:c r="D23" s="18"/>
      <x:c r="E23" s="18"/>
      <x:c r="F23" s="24" t="str">
        <x:f>IF(A23="","",SWITCH(A23,"C40-001",SUM('08_INVENTAIRE_GES'!$H$5:$H$104),"C40-002",AVERAGEIF('11_QUALITE_AIR'!$H$5:$H$104,"PM2.5",'11_QUALITE_AIR'!$I$5:$I$104),"C40-003",AVERAGE('14_DECHETS'!$L$5:$L$104),"C40-004",SUMIF('12_MOBILITE'!$C$5:$C$104,"Marche",'12_MOBILITE'!$N$5:$N$104)+SUMIF('12_MOBILITE'!$C$5:$C$104,"Velo",'12_MOBILITE'!$N$5:$N$104),""))</x:f>
      </x:c>
      <x:c r="G23" s="18"/>
      <x:c r="H23" s="18"/>
      <x:c r="I23" s="18"/>
      <x:c r="J23" s="18"/>
      <x:c r="K23" s="18" t="str">
        <x:f>IF(A23="","",IF(I23&lt;&gt;"Pret","A finaliser","OK"))</x:f>
      </x:c>
    </x:row>
    <x:row r="24">
      <x:c r="A24" s="18"/>
      <x:c r="B24" s="18"/>
      <x:c r="C24" s="18"/>
      <x:c r="D24" s="18"/>
      <x:c r="E24" s="18"/>
      <x:c r="F24" s="24" t="str">
        <x:f>IF(A24="","",SWITCH(A24,"C40-001",SUM('08_INVENTAIRE_GES'!$H$5:$H$104),"C40-002",AVERAGEIF('11_QUALITE_AIR'!$H$5:$H$104,"PM2.5",'11_QUALITE_AIR'!$I$5:$I$104),"C40-003",AVERAGE('14_DECHETS'!$L$5:$L$104),"C40-004",SUMIF('12_MOBILITE'!$C$5:$C$104,"Marche",'12_MOBILITE'!$N$5:$N$104)+SUMIF('12_MOBILITE'!$C$5:$C$104,"Velo",'12_MOBILITE'!$N$5:$N$104),""))</x:f>
      </x:c>
      <x:c r="G24" s="18"/>
      <x:c r="H24" s="18"/>
      <x:c r="I24" s="18"/>
      <x:c r="J24" s="18"/>
      <x:c r="K24" s="18" t="str">
        <x:f>IF(A24="","",IF(I24&lt;&gt;"Pret","A finaliser","OK"))</x:f>
      </x:c>
    </x:row>
    <x:row r="25">
      <x:c r="A25" s="18"/>
      <x:c r="B25" s="18"/>
      <x:c r="C25" s="18"/>
      <x:c r="D25" s="18"/>
      <x:c r="E25" s="18"/>
      <x:c r="F25" s="24" t="str">
        <x:f>IF(A25="","",SWITCH(A25,"C40-001",SUM('08_INVENTAIRE_GES'!$H$5:$H$104),"C40-002",AVERAGEIF('11_QUALITE_AIR'!$H$5:$H$104,"PM2.5",'11_QUALITE_AIR'!$I$5:$I$104),"C40-003",AVERAGE('14_DECHETS'!$L$5:$L$104),"C40-004",SUMIF('12_MOBILITE'!$C$5:$C$104,"Marche",'12_MOBILITE'!$N$5:$N$104)+SUMIF('12_MOBILITE'!$C$5:$C$104,"Velo",'12_MOBILITE'!$N$5:$N$104),""))</x:f>
      </x:c>
      <x:c r="G25" s="18"/>
      <x:c r="H25" s="18"/>
      <x:c r="I25" s="18"/>
      <x:c r="J25" s="18"/>
      <x:c r="K25" s="18" t="str">
        <x:f>IF(A25="","",IF(I25&lt;&gt;"Pret","A finaliser","OK"))</x:f>
      </x:c>
    </x:row>
    <x:row r="26">
      <x:c r="A26" s="18"/>
      <x:c r="B26" s="18"/>
      <x:c r="C26" s="18"/>
      <x:c r="D26" s="18"/>
      <x:c r="E26" s="18"/>
      <x:c r="F26" s="24" t="str">
        <x:f>IF(A26="","",SWITCH(A26,"C40-001",SUM('08_INVENTAIRE_GES'!$H$5:$H$104),"C40-002",AVERAGEIF('11_QUALITE_AIR'!$H$5:$H$104,"PM2.5",'11_QUALITE_AIR'!$I$5:$I$104),"C40-003",AVERAGE('14_DECHETS'!$L$5:$L$104),"C40-004",SUMIF('12_MOBILITE'!$C$5:$C$104,"Marche",'12_MOBILITE'!$N$5:$N$104)+SUMIF('12_MOBILITE'!$C$5:$C$104,"Velo",'12_MOBILITE'!$N$5:$N$104),""))</x:f>
      </x:c>
      <x:c r="G26" s="18"/>
      <x:c r="H26" s="18"/>
      <x:c r="I26" s="18"/>
      <x:c r="J26" s="18"/>
      <x:c r="K26" s="18" t="str">
        <x:f>IF(A26="","",IF(I26&lt;&gt;"Pret","A finaliser","OK"))</x:f>
      </x:c>
    </x:row>
    <x:row r="27">
      <x:c r="A27" s="18"/>
      <x:c r="B27" s="18"/>
      <x:c r="C27" s="18"/>
      <x:c r="D27" s="18"/>
      <x:c r="E27" s="18"/>
      <x:c r="F27" s="24" t="str">
        <x:f>IF(A27="","",SWITCH(A27,"C40-001",SUM('08_INVENTAIRE_GES'!$H$5:$H$104),"C40-002",AVERAGEIF('11_QUALITE_AIR'!$H$5:$H$104,"PM2.5",'11_QUALITE_AIR'!$I$5:$I$104),"C40-003",AVERAGE('14_DECHETS'!$L$5:$L$104),"C40-004",SUMIF('12_MOBILITE'!$C$5:$C$104,"Marche",'12_MOBILITE'!$N$5:$N$104)+SUMIF('12_MOBILITE'!$C$5:$C$104,"Velo",'12_MOBILITE'!$N$5:$N$104),""))</x:f>
      </x:c>
      <x:c r="G27" s="18"/>
      <x:c r="H27" s="18"/>
      <x:c r="I27" s="18"/>
      <x:c r="J27" s="18"/>
      <x:c r="K27" s="18" t="str">
        <x:f>IF(A27="","",IF(I27&lt;&gt;"Pret","A finaliser","OK"))</x:f>
      </x:c>
    </x:row>
    <x:row r="28">
      <x:c r="A28" s="18"/>
      <x:c r="B28" s="18"/>
      <x:c r="C28" s="18"/>
      <x:c r="D28" s="18"/>
      <x:c r="E28" s="18"/>
      <x:c r="F28" s="24" t="str">
        <x:f>IF(A28="","",SWITCH(A28,"C40-001",SUM('08_INVENTAIRE_GES'!$H$5:$H$104),"C40-002",AVERAGEIF('11_QUALITE_AIR'!$H$5:$H$104,"PM2.5",'11_QUALITE_AIR'!$I$5:$I$104),"C40-003",AVERAGE('14_DECHETS'!$L$5:$L$104),"C40-004",SUMIF('12_MOBILITE'!$C$5:$C$104,"Marche",'12_MOBILITE'!$N$5:$N$104)+SUMIF('12_MOBILITE'!$C$5:$C$104,"Velo",'12_MOBILITE'!$N$5:$N$104),""))</x:f>
      </x:c>
      <x:c r="G28" s="18"/>
      <x:c r="H28" s="18"/>
      <x:c r="I28" s="18"/>
      <x:c r="J28" s="18"/>
      <x:c r="K28" s="18" t="str">
        <x:f>IF(A28="","",IF(I28&lt;&gt;"Pret","A finaliser","OK"))</x:f>
      </x:c>
    </x:row>
    <x:row r="29">
      <x:c r="A29" s="18"/>
      <x:c r="B29" s="18"/>
      <x:c r="C29" s="18"/>
      <x:c r="D29" s="18"/>
      <x:c r="E29" s="18"/>
      <x:c r="F29" s="24" t="str">
        <x:f>IF(A29="","",SWITCH(A29,"C40-001",SUM('08_INVENTAIRE_GES'!$H$5:$H$104),"C40-002",AVERAGEIF('11_QUALITE_AIR'!$H$5:$H$104,"PM2.5",'11_QUALITE_AIR'!$I$5:$I$104),"C40-003",AVERAGE('14_DECHETS'!$L$5:$L$104),"C40-004",SUMIF('12_MOBILITE'!$C$5:$C$104,"Marche",'12_MOBILITE'!$N$5:$N$104)+SUMIF('12_MOBILITE'!$C$5:$C$104,"Velo",'12_MOBILITE'!$N$5:$N$104),""))</x:f>
      </x:c>
      <x:c r="G29" s="18"/>
      <x:c r="H29" s="18"/>
      <x:c r="I29" s="18"/>
      <x:c r="J29" s="18"/>
      <x:c r="K29" s="18" t="str">
        <x:f>IF(A29="","",IF(I29&lt;&gt;"Pret","A finaliser","OK"))</x:f>
      </x:c>
    </x:row>
    <x:row r="30">
      <x:c r="A30" s="18"/>
      <x:c r="B30" s="18"/>
      <x:c r="C30" s="18"/>
      <x:c r="D30" s="18"/>
      <x:c r="E30" s="18"/>
      <x:c r="F30" s="24" t="str">
        <x:f>IF(A30="","",SWITCH(A30,"C40-001",SUM('08_INVENTAIRE_GES'!$H$5:$H$104),"C40-002",AVERAGEIF('11_QUALITE_AIR'!$H$5:$H$104,"PM2.5",'11_QUALITE_AIR'!$I$5:$I$104),"C40-003",AVERAGE('14_DECHETS'!$L$5:$L$104),"C40-004",SUMIF('12_MOBILITE'!$C$5:$C$104,"Marche",'12_MOBILITE'!$N$5:$N$104)+SUMIF('12_MOBILITE'!$C$5:$C$104,"Velo",'12_MOBILITE'!$N$5:$N$104),""))</x:f>
      </x:c>
      <x:c r="G30" s="18"/>
      <x:c r="H30" s="18"/>
      <x:c r="I30" s="18"/>
      <x:c r="J30" s="18"/>
      <x:c r="K30" s="18" t="str">
        <x:f>IF(A30="","",IF(I30&lt;&gt;"Pret","A finaliser","OK"))</x:f>
      </x:c>
    </x:row>
    <x:row r="31">
      <x:c r="A31" s="18"/>
      <x:c r="B31" s="18"/>
      <x:c r="C31" s="18"/>
      <x:c r="D31" s="18"/>
      <x:c r="E31" s="18"/>
      <x:c r="F31" s="24" t="str">
        <x:f>IF(A31="","",SWITCH(A31,"C40-001",SUM('08_INVENTAIRE_GES'!$H$5:$H$104),"C40-002",AVERAGEIF('11_QUALITE_AIR'!$H$5:$H$104,"PM2.5",'11_QUALITE_AIR'!$I$5:$I$104),"C40-003",AVERAGE('14_DECHETS'!$L$5:$L$104),"C40-004",SUMIF('12_MOBILITE'!$C$5:$C$104,"Marche",'12_MOBILITE'!$N$5:$N$104)+SUMIF('12_MOBILITE'!$C$5:$C$104,"Velo",'12_MOBILITE'!$N$5:$N$104),""))</x:f>
      </x:c>
      <x:c r="G31" s="18"/>
      <x:c r="H31" s="18"/>
      <x:c r="I31" s="18"/>
      <x:c r="J31" s="18"/>
      <x:c r="K31" s="18" t="str">
        <x:f>IF(A31="","",IF(I31&lt;&gt;"Pret","A finaliser","OK"))</x:f>
      </x:c>
    </x:row>
    <x:row r="32">
      <x:c r="A32" s="18"/>
      <x:c r="B32" s="18"/>
      <x:c r="C32" s="18"/>
      <x:c r="D32" s="18"/>
      <x:c r="E32" s="18"/>
      <x:c r="F32" s="24" t="str">
        <x:f>IF(A32="","",SWITCH(A32,"C40-001",SUM('08_INVENTAIRE_GES'!$H$5:$H$104),"C40-002",AVERAGEIF('11_QUALITE_AIR'!$H$5:$H$104,"PM2.5",'11_QUALITE_AIR'!$I$5:$I$104),"C40-003",AVERAGE('14_DECHETS'!$L$5:$L$104),"C40-004",SUMIF('12_MOBILITE'!$C$5:$C$104,"Marche",'12_MOBILITE'!$N$5:$N$104)+SUMIF('12_MOBILITE'!$C$5:$C$104,"Velo",'12_MOBILITE'!$N$5:$N$104),""))</x:f>
      </x:c>
      <x:c r="G32" s="18"/>
      <x:c r="H32" s="18"/>
      <x:c r="I32" s="18"/>
      <x:c r="J32" s="18"/>
      <x:c r="K32" s="18" t="str">
        <x:f>IF(A32="","",IF(I32&lt;&gt;"Pret","A finaliser","OK"))</x:f>
      </x:c>
    </x:row>
    <x:row r="33">
      <x:c r="A33" s="18"/>
      <x:c r="B33" s="18"/>
      <x:c r="C33" s="18"/>
      <x:c r="D33" s="18"/>
      <x:c r="E33" s="18"/>
      <x:c r="F33" s="24" t="str">
        <x:f>IF(A33="","",SWITCH(A33,"C40-001",SUM('08_INVENTAIRE_GES'!$H$5:$H$104),"C40-002",AVERAGEIF('11_QUALITE_AIR'!$H$5:$H$104,"PM2.5",'11_QUALITE_AIR'!$I$5:$I$104),"C40-003",AVERAGE('14_DECHETS'!$L$5:$L$104),"C40-004",SUMIF('12_MOBILITE'!$C$5:$C$104,"Marche",'12_MOBILITE'!$N$5:$N$104)+SUMIF('12_MOBILITE'!$C$5:$C$104,"Velo",'12_MOBILITE'!$N$5:$N$104),""))</x:f>
      </x:c>
      <x:c r="G33" s="18"/>
      <x:c r="H33" s="18"/>
      <x:c r="I33" s="18"/>
      <x:c r="J33" s="18"/>
      <x:c r="K33" s="18" t="str">
        <x:f>IF(A33="","",IF(I33&lt;&gt;"Pret","A finaliser","OK"))</x:f>
      </x:c>
    </x:row>
    <x:row r="34">
      <x:c r="A34" s="18"/>
      <x:c r="B34" s="18"/>
      <x:c r="C34" s="18"/>
      <x:c r="D34" s="18"/>
      <x:c r="E34" s="18"/>
      <x:c r="F34" s="24" t="str">
        <x:f>IF(A34="","",SWITCH(A34,"C40-001",SUM('08_INVENTAIRE_GES'!$H$5:$H$104),"C40-002",AVERAGEIF('11_QUALITE_AIR'!$H$5:$H$104,"PM2.5",'11_QUALITE_AIR'!$I$5:$I$104),"C40-003",AVERAGE('14_DECHETS'!$L$5:$L$104),"C40-004",SUMIF('12_MOBILITE'!$C$5:$C$104,"Marche",'12_MOBILITE'!$N$5:$N$104)+SUMIF('12_MOBILITE'!$C$5:$C$104,"Velo",'12_MOBILITE'!$N$5:$N$104),""))</x:f>
      </x:c>
      <x:c r="G34" s="18"/>
      <x:c r="H34" s="18"/>
      <x:c r="I34" s="18"/>
      <x:c r="J34" s="18"/>
      <x:c r="K34" s="18" t="str">
        <x:f>IF(A34="","",IF(I34&lt;&gt;"Pret","A finaliser","OK"))</x:f>
      </x:c>
    </x:row>
    <x:row r="35">
      <x:c r="A35" s="18"/>
      <x:c r="B35" s="18"/>
      <x:c r="C35" s="18"/>
      <x:c r="D35" s="18"/>
      <x:c r="E35" s="18"/>
      <x:c r="F35" s="24" t="str">
        <x:f>IF(A35="","",SWITCH(A35,"C40-001",SUM('08_INVENTAIRE_GES'!$H$5:$H$104),"C40-002",AVERAGEIF('11_QUALITE_AIR'!$H$5:$H$104,"PM2.5",'11_QUALITE_AIR'!$I$5:$I$104),"C40-003",AVERAGE('14_DECHETS'!$L$5:$L$104),"C40-004",SUMIF('12_MOBILITE'!$C$5:$C$104,"Marche",'12_MOBILITE'!$N$5:$N$104)+SUMIF('12_MOBILITE'!$C$5:$C$104,"Velo",'12_MOBILITE'!$N$5:$N$104),""))</x:f>
      </x:c>
      <x:c r="G35" s="18"/>
      <x:c r="H35" s="18"/>
      <x:c r="I35" s="18"/>
      <x:c r="J35" s="18"/>
      <x:c r="K35" s="18" t="str">
        <x:f>IF(A35="","",IF(I35&lt;&gt;"Pret","A finaliser","OK"))</x:f>
      </x:c>
    </x:row>
    <x:row r="36">
      <x:c r="A36" s="18"/>
      <x:c r="B36" s="18"/>
      <x:c r="C36" s="18"/>
      <x:c r="D36" s="18"/>
      <x:c r="E36" s="18"/>
      <x:c r="F36" s="24" t="str">
        <x:f>IF(A36="","",SWITCH(A36,"C40-001",SUM('08_INVENTAIRE_GES'!$H$5:$H$104),"C40-002",AVERAGEIF('11_QUALITE_AIR'!$H$5:$H$104,"PM2.5",'11_QUALITE_AIR'!$I$5:$I$104),"C40-003",AVERAGE('14_DECHETS'!$L$5:$L$104),"C40-004",SUMIF('12_MOBILITE'!$C$5:$C$104,"Marche",'12_MOBILITE'!$N$5:$N$104)+SUMIF('12_MOBILITE'!$C$5:$C$104,"Velo",'12_MOBILITE'!$N$5:$N$104),""))</x:f>
      </x:c>
      <x:c r="G36" s="18"/>
      <x:c r="H36" s="18"/>
      <x:c r="I36" s="18"/>
      <x:c r="J36" s="18"/>
      <x:c r="K36" s="18" t="str">
        <x:f>IF(A36="","",IF(I36&lt;&gt;"Pret","A finaliser","OK"))</x:f>
      </x:c>
    </x:row>
    <x:row r="37">
      <x:c r="A37" s="18"/>
      <x:c r="B37" s="18"/>
      <x:c r="C37" s="18"/>
      <x:c r="D37" s="18"/>
      <x:c r="E37" s="18"/>
      <x:c r="F37" s="24" t="str">
        <x:f>IF(A37="","",SWITCH(A37,"C40-001",SUM('08_INVENTAIRE_GES'!$H$5:$H$104),"C40-002",AVERAGEIF('11_QUALITE_AIR'!$H$5:$H$104,"PM2.5",'11_QUALITE_AIR'!$I$5:$I$104),"C40-003",AVERAGE('14_DECHETS'!$L$5:$L$104),"C40-004",SUMIF('12_MOBILITE'!$C$5:$C$104,"Marche",'12_MOBILITE'!$N$5:$N$104)+SUMIF('12_MOBILITE'!$C$5:$C$104,"Velo",'12_MOBILITE'!$N$5:$N$104),""))</x:f>
      </x:c>
      <x:c r="G37" s="18"/>
      <x:c r="H37" s="18"/>
      <x:c r="I37" s="18"/>
      <x:c r="J37" s="18"/>
      <x:c r="K37" s="18" t="str">
        <x:f>IF(A37="","",IF(I37&lt;&gt;"Pret","A finaliser","OK"))</x:f>
      </x:c>
    </x:row>
    <x:row r="38">
      <x:c r="A38" s="18"/>
      <x:c r="B38" s="18"/>
      <x:c r="C38" s="18"/>
      <x:c r="D38" s="18"/>
      <x:c r="E38" s="18"/>
      <x:c r="F38" s="24" t="str">
        <x:f>IF(A38="","",SWITCH(A38,"C40-001",SUM('08_INVENTAIRE_GES'!$H$5:$H$104),"C40-002",AVERAGEIF('11_QUALITE_AIR'!$H$5:$H$104,"PM2.5",'11_QUALITE_AIR'!$I$5:$I$104),"C40-003",AVERAGE('14_DECHETS'!$L$5:$L$104),"C40-004",SUMIF('12_MOBILITE'!$C$5:$C$104,"Marche",'12_MOBILITE'!$N$5:$N$104)+SUMIF('12_MOBILITE'!$C$5:$C$104,"Velo",'12_MOBILITE'!$N$5:$N$104),""))</x:f>
      </x:c>
      <x:c r="G38" s="18"/>
      <x:c r="H38" s="18"/>
      <x:c r="I38" s="18"/>
      <x:c r="J38" s="18"/>
      <x:c r="K38" s="18" t="str">
        <x:f>IF(A38="","",IF(I38&lt;&gt;"Pret","A finaliser","OK"))</x:f>
      </x:c>
    </x:row>
    <x:row r="39">
      <x:c r="A39" s="18"/>
      <x:c r="B39" s="18"/>
      <x:c r="C39" s="18"/>
      <x:c r="D39" s="18"/>
      <x:c r="E39" s="18"/>
      <x:c r="F39" s="24" t="str">
        <x:f>IF(A39="","",SWITCH(A39,"C40-001",SUM('08_INVENTAIRE_GES'!$H$5:$H$104),"C40-002",AVERAGEIF('11_QUALITE_AIR'!$H$5:$H$104,"PM2.5",'11_QUALITE_AIR'!$I$5:$I$104),"C40-003",AVERAGE('14_DECHETS'!$L$5:$L$104),"C40-004",SUMIF('12_MOBILITE'!$C$5:$C$104,"Marche",'12_MOBILITE'!$N$5:$N$104)+SUMIF('12_MOBILITE'!$C$5:$C$104,"Velo",'12_MOBILITE'!$N$5:$N$104),""))</x:f>
      </x:c>
      <x:c r="G39" s="18"/>
      <x:c r="H39" s="18"/>
      <x:c r="I39" s="18"/>
      <x:c r="J39" s="18"/>
      <x:c r="K39" s="18" t="str">
        <x:f>IF(A39="","",IF(I39&lt;&gt;"Pret","A finaliser","OK"))</x:f>
      </x:c>
    </x:row>
    <x:row r="40">
      <x:c r="A40" s="18"/>
      <x:c r="B40" s="18"/>
      <x:c r="C40" s="18"/>
      <x:c r="D40" s="18"/>
      <x:c r="E40" s="18"/>
      <x:c r="F40" s="24" t="str">
        <x:f>IF(A40="","",SWITCH(A40,"C40-001",SUM('08_INVENTAIRE_GES'!$H$5:$H$104),"C40-002",AVERAGEIF('11_QUALITE_AIR'!$H$5:$H$104,"PM2.5",'11_QUALITE_AIR'!$I$5:$I$104),"C40-003",AVERAGE('14_DECHETS'!$L$5:$L$104),"C40-004",SUMIF('12_MOBILITE'!$C$5:$C$104,"Marche",'12_MOBILITE'!$N$5:$N$104)+SUMIF('12_MOBILITE'!$C$5:$C$104,"Velo",'12_MOBILITE'!$N$5:$N$104),""))</x:f>
      </x:c>
      <x:c r="G40" s="18"/>
      <x:c r="H40" s="18"/>
      <x:c r="I40" s="18"/>
      <x:c r="J40" s="18"/>
      <x:c r="K40" s="18" t="str">
        <x:f>IF(A40="","",IF(I40&lt;&gt;"Pret","A finaliser","OK"))</x:f>
      </x:c>
    </x:row>
    <x:row r="41">
      <x:c r="A41" s="18"/>
      <x:c r="B41" s="18"/>
      <x:c r="C41" s="18"/>
      <x:c r="D41" s="18"/>
      <x:c r="E41" s="18"/>
      <x:c r="F41" s="24" t="str">
        <x:f>IF(A41="","",SWITCH(A41,"C40-001",SUM('08_INVENTAIRE_GES'!$H$5:$H$104),"C40-002",AVERAGEIF('11_QUALITE_AIR'!$H$5:$H$104,"PM2.5",'11_QUALITE_AIR'!$I$5:$I$104),"C40-003",AVERAGE('14_DECHETS'!$L$5:$L$104),"C40-004",SUMIF('12_MOBILITE'!$C$5:$C$104,"Marche",'12_MOBILITE'!$N$5:$N$104)+SUMIF('12_MOBILITE'!$C$5:$C$104,"Velo",'12_MOBILITE'!$N$5:$N$104),""))</x:f>
      </x:c>
      <x:c r="G41" s="18"/>
      <x:c r="H41" s="18"/>
      <x:c r="I41" s="18"/>
      <x:c r="J41" s="18"/>
      <x:c r="K41" s="18" t="str">
        <x:f>IF(A41="","",IF(I41&lt;&gt;"Pret","A finaliser","OK"))</x:f>
      </x:c>
    </x:row>
    <x:row r="42">
      <x:c r="A42" s="18"/>
      <x:c r="B42" s="18"/>
      <x:c r="C42" s="18"/>
      <x:c r="D42" s="18"/>
      <x:c r="E42" s="18"/>
      <x:c r="F42" s="24" t="str">
        <x:f>IF(A42="","",SWITCH(A42,"C40-001",SUM('08_INVENTAIRE_GES'!$H$5:$H$104),"C40-002",AVERAGEIF('11_QUALITE_AIR'!$H$5:$H$104,"PM2.5",'11_QUALITE_AIR'!$I$5:$I$104),"C40-003",AVERAGE('14_DECHETS'!$L$5:$L$104),"C40-004",SUMIF('12_MOBILITE'!$C$5:$C$104,"Marche",'12_MOBILITE'!$N$5:$N$104)+SUMIF('12_MOBILITE'!$C$5:$C$104,"Velo",'12_MOBILITE'!$N$5:$N$104),""))</x:f>
      </x:c>
      <x:c r="G42" s="18"/>
      <x:c r="H42" s="18"/>
      <x:c r="I42" s="18"/>
      <x:c r="J42" s="18"/>
      <x:c r="K42" s="18" t="str">
        <x:f>IF(A42="","",IF(I42&lt;&gt;"Pret","A finaliser","OK"))</x:f>
      </x:c>
    </x:row>
    <x:row r="43">
      <x:c r="A43" s="18"/>
      <x:c r="B43" s="18"/>
      <x:c r="C43" s="18"/>
      <x:c r="D43" s="18"/>
      <x:c r="E43" s="18"/>
      <x:c r="F43" s="24" t="str">
        <x:f>IF(A43="","",SWITCH(A43,"C40-001",SUM('08_INVENTAIRE_GES'!$H$5:$H$104),"C40-002",AVERAGEIF('11_QUALITE_AIR'!$H$5:$H$104,"PM2.5",'11_QUALITE_AIR'!$I$5:$I$104),"C40-003",AVERAGE('14_DECHETS'!$L$5:$L$104),"C40-004",SUMIF('12_MOBILITE'!$C$5:$C$104,"Marche",'12_MOBILITE'!$N$5:$N$104)+SUMIF('12_MOBILITE'!$C$5:$C$104,"Velo",'12_MOBILITE'!$N$5:$N$104),""))</x:f>
      </x:c>
      <x:c r="G43" s="18"/>
      <x:c r="H43" s="18"/>
      <x:c r="I43" s="18"/>
      <x:c r="J43" s="18"/>
      <x:c r="K43" s="18" t="str">
        <x:f>IF(A43="","",IF(I43&lt;&gt;"Pret","A finaliser","OK"))</x:f>
      </x:c>
    </x:row>
    <x:row r="44">
      <x:c r="A44" s="18"/>
      <x:c r="B44" s="18"/>
      <x:c r="C44" s="18"/>
      <x:c r="D44" s="18"/>
      <x:c r="E44" s="18"/>
      <x:c r="F44" s="24" t="str">
        <x:f>IF(A44="","",SWITCH(A44,"C40-001",SUM('08_INVENTAIRE_GES'!$H$5:$H$104),"C40-002",AVERAGEIF('11_QUALITE_AIR'!$H$5:$H$104,"PM2.5",'11_QUALITE_AIR'!$I$5:$I$104),"C40-003",AVERAGE('14_DECHETS'!$L$5:$L$104),"C40-004",SUMIF('12_MOBILITE'!$C$5:$C$104,"Marche",'12_MOBILITE'!$N$5:$N$104)+SUMIF('12_MOBILITE'!$C$5:$C$104,"Velo",'12_MOBILITE'!$N$5:$N$104),""))</x:f>
      </x:c>
      <x:c r="G44" s="18"/>
      <x:c r="H44" s="18"/>
      <x:c r="I44" s="18"/>
      <x:c r="J44" s="18"/>
      <x:c r="K44" s="18" t="str">
        <x:f>IF(A44="","",IF(I44&lt;&gt;"Pret","A finaliser","OK"))</x:f>
      </x:c>
    </x:row>
  </x:sheetData>
  <x:mergeCells>
    <x:mergeCell ref="A1:J1"/>
    <x:mergeCell ref="A2:J2"/>
  </x:mergeCells>
  <x:conditionalFormatting sqref="K5:K44">
    <x:cfRule type="containsText" dxfId="80" priority="1" operator="containsText" text="Retard"/>
    <x:cfRule type="containsText" dxfId="81" priority="2" operator="containsText" text="critique"/>
    <x:cfRule type="containsText" dxfId="82" priority="3" operator="containsText" text="manquant"/>
    <x:cfRule type="containsText" dxfId="83"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I5:I44">
      <x:formula1>"Pret,A completer,A verifier,Non disponible,Soumis"</x:formula1>
    </x:dataValidation>
  </x:dataValidations>
  <x:pageMargins left="0.7" right="0.7" top="0.75" bottom="0.75" header="0.3" footer="0.3"/>
  <x:tableParts count="1">
    <x:tablePart xmlns:r="http://schemas.openxmlformats.org/officeDocument/2006/relationships" r:id="Rd9f15bb9648c4f10"/>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20.6299991607666" hidden="0" customWidth="1"/>
    <x:col min="3" max="3" width="32.5" hidden="0" customWidth="1"/>
    <x:col min="4" max="4" width="27.5" hidden="0" customWidth="1"/>
    <x:col min="5" max="5" width="18.75" hidden="0" customWidth="1"/>
    <x:col min="6" max="6" width="16.25" hidden="0" customWidth="1"/>
    <x:col min="7" max="7" width="11.880000114440918" hidden="0" customWidth="1"/>
    <x:col min="8" max="8" width="16.25" hidden="0" customWidth="1"/>
    <x:col min="9" max="9" width="21.25" hidden="0" customWidth="1"/>
    <x:col min="10" max="10" width="18.1299991607666" hidden="0" customWidth="1"/>
  </x:cols>
  <x:sheetData>
    <x:row r="1" ht="25.5" customHeight="1">
      <x:c r="A1" s="2" t="str">
        <x:v>Suivi CoM SSA / SEACAP</x:v>
      </x:c>
      <x:c r="B1" s="2"/>
      <x:c r="C1" s="2"/>
      <x:c r="D1" s="2"/>
      <x:c r="E1" s="2"/>
      <x:c r="F1" s="2"/>
      <x:c r="G1" s="2"/>
      <x:c r="H1" s="2"/>
      <x:c r="I1" s="2"/>
      <x:c r="J1" s="2"/>
    </x:row>
    <x:row r="2" ht="31.5" customHeight="1">
      <x:c r="A2" s="5" t="str">
        <x:v>Structuration selon les piliers energie durable, acces a l'energie, mitigation, adaptation et mise en oeuvre.</x:v>
      </x:c>
      <x:c r="B2" s="5"/>
      <x:c r="C2" s="5"/>
      <x:c r="D2" s="5"/>
      <x:c r="E2" s="5"/>
      <x:c r="F2" s="5"/>
      <x:c r="G2" s="5"/>
      <x:c r="H2" s="5"/>
      <x:c r="I2" s="5"/>
      <x:c r="J2" s="5"/>
    </x:row>
    <x:row r="4" ht="28.5" customHeight="1">
      <x:c r="A4" s="16" t="str">
        <x:v>COMSSA_ID</x:v>
      </x:c>
      <x:c r="B4" s="16" t="str">
        <x:v>Pilier_SEACAP</x:v>
      </x:c>
      <x:c r="C4" s="16" t="str">
        <x:v>Exigence_indicative</x:v>
      </x:c>
      <x:c r="D4" s="16" t="str">
        <x:v>Indicateur_Dakar</x:v>
      </x:c>
      <x:c r="E4" s="16" t="str">
        <x:v>Onglet_source</x:v>
      </x:c>
      <x:c r="F4" s="16" t="str">
        <x:v>Valeur</x:v>
      </x:c>
      <x:c r="G4" s="16" t="str">
        <x:v>Unite</x:v>
      </x:c>
      <x:c r="H4" s="16" t="str">
        <x:v>Statut</x:v>
      </x:c>
      <x:c r="I4" s="16" t="str">
        <x:v>Responsable</x:v>
      </x:c>
      <x:c r="J4" s="16" t="str">
        <x:v>Alerte</x:v>
      </x:c>
    </x:row>
    <x:row r="5">
      <x:c r="A5" s="18" t="str">
        <x:v>COM-001</x:v>
      </x:c>
      <x:c r="B5" s="18" t="str">
        <x:v>Mitigation</x:v>
      </x:c>
      <x:c r="C5" s="18" t="str">
        <x:v>Inventaire emissions et actions</x:v>
      </x:c>
      <x:c r="D5" s="18" t="str">
        <x:v>Emissions tCO2e</x:v>
      </x:c>
      <x:c r="E5" s="18" t="str">
        <x:v>08_INVENTAIRE_GES</x:v>
      </x:c>
      <x:c r="F5" s="24" t="n">
        <x:f>IF(A5="","",SWITCH(A5,"COM-001",SUM('08_INVENTAIRE_GES'!$H$5:$H$104),"COM-002",AVERAGE('13_ENERGIE'!$L$5:$L$104),"COM-003",COUNTIF('18_RISQUES_HYPOTHESES'!$H$5:$H$104,"Critique"),"COM-004",SUM('05_PROJETS_CLIMAT'!$V$5:$V$104),""))</x:f>
        <x:v>1515200</x:v>
      </x:c>
      <x:c r="G5" s="18" t="str">
        <x:v>tCO2e</x:v>
      </x:c>
      <x:c r="H5" s="18" t="str">
        <x:v>A verifier</x:v>
      </x:c>
      <x:c r="I5" s="18" t="str">
        <x:v>Referent GES</x:v>
      </x:c>
      <x:c r="J5" s="18" t="str">
        <x:f>IF(A5="","",IF(H5&lt;&gt;"Pret","A finaliser","OK"))</x:f>
        <x:v>A finaliser</x:v>
      </x:c>
    </x:row>
    <x:row r="6">
      <x:c r="A6" s="18" t="str">
        <x:v>COM-002</x:v>
      </x:c>
      <x:c r="B6" s="18" t="str">
        <x:v>Energie durable</x:v>
      </x:c>
      <x:c r="C6" s="18" t="str">
        <x:v>Efficacite energetique et renouvelables</x:v>
      </x:c>
      <x:c r="D6" s="18" t="str">
        <x:v>Part renouvelable energie</x:v>
      </x:c>
      <x:c r="E6" s="18" t="str">
        <x:v>13_ENERGIE</x:v>
      </x:c>
      <x:c r="F6" s="24" t="n">
        <x:f>IF(A6="","",SWITCH(A6,"COM-001",SUM('08_INVENTAIRE_GES'!$H$5:$H$104),"COM-002",AVERAGE('13_ENERGIE'!$L$5:$L$104),"COM-003",COUNTIF('18_RISQUES_HYPOTHESES'!$H$5:$H$104,"Critique"),"COM-004",SUM('05_PROJETS_CLIMAT'!$V$5:$V$104),""))</x:f>
        <x:v>0.3566666666666667</x:v>
      </x:c>
      <x:c r="G6" s="18" t="str">
        <x:v>%</x:v>
      </x:c>
      <x:c r="H6" s="18" t="str">
        <x:v>A completer</x:v>
      </x:c>
      <x:c r="I6" s="18" t="str">
        <x:v>Direction Energie</x:v>
      </x:c>
      <x:c r="J6" s="18" t="str">
        <x:f>IF(A6="","",IF(H6&lt;&gt;"Pret","A finaliser","OK"))</x:f>
        <x:v>A finaliser</x:v>
      </x:c>
    </x:row>
    <x:row r="7">
      <x:c r="A7" s="18" t="str">
        <x:v>COM-003</x:v>
      </x:c>
      <x:c r="B7" s="18" t="str">
        <x:v>Adaptation</x:v>
      </x:c>
      <x:c r="C7" s="18" t="str">
        <x:v>Risques et mesures d'adaptation</x:v>
      </x:c>
      <x:c r="D7" s="18" t="str">
        <x:v>Risques critiques ouverts</x:v>
      </x:c>
      <x:c r="E7" s="18" t="str">
        <x:v>18_RISQUES_HYPOTHESES</x:v>
      </x:c>
      <x:c r="F7" s="24" t="n">
        <x:f>IF(A7="","",SWITCH(A7,"COM-001",SUM('08_INVENTAIRE_GES'!$H$5:$H$104),"COM-002",AVERAGE('13_ENERGIE'!$L$5:$L$104),"COM-003",COUNTIF('18_RISQUES_HYPOTHESES'!$H$5:$H$104,"Critique"),"COM-004",SUM('05_PROJETS_CLIMAT'!$V$5:$V$104),""))</x:f>
        <x:v>2</x:v>
      </x:c>
      <x:c r="G7" s="18" t="str">
        <x:v>nombre</x:v>
      </x:c>
      <x:c r="H7" s="18" t="str">
        <x:v>A completer</x:v>
      </x:c>
      <x:c r="I7" s="18" t="str">
        <x:v>Direction Planification</x:v>
      </x:c>
      <x:c r="J7" s="18" t="str">
        <x:f>IF(A7="","",IF(H7&lt;&gt;"Pret","A finaliser","OK"))</x:f>
        <x:v>A finaliser</x:v>
      </x:c>
    </x:row>
    <x:row r="8">
      <x:c r="A8" s="18" t="str">
        <x:v>COM-004</x:v>
      </x:c>
      <x:c r="B8" s="18" t="str">
        <x:v>Acces / co-benefices</x:v>
      </x:c>
      <x:c r="C8" s="18" t="str">
        <x:v>Beneficiaires et inclusion</x:v>
      </x:c>
      <x:c r="D8" s="18" t="str">
        <x:v>Beneficiaires projets climat</x:v>
      </x:c>
      <x:c r="E8" s="18" t="str">
        <x:v>05_PROJETS_CLIMAT</x:v>
      </x:c>
      <x:c r="F8" s="24" t="n">
        <x:f>IF(A8="","",SWITCH(A8,"COM-001",SUM('08_INVENTAIRE_GES'!$H$5:$H$104),"COM-002",AVERAGE('13_ENERGIE'!$L$5:$L$104),"COM-003",COUNTIF('18_RISQUES_HYPOTHESES'!$H$5:$H$104,"Critique"),"COM-004",SUM('05_PROJETS_CLIMAT'!$V$5:$V$104),""))</x:f>
        <x:v>2090000</x:v>
      </x:c>
      <x:c r="G8" s="18" t="str">
        <x:v>personnes</x:v>
      </x:c>
      <x:c r="H8" s="18" t="str">
        <x:v>A verifier</x:v>
      </x:c>
      <x:c r="I8" s="18" t="str">
        <x:v>Cellule climat</x:v>
      </x:c>
      <x:c r="J8" s="18" t="str">
        <x:f>IF(A8="","",IF(H8&lt;&gt;"Pret","A finaliser","OK"))</x:f>
        <x:v>A finaliser</x:v>
      </x:c>
    </x:row>
    <x:row r="9">
      <x:c r="A9" s="18"/>
      <x:c r="B9" s="18"/>
      <x:c r="C9" s="18"/>
      <x:c r="D9" s="18"/>
      <x:c r="E9" s="18"/>
      <x:c r="F9" s="24" t="str">
        <x:f>IF(A9="","",SWITCH(A9,"COM-001",SUM('08_INVENTAIRE_GES'!$H$5:$H$104),"COM-002",AVERAGE('13_ENERGIE'!$L$5:$L$104),"COM-003",COUNTIF('18_RISQUES_HYPOTHESES'!$H$5:$H$104,"Critique"),"COM-004",SUM('05_PROJETS_CLIMAT'!$V$5:$V$104),""))</x:f>
      </x:c>
      <x:c r="G9" s="18"/>
      <x:c r="H9" s="18"/>
      <x:c r="I9" s="18"/>
      <x:c r="J9" s="18" t="str">
        <x:f>IF(A9="","",IF(H9&lt;&gt;"Pret","A finaliser","OK"))</x:f>
      </x:c>
    </x:row>
    <x:row r="10">
      <x:c r="A10" s="18"/>
      <x:c r="B10" s="18"/>
      <x:c r="C10" s="18"/>
      <x:c r="D10" s="18"/>
      <x:c r="E10" s="18"/>
      <x:c r="F10" s="24" t="str">
        <x:f>IF(A10="","",SWITCH(A10,"COM-001",SUM('08_INVENTAIRE_GES'!$H$5:$H$104),"COM-002",AVERAGE('13_ENERGIE'!$L$5:$L$104),"COM-003",COUNTIF('18_RISQUES_HYPOTHESES'!$H$5:$H$104,"Critique"),"COM-004",SUM('05_PROJETS_CLIMAT'!$V$5:$V$104),""))</x:f>
      </x:c>
      <x:c r="G10" s="18"/>
      <x:c r="H10" s="18"/>
      <x:c r="I10" s="18"/>
      <x:c r="J10" s="18" t="str">
        <x:f>IF(A10="","",IF(H10&lt;&gt;"Pret","A finaliser","OK"))</x:f>
      </x:c>
    </x:row>
    <x:row r="11">
      <x:c r="A11" s="18"/>
      <x:c r="B11" s="18"/>
      <x:c r="C11" s="18"/>
      <x:c r="D11" s="18"/>
      <x:c r="E11" s="18"/>
      <x:c r="F11" s="24" t="str">
        <x:f>IF(A11="","",SWITCH(A11,"COM-001",SUM('08_INVENTAIRE_GES'!$H$5:$H$104),"COM-002",AVERAGE('13_ENERGIE'!$L$5:$L$104),"COM-003",COUNTIF('18_RISQUES_HYPOTHESES'!$H$5:$H$104,"Critique"),"COM-004",SUM('05_PROJETS_CLIMAT'!$V$5:$V$104),""))</x:f>
      </x:c>
      <x:c r="G11" s="18"/>
      <x:c r="H11" s="18"/>
      <x:c r="I11" s="18"/>
      <x:c r="J11" s="18" t="str">
        <x:f>IF(A11="","",IF(H11&lt;&gt;"Pret","A finaliser","OK"))</x:f>
      </x:c>
    </x:row>
    <x:row r="12">
      <x:c r="A12" s="18"/>
      <x:c r="B12" s="18"/>
      <x:c r="C12" s="18"/>
      <x:c r="D12" s="18"/>
      <x:c r="E12" s="18"/>
      <x:c r="F12" s="24" t="str">
        <x:f>IF(A12="","",SWITCH(A12,"COM-001",SUM('08_INVENTAIRE_GES'!$H$5:$H$104),"COM-002",AVERAGE('13_ENERGIE'!$L$5:$L$104),"COM-003",COUNTIF('18_RISQUES_HYPOTHESES'!$H$5:$H$104,"Critique"),"COM-004",SUM('05_PROJETS_CLIMAT'!$V$5:$V$104),""))</x:f>
      </x:c>
      <x:c r="G12" s="18"/>
      <x:c r="H12" s="18"/>
      <x:c r="I12" s="18"/>
      <x:c r="J12" s="18" t="str">
        <x:f>IF(A12="","",IF(H12&lt;&gt;"Pret","A finaliser","OK"))</x:f>
      </x:c>
    </x:row>
    <x:row r="13">
      <x:c r="A13" s="18"/>
      <x:c r="B13" s="18"/>
      <x:c r="C13" s="18"/>
      <x:c r="D13" s="18"/>
      <x:c r="E13" s="18"/>
      <x:c r="F13" s="24" t="str">
        <x:f>IF(A13="","",SWITCH(A13,"COM-001",SUM('08_INVENTAIRE_GES'!$H$5:$H$104),"COM-002",AVERAGE('13_ENERGIE'!$L$5:$L$104),"COM-003",COUNTIF('18_RISQUES_HYPOTHESES'!$H$5:$H$104,"Critique"),"COM-004",SUM('05_PROJETS_CLIMAT'!$V$5:$V$104),""))</x:f>
      </x:c>
      <x:c r="G13" s="18"/>
      <x:c r="H13" s="18"/>
      <x:c r="I13" s="18"/>
      <x:c r="J13" s="18" t="str">
        <x:f>IF(A13="","",IF(H13&lt;&gt;"Pret","A finaliser","OK"))</x:f>
      </x:c>
    </x:row>
    <x:row r="14">
      <x:c r="A14" s="18"/>
      <x:c r="B14" s="18"/>
      <x:c r="C14" s="18"/>
      <x:c r="D14" s="18"/>
      <x:c r="E14" s="18"/>
      <x:c r="F14" s="24" t="str">
        <x:f>IF(A14="","",SWITCH(A14,"COM-001",SUM('08_INVENTAIRE_GES'!$H$5:$H$104),"COM-002",AVERAGE('13_ENERGIE'!$L$5:$L$104),"COM-003",COUNTIF('18_RISQUES_HYPOTHESES'!$H$5:$H$104,"Critique"),"COM-004",SUM('05_PROJETS_CLIMAT'!$V$5:$V$104),""))</x:f>
      </x:c>
      <x:c r="G14" s="18"/>
      <x:c r="H14" s="18"/>
      <x:c r="I14" s="18"/>
      <x:c r="J14" s="18" t="str">
        <x:f>IF(A14="","",IF(H14&lt;&gt;"Pret","A finaliser","OK"))</x:f>
      </x:c>
    </x:row>
    <x:row r="15">
      <x:c r="A15" s="18"/>
      <x:c r="B15" s="18"/>
      <x:c r="C15" s="18"/>
      <x:c r="D15" s="18"/>
      <x:c r="E15" s="18"/>
      <x:c r="F15" s="24" t="str">
        <x:f>IF(A15="","",SWITCH(A15,"COM-001",SUM('08_INVENTAIRE_GES'!$H$5:$H$104),"COM-002",AVERAGE('13_ENERGIE'!$L$5:$L$104),"COM-003",COUNTIF('18_RISQUES_HYPOTHESES'!$H$5:$H$104,"Critique"),"COM-004",SUM('05_PROJETS_CLIMAT'!$V$5:$V$104),""))</x:f>
      </x:c>
      <x:c r="G15" s="18"/>
      <x:c r="H15" s="18"/>
      <x:c r="I15" s="18"/>
      <x:c r="J15" s="18" t="str">
        <x:f>IF(A15="","",IF(H15&lt;&gt;"Pret","A finaliser","OK"))</x:f>
      </x:c>
    </x:row>
    <x:row r="16">
      <x:c r="A16" s="18"/>
      <x:c r="B16" s="18"/>
      <x:c r="C16" s="18"/>
      <x:c r="D16" s="18"/>
      <x:c r="E16" s="18"/>
      <x:c r="F16" s="24" t="str">
        <x:f>IF(A16="","",SWITCH(A16,"COM-001",SUM('08_INVENTAIRE_GES'!$H$5:$H$104),"COM-002",AVERAGE('13_ENERGIE'!$L$5:$L$104),"COM-003",COUNTIF('18_RISQUES_HYPOTHESES'!$H$5:$H$104,"Critique"),"COM-004",SUM('05_PROJETS_CLIMAT'!$V$5:$V$104),""))</x:f>
      </x:c>
      <x:c r="G16" s="18"/>
      <x:c r="H16" s="18"/>
      <x:c r="I16" s="18"/>
      <x:c r="J16" s="18" t="str">
        <x:f>IF(A16="","",IF(H16&lt;&gt;"Pret","A finaliser","OK"))</x:f>
      </x:c>
    </x:row>
    <x:row r="17">
      <x:c r="A17" s="18"/>
      <x:c r="B17" s="18"/>
      <x:c r="C17" s="18"/>
      <x:c r="D17" s="18"/>
      <x:c r="E17" s="18"/>
      <x:c r="F17" s="24" t="str">
        <x:f>IF(A17="","",SWITCH(A17,"COM-001",SUM('08_INVENTAIRE_GES'!$H$5:$H$104),"COM-002",AVERAGE('13_ENERGIE'!$L$5:$L$104),"COM-003",COUNTIF('18_RISQUES_HYPOTHESES'!$H$5:$H$104,"Critique"),"COM-004",SUM('05_PROJETS_CLIMAT'!$V$5:$V$104),""))</x:f>
      </x:c>
      <x:c r="G17" s="18"/>
      <x:c r="H17" s="18"/>
      <x:c r="I17" s="18"/>
      <x:c r="J17" s="18" t="str">
        <x:f>IF(A17="","",IF(H17&lt;&gt;"Pret","A finaliser","OK"))</x:f>
      </x:c>
    </x:row>
    <x:row r="18">
      <x:c r="A18" s="18"/>
      <x:c r="B18" s="18"/>
      <x:c r="C18" s="18"/>
      <x:c r="D18" s="18"/>
      <x:c r="E18" s="18"/>
      <x:c r="F18" s="24" t="str">
        <x:f>IF(A18="","",SWITCH(A18,"COM-001",SUM('08_INVENTAIRE_GES'!$H$5:$H$104),"COM-002",AVERAGE('13_ENERGIE'!$L$5:$L$104),"COM-003",COUNTIF('18_RISQUES_HYPOTHESES'!$H$5:$H$104,"Critique"),"COM-004",SUM('05_PROJETS_CLIMAT'!$V$5:$V$104),""))</x:f>
      </x:c>
      <x:c r="G18" s="18"/>
      <x:c r="H18" s="18"/>
      <x:c r="I18" s="18"/>
      <x:c r="J18" s="18" t="str">
        <x:f>IF(A18="","",IF(H18&lt;&gt;"Pret","A finaliser","OK"))</x:f>
      </x:c>
    </x:row>
    <x:row r="19">
      <x:c r="A19" s="18"/>
      <x:c r="B19" s="18"/>
      <x:c r="C19" s="18"/>
      <x:c r="D19" s="18"/>
      <x:c r="E19" s="18"/>
      <x:c r="F19" s="24" t="str">
        <x:f>IF(A19="","",SWITCH(A19,"COM-001",SUM('08_INVENTAIRE_GES'!$H$5:$H$104),"COM-002",AVERAGE('13_ENERGIE'!$L$5:$L$104),"COM-003",COUNTIF('18_RISQUES_HYPOTHESES'!$H$5:$H$104,"Critique"),"COM-004",SUM('05_PROJETS_CLIMAT'!$V$5:$V$104),""))</x:f>
      </x:c>
      <x:c r="G19" s="18"/>
      <x:c r="H19" s="18"/>
      <x:c r="I19" s="18"/>
      <x:c r="J19" s="18" t="str">
        <x:f>IF(A19="","",IF(H19&lt;&gt;"Pret","A finaliser","OK"))</x:f>
      </x:c>
    </x:row>
    <x:row r="20">
      <x:c r="A20" s="18"/>
      <x:c r="B20" s="18"/>
      <x:c r="C20" s="18"/>
      <x:c r="D20" s="18"/>
      <x:c r="E20" s="18"/>
      <x:c r="F20" s="24" t="str">
        <x:f>IF(A20="","",SWITCH(A20,"COM-001",SUM('08_INVENTAIRE_GES'!$H$5:$H$104),"COM-002",AVERAGE('13_ENERGIE'!$L$5:$L$104),"COM-003",COUNTIF('18_RISQUES_HYPOTHESES'!$H$5:$H$104,"Critique"),"COM-004",SUM('05_PROJETS_CLIMAT'!$V$5:$V$104),""))</x:f>
      </x:c>
      <x:c r="G20" s="18"/>
      <x:c r="H20" s="18"/>
      <x:c r="I20" s="18"/>
      <x:c r="J20" s="18" t="str">
        <x:f>IF(A20="","",IF(H20&lt;&gt;"Pret","A finaliser","OK"))</x:f>
      </x:c>
    </x:row>
    <x:row r="21">
      <x:c r="A21" s="18"/>
      <x:c r="B21" s="18"/>
      <x:c r="C21" s="18"/>
      <x:c r="D21" s="18"/>
      <x:c r="E21" s="18"/>
      <x:c r="F21" s="24" t="str">
        <x:f>IF(A21="","",SWITCH(A21,"COM-001",SUM('08_INVENTAIRE_GES'!$H$5:$H$104),"COM-002",AVERAGE('13_ENERGIE'!$L$5:$L$104),"COM-003",COUNTIF('18_RISQUES_HYPOTHESES'!$H$5:$H$104,"Critique"),"COM-004",SUM('05_PROJETS_CLIMAT'!$V$5:$V$104),""))</x:f>
      </x:c>
      <x:c r="G21" s="18"/>
      <x:c r="H21" s="18"/>
      <x:c r="I21" s="18"/>
      <x:c r="J21" s="18" t="str">
        <x:f>IF(A21="","",IF(H21&lt;&gt;"Pret","A finaliser","OK"))</x:f>
      </x:c>
    </x:row>
    <x:row r="22">
      <x:c r="A22" s="18"/>
      <x:c r="B22" s="18"/>
      <x:c r="C22" s="18"/>
      <x:c r="D22" s="18"/>
      <x:c r="E22" s="18"/>
      <x:c r="F22" s="24" t="str">
        <x:f>IF(A22="","",SWITCH(A22,"COM-001",SUM('08_INVENTAIRE_GES'!$H$5:$H$104),"COM-002",AVERAGE('13_ENERGIE'!$L$5:$L$104),"COM-003",COUNTIF('18_RISQUES_HYPOTHESES'!$H$5:$H$104,"Critique"),"COM-004",SUM('05_PROJETS_CLIMAT'!$V$5:$V$104),""))</x:f>
      </x:c>
      <x:c r="G22" s="18"/>
      <x:c r="H22" s="18"/>
      <x:c r="I22" s="18"/>
      <x:c r="J22" s="18" t="str">
        <x:f>IF(A22="","",IF(H22&lt;&gt;"Pret","A finaliser","OK"))</x:f>
      </x:c>
    </x:row>
    <x:row r="23">
      <x:c r="A23" s="18"/>
      <x:c r="B23" s="18"/>
      <x:c r="C23" s="18"/>
      <x:c r="D23" s="18"/>
      <x:c r="E23" s="18"/>
      <x:c r="F23" s="24" t="str">
        <x:f>IF(A23="","",SWITCH(A23,"COM-001",SUM('08_INVENTAIRE_GES'!$H$5:$H$104),"COM-002",AVERAGE('13_ENERGIE'!$L$5:$L$104),"COM-003",COUNTIF('18_RISQUES_HYPOTHESES'!$H$5:$H$104,"Critique"),"COM-004",SUM('05_PROJETS_CLIMAT'!$V$5:$V$104),""))</x:f>
      </x:c>
      <x:c r="G23" s="18"/>
      <x:c r="H23" s="18"/>
      <x:c r="I23" s="18"/>
      <x:c r="J23" s="18" t="str">
        <x:f>IF(A23="","",IF(H23&lt;&gt;"Pret","A finaliser","OK"))</x:f>
      </x:c>
    </x:row>
    <x:row r="24">
      <x:c r="A24" s="18"/>
      <x:c r="B24" s="18"/>
      <x:c r="C24" s="18"/>
      <x:c r="D24" s="18"/>
      <x:c r="E24" s="18"/>
      <x:c r="F24" s="24" t="str">
        <x:f>IF(A24="","",SWITCH(A24,"COM-001",SUM('08_INVENTAIRE_GES'!$H$5:$H$104),"COM-002",AVERAGE('13_ENERGIE'!$L$5:$L$104),"COM-003",COUNTIF('18_RISQUES_HYPOTHESES'!$H$5:$H$104,"Critique"),"COM-004",SUM('05_PROJETS_CLIMAT'!$V$5:$V$104),""))</x:f>
      </x:c>
      <x:c r="G24" s="18"/>
      <x:c r="H24" s="18"/>
      <x:c r="I24" s="18"/>
      <x:c r="J24" s="18" t="str">
        <x:f>IF(A24="","",IF(H24&lt;&gt;"Pret","A finaliser","OK"))</x:f>
      </x:c>
    </x:row>
    <x:row r="25">
      <x:c r="A25" s="18"/>
      <x:c r="B25" s="18"/>
      <x:c r="C25" s="18"/>
      <x:c r="D25" s="18"/>
      <x:c r="E25" s="18"/>
      <x:c r="F25" s="24" t="str">
        <x:f>IF(A25="","",SWITCH(A25,"COM-001",SUM('08_INVENTAIRE_GES'!$H$5:$H$104),"COM-002",AVERAGE('13_ENERGIE'!$L$5:$L$104),"COM-003",COUNTIF('18_RISQUES_HYPOTHESES'!$H$5:$H$104,"Critique"),"COM-004",SUM('05_PROJETS_CLIMAT'!$V$5:$V$104),""))</x:f>
      </x:c>
      <x:c r="G25" s="18"/>
      <x:c r="H25" s="18"/>
      <x:c r="I25" s="18"/>
      <x:c r="J25" s="18" t="str">
        <x:f>IF(A25="","",IF(H25&lt;&gt;"Pret","A finaliser","OK"))</x:f>
      </x:c>
    </x:row>
    <x:row r="26">
      <x:c r="A26" s="18"/>
      <x:c r="B26" s="18"/>
      <x:c r="C26" s="18"/>
      <x:c r="D26" s="18"/>
      <x:c r="E26" s="18"/>
      <x:c r="F26" s="24" t="str">
        <x:f>IF(A26="","",SWITCH(A26,"COM-001",SUM('08_INVENTAIRE_GES'!$H$5:$H$104),"COM-002",AVERAGE('13_ENERGIE'!$L$5:$L$104),"COM-003",COUNTIF('18_RISQUES_HYPOTHESES'!$H$5:$H$104,"Critique"),"COM-004",SUM('05_PROJETS_CLIMAT'!$V$5:$V$104),""))</x:f>
      </x:c>
      <x:c r="G26" s="18"/>
      <x:c r="H26" s="18"/>
      <x:c r="I26" s="18"/>
      <x:c r="J26" s="18" t="str">
        <x:f>IF(A26="","",IF(H26&lt;&gt;"Pret","A finaliser","OK"))</x:f>
      </x:c>
    </x:row>
    <x:row r="27">
      <x:c r="A27" s="18"/>
      <x:c r="B27" s="18"/>
      <x:c r="C27" s="18"/>
      <x:c r="D27" s="18"/>
      <x:c r="E27" s="18"/>
      <x:c r="F27" s="24" t="str">
        <x:f>IF(A27="","",SWITCH(A27,"COM-001",SUM('08_INVENTAIRE_GES'!$H$5:$H$104),"COM-002",AVERAGE('13_ENERGIE'!$L$5:$L$104),"COM-003",COUNTIF('18_RISQUES_HYPOTHESES'!$H$5:$H$104,"Critique"),"COM-004",SUM('05_PROJETS_CLIMAT'!$V$5:$V$104),""))</x:f>
      </x:c>
      <x:c r="G27" s="18"/>
      <x:c r="H27" s="18"/>
      <x:c r="I27" s="18"/>
      <x:c r="J27" s="18" t="str">
        <x:f>IF(A27="","",IF(H27&lt;&gt;"Pret","A finaliser","OK"))</x:f>
      </x:c>
    </x:row>
    <x:row r="28">
      <x:c r="A28" s="18"/>
      <x:c r="B28" s="18"/>
      <x:c r="C28" s="18"/>
      <x:c r="D28" s="18"/>
      <x:c r="E28" s="18"/>
      <x:c r="F28" s="24" t="str">
        <x:f>IF(A28="","",SWITCH(A28,"COM-001",SUM('08_INVENTAIRE_GES'!$H$5:$H$104),"COM-002",AVERAGE('13_ENERGIE'!$L$5:$L$104),"COM-003",COUNTIF('18_RISQUES_HYPOTHESES'!$H$5:$H$104,"Critique"),"COM-004",SUM('05_PROJETS_CLIMAT'!$V$5:$V$104),""))</x:f>
      </x:c>
      <x:c r="G28" s="18"/>
      <x:c r="H28" s="18"/>
      <x:c r="I28" s="18"/>
      <x:c r="J28" s="18" t="str">
        <x:f>IF(A28="","",IF(H28&lt;&gt;"Pret","A finaliser","OK"))</x:f>
      </x:c>
    </x:row>
    <x:row r="29">
      <x:c r="A29" s="18"/>
      <x:c r="B29" s="18"/>
      <x:c r="C29" s="18"/>
      <x:c r="D29" s="18"/>
      <x:c r="E29" s="18"/>
      <x:c r="F29" s="24" t="str">
        <x:f>IF(A29="","",SWITCH(A29,"COM-001",SUM('08_INVENTAIRE_GES'!$H$5:$H$104),"COM-002",AVERAGE('13_ENERGIE'!$L$5:$L$104),"COM-003",COUNTIF('18_RISQUES_HYPOTHESES'!$H$5:$H$104,"Critique"),"COM-004",SUM('05_PROJETS_CLIMAT'!$V$5:$V$104),""))</x:f>
      </x:c>
      <x:c r="G29" s="18"/>
      <x:c r="H29" s="18"/>
      <x:c r="I29" s="18"/>
      <x:c r="J29" s="18" t="str">
        <x:f>IF(A29="","",IF(H29&lt;&gt;"Pret","A finaliser","OK"))</x:f>
      </x:c>
    </x:row>
    <x:row r="30">
      <x:c r="A30" s="18"/>
      <x:c r="B30" s="18"/>
      <x:c r="C30" s="18"/>
      <x:c r="D30" s="18"/>
      <x:c r="E30" s="18"/>
      <x:c r="F30" s="24" t="str">
        <x:f>IF(A30="","",SWITCH(A30,"COM-001",SUM('08_INVENTAIRE_GES'!$H$5:$H$104),"COM-002",AVERAGE('13_ENERGIE'!$L$5:$L$104),"COM-003",COUNTIF('18_RISQUES_HYPOTHESES'!$H$5:$H$104,"Critique"),"COM-004",SUM('05_PROJETS_CLIMAT'!$V$5:$V$104),""))</x:f>
      </x:c>
      <x:c r="G30" s="18"/>
      <x:c r="H30" s="18"/>
      <x:c r="I30" s="18"/>
      <x:c r="J30" s="18" t="str">
        <x:f>IF(A30="","",IF(H30&lt;&gt;"Pret","A finaliser","OK"))</x:f>
      </x:c>
    </x:row>
    <x:row r="31">
      <x:c r="A31" s="18"/>
      <x:c r="B31" s="18"/>
      <x:c r="C31" s="18"/>
      <x:c r="D31" s="18"/>
      <x:c r="E31" s="18"/>
      <x:c r="F31" s="24" t="str">
        <x:f>IF(A31="","",SWITCH(A31,"COM-001",SUM('08_INVENTAIRE_GES'!$H$5:$H$104),"COM-002",AVERAGE('13_ENERGIE'!$L$5:$L$104),"COM-003",COUNTIF('18_RISQUES_HYPOTHESES'!$H$5:$H$104,"Critique"),"COM-004",SUM('05_PROJETS_CLIMAT'!$V$5:$V$104),""))</x:f>
      </x:c>
      <x:c r="G31" s="18"/>
      <x:c r="H31" s="18"/>
      <x:c r="I31" s="18"/>
      <x:c r="J31" s="18" t="str">
        <x:f>IF(A31="","",IF(H31&lt;&gt;"Pret","A finaliser","OK"))</x:f>
      </x:c>
    </x:row>
    <x:row r="32">
      <x:c r="A32" s="18"/>
      <x:c r="B32" s="18"/>
      <x:c r="C32" s="18"/>
      <x:c r="D32" s="18"/>
      <x:c r="E32" s="18"/>
      <x:c r="F32" s="24" t="str">
        <x:f>IF(A32="","",SWITCH(A32,"COM-001",SUM('08_INVENTAIRE_GES'!$H$5:$H$104),"COM-002",AVERAGE('13_ENERGIE'!$L$5:$L$104),"COM-003",COUNTIF('18_RISQUES_HYPOTHESES'!$H$5:$H$104,"Critique"),"COM-004",SUM('05_PROJETS_CLIMAT'!$V$5:$V$104),""))</x:f>
      </x:c>
      <x:c r="G32" s="18"/>
      <x:c r="H32" s="18"/>
      <x:c r="I32" s="18"/>
      <x:c r="J32" s="18" t="str">
        <x:f>IF(A32="","",IF(H32&lt;&gt;"Pret","A finaliser","OK"))</x:f>
      </x:c>
    </x:row>
    <x:row r="33">
      <x:c r="A33" s="18"/>
      <x:c r="B33" s="18"/>
      <x:c r="C33" s="18"/>
      <x:c r="D33" s="18"/>
      <x:c r="E33" s="18"/>
      <x:c r="F33" s="24" t="str">
        <x:f>IF(A33="","",SWITCH(A33,"COM-001",SUM('08_INVENTAIRE_GES'!$H$5:$H$104),"COM-002",AVERAGE('13_ENERGIE'!$L$5:$L$104),"COM-003",COUNTIF('18_RISQUES_HYPOTHESES'!$H$5:$H$104,"Critique"),"COM-004",SUM('05_PROJETS_CLIMAT'!$V$5:$V$104),""))</x:f>
      </x:c>
      <x:c r="G33" s="18"/>
      <x:c r="H33" s="18"/>
      <x:c r="I33" s="18"/>
      <x:c r="J33" s="18" t="str">
        <x:f>IF(A33="","",IF(H33&lt;&gt;"Pret","A finaliser","OK"))</x:f>
      </x:c>
    </x:row>
    <x:row r="34">
      <x:c r="A34" s="18"/>
      <x:c r="B34" s="18"/>
      <x:c r="C34" s="18"/>
      <x:c r="D34" s="18"/>
      <x:c r="E34" s="18"/>
      <x:c r="F34" s="24" t="str">
        <x:f>IF(A34="","",SWITCH(A34,"COM-001",SUM('08_INVENTAIRE_GES'!$H$5:$H$104),"COM-002",AVERAGE('13_ENERGIE'!$L$5:$L$104),"COM-003",COUNTIF('18_RISQUES_HYPOTHESES'!$H$5:$H$104,"Critique"),"COM-004",SUM('05_PROJETS_CLIMAT'!$V$5:$V$104),""))</x:f>
      </x:c>
      <x:c r="G34" s="18"/>
      <x:c r="H34" s="18"/>
      <x:c r="I34" s="18"/>
      <x:c r="J34" s="18" t="str">
        <x:f>IF(A34="","",IF(H34&lt;&gt;"Pret","A finaliser","OK"))</x:f>
      </x:c>
    </x:row>
    <x:row r="35">
      <x:c r="A35" s="18"/>
      <x:c r="B35" s="18"/>
      <x:c r="C35" s="18"/>
      <x:c r="D35" s="18"/>
      <x:c r="E35" s="18"/>
      <x:c r="F35" s="24" t="str">
        <x:f>IF(A35="","",SWITCH(A35,"COM-001",SUM('08_INVENTAIRE_GES'!$H$5:$H$104),"COM-002",AVERAGE('13_ENERGIE'!$L$5:$L$104),"COM-003",COUNTIF('18_RISQUES_HYPOTHESES'!$H$5:$H$104,"Critique"),"COM-004",SUM('05_PROJETS_CLIMAT'!$V$5:$V$104),""))</x:f>
      </x:c>
      <x:c r="G35" s="18"/>
      <x:c r="H35" s="18"/>
      <x:c r="I35" s="18"/>
      <x:c r="J35" s="18" t="str">
        <x:f>IF(A35="","",IF(H35&lt;&gt;"Pret","A finaliser","OK"))</x:f>
      </x:c>
    </x:row>
    <x:row r="36">
      <x:c r="A36" s="18"/>
      <x:c r="B36" s="18"/>
      <x:c r="C36" s="18"/>
      <x:c r="D36" s="18"/>
      <x:c r="E36" s="18"/>
      <x:c r="F36" s="24" t="str">
        <x:f>IF(A36="","",SWITCH(A36,"COM-001",SUM('08_INVENTAIRE_GES'!$H$5:$H$104),"COM-002",AVERAGE('13_ENERGIE'!$L$5:$L$104),"COM-003",COUNTIF('18_RISQUES_HYPOTHESES'!$H$5:$H$104,"Critique"),"COM-004",SUM('05_PROJETS_CLIMAT'!$V$5:$V$104),""))</x:f>
      </x:c>
      <x:c r="G36" s="18"/>
      <x:c r="H36" s="18"/>
      <x:c r="I36" s="18"/>
      <x:c r="J36" s="18" t="str">
        <x:f>IF(A36="","",IF(H36&lt;&gt;"Pret","A finaliser","OK"))</x:f>
      </x:c>
    </x:row>
    <x:row r="37">
      <x:c r="A37" s="18"/>
      <x:c r="B37" s="18"/>
      <x:c r="C37" s="18"/>
      <x:c r="D37" s="18"/>
      <x:c r="E37" s="18"/>
      <x:c r="F37" s="24" t="str">
        <x:f>IF(A37="","",SWITCH(A37,"COM-001",SUM('08_INVENTAIRE_GES'!$H$5:$H$104),"COM-002",AVERAGE('13_ENERGIE'!$L$5:$L$104),"COM-003",COUNTIF('18_RISQUES_HYPOTHESES'!$H$5:$H$104,"Critique"),"COM-004",SUM('05_PROJETS_CLIMAT'!$V$5:$V$104),""))</x:f>
      </x:c>
      <x:c r="G37" s="18"/>
      <x:c r="H37" s="18"/>
      <x:c r="I37" s="18"/>
      <x:c r="J37" s="18" t="str">
        <x:f>IF(A37="","",IF(H37&lt;&gt;"Pret","A finaliser","OK"))</x:f>
      </x:c>
    </x:row>
    <x:row r="38">
      <x:c r="A38" s="18"/>
      <x:c r="B38" s="18"/>
      <x:c r="C38" s="18"/>
      <x:c r="D38" s="18"/>
      <x:c r="E38" s="18"/>
      <x:c r="F38" s="24" t="str">
        <x:f>IF(A38="","",SWITCH(A38,"COM-001",SUM('08_INVENTAIRE_GES'!$H$5:$H$104),"COM-002",AVERAGE('13_ENERGIE'!$L$5:$L$104),"COM-003",COUNTIF('18_RISQUES_HYPOTHESES'!$H$5:$H$104,"Critique"),"COM-004",SUM('05_PROJETS_CLIMAT'!$V$5:$V$104),""))</x:f>
      </x:c>
      <x:c r="G38" s="18"/>
      <x:c r="H38" s="18"/>
      <x:c r="I38" s="18"/>
      <x:c r="J38" s="18" t="str">
        <x:f>IF(A38="","",IF(H38&lt;&gt;"Pret","A finaliser","OK"))</x:f>
      </x:c>
    </x:row>
    <x:row r="39">
      <x:c r="A39" s="18"/>
      <x:c r="B39" s="18"/>
      <x:c r="C39" s="18"/>
      <x:c r="D39" s="18"/>
      <x:c r="E39" s="18"/>
      <x:c r="F39" s="24" t="str">
        <x:f>IF(A39="","",SWITCH(A39,"COM-001",SUM('08_INVENTAIRE_GES'!$H$5:$H$104),"COM-002",AVERAGE('13_ENERGIE'!$L$5:$L$104),"COM-003",COUNTIF('18_RISQUES_HYPOTHESES'!$H$5:$H$104,"Critique"),"COM-004",SUM('05_PROJETS_CLIMAT'!$V$5:$V$104),""))</x:f>
      </x:c>
      <x:c r="G39" s="18"/>
      <x:c r="H39" s="18"/>
      <x:c r="I39" s="18"/>
      <x:c r="J39" s="18" t="str">
        <x:f>IF(A39="","",IF(H39&lt;&gt;"Pret","A finaliser","OK"))</x:f>
      </x:c>
    </x:row>
    <x:row r="40">
      <x:c r="A40" s="18"/>
      <x:c r="B40" s="18"/>
      <x:c r="C40" s="18"/>
      <x:c r="D40" s="18"/>
      <x:c r="E40" s="18"/>
      <x:c r="F40" s="24" t="str">
        <x:f>IF(A40="","",SWITCH(A40,"COM-001",SUM('08_INVENTAIRE_GES'!$H$5:$H$104),"COM-002",AVERAGE('13_ENERGIE'!$L$5:$L$104),"COM-003",COUNTIF('18_RISQUES_HYPOTHESES'!$H$5:$H$104,"Critique"),"COM-004",SUM('05_PROJETS_CLIMAT'!$V$5:$V$104),""))</x:f>
      </x:c>
      <x:c r="G40" s="18"/>
      <x:c r="H40" s="18"/>
      <x:c r="I40" s="18"/>
      <x:c r="J40" s="18" t="str">
        <x:f>IF(A40="","",IF(H40&lt;&gt;"Pret","A finaliser","OK"))</x:f>
      </x:c>
    </x:row>
    <x:row r="41">
      <x:c r="A41" s="18"/>
      <x:c r="B41" s="18"/>
      <x:c r="C41" s="18"/>
      <x:c r="D41" s="18"/>
      <x:c r="E41" s="18"/>
      <x:c r="F41" s="24" t="str">
        <x:f>IF(A41="","",SWITCH(A41,"COM-001",SUM('08_INVENTAIRE_GES'!$H$5:$H$104),"COM-002",AVERAGE('13_ENERGIE'!$L$5:$L$104),"COM-003",COUNTIF('18_RISQUES_HYPOTHESES'!$H$5:$H$104,"Critique"),"COM-004",SUM('05_PROJETS_CLIMAT'!$V$5:$V$104),""))</x:f>
      </x:c>
      <x:c r="G41" s="18"/>
      <x:c r="H41" s="18"/>
      <x:c r="I41" s="18"/>
      <x:c r="J41" s="18" t="str">
        <x:f>IF(A41="","",IF(H41&lt;&gt;"Pret","A finaliser","OK"))</x:f>
      </x:c>
    </x:row>
    <x:row r="42">
      <x:c r="A42" s="18"/>
      <x:c r="B42" s="18"/>
      <x:c r="C42" s="18"/>
      <x:c r="D42" s="18"/>
      <x:c r="E42" s="18"/>
      <x:c r="F42" s="24" t="str">
        <x:f>IF(A42="","",SWITCH(A42,"COM-001",SUM('08_INVENTAIRE_GES'!$H$5:$H$104),"COM-002",AVERAGE('13_ENERGIE'!$L$5:$L$104),"COM-003",COUNTIF('18_RISQUES_HYPOTHESES'!$H$5:$H$104,"Critique"),"COM-004",SUM('05_PROJETS_CLIMAT'!$V$5:$V$104),""))</x:f>
      </x:c>
      <x:c r="G42" s="18"/>
      <x:c r="H42" s="18"/>
      <x:c r="I42" s="18"/>
      <x:c r="J42" s="18" t="str">
        <x:f>IF(A42="","",IF(H42&lt;&gt;"Pret","A finaliser","OK"))</x:f>
      </x:c>
    </x:row>
    <x:row r="43">
      <x:c r="A43" s="18"/>
      <x:c r="B43" s="18"/>
      <x:c r="C43" s="18"/>
      <x:c r="D43" s="18"/>
      <x:c r="E43" s="18"/>
      <x:c r="F43" s="24" t="str">
        <x:f>IF(A43="","",SWITCH(A43,"COM-001",SUM('08_INVENTAIRE_GES'!$H$5:$H$104),"COM-002",AVERAGE('13_ENERGIE'!$L$5:$L$104),"COM-003",COUNTIF('18_RISQUES_HYPOTHESES'!$H$5:$H$104,"Critique"),"COM-004",SUM('05_PROJETS_CLIMAT'!$V$5:$V$104),""))</x:f>
      </x:c>
      <x:c r="G43" s="18"/>
      <x:c r="H43" s="18"/>
      <x:c r="I43" s="18"/>
      <x:c r="J43" s="18" t="str">
        <x:f>IF(A43="","",IF(H43&lt;&gt;"Pret","A finaliser","OK"))</x:f>
      </x:c>
    </x:row>
    <x:row r="44">
      <x:c r="A44" s="18"/>
      <x:c r="B44" s="18"/>
      <x:c r="C44" s="18"/>
      <x:c r="D44" s="18"/>
      <x:c r="E44" s="18"/>
      <x:c r="F44" s="24" t="str">
        <x:f>IF(A44="","",SWITCH(A44,"COM-001",SUM('08_INVENTAIRE_GES'!$H$5:$H$104),"COM-002",AVERAGE('13_ENERGIE'!$L$5:$L$104),"COM-003",COUNTIF('18_RISQUES_HYPOTHESES'!$H$5:$H$104,"Critique"),"COM-004",SUM('05_PROJETS_CLIMAT'!$V$5:$V$104),""))</x:f>
      </x:c>
      <x:c r="G44" s="18"/>
      <x:c r="H44" s="18"/>
      <x:c r="I44" s="18"/>
      <x:c r="J44" s="18" t="str">
        <x:f>IF(A44="","",IF(H44&lt;&gt;"Pret","A finaliser","OK"))</x:f>
      </x:c>
    </x:row>
  </x:sheetData>
  <x:mergeCells>
    <x:mergeCell ref="A1:J1"/>
    <x:mergeCell ref="A2:J2"/>
  </x:mergeCells>
  <x:conditionalFormatting sqref="J5:J44">
    <x:cfRule type="containsText" dxfId="84" priority="1" operator="containsText" text="Retard"/>
    <x:cfRule type="containsText" dxfId="85" priority="2" operator="containsText" text="critique"/>
    <x:cfRule type="containsText" dxfId="86" priority="3" operator="containsText" text="manquant"/>
    <x:cfRule type="containsText" dxfId="87" priority="4" operator="containsText" text="OK"/>
  </x:conditionalFormatting>
  <x:dataValidations count="1">
    <x:dataValidation type="list" errorStyle="warning" showInputMessage="1" showErrorMessage="1" errorTitle="Valeur inattendue" error="Cette colonne utilise une liste controlee." promptTitle="Liste controlee" prompt="Choisir une valeur dans la liste." sqref="H5:H44">
      <x:formula1>"Pret,A completer,A verifier,Non disponible,Soumis"</x:formula1>
    </x:dataValidation>
  </x:dataValidations>
  <x:pageMargins left="0.7" right="0.7" top="0.75" bottom="0.75" header="0.3" footer="0.3"/>
  <x:tableParts count="1">
    <x:tablePart xmlns:r="http://schemas.openxmlformats.org/officeDocument/2006/relationships" r:id="Rdc5dd11db5c4418d"/>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6.25" hidden="0" customWidth="1"/>
    <x:col min="3" max="3" width="33.75" hidden="0" customWidth="1"/>
    <x:col min="4" max="4" width="32.5" hidden="0" customWidth="1"/>
    <x:col min="5" max="5" width="13.130000114440918" hidden="0" customWidth="1"/>
    <x:col min="6" max="6" width="31.25" hidden="0" customWidth="1"/>
    <x:col min="7" max="7" width="18.1299991607666" hidden="0" customWidth="1"/>
    <x:col min="8" max="8" width="18.1299991607666" hidden="0" customWidth="1"/>
    <x:col min="9" max="9" width="19.3799991607666" hidden="0" customWidth="1"/>
    <x:col min="10" max="10" width="18.75" hidden="0" customWidth="1"/>
    <x:col min="11" max="11" width="16.25" hidden="0" customWidth="1"/>
    <x:col min="12" max="12" width="18.1299991607666" hidden="0" customWidth="1"/>
  </x:cols>
  <x:sheetData>
    <x:row r="1" ht="25.5" customHeight="1">
      <x:c r="A1" s="2" t="str">
        <x:v>Alignement CDN Senegal</x:v>
      </x:c>
      <x:c r="B1" s="2"/>
      <x:c r="C1" s="2"/>
      <x:c r="D1" s="2"/>
      <x:c r="E1" s="2"/>
      <x:c r="F1" s="2"/>
      <x:c r="G1" s="2"/>
      <x:c r="H1" s="2"/>
      <x:c r="I1" s="2"/>
      <x:c r="J1" s="2"/>
    </x:row>
    <x:row r="2" ht="31.5" customHeight="1">
      <x:c r="A2" s="5" t="str">
        <x:v>Contribution territoriale de Dakar aux axes de la CDN du Senegal, avec suivi des projets, emissions evitees et financements.</x:v>
      </x:c>
      <x:c r="B2" s="5"/>
      <x:c r="C2" s="5"/>
      <x:c r="D2" s="5"/>
      <x:c r="E2" s="5"/>
      <x:c r="F2" s="5"/>
      <x:c r="G2" s="5"/>
      <x:c r="H2" s="5"/>
      <x:c r="I2" s="5"/>
      <x:c r="J2" s="5"/>
    </x:row>
    <x:row r="4" ht="28.5" customHeight="1">
      <x:c r="A4" s="16" t="str">
        <x:v>CDN_ID</x:v>
      </x:c>
      <x:c r="B4" s="16" t="str">
        <x:v>Secteur_CDN</x:v>
      </x:c>
      <x:c r="C4" s="16" t="str">
        <x:v>Action_CDN_indicative</x:v>
      </x:c>
      <x:c r="D4" s="16" t="str">
        <x:v>Projet_Dakar</x:v>
      </x:c>
      <x:c r="E4" s="16" t="str">
        <x:v>Project_ID</x:v>
      </x:c>
      <x:c r="F4" s="16" t="str">
        <x:v>Contribution</x:v>
      </x:c>
      <x:c r="G4" s="16" t="str">
        <x:v>Emissions_evitees_tCO2e_an</x:v>
      </x:c>
      <x:c r="H4" s="16" t="str">
        <x:v>Budget_total_XOF</x:v>
      </x:c>
      <x:c r="I4" s="16" t="str">
        <x:v>Financement_securise_XOF</x:v>
      </x:c>
      <x:c r="J4" s="16" t="str">
        <x:v>Besoin_financement_XOF</x:v>
      </x:c>
      <x:c r="K4" s="16" t="str">
        <x:v>Statut</x:v>
      </x:c>
      <x:c r="L4" s="16" t="str">
        <x:v>Alerte</x:v>
      </x:c>
    </x:row>
    <x:row r="5">
      <x:c r="A5" s="18" t="str">
        <x:v>CDN-001</x:v>
      </x:c>
      <x:c r="B5" s="18" t="str">
        <x:v>Energie</x:v>
      </x:c>
      <x:c r="C5" s="18" t="str">
        <x:v>Energies renouvelables et efficacite energetique</x:v>
      </x:c>
      <x:c r="D5" s="18" t="str">
        <x:v>Programme solaire sur batiments municipaux</x:v>
      </x:c>
      <x:c r="E5" s="18" t="str">
        <x:v>PRJ-001</x:v>
      </x:c>
      <x:c r="F5" s="18" t="str">
        <x:v>Production solaire municipale</x:v>
      </x:c>
      <x:c r="G5" s="22" t="n">
        <x:f>IF(E5="","",IFERROR(XLOOKUP(E5,'05_PROJETS_CLIMAT'!$A$5:$A$104,'05_PROJETS_CLIMAT'!$U$5:$U$104),""))</x:f>
        <x:v>6200</x:v>
      </x:c>
      <x:c r="H5" s="21" t="n">
        <x:f>IF(E5="","",IFERROR(XLOOKUP(E5,'05_PROJETS_CLIMAT'!$A$5:$A$104,'05_PROJETS_CLIMAT'!$P$5:$P$104),""))</x:f>
        <x:v>2500000000</x:v>
      </x:c>
      <x:c r="I5" s="21" t="n">
        <x:f>IF(E5="","",IFERROR(XLOOKUP(E5,'05_PROJETS_CLIMAT'!$A$5:$A$104,'05_PROJETS_CLIMAT'!$S$5:$S$104),""))</x:f>
        <x:v>1500000000</x:v>
      </x:c>
      <x:c r="J5" s="21" t="n">
        <x:f>IF(E5="","",IFERROR(XLOOKUP(E5,'05_PROJETS_CLIMAT'!$A$5:$A$104,'05_PROJETS_CLIMAT'!$T$5:$T$104),""))</x:f>
        <x:v>1000000000</x:v>
      </x:c>
      <x:c r="K5" s="18" t="str">
        <x:v>A verifier</x:v>
      </x:c>
      <x:c r="L5" s="18" t="str">
        <x:f>IF(A5="","",IF(K5&lt;&gt;"Pret","A finaliser","OK"))</x:f>
        <x:v>A finaliser</x:v>
      </x:c>
    </x:row>
    <x:row r="6">
      <x:c r="A6" s="18" t="str">
        <x:v>CDN-002</x:v>
      </x:c>
      <x:c r="B6" s="18" t="str">
        <x:v>Dechets</x:v>
      </x:c>
      <x:c r="C6" s="18" t="str">
        <x:v>Amelioration de la gestion des dechets</x:v>
      </x:c>
      <x:c r="D6" s="18" t="str">
        <x:v>Modernisation collecte et valorisation des dechets</x:v>
      </x:c>
      <x:c r="E6" s="18" t="str">
        <x:v>PRJ-002</x:v>
      </x:c>
      <x:c r="F6" s="18" t="str">
        <x:v>Valorisation et reduction methane</x:v>
      </x:c>
      <x:c r="G6" s="22" t="n">
        <x:f>IF(E6="","",IFERROR(XLOOKUP(E6,'05_PROJETS_CLIMAT'!$A$5:$A$104,'05_PROJETS_CLIMAT'!$U$5:$U$104),""))</x:f>
        <x:v>9400</x:v>
      </x:c>
      <x:c r="H6" s="21" t="n">
        <x:f>IF(E6="","",IFERROR(XLOOKUP(E6,'05_PROJETS_CLIMAT'!$A$5:$A$104,'05_PROJETS_CLIMAT'!$P$5:$P$104),""))</x:f>
        <x:v>1800000000</x:v>
      </x:c>
      <x:c r="I6" s="21" t="n">
        <x:f>IF(E6="","",IFERROR(XLOOKUP(E6,'05_PROJETS_CLIMAT'!$A$5:$A$104,'05_PROJETS_CLIMAT'!$S$5:$S$104),""))</x:f>
        <x:v>700000000</x:v>
      </x:c>
      <x:c r="J6" s="21" t="n">
        <x:f>IF(E6="","",IFERROR(XLOOKUP(E6,'05_PROJETS_CLIMAT'!$A$5:$A$104,'05_PROJETS_CLIMAT'!$T$5:$T$104),""))</x:f>
        <x:v>1100000000</x:v>
      </x:c>
      <x:c r="K6" s="18" t="str">
        <x:v>A verifier</x:v>
      </x:c>
      <x:c r="L6" s="18" t="str">
        <x:f>IF(A6="","",IF(K6&lt;&gt;"Pret","A finaliser","OK"))</x:f>
        <x:v>A finaliser</x:v>
      </x:c>
    </x:row>
    <x:row r="7">
      <x:c r="A7" s="18" t="str">
        <x:v>CDN-003</x:v>
      </x:c>
      <x:c r="B7" s="18" t="str">
        <x:v>Transport</x:v>
      </x:c>
      <x:c r="C7" s="18" t="str">
        <x:v>Mobilite sobre et transports propres</x:v>
      </x:c>
      <x:c r="D7" s="18" t="str">
        <x:v>Couloirs de mobilite active</x:v>
      </x:c>
      <x:c r="E7" s="18" t="str">
        <x:v>PRJ-003</x:v>
      </x:c>
      <x:c r="F7" s="18" t="str">
        <x:v>Report modal marche/velo</x:v>
      </x:c>
      <x:c r="G7" s="22" t="n">
        <x:f>IF(E7="","",IFERROR(XLOOKUP(E7,'05_PROJETS_CLIMAT'!$A$5:$A$104,'05_PROJETS_CLIMAT'!$U$5:$U$104),""))</x:f>
        <x:v>3100</x:v>
      </x:c>
      <x:c r="H7" s="21" t="n">
        <x:f>IF(E7="","",IFERROR(XLOOKUP(E7,'05_PROJETS_CLIMAT'!$A$5:$A$104,'05_PROJETS_CLIMAT'!$P$5:$P$104),""))</x:f>
        <x:v>950000000</x:v>
      </x:c>
      <x:c r="I7" s="21" t="n">
        <x:f>IF(E7="","",IFERROR(XLOOKUP(E7,'05_PROJETS_CLIMAT'!$A$5:$A$104,'05_PROJETS_CLIMAT'!$S$5:$S$104),""))</x:f>
        <x:v>180000000</x:v>
      </x:c>
      <x:c r="J7" s="21" t="n">
        <x:f>IF(E7="","",IFERROR(XLOOKUP(E7,'05_PROJETS_CLIMAT'!$A$5:$A$104,'05_PROJETS_CLIMAT'!$T$5:$T$104),""))</x:f>
        <x:v>770000000</x:v>
      </x:c>
      <x:c r="K7" s="18" t="str">
        <x:v>A completer</x:v>
      </x:c>
      <x:c r="L7" s="18" t="str">
        <x:f>IF(A7="","",IF(K7&lt;&gt;"Pret","A finaliser","OK"))</x:f>
        <x:v>A finaliser</x:v>
      </x:c>
    </x:row>
    <x:row r="8">
      <x:c r="A8" s="18" t="str">
        <x:v>CDN-004</x:v>
      </x:c>
      <x:c r="B8" s="18" t="str">
        <x:v>Adaptation</x:v>
      </x:c>
      <x:c r="C8" s="18" t="str">
        <x:v>Resilience urbaine et gestion des risques</x:v>
      </x:c>
      <x:c r="D8" s="18" t="str">
        <x:v>Resilience littorale et drainage urbain</x:v>
      </x:c>
      <x:c r="E8" s="18" t="str">
        <x:v>PRJ-004</x:v>
      </x:c>
      <x:c r="F8" s="18" t="str">
        <x:v>Protection contre inondations</x:v>
      </x:c>
      <x:c r="G8" s="22" t="n">
        <x:f>IF(E8="","",IFERROR(XLOOKUP(E8,'05_PROJETS_CLIMAT'!$A$5:$A$104,'05_PROJETS_CLIMAT'!$U$5:$U$104),""))</x:f>
        <x:v>0</x:v>
      </x:c>
      <x:c r="H8" s="21" t="n">
        <x:f>IF(E8="","",IFERROR(XLOOKUP(E8,'05_PROJETS_CLIMAT'!$A$5:$A$104,'05_PROJETS_CLIMAT'!$P$5:$P$104),""))</x:f>
        <x:v>4200000000</x:v>
      </x:c>
      <x:c r="I8" s="21" t="n">
        <x:f>IF(E8="","",IFERROR(XLOOKUP(E8,'05_PROJETS_CLIMAT'!$A$5:$A$104,'05_PROJETS_CLIMAT'!$S$5:$S$104),""))</x:f>
        <x:v>1000000000</x:v>
      </x:c>
      <x:c r="J8" s="21" t="n">
        <x:f>IF(E8="","",IFERROR(XLOOKUP(E8,'05_PROJETS_CLIMAT'!$A$5:$A$104,'05_PROJETS_CLIMAT'!$T$5:$T$104),""))</x:f>
        <x:v>3200000000</x:v>
      </x:c>
      <x:c r="K8" s="18" t="str">
        <x:v>A completer</x:v>
      </x:c>
      <x:c r="L8" s="18" t="str">
        <x:f>IF(A8="","",IF(K8&lt;&gt;"Pret","A finaliser","OK"))</x:f>
        <x:v>A finaliser</x:v>
      </x:c>
    </x:row>
    <x:row r="9">
      <x:c r="A9" s="18"/>
      <x:c r="B9" s="18"/>
      <x:c r="C9" s="18"/>
      <x:c r="D9" s="18"/>
      <x:c r="E9" s="18"/>
      <x:c r="F9" s="18"/>
      <x:c r="G9" s="22" t="str">
        <x:f>IF(E9="","",IFERROR(XLOOKUP(E9,'05_PROJETS_CLIMAT'!$A$5:$A$104,'05_PROJETS_CLIMAT'!$U$5:$U$104),""))</x:f>
      </x:c>
      <x:c r="H9" s="21" t="str">
        <x:f>IF(E9="","",IFERROR(XLOOKUP(E9,'05_PROJETS_CLIMAT'!$A$5:$A$104,'05_PROJETS_CLIMAT'!$P$5:$P$104),""))</x:f>
      </x:c>
      <x:c r="I9" s="21" t="str">
        <x:f>IF(E9="","",IFERROR(XLOOKUP(E9,'05_PROJETS_CLIMAT'!$A$5:$A$104,'05_PROJETS_CLIMAT'!$S$5:$S$104),""))</x:f>
      </x:c>
      <x:c r="J9" s="21" t="str">
        <x:f>IF(E9="","",IFERROR(XLOOKUP(E9,'05_PROJETS_CLIMAT'!$A$5:$A$104,'05_PROJETS_CLIMAT'!$T$5:$T$104),""))</x:f>
      </x:c>
      <x:c r="K9" s="18"/>
      <x:c r="L9" s="18" t="str">
        <x:f>IF(A9="","",IF(K9&lt;&gt;"Pret","A finaliser","OK"))</x:f>
      </x:c>
    </x:row>
    <x:row r="10">
      <x:c r="A10" s="18"/>
      <x:c r="B10" s="18"/>
      <x:c r="C10" s="18"/>
      <x:c r="D10" s="18"/>
      <x:c r="E10" s="18"/>
      <x:c r="F10" s="18"/>
      <x:c r="G10" s="22" t="str">
        <x:f>IF(E10="","",IFERROR(XLOOKUP(E10,'05_PROJETS_CLIMAT'!$A$5:$A$104,'05_PROJETS_CLIMAT'!$U$5:$U$104),""))</x:f>
      </x:c>
      <x:c r="H10" s="21" t="str">
        <x:f>IF(E10="","",IFERROR(XLOOKUP(E10,'05_PROJETS_CLIMAT'!$A$5:$A$104,'05_PROJETS_CLIMAT'!$P$5:$P$104),""))</x:f>
      </x:c>
      <x:c r="I10" s="21" t="str">
        <x:f>IF(E10="","",IFERROR(XLOOKUP(E10,'05_PROJETS_CLIMAT'!$A$5:$A$104,'05_PROJETS_CLIMAT'!$S$5:$S$104),""))</x:f>
      </x:c>
      <x:c r="J10" s="21" t="str">
        <x:f>IF(E10="","",IFERROR(XLOOKUP(E10,'05_PROJETS_CLIMAT'!$A$5:$A$104,'05_PROJETS_CLIMAT'!$T$5:$T$104),""))</x:f>
      </x:c>
      <x:c r="K10" s="18"/>
      <x:c r="L10" s="18" t="str">
        <x:f>IF(A10="","",IF(K10&lt;&gt;"Pret","A finaliser","OK"))</x:f>
      </x:c>
    </x:row>
    <x:row r="11">
      <x:c r="A11" s="18"/>
      <x:c r="B11" s="18"/>
      <x:c r="C11" s="18"/>
      <x:c r="D11" s="18"/>
      <x:c r="E11" s="18"/>
      <x:c r="F11" s="18"/>
      <x:c r="G11" s="22" t="str">
        <x:f>IF(E11="","",IFERROR(XLOOKUP(E11,'05_PROJETS_CLIMAT'!$A$5:$A$104,'05_PROJETS_CLIMAT'!$U$5:$U$104),""))</x:f>
      </x:c>
      <x:c r="H11" s="21" t="str">
        <x:f>IF(E11="","",IFERROR(XLOOKUP(E11,'05_PROJETS_CLIMAT'!$A$5:$A$104,'05_PROJETS_CLIMAT'!$P$5:$P$104),""))</x:f>
      </x:c>
      <x:c r="I11" s="21" t="str">
        <x:f>IF(E11="","",IFERROR(XLOOKUP(E11,'05_PROJETS_CLIMAT'!$A$5:$A$104,'05_PROJETS_CLIMAT'!$S$5:$S$104),""))</x:f>
      </x:c>
      <x:c r="J11" s="21" t="str">
        <x:f>IF(E11="","",IFERROR(XLOOKUP(E11,'05_PROJETS_CLIMAT'!$A$5:$A$104,'05_PROJETS_CLIMAT'!$T$5:$T$104),""))</x:f>
      </x:c>
      <x:c r="K11" s="18"/>
      <x:c r="L11" s="18" t="str">
        <x:f>IF(A11="","",IF(K11&lt;&gt;"Pret","A finaliser","OK"))</x:f>
      </x:c>
    </x:row>
    <x:row r="12">
      <x:c r="A12" s="18"/>
      <x:c r="B12" s="18"/>
      <x:c r="C12" s="18"/>
      <x:c r="D12" s="18"/>
      <x:c r="E12" s="18"/>
      <x:c r="F12" s="18"/>
      <x:c r="G12" s="22" t="str">
        <x:f>IF(E12="","",IFERROR(XLOOKUP(E12,'05_PROJETS_CLIMAT'!$A$5:$A$104,'05_PROJETS_CLIMAT'!$U$5:$U$104),""))</x:f>
      </x:c>
      <x:c r="H12" s="21" t="str">
        <x:f>IF(E12="","",IFERROR(XLOOKUP(E12,'05_PROJETS_CLIMAT'!$A$5:$A$104,'05_PROJETS_CLIMAT'!$P$5:$P$104),""))</x:f>
      </x:c>
      <x:c r="I12" s="21" t="str">
        <x:f>IF(E12="","",IFERROR(XLOOKUP(E12,'05_PROJETS_CLIMAT'!$A$5:$A$104,'05_PROJETS_CLIMAT'!$S$5:$S$104),""))</x:f>
      </x:c>
      <x:c r="J12" s="21" t="str">
        <x:f>IF(E12="","",IFERROR(XLOOKUP(E12,'05_PROJETS_CLIMAT'!$A$5:$A$104,'05_PROJETS_CLIMAT'!$T$5:$T$104),""))</x:f>
      </x:c>
      <x:c r="K12" s="18"/>
      <x:c r="L12" s="18" t="str">
        <x:f>IF(A12="","",IF(K12&lt;&gt;"Pret","A finaliser","OK"))</x:f>
      </x:c>
    </x:row>
    <x:row r="13">
      <x:c r="A13" s="18"/>
      <x:c r="B13" s="18"/>
      <x:c r="C13" s="18"/>
      <x:c r="D13" s="18"/>
      <x:c r="E13" s="18"/>
      <x:c r="F13" s="18"/>
      <x:c r="G13" s="22" t="str">
        <x:f>IF(E13="","",IFERROR(XLOOKUP(E13,'05_PROJETS_CLIMAT'!$A$5:$A$104,'05_PROJETS_CLIMAT'!$U$5:$U$104),""))</x:f>
      </x:c>
      <x:c r="H13" s="21" t="str">
        <x:f>IF(E13="","",IFERROR(XLOOKUP(E13,'05_PROJETS_CLIMAT'!$A$5:$A$104,'05_PROJETS_CLIMAT'!$P$5:$P$104),""))</x:f>
      </x:c>
      <x:c r="I13" s="21" t="str">
        <x:f>IF(E13="","",IFERROR(XLOOKUP(E13,'05_PROJETS_CLIMAT'!$A$5:$A$104,'05_PROJETS_CLIMAT'!$S$5:$S$104),""))</x:f>
      </x:c>
      <x:c r="J13" s="21" t="str">
        <x:f>IF(E13="","",IFERROR(XLOOKUP(E13,'05_PROJETS_CLIMAT'!$A$5:$A$104,'05_PROJETS_CLIMAT'!$T$5:$T$104),""))</x:f>
      </x:c>
      <x:c r="K13" s="18"/>
      <x:c r="L13" s="18" t="str">
        <x:f>IF(A13="","",IF(K13&lt;&gt;"Pret","A finaliser","OK"))</x:f>
      </x:c>
    </x:row>
    <x:row r="14">
      <x:c r="A14" s="18"/>
      <x:c r="B14" s="18"/>
      <x:c r="C14" s="18"/>
      <x:c r="D14" s="18"/>
      <x:c r="E14" s="18"/>
      <x:c r="F14" s="18"/>
      <x:c r="G14" s="22" t="str">
        <x:f>IF(E14="","",IFERROR(XLOOKUP(E14,'05_PROJETS_CLIMAT'!$A$5:$A$104,'05_PROJETS_CLIMAT'!$U$5:$U$104),""))</x:f>
      </x:c>
      <x:c r="H14" s="21" t="str">
        <x:f>IF(E14="","",IFERROR(XLOOKUP(E14,'05_PROJETS_CLIMAT'!$A$5:$A$104,'05_PROJETS_CLIMAT'!$P$5:$P$104),""))</x:f>
      </x:c>
      <x:c r="I14" s="21" t="str">
        <x:f>IF(E14="","",IFERROR(XLOOKUP(E14,'05_PROJETS_CLIMAT'!$A$5:$A$104,'05_PROJETS_CLIMAT'!$S$5:$S$104),""))</x:f>
      </x:c>
      <x:c r="J14" s="21" t="str">
        <x:f>IF(E14="","",IFERROR(XLOOKUP(E14,'05_PROJETS_CLIMAT'!$A$5:$A$104,'05_PROJETS_CLIMAT'!$T$5:$T$104),""))</x:f>
      </x:c>
      <x:c r="K14" s="18"/>
      <x:c r="L14" s="18" t="str">
        <x:f>IF(A14="","",IF(K14&lt;&gt;"Pret","A finaliser","OK"))</x:f>
      </x:c>
    </x:row>
    <x:row r="15">
      <x:c r="A15" s="18"/>
      <x:c r="B15" s="18"/>
      <x:c r="C15" s="18"/>
      <x:c r="D15" s="18"/>
      <x:c r="E15" s="18"/>
      <x:c r="F15" s="18"/>
      <x:c r="G15" s="22" t="str">
        <x:f>IF(E15="","",IFERROR(XLOOKUP(E15,'05_PROJETS_CLIMAT'!$A$5:$A$104,'05_PROJETS_CLIMAT'!$U$5:$U$104),""))</x:f>
      </x:c>
      <x:c r="H15" s="21" t="str">
        <x:f>IF(E15="","",IFERROR(XLOOKUP(E15,'05_PROJETS_CLIMAT'!$A$5:$A$104,'05_PROJETS_CLIMAT'!$P$5:$P$104),""))</x:f>
      </x:c>
      <x:c r="I15" s="21" t="str">
        <x:f>IF(E15="","",IFERROR(XLOOKUP(E15,'05_PROJETS_CLIMAT'!$A$5:$A$104,'05_PROJETS_CLIMAT'!$S$5:$S$104),""))</x:f>
      </x:c>
      <x:c r="J15" s="21" t="str">
        <x:f>IF(E15="","",IFERROR(XLOOKUP(E15,'05_PROJETS_CLIMAT'!$A$5:$A$104,'05_PROJETS_CLIMAT'!$T$5:$T$104),""))</x:f>
      </x:c>
      <x:c r="K15" s="18"/>
      <x:c r="L15" s="18" t="str">
        <x:f>IF(A15="","",IF(K15&lt;&gt;"Pret","A finaliser","OK"))</x:f>
      </x:c>
    </x:row>
    <x:row r="16">
      <x:c r="A16" s="18"/>
      <x:c r="B16" s="18"/>
      <x:c r="C16" s="18"/>
      <x:c r="D16" s="18"/>
      <x:c r="E16" s="18"/>
      <x:c r="F16" s="18"/>
      <x:c r="G16" s="22" t="str">
        <x:f>IF(E16="","",IFERROR(XLOOKUP(E16,'05_PROJETS_CLIMAT'!$A$5:$A$104,'05_PROJETS_CLIMAT'!$U$5:$U$104),""))</x:f>
      </x:c>
      <x:c r="H16" s="21" t="str">
        <x:f>IF(E16="","",IFERROR(XLOOKUP(E16,'05_PROJETS_CLIMAT'!$A$5:$A$104,'05_PROJETS_CLIMAT'!$P$5:$P$104),""))</x:f>
      </x:c>
      <x:c r="I16" s="21" t="str">
        <x:f>IF(E16="","",IFERROR(XLOOKUP(E16,'05_PROJETS_CLIMAT'!$A$5:$A$104,'05_PROJETS_CLIMAT'!$S$5:$S$104),""))</x:f>
      </x:c>
      <x:c r="J16" s="21" t="str">
        <x:f>IF(E16="","",IFERROR(XLOOKUP(E16,'05_PROJETS_CLIMAT'!$A$5:$A$104,'05_PROJETS_CLIMAT'!$T$5:$T$104),""))</x:f>
      </x:c>
      <x:c r="K16" s="18"/>
      <x:c r="L16" s="18" t="str">
        <x:f>IF(A16="","",IF(K16&lt;&gt;"Pret","A finaliser","OK"))</x:f>
      </x:c>
    </x:row>
    <x:row r="17">
      <x:c r="A17" s="18"/>
      <x:c r="B17" s="18"/>
      <x:c r="C17" s="18"/>
      <x:c r="D17" s="18"/>
      <x:c r="E17" s="18"/>
      <x:c r="F17" s="18"/>
      <x:c r="G17" s="22" t="str">
        <x:f>IF(E17="","",IFERROR(XLOOKUP(E17,'05_PROJETS_CLIMAT'!$A$5:$A$104,'05_PROJETS_CLIMAT'!$U$5:$U$104),""))</x:f>
      </x:c>
      <x:c r="H17" s="21" t="str">
        <x:f>IF(E17="","",IFERROR(XLOOKUP(E17,'05_PROJETS_CLIMAT'!$A$5:$A$104,'05_PROJETS_CLIMAT'!$P$5:$P$104),""))</x:f>
      </x:c>
      <x:c r="I17" s="21" t="str">
        <x:f>IF(E17="","",IFERROR(XLOOKUP(E17,'05_PROJETS_CLIMAT'!$A$5:$A$104,'05_PROJETS_CLIMAT'!$S$5:$S$104),""))</x:f>
      </x:c>
      <x:c r="J17" s="21" t="str">
        <x:f>IF(E17="","",IFERROR(XLOOKUP(E17,'05_PROJETS_CLIMAT'!$A$5:$A$104,'05_PROJETS_CLIMAT'!$T$5:$T$104),""))</x:f>
      </x:c>
      <x:c r="K17" s="18"/>
      <x:c r="L17" s="18" t="str">
        <x:f>IF(A17="","",IF(K17&lt;&gt;"Pret","A finaliser","OK"))</x:f>
      </x:c>
    </x:row>
    <x:row r="18">
      <x:c r="A18" s="18"/>
      <x:c r="B18" s="18"/>
      <x:c r="C18" s="18"/>
      <x:c r="D18" s="18"/>
      <x:c r="E18" s="18"/>
      <x:c r="F18" s="18"/>
      <x:c r="G18" s="22" t="str">
        <x:f>IF(E18="","",IFERROR(XLOOKUP(E18,'05_PROJETS_CLIMAT'!$A$5:$A$104,'05_PROJETS_CLIMAT'!$U$5:$U$104),""))</x:f>
      </x:c>
      <x:c r="H18" s="21" t="str">
        <x:f>IF(E18="","",IFERROR(XLOOKUP(E18,'05_PROJETS_CLIMAT'!$A$5:$A$104,'05_PROJETS_CLIMAT'!$P$5:$P$104),""))</x:f>
      </x:c>
      <x:c r="I18" s="21" t="str">
        <x:f>IF(E18="","",IFERROR(XLOOKUP(E18,'05_PROJETS_CLIMAT'!$A$5:$A$104,'05_PROJETS_CLIMAT'!$S$5:$S$104),""))</x:f>
      </x:c>
      <x:c r="J18" s="21" t="str">
        <x:f>IF(E18="","",IFERROR(XLOOKUP(E18,'05_PROJETS_CLIMAT'!$A$5:$A$104,'05_PROJETS_CLIMAT'!$T$5:$T$104),""))</x:f>
      </x:c>
      <x:c r="K18" s="18"/>
      <x:c r="L18" s="18" t="str">
        <x:f>IF(A18="","",IF(K18&lt;&gt;"Pret","A finaliser","OK"))</x:f>
      </x:c>
    </x:row>
    <x:row r="19">
      <x:c r="A19" s="18"/>
      <x:c r="B19" s="18"/>
      <x:c r="C19" s="18"/>
      <x:c r="D19" s="18"/>
      <x:c r="E19" s="18"/>
      <x:c r="F19" s="18"/>
      <x:c r="G19" s="22" t="str">
        <x:f>IF(E19="","",IFERROR(XLOOKUP(E19,'05_PROJETS_CLIMAT'!$A$5:$A$104,'05_PROJETS_CLIMAT'!$U$5:$U$104),""))</x:f>
      </x:c>
      <x:c r="H19" s="21" t="str">
        <x:f>IF(E19="","",IFERROR(XLOOKUP(E19,'05_PROJETS_CLIMAT'!$A$5:$A$104,'05_PROJETS_CLIMAT'!$P$5:$P$104),""))</x:f>
      </x:c>
      <x:c r="I19" s="21" t="str">
        <x:f>IF(E19="","",IFERROR(XLOOKUP(E19,'05_PROJETS_CLIMAT'!$A$5:$A$104,'05_PROJETS_CLIMAT'!$S$5:$S$104),""))</x:f>
      </x:c>
      <x:c r="J19" s="21" t="str">
        <x:f>IF(E19="","",IFERROR(XLOOKUP(E19,'05_PROJETS_CLIMAT'!$A$5:$A$104,'05_PROJETS_CLIMAT'!$T$5:$T$104),""))</x:f>
      </x:c>
      <x:c r="K19" s="18"/>
      <x:c r="L19" s="18" t="str">
        <x:f>IF(A19="","",IF(K19&lt;&gt;"Pret","A finaliser","OK"))</x:f>
      </x:c>
    </x:row>
    <x:row r="20">
      <x:c r="A20" s="18"/>
      <x:c r="B20" s="18"/>
      <x:c r="C20" s="18"/>
      <x:c r="D20" s="18"/>
      <x:c r="E20" s="18"/>
      <x:c r="F20" s="18"/>
      <x:c r="G20" s="22" t="str">
        <x:f>IF(E20="","",IFERROR(XLOOKUP(E20,'05_PROJETS_CLIMAT'!$A$5:$A$104,'05_PROJETS_CLIMAT'!$U$5:$U$104),""))</x:f>
      </x:c>
      <x:c r="H20" s="21" t="str">
        <x:f>IF(E20="","",IFERROR(XLOOKUP(E20,'05_PROJETS_CLIMAT'!$A$5:$A$104,'05_PROJETS_CLIMAT'!$P$5:$P$104),""))</x:f>
      </x:c>
      <x:c r="I20" s="21" t="str">
        <x:f>IF(E20="","",IFERROR(XLOOKUP(E20,'05_PROJETS_CLIMAT'!$A$5:$A$104,'05_PROJETS_CLIMAT'!$S$5:$S$104),""))</x:f>
      </x:c>
      <x:c r="J20" s="21" t="str">
        <x:f>IF(E20="","",IFERROR(XLOOKUP(E20,'05_PROJETS_CLIMAT'!$A$5:$A$104,'05_PROJETS_CLIMAT'!$T$5:$T$104),""))</x:f>
      </x:c>
      <x:c r="K20" s="18"/>
      <x:c r="L20" s="18" t="str">
        <x:f>IF(A20="","",IF(K20&lt;&gt;"Pret","A finaliser","OK"))</x:f>
      </x:c>
    </x:row>
    <x:row r="21">
      <x:c r="A21" s="18"/>
      <x:c r="B21" s="18"/>
      <x:c r="C21" s="18"/>
      <x:c r="D21" s="18"/>
      <x:c r="E21" s="18"/>
      <x:c r="F21" s="18"/>
      <x:c r="G21" s="22" t="str">
        <x:f>IF(E21="","",IFERROR(XLOOKUP(E21,'05_PROJETS_CLIMAT'!$A$5:$A$104,'05_PROJETS_CLIMAT'!$U$5:$U$104),""))</x:f>
      </x:c>
      <x:c r="H21" s="21" t="str">
        <x:f>IF(E21="","",IFERROR(XLOOKUP(E21,'05_PROJETS_CLIMAT'!$A$5:$A$104,'05_PROJETS_CLIMAT'!$P$5:$P$104),""))</x:f>
      </x:c>
      <x:c r="I21" s="21" t="str">
        <x:f>IF(E21="","",IFERROR(XLOOKUP(E21,'05_PROJETS_CLIMAT'!$A$5:$A$104,'05_PROJETS_CLIMAT'!$S$5:$S$104),""))</x:f>
      </x:c>
      <x:c r="J21" s="21" t="str">
        <x:f>IF(E21="","",IFERROR(XLOOKUP(E21,'05_PROJETS_CLIMAT'!$A$5:$A$104,'05_PROJETS_CLIMAT'!$T$5:$T$104),""))</x:f>
      </x:c>
      <x:c r="K21" s="18"/>
      <x:c r="L21" s="18" t="str">
        <x:f>IF(A21="","",IF(K21&lt;&gt;"Pret","A finaliser","OK"))</x:f>
      </x:c>
    </x:row>
    <x:row r="22">
      <x:c r="A22" s="18"/>
      <x:c r="B22" s="18"/>
      <x:c r="C22" s="18"/>
      <x:c r="D22" s="18"/>
      <x:c r="E22" s="18"/>
      <x:c r="F22" s="18"/>
      <x:c r="G22" s="22" t="str">
        <x:f>IF(E22="","",IFERROR(XLOOKUP(E22,'05_PROJETS_CLIMAT'!$A$5:$A$104,'05_PROJETS_CLIMAT'!$U$5:$U$104),""))</x:f>
      </x:c>
      <x:c r="H22" s="21" t="str">
        <x:f>IF(E22="","",IFERROR(XLOOKUP(E22,'05_PROJETS_CLIMAT'!$A$5:$A$104,'05_PROJETS_CLIMAT'!$P$5:$P$104),""))</x:f>
      </x:c>
      <x:c r="I22" s="21" t="str">
        <x:f>IF(E22="","",IFERROR(XLOOKUP(E22,'05_PROJETS_CLIMAT'!$A$5:$A$104,'05_PROJETS_CLIMAT'!$S$5:$S$104),""))</x:f>
      </x:c>
      <x:c r="J22" s="21" t="str">
        <x:f>IF(E22="","",IFERROR(XLOOKUP(E22,'05_PROJETS_CLIMAT'!$A$5:$A$104,'05_PROJETS_CLIMAT'!$T$5:$T$104),""))</x:f>
      </x:c>
      <x:c r="K22" s="18"/>
      <x:c r="L22" s="18" t="str">
        <x:f>IF(A22="","",IF(K22&lt;&gt;"Pret","A finaliser","OK"))</x:f>
      </x:c>
    </x:row>
    <x:row r="23">
      <x:c r="A23" s="18"/>
      <x:c r="B23" s="18"/>
      <x:c r="C23" s="18"/>
      <x:c r="D23" s="18"/>
      <x:c r="E23" s="18"/>
      <x:c r="F23" s="18"/>
      <x:c r="G23" s="22" t="str">
        <x:f>IF(E23="","",IFERROR(XLOOKUP(E23,'05_PROJETS_CLIMAT'!$A$5:$A$104,'05_PROJETS_CLIMAT'!$U$5:$U$104),""))</x:f>
      </x:c>
      <x:c r="H23" s="21" t="str">
        <x:f>IF(E23="","",IFERROR(XLOOKUP(E23,'05_PROJETS_CLIMAT'!$A$5:$A$104,'05_PROJETS_CLIMAT'!$P$5:$P$104),""))</x:f>
      </x:c>
      <x:c r="I23" s="21" t="str">
        <x:f>IF(E23="","",IFERROR(XLOOKUP(E23,'05_PROJETS_CLIMAT'!$A$5:$A$104,'05_PROJETS_CLIMAT'!$S$5:$S$104),""))</x:f>
      </x:c>
      <x:c r="J23" s="21" t="str">
        <x:f>IF(E23="","",IFERROR(XLOOKUP(E23,'05_PROJETS_CLIMAT'!$A$5:$A$104,'05_PROJETS_CLIMAT'!$T$5:$T$104),""))</x:f>
      </x:c>
      <x:c r="K23" s="18"/>
      <x:c r="L23" s="18" t="str">
        <x:f>IF(A23="","",IF(K23&lt;&gt;"Pret","A finaliser","OK"))</x:f>
      </x:c>
    </x:row>
    <x:row r="24">
      <x:c r="A24" s="18"/>
      <x:c r="B24" s="18"/>
      <x:c r="C24" s="18"/>
      <x:c r="D24" s="18"/>
      <x:c r="E24" s="18"/>
      <x:c r="F24" s="18"/>
      <x:c r="G24" s="22" t="str">
        <x:f>IF(E24="","",IFERROR(XLOOKUP(E24,'05_PROJETS_CLIMAT'!$A$5:$A$104,'05_PROJETS_CLIMAT'!$U$5:$U$104),""))</x:f>
      </x:c>
      <x:c r="H24" s="21" t="str">
        <x:f>IF(E24="","",IFERROR(XLOOKUP(E24,'05_PROJETS_CLIMAT'!$A$5:$A$104,'05_PROJETS_CLIMAT'!$P$5:$P$104),""))</x:f>
      </x:c>
      <x:c r="I24" s="21" t="str">
        <x:f>IF(E24="","",IFERROR(XLOOKUP(E24,'05_PROJETS_CLIMAT'!$A$5:$A$104,'05_PROJETS_CLIMAT'!$S$5:$S$104),""))</x:f>
      </x:c>
      <x:c r="J24" s="21" t="str">
        <x:f>IF(E24="","",IFERROR(XLOOKUP(E24,'05_PROJETS_CLIMAT'!$A$5:$A$104,'05_PROJETS_CLIMAT'!$T$5:$T$104),""))</x:f>
      </x:c>
      <x:c r="K24" s="18"/>
      <x:c r="L24" s="18" t="str">
        <x:f>IF(A24="","",IF(K24&lt;&gt;"Pret","A finaliser","OK"))</x:f>
      </x:c>
    </x:row>
    <x:row r="25">
      <x:c r="A25" s="18"/>
      <x:c r="B25" s="18"/>
      <x:c r="C25" s="18"/>
      <x:c r="D25" s="18"/>
      <x:c r="E25" s="18"/>
      <x:c r="F25" s="18"/>
      <x:c r="G25" s="22" t="str">
        <x:f>IF(E25="","",IFERROR(XLOOKUP(E25,'05_PROJETS_CLIMAT'!$A$5:$A$104,'05_PROJETS_CLIMAT'!$U$5:$U$104),""))</x:f>
      </x:c>
      <x:c r="H25" s="21" t="str">
        <x:f>IF(E25="","",IFERROR(XLOOKUP(E25,'05_PROJETS_CLIMAT'!$A$5:$A$104,'05_PROJETS_CLIMAT'!$P$5:$P$104),""))</x:f>
      </x:c>
      <x:c r="I25" s="21" t="str">
        <x:f>IF(E25="","",IFERROR(XLOOKUP(E25,'05_PROJETS_CLIMAT'!$A$5:$A$104,'05_PROJETS_CLIMAT'!$S$5:$S$104),""))</x:f>
      </x:c>
      <x:c r="J25" s="21" t="str">
        <x:f>IF(E25="","",IFERROR(XLOOKUP(E25,'05_PROJETS_CLIMAT'!$A$5:$A$104,'05_PROJETS_CLIMAT'!$T$5:$T$104),""))</x:f>
      </x:c>
      <x:c r="K25" s="18"/>
      <x:c r="L25" s="18" t="str">
        <x:f>IF(A25="","",IF(K25&lt;&gt;"Pret","A finaliser","OK"))</x:f>
      </x:c>
    </x:row>
    <x:row r="26">
      <x:c r="A26" s="18"/>
      <x:c r="B26" s="18"/>
      <x:c r="C26" s="18"/>
      <x:c r="D26" s="18"/>
      <x:c r="E26" s="18"/>
      <x:c r="F26" s="18"/>
      <x:c r="G26" s="22" t="str">
        <x:f>IF(E26="","",IFERROR(XLOOKUP(E26,'05_PROJETS_CLIMAT'!$A$5:$A$104,'05_PROJETS_CLIMAT'!$U$5:$U$104),""))</x:f>
      </x:c>
      <x:c r="H26" s="21" t="str">
        <x:f>IF(E26="","",IFERROR(XLOOKUP(E26,'05_PROJETS_CLIMAT'!$A$5:$A$104,'05_PROJETS_CLIMAT'!$P$5:$P$104),""))</x:f>
      </x:c>
      <x:c r="I26" s="21" t="str">
        <x:f>IF(E26="","",IFERROR(XLOOKUP(E26,'05_PROJETS_CLIMAT'!$A$5:$A$104,'05_PROJETS_CLIMAT'!$S$5:$S$104),""))</x:f>
      </x:c>
      <x:c r="J26" s="21" t="str">
        <x:f>IF(E26="","",IFERROR(XLOOKUP(E26,'05_PROJETS_CLIMAT'!$A$5:$A$104,'05_PROJETS_CLIMAT'!$T$5:$T$104),""))</x:f>
      </x:c>
      <x:c r="K26" s="18"/>
      <x:c r="L26" s="18" t="str">
        <x:f>IF(A26="","",IF(K26&lt;&gt;"Pret","A finaliser","OK"))</x:f>
      </x:c>
    </x:row>
    <x:row r="27">
      <x:c r="A27" s="18"/>
      <x:c r="B27" s="18"/>
      <x:c r="C27" s="18"/>
      <x:c r="D27" s="18"/>
      <x:c r="E27" s="18"/>
      <x:c r="F27" s="18"/>
      <x:c r="G27" s="22" t="str">
        <x:f>IF(E27="","",IFERROR(XLOOKUP(E27,'05_PROJETS_CLIMAT'!$A$5:$A$104,'05_PROJETS_CLIMAT'!$U$5:$U$104),""))</x:f>
      </x:c>
      <x:c r="H27" s="21" t="str">
        <x:f>IF(E27="","",IFERROR(XLOOKUP(E27,'05_PROJETS_CLIMAT'!$A$5:$A$104,'05_PROJETS_CLIMAT'!$P$5:$P$104),""))</x:f>
      </x:c>
      <x:c r="I27" s="21" t="str">
        <x:f>IF(E27="","",IFERROR(XLOOKUP(E27,'05_PROJETS_CLIMAT'!$A$5:$A$104,'05_PROJETS_CLIMAT'!$S$5:$S$104),""))</x:f>
      </x:c>
      <x:c r="J27" s="21" t="str">
        <x:f>IF(E27="","",IFERROR(XLOOKUP(E27,'05_PROJETS_CLIMAT'!$A$5:$A$104,'05_PROJETS_CLIMAT'!$T$5:$T$104),""))</x:f>
      </x:c>
      <x:c r="K27" s="18"/>
      <x:c r="L27" s="18" t="str">
        <x:f>IF(A27="","",IF(K27&lt;&gt;"Pret","A finaliser","OK"))</x:f>
      </x:c>
    </x:row>
    <x:row r="28">
      <x:c r="A28" s="18"/>
      <x:c r="B28" s="18"/>
      <x:c r="C28" s="18"/>
      <x:c r="D28" s="18"/>
      <x:c r="E28" s="18"/>
      <x:c r="F28" s="18"/>
      <x:c r="G28" s="22" t="str">
        <x:f>IF(E28="","",IFERROR(XLOOKUP(E28,'05_PROJETS_CLIMAT'!$A$5:$A$104,'05_PROJETS_CLIMAT'!$U$5:$U$104),""))</x:f>
      </x:c>
      <x:c r="H28" s="21" t="str">
        <x:f>IF(E28="","",IFERROR(XLOOKUP(E28,'05_PROJETS_CLIMAT'!$A$5:$A$104,'05_PROJETS_CLIMAT'!$P$5:$P$104),""))</x:f>
      </x:c>
      <x:c r="I28" s="21" t="str">
        <x:f>IF(E28="","",IFERROR(XLOOKUP(E28,'05_PROJETS_CLIMAT'!$A$5:$A$104,'05_PROJETS_CLIMAT'!$S$5:$S$104),""))</x:f>
      </x:c>
      <x:c r="J28" s="21" t="str">
        <x:f>IF(E28="","",IFERROR(XLOOKUP(E28,'05_PROJETS_CLIMAT'!$A$5:$A$104,'05_PROJETS_CLIMAT'!$T$5:$T$104),""))</x:f>
      </x:c>
      <x:c r="K28" s="18"/>
      <x:c r="L28" s="18" t="str">
        <x:f>IF(A28="","",IF(K28&lt;&gt;"Pret","A finaliser","OK"))</x:f>
      </x:c>
    </x:row>
    <x:row r="29">
      <x:c r="A29" s="18"/>
      <x:c r="B29" s="18"/>
      <x:c r="C29" s="18"/>
      <x:c r="D29" s="18"/>
      <x:c r="E29" s="18"/>
      <x:c r="F29" s="18"/>
      <x:c r="G29" s="22" t="str">
        <x:f>IF(E29="","",IFERROR(XLOOKUP(E29,'05_PROJETS_CLIMAT'!$A$5:$A$104,'05_PROJETS_CLIMAT'!$U$5:$U$104),""))</x:f>
      </x:c>
      <x:c r="H29" s="21" t="str">
        <x:f>IF(E29="","",IFERROR(XLOOKUP(E29,'05_PROJETS_CLIMAT'!$A$5:$A$104,'05_PROJETS_CLIMAT'!$P$5:$P$104),""))</x:f>
      </x:c>
      <x:c r="I29" s="21" t="str">
        <x:f>IF(E29="","",IFERROR(XLOOKUP(E29,'05_PROJETS_CLIMAT'!$A$5:$A$104,'05_PROJETS_CLIMAT'!$S$5:$S$104),""))</x:f>
      </x:c>
      <x:c r="J29" s="21" t="str">
        <x:f>IF(E29="","",IFERROR(XLOOKUP(E29,'05_PROJETS_CLIMAT'!$A$5:$A$104,'05_PROJETS_CLIMAT'!$T$5:$T$104),""))</x:f>
      </x:c>
      <x:c r="K29" s="18"/>
      <x:c r="L29" s="18" t="str">
        <x:f>IF(A29="","",IF(K29&lt;&gt;"Pret","A finaliser","OK"))</x:f>
      </x:c>
    </x:row>
    <x:row r="30">
      <x:c r="A30" s="18"/>
      <x:c r="B30" s="18"/>
      <x:c r="C30" s="18"/>
      <x:c r="D30" s="18"/>
      <x:c r="E30" s="18"/>
      <x:c r="F30" s="18"/>
      <x:c r="G30" s="22" t="str">
        <x:f>IF(E30="","",IFERROR(XLOOKUP(E30,'05_PROJETS_CLIMAT'!$A$5:$A$104,'05_PROJETS_CLIMAT'!$U$5:$U$104),""))</x:f>
      </x:c>
      <x:c r="H30" s="21" t="str">
        <x:f>IF(E30="","",IFERROR(XLOOKUP(E30,'05_PROJETS_CLIMAT'!$A$5:$A$104,'05_PROJETS_CLIMAT'!$P$5:$P$104),""))</x:f>
      </x:c>
      <x:c r="I30" s="21" t="str">
        <x:f>IF(E30="","",IFERROR(XLOOKUP(E30,'05_PROJETS_CLIMAT'!$A$5:$A$104,'05_PROJETS_CLIMAT'!$S$5:$S$104),""))</x:f>
      </x:c>
      <x:c r="J30" s="21" t="str">
        <x:f>IF(E30="","",IFERROR(XLOOKUP(E30,'05_PROJETS_CLIMAT'!$A$5:$A$104,'05_PROJETS_CLIMAT'!$T$5:$T$104),""))</x:f>
      </x:c>
      <x:c r="K30" s="18"/>
      <x:c r="L30" s="18" t="str">
        <x:f>IF(A30="","",IF(K30&lt;&gt;"Pret","A finaliser","OK"))</x:f>
      </x:c>
    </x:row>
    <x:row r="31">
      <x:c r="A31" s="18"/>
      <x:c r="B31" s="18"/>
      <x:c r="C31" s="18"/>
      <x:c r="D31" s="18"/>
      <x:c r="E31" s="18"/>
      <x:c r="F31" s="18"/>
      <x:c r="G31" s="22" t="str">
        <x:f>IF(E31="","",IFERROR(XLOOKUP(E31,'05_PROJETS_CLIMAT'!$A$5:$A$104,'05_PROJETS_CLIMAT'!$U$5:$U$104),""))</x:f>
      </x:c>
      <x:c r="H31" s="21" t="str">
        <x:f>IF(E31="","",IFERROR(XLOOKUP(E31,'05_PROJETS_CLIMAT'!$A$5:$A$104,'05_PROJETS_CLIMAT'!$P$5:$P$104),""))</x:f>
      </x:c>
      <x:c r="I31" s="21" t="str">
        <x:f>IF(E31="","",IFERROR(XLOOKUP(E31,'05_PROJETS_CLIMAT'!$A$5:$A$104,'05_PROJETS_CLIMAT'!$S$5:$S$104),""))</x:f>
      </x:c>
      <x:c r="J31" s="21" t="str">
        <x:f>IF(E31="","",IFERROR(XLOOKUP(E31,'05_PROJETS_CLIMAT'!$A$5:$A$104,'05_PROJETS_CLIMAT'!$T$5:$T$104),""))</x:f>
      </x:c>
      <x:c r="K31" s="18"/>
      <x:c r="L31" s="18" t="str">
        <x:f>IF(A31="","",IF(K31&lt;&gt;"Pret","A finaliser","OK"))</x:f>
      </x:c>
    </x:row>
    <x:row r="32">
      <x:c r="A32" s="18"/>
      <x:c r="B32" s="18"/>
      <x:c r="C32" s="18"/>
      <x:c r="D32" s="18"/>
      <x:c r="E32" s="18"/>
      <x:c r="F32" s="18"/>
      <x:c r="G32" s="22" t="str">
        <x:f>IF(E32="","",IFERROR(XLOOKUP(E32,'05_PROJETS_CLIMAT'!$A$5:$A$104,'05_PROJETS_CLIMAT'!$U$5:$U$104),""))</x:f>
      </x:c>
      <x:c r="H32" s="21" t="str">
        <x:f>IF(E32="","",IFERROR(XLOOKUP(E32,'05_PROJETS_CLIMAT'!$A$5:$A$104,'05_PROJETS_CLIMAT'!$P$5:$P$104),""))</x:f>
      </x:c>
      <x:c r="I32" s="21" t="str">
        <x:f>IF(E32="","",IFERROR(XLOOKUP(E32,'05_PROJETS_CLIMAT'!$A$5:$A$104,'05_PROJETS_CLIMAT'!$S$5:$S$104),""))</x:f>
      </x:c>
      <x:c r="J32" s="21" t="str">
        <x:f>IF(E32="","",IFERROR(XLOOKUP(E32,'05_PROJETS_CLIMAT'!$A$5:$A$104,'05_PROJETS_CLIMAT'!$T$5:$T$104),""))</x:f>
      </x:c>
      <x:c r="K32" s="18"/>
      <x:c r="L32" s="18" t="str">
        <x:f>IF(A32="","",IF(K32&lt;&gt;"Pret","A finaliser","OK"))</x:f>
      </x:c>
    </x:row>
    <x:row r="33">
      <x:c r="A33" s="18"/>
      <x:c r="B33" s="18"/>
      <x:c r="C33" s="18"/>
      <x:c r="D33" s="18"/>
      <x:c r="E33" s="18"/>
      <x:c r="F33" s="18"/>
      <x:c r="G33" s="22" t="str">
        <x:f>IF(E33="","",IFERROR(XLOOKUP(E33,'05_PROJETS_CLIMAT'!$A$5:$A$104,'05_PROJETS_CLIMAT'!$U$5:$U$104),""))</x:f>
      </x:c>
      <x:c r="H33" s="21" t="str">
        <x:f>IF(E33="","",IFERROR(XLOOKUP(E33,'05_PROJETS_CLIMAT'!$A$5:$A$104,'05_PROJETS_CLIMAT'!$P$5:$P$104),""))</x:f>
      </x:c>
      <x:c r="I33" s="21" t="str">
        <x:f>IF(E33="","",IFERROR(XLOOKUP(E33,'05_PROJETS_CLIMAT'!$A$5:$A$104,'05_PROJETS_CLIMAT'!$S$5:$S$104),""))</x:f>
      </x:c>
      <x:c r="J33" s="21" t="str">
        <x:f>IF(E33="","",IFERROR(XLOOKUP(E33,'05_PROJETS_CLIMAT'!$A$5:$A$104,'05_PROJETS_CLIMAT'!$T$5:$T$104),""))</x:f>
      </x:c>
      <x:c r="K33" s="18"/>
      <x:c r="L33" s="18" t="str">
        <x:f>IF(A33="","",IF(K33&lt;&gt;"Pret","A finaliser","OK"))</x:f>
      </x:c>
    </x:row>
    <x:row r="34">
      <x:c r="A34" s="18"/>
      <x:c r="B34" s="18"/>
      <x:c r="C34" s="18"/>
      <x:c r="D34" s="18"/>
      <x:c r="E34" s="18"/>
      <x:c r="F34" s="18"/>
      <x:c r="G34" s="22" t="str">
        <x:f>IF(E34="","",IFERROR(XLOOKUP(E34,'05_PROJETS_CLIMAT'!$A$5:$A$104,'05_PROJETS_CLIMAT'!$U$5:$U$104),""))</x:f>
      </x:c>
      <x:c r="H34" s="21" t="str">
        <x:f>IF(E34="","",IFERROR(XLOOKUP(E34,'05_PROJETS_CLIMAT'!$A$5:$A$104,'05_PROJETS_CLIMAT'!$P$5:$P$104),""))</x:f>
      </x:c>
      <x:c r="I34" s="21" t="str">
        <x:f>IF(E34="","",IFERROR(XLOOKUP(E34,'05_PROJETS_CLIMAT'!$A$5:$A$104,'05_PROJETS_CLIMAT'!$S$5:$S$104),""))</x:f>
      </x:c>
      <x:c r="J34" s="21" t="str">
        <x:f>IF(E34="","",IFERROR(XLOOKUP(E34,'05_PROJETS_CLIMAT'!$A$5:$A$104,'05_PROJETS_CLIMAT'!$T$5:$T$104),""))</x:f>
      </x:c>
      <x:c r="K34" s="18"/>
      <x:c r="L34" s="18" t="str">
        <x:f>IF(A34="","",IF(K34&lt;&gt;"Pret","A finaliser","OK"))</x:f>
      </x:c>
    </x:row>
    <x:row r="35">
      <x:c r="A35" s="18"/>
      <x:c r="B35" s="18"/>
      <x:c r="C35" s="18"/>
      <x:c r="D35" s="18"/>
      <x:c r="E35" s="18"/>
      <x:c r="F35" s="18"/>
      <x:c r="G35" s="22" t="str">
        <x:f>IF(E35="","",IFERROR(XLOOKUP(E35,'05_PROJETS_CLIMAT'!$A$5:$A$104,'05_PROJETS_CLIMAT'!$U$5:$U$104),""))</x:f>
      </x:c>
      <x:c r="H35" s="21" t="str">
        <x:f>IF(E35="","",IFERROR(XLOOKUP(E35,'05_PROJETS_CLIMAT'!$A$5:$A$104,'05_PROJETS_CLIMAT'!$P$5:$P$104),""))</x:f>
      </x:c>
      <x:c r="I35" s="21" t="str">
        <x:f>IF(E35="","",IFERROR(XLOOKUP(E35,'05_PROJETS_CLIMAT'!$A$5:$A$104,'05_PROJETS_CLIMAT'!$S$5:$S$104),""))</x:f>
      </x:c>
      <x:c r="J35" s="21" t="str">
        <x:f>IF(E35="","",IFERROR(XLOOKUP(E35,'05_PROJETS_CLIMAT'!$A$5:$A$104,'05_PROJETS_CLIMAT'!$T$5:$T$104),""))</x:f>
      </x:c>
      <x:c r="K35" s="18"/>
      <x:c r="L35" s="18" t="str">
        <x:f>IF(A35="","",IF(K35&lt;&gt;"Pret","A finaliser","OK"))</x:f>
      </x:c>
    </x:row>
    <x:row r="36">
      <x:c r="A36" s="18"/>
      <x:c r="B36" s="18"/>
      <x:c r="C36" s="18"/>
      <x:c r="D36" s="18"/>
      <x:c r="E36" s="18"/>
      <x:c r="F36" s="18"/>
      <x:c r="G36" s="22" t="str">
        <x:f>IF(E36="","",IFERROR(XLOOKUP(E36,'05_PROJETS_CLIMAT'!$A$5:$A$104,'05_PROJETS_CLIMAT'!$U$5:$U$104),""))</x:f>
      </x:c>
      <x:c r="H36" s="21" t="str">
        <x:f>IF(E36="","",IFERROR(XLOOKUP(E36,'05_PROJETS_CLIMAT'!$A$5:$A$104,'05_PROJETS_CLIMAT'!$P$5:$P$104),""))</x:f>
      </x:c>
      <x:c r="I36" s="21" t="str">
        <x:f>IF(E36="","",IFERROR(XLOOKUP(E36,'05_PROJETS_CLIMAT'!$A$5:$A$104,'05_PROJETS_CLIMAT'!$S$5:$S$104),""))</x:f>
      </x:c>
      <x:c r="J36" s="21" t="str">
        <x:f>IF(E36="","",IFERROR(XLOOKUP(E36,'05_PROJETS_CLIMAT'!$A$5:$A$104,'05_PROJETS_CLIMAT'!$T$5:$T$104),""))</x:f>
      </x:c>
      <x:c r="K36" s="18"/>
      <x:c r="L36" s="18" t="str">
        <x:f>IF(A36="","",IF(K36&lt;&gt;"Pret","A finaliser","OK"))</x:f>
      </x:c>
    </x:row>
    <x:row r="37">
      <x:c r="A37" s="18"/>
      <x:c r="B37" s="18"/>
      <x:c r="C37" s="18"/>
      <x:c r="D37" s="18"/>
      <x:c r="E37" s="18"/>
      <x:c r="F37" s="18"/>
      <x:c r="G37" s="22" t="str">
        <x:f>IF(E37="","",IFERROR(XLOOKUP(E37,'05_PROJETS_CLIMAT'!$A$5:$A$104,'05_PROJETS_CLIMAT'!$U$5:$U$104),""))</x:f>
      </x:c>
      <x:c r="H37" s="21" t="str">
        <x:f>IF(E37="","",IFERROR(XLOOKUP(E37,'05_PROJETS_CLIMAT'!$A$5:$A$104,'05_PROJETS_CLIMAT'!$P$5:$P$104),""))</x:f>
      </x:c>
      <x:c r="I37" s="21" t="str">
        <x:f>IF(E37="","",IFERROR(XLOOKUP(E37,'05_PROJETS_CLIMAT'!$A$5:$A$104,'05_PROJETS_CLIMAT'!$S$5:$S$104),""))</x:f>
      </x:c>
      <x:c r="J37" s="21" t="str">
        <x:f>IF(E37="","",IFERROR(XLOOKUP(E37,'05_PROJETS_CLIMAT'!$A$5:$A$104,'05_PROJETS_CLIMAT'!$T$5:$T$104),""))</x:f>
      </x:c>
      <x:c r="K37" s="18"/>
      <x:c r="L37" s="18" t="str">
        <x:f>IF(A37="","",IF(K37&lt;&gt;"Pret","A finaliser","OK"))</x:f>
      </x:c>
    </x:row>
    <x:row r="38">
      <x:c r="A38" s="18"/>
      <x:c r="B38" s="18"/>
      <x:c r="C38" s="18"/>
      <x:c r="D38" s="18"/>
      <x:c r="E38" s="18"/>
      <x:c r="F38" s="18"/>
      <x:c r="G38" s="22" t="str">
        <x:f>IF(E38="","",IFERROR(XLOOKUP(E38,'05_PROJETS_CLIMAT'!$A$5:$A$104,'05_PROJETS_CLIMAT'!$U$5:$U$104),""))</x:f>
      </x:c>
      <x:c r="H38" s="21" t="str">
        <x:f>IF(E38="","",IFERROR(XLOOKUP(E38,'05_PROJETS_CLIMAT'!$A$5:$A$104,'05_PROJETS_CLIMAT'!$P$5:$P$104),""))</x:f>
      </x:c>
      <x:c r="I38" s="21" t="str">
        <x:f>IF(E38="","",IFERROR(XLOOKUP(E38,'05_PROJETS_CLIMAT'!$A$5:$A$104,'05_PROJETS_CLIMAT'!$S$5:$S$104),""))</x:f>
      </x:c>
      <x:c r="J38" s="21" t="str">
        <x:f>IF(E38="","",IFERROR(XLOOKUP(E38,'05_PROJETS_CLIMAT'!$A$5:$A$104,'05_PROJETS_CLIMAT'!$T$5:$T$104),""))</x:f>
      </x:c>
      <x:c r="K38" s="18"/>
      <x:c r="L38" s="18" t="str">
        <x:f>IF(A38="","",IF(K38&lt;&gt;"Pret","A finaliser","OK"))</x:f>
      </x:c>
    </x:row>
    <x:row r="39">
      <x:c r="A39" s="18"/>
      <x:c r="B39" s="18"/>
      <x:c r="C39" s="18"/>
      <x:c r="D39" s="18"/>
      <x:c r="E39" s="18"/>
      <x:c r="F39" s="18"/>
      <x:c r="G39" s="22" t="str">
        <x:f>IF(E39="","",IFERROR(XLOOKUP(E39,'05_PROJETS_CLIMAT'!$A$5:$A$104,'05_PROJETS_CLIMAT'!$U$5:$U$104),""))</x:f>
      </x:c>
      <x:c r="H39" s="21" t="str">
        <x:f>IF(E39="","",IFERROR(XLOOKUP(E39,'05_PROJETS_CLIMAT'!$A$5:$A$104,'05_PROJETS_CLIMAT'!$P$5:$P$104),""))</x:f>
      </x:c>
      <x:c r="I39" s="21" t="str">
        <x:f>IF(E39="","",IFERROR(XLOOKUP(E39,'05_PROJETS_CLIMAT'!$A$5:$A$104,'05_PROJETS_CLIMAT'!$S$5:$S$104),""))</x:f>
      </x:c>
      <x:c r="J39" s="21" t="str">
        <x:f>IF(E39="","",IFERROR(XLOOKUP(E39,'05_PROJETS_CLIMAT'!$A$5:$A$104,'05_PROJETS_CLIMAT'!$T$5:$T$104),""))</x:f>
      </x:c>
      <x:c r="K39" s="18"/>
      <x:c r="L39" s="18" t="str">
        <x:f>IF(A39="","",IF(K39&lt;&gt;"Pret","A finaliser","OK"))</x:f>
      </x:c>
    </x:row>
    <x:row r="40">
      <x:c r="A40" s="18"/>
      <x:c r="B40" s="18"/>
      <x:c r="C40" s="18"/>
      <x:c r="D40" s="18"/>
      <x:c r="E40" s="18"/>
      <x:c r="F40" s="18"/>
      <x:c r="G40" s="22" t="str">
        <x:f>IF(E40="","",IFERROR(XLOOKUP(E40,'05_PROJETS_CLIMAT'!$A$5:$A$104,'05_PROJETS_CLIMAT'!$U$5:$U$104),""))</x:f>
      </x:c>
      <x:c r="H40" s="21" t="str">
        <x:f>IF(E40="","",IFERROR(XLOOKUP(E40,'05_PROJETS_CLIMAT'!$A$5:$A$104,'05_PROJETS_CLIMAT'!$P$5:$P$104),""))</x:f>
      </x:c>
      <x:c r="I40" s="21" t="str">
        <x:f>IF(E40="","",IFERROR(XLOOKUP(E40,'05_PROJETS_CLIMAT'!$A$5:$A$104,'05_PROJETS_CLIMAT'!$S$5:$S$104),""))</x:f>
      </x:c>
      <x:c r="J40" s="21" t="str">
        <x:f>IF(E40="","",IFERROR(XLOOKUP(E40,'05_PROJETS_CLIMAT'!$A$5:$A$104,'05_PROJETS_CLIMAT'!$T$5:$T$104),""))</x:f>
      </x:c>
      <x:c r="K40" s="18"/>
      <x:c r="L40" s="18" t="str">
        <x:f>IF(A40="","",IF(K40&lt;&gt;"Pret","A finaliser","OK"))</x:f>
      </x:c>
    </x:row>
    <x:row r="41">
      <x:c r="A41" s="18"/>
      <x:c r="B41" s="18"/>
      <x:c r="C41" s="18"/>
      <x:c r="D41" s="18"/>
      <x:c r="E41" s="18"/>
      <x:c r="F41" s="18"/>
      <x:c r="G41" s="22" t="str">
        <x:f>IF(E41="","",IFERROR(XLOOKUP(E41,'05_PROJETS_CLIMAT'!$A$5:$A$104,'05_PROJETS_CLIMAT'!$U$5:$U$104),""))</x:f>
      </x:c>
      <x:c r="H41" s="21" t="str">
        <x:f>IF(E41="","",IFERROR(XLOOKUP(E41,'05_PROJETS_CLIMAT'!$A$5:$A$104,'05_PROJETS_CLIMAT'!$P$5:$P$104),""))</x:f>
      </x:c>
      <x:c r="I41" s="21" t="str">
        <x:f>IF(E41="","",IFERROR(XLOOKUP(E41,'05_PROJETS_CLIMAT'!$A$5:$A$104,'05_PROJETS_CLIMAT'!$S$5:$S$104),""))</x:f>
      </x:c>
      <x:c r="J41" s="21" t="str">
        <x:f>IF(E41="","",IFERROR(XLOOKUP(E41,'05_PROJETS_CLIMAT'!$A$5:$A$104,'05_PROJETS_CLIMAT'!$T$5:$T$104),""))</x:f>
      </x:c>
      <x:c r="K41" s="18"/>
      <x:c r="L41" s="18" t="str">
        <x:f>IF(A41="","",IF(K41&lt;&gt;"Pret","A finaliser","OK"))</x:f>
      </x:c>
    </x:row>
    <x:row r="42">
      <x:c r="A42" s="18"/>
      <x:c r="B42" s="18"/>
      <x:c r="C42" s="18"/>
      <x:c r="D42" s="18"/>
      <x:c r="E42" s="18"/>
      <x:c r="F42" s="18"/>
      <x:c r="G42" s="22" t="str">
        <x:f>IF(E42="","",IFERROR(XLOOKUP(E42,'05_PROJETS_CLIMAT'!$A$5:$A$104,'05_PROJETS_CLIMAT'!$U$5:$U$104),""))</x:f>
      </x:c>
      <x:c r="H42" s="21" t="str">
        <x:f>IF(E42="","",IFERROR(XLOOKUP(E42,'05_PROJETS_CLIMAT'!$A$5:$A$104,'05_PROJETS_CLIMAT'!$P$5:$P$104),""))</x:f>
      </x:c>
      <x:c r="I42" s="21" t="str">
        <x:f>IF(E42="","",IFERROR(XLOOKUP(E42,'05_PROJETS_CLIMAT'!$A$5:$A$104,'05_PROJETS_CLIMAT'!$S$5:$S$104),""))</x:f>
      </x:c>
      <x:c r="J42" s="21" t="str">
        <x:f>IF(E42="","",IFERROR(XLOOKUP(E42,'05_PROJETS_CLIMAT'!$A$5:$A$104,'05_PROJETS_CLIMAT'!$T$5:$T$104),""))</x:f>
      </x:c>
      <x:c r="K42" s="18"/>
      <x:c r="L42" s="18" t="str">
        <x:f>IF(A42="","",IF(K42&lt;&gt;"Pret","A finaliser","OK"))</x:f>
      </x:c>
    </x:row>
    <x:row r="43">
      <x:c r="A43" s="18"/>
      <x:c r="B43" s="18"/>
      <x:c r="C43" s="18"/>
      <x:c r="D43" s="18"/>
      <x:c r="E43" s="18"/>
      <x:c r="F43" s="18"/>
      <x:c r="G43" s="22" t="str">
        <x:f>IF(E43="","",IFERROR(XLOOKUP(E43,'05_PROJETS_CLIMAT'!$A$5:$A$104,'05_PROJETS_CLIMAT'!$U$5:$U$104),""))</x:f>
      </x:c>
      <x:c r="H43" s="21" t="str">
        <x:f>IF(E43="","",IFERROR(XLOOKUP(E43,'05_PROJETS_CLIMAT'!$A$5:$A$104,'05_PROJETS_CLIMAT'!$P$5:$P$104),""))</x:f>
      </x:c>
      <x:c r="I43" s="21" t="str">
        <x:f>IF(E43="","",IFERROR(XLOOKUP(E43,'05_PROJETS_CLIMAT'!$A$5:$A$104,'05_PROJETS_CLIMAT'!$S$5:$S$104),""))</x:f>
      </x:c>
      <x:c r="J43" s="21" t="str">
        <x:f>IF(E43="","",IFERROR(XLOOKUP(E43,'05_PROJETS_CLIMAT'!$A$5:$A$104,'05_PROJETS_CLIMAT'!$T$5:$T$104),""))</x:f>
      </x:c>
      <x:c r="K43" s="18"/>
      <x:c r="L43" s="18" t="str">
        <x:f>IF(A43="","",IF(K43&lt;&gt;"Pret","A finaliser","OK"))</x:f>
      </x:c>
    </x:row>
    <x:row r="44">
      <x:c r="A44" s="18"/>
      <x:c r="B44" s="18"/>
      <x:c r="C44" s="18"/>
      <x:c r="D44" s="18"/>
      <x:c r="E44" s="18"/>
      <x:c r="F44" s="18"/>
      <x:c r="G44" s="22" t="str">
        <x:f>IF(E44="","",IFERROR(XLOOKUP(E44,'05_PROJETS_CLIMAT'!$A$5:$A$104,'05_PROJETS_CLIMAT'!$U$5:$U$104),""))</x:f>
      </x:c>
      <x:c r="H44" s="21" t="str">
        <x:f>IF(E44="","",IFERROR(XLOOKUP(E44,'05_PROJETS_CLIMAT'!$A$5:$A$104,'05_PROJETS_CLIMAT'!$P$5:$P$104),""))</x:f>
      </x:c>
      <x:c r="I44" s="21" t="str">
        <x:f>IF(E44="","",IFERROR(XLOOKUP(E44,'05_PROJETS_CLIMAT'!$A$5:$A$104,'05_PROJETS_CLIMAT'!$S$5:$S$104),""))</x:f>
      </x:c>
      <x:c r="J44" s="21" t="str">
        <x:f>IF(E44="","",IFERROR(XLOOKUP(E44,'05_PROJETS_CLIMAT'!$A$5:$A$104,'05_PROJETS_CLIMAT'!$T$5:$T$104),""))</x:f>
      </x:c>
      <x:c r="K44" s="18"/>
      <x:c r="L44" s="18" t="str">
        <x:f>IF(A44="","",IF(K44&lt;&gt;"Pret","A finaliser","OK"))</x:f>
      </x:c>
    </x:row>
  </x:sheetData>
  <x:mergeCells>
    <x:mergeCell ref="A1:J1"/>
    <x:mergeCell ref="A2:J2"/>
  </x:mergeCells>
  <x:conditionalFormatting sqref="L5:L44">
    <x:cfRule type="containsText" dxfId="88" priority="1" operator="containsText" text="Retard"/>
    <x:cfRule type="containsText" dxfId="89" priority="2" operator="containsText" text="critique"/>
    <x:cfRule type="containsText" dxfId="90" priority="3" operator="containsText" text="manquant"/>
    <x:cfRule type="containsText" dxfId="91" priority="4" operator="containsText" text="OK"/>
  </x:conditionalFormatting>
  <x:dataValidations count="2">
    <x:dataValidation type="list" errorStyle="warning" showInputMessage="1" showErrorMessage="1" errorTitle="Valeur inattendue" error="Cette colonne utilise une liste controlee." promptTitle="Liste controlee" prompt="Choisir une valeur dans la liste." sqref="B5:B44">
      <x:formula1>"Energie,Transport et mobilite,Dechets,Qualite de l'air,Batiments,Urbanisme et resilience,Eau et assainissement,Nature et littoral,Gouvernance climat,Finance climat"</x:formula1>
    </x:dataValidation>
    <x:dataValidation type="list" errorStyle="warning" showInputMessage="1" showErrorMessage="1" errorTitle="Valeur inattendue" error="Cette colonne utilise une liste controlee." promptTitle="Liste controlee" prompt="Choisir une valeur dans la liste." sqref="K5:K44">
      <x:formula1>"Pret,A completer,A verifier,Non disponible,Soumis"</x:formula1>
    </x:dataValidation>
  </x:dataValidations>
  <x:pageMargins left="0.7" right="0.7" top="0.75" bottom="0.75" header="0.3" footer="0.3"/>
  <x:tableParts count="1">
    <x:tablePart xmlns:r="http://schemas.openxmlformats.org/officeDocument/2006/relationships" r:id="Ra9998a1e162d4b1f"/>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130000114440918" hidden="0" customWidth="1"/>
    <x:col min="2" max="2" width="15.630000114440918" hidden="0" customWidth="1"/>
    <x:col min="3" max="3" width="17.5" hidden="0" customWidth="1"/>
    <x:col min="4" max="4" width="20" hidden="0" customWidth="1"/>
    <x:col min="5" max="5" width="27.5" hidden="0" customWidth="1"/>
    <x:col min="6" max="6" width="17.5" hidden="0" customWidth="1"/>
    <x:col min="7" max="7" width="32.5" hidden="0" customWidth="1"/>
    <x:col min="8" max="8" width="27.5" hidden="0" customWidth="1"/>
    <x:col min="9" max="9" width="16.25" hidden="0" customWidth="1"/>
    <x:col min="10" max="10" width="28.75" hidden="0" customWidth="1"/>
  </x:cols>
  <x:sheetData>
    <x:row r="1" ht="25.5" customHeight="1">
      <x:c r="A1" s="2" t="str">
        <x:v>Journal des modifications</x:v>
      </x:c>
      <x:c r="B1" s="2"/>
      <x:c r="C1" s="2"/>
      <x:c r="D1" s="2"/>
      <x:c r="E1" s="2"/>
      <x:c r="F1" s="2"/>
      <x:c r="G1" s="2"/>
      <x:c r="H1" s="2"/>
      <x:c r="I1" s="2"/>
      <x:c r="J1" s="2"/>
    </x:row>
    <x:row r="2" ht="31.5" customHeight="1">
      <x:c r="A2" s="5" t="str">
        <x:v>Historique des versions et modifications importantes du classeur.</x:v>
      </x:c>
      <x:c r="B2" s="5"/>
      <x:c r="C2" s="5"/>
      <x:c r="D2" s="5"/>
      <x:c r="E2" s="5"/>
      <x:c r="F2" s="5"/>
      <x:c r="G2" s="5"/>
      <x:c r="H2" s="5"/>
      <x:c r="I2" s="5"/>
      <x:c r="J2" s="5"/>
    </x:row>
    <x:row r="4" ht="28.5" customHeight="1">
      <x:c r="A4" s="16" t="str">
        <x:v>Change_ID</x:v>
      </x:c>
      <x:c r="B4" s="16" t="str">
        <x:v>Date_modification</x:v>
      </x:c>
      <x:c r="C4" s="16" t="str">
        <x:v>Auteur</x:v>
      </x:c>
      <x:c r="D4" s="16" t="str">
        <x:v>Onglet</x:v>
      </x:c>
      <x:c r="E4" s="16" t="str">
        <x:v>Element_modifie</x:v>
      </x:c>
      <x:c r="F4" s="16" t="str">
        <x:v>Type_modification</x:v>
      </x:c>
      <x:c r="G4" s="16" t="str">
        <x:v>Raison</x:v>
      </x:c>
      <x:c r="H4" s="16" t="str">
        <x:v>Impact_reporting</x:v>
      </x:c>
      <x:c r="I4" s="16" t="str">
        <x:v>Validation</x:v>
      </x:c>
      <x:c r="J4" s="16" t="str">
        <x:v>Commentaires</x:v>
      </x:c>
    </x:row>
    <x:row r="5">
      <x:c r="A5" s="18" t="str">
        <x:v>CHG-001</x:v>
      </x:c>
      <x:c r="B5" s="19" t="n">
        <x:v>46173</x:v>
      </x:c>
      <x:c r="C5" s="18" t="str">
        <x:v>ChatGPT</x:v>
      </x:c>
      <x:c r="D5" s="18" t="str">
        <x:v>Classeur complet</x:v>
      </x:c>
      <x:c r="E5" s="18" t="str">
        <x:v>Creation initiale</x:v>
      </x:c>
      <x:c r="F5" s="18" t="str">
        <x:v>Creation</x:v>
      </x:c>
      <x:c r="G5" s="18" t="str">
        <x:v>Mise en place du systeme maitre climat Dakar</x:v>
      </x:c>
      <x:c r="H5" s="18" t="str">
        <x:v>Base de reporting creee</x:v>
      </x:c>
      <x:c r="I5" s="18" t="str">
        <x:v>A valider</x:v>
      </x:c>
      <x:c r="J5" s="18" t="str"/>
    </x:row>
    <x:row r="6">
      <x:c r="A6" s="18"/>
      <x:c r="B6" s="19"/>
      <x:c r="C6" s="18"/>
      <x:c r="D6" s="18"/>
      <x:c r="E6" s="18"/>
      <x:c r="F6" s="18"/>
      <x:c r="G6" s="18"/>
      <x:c r="H6" s="18"/>
      <x:c r="I6" s="18"/>
      <x:c r="J6" s="18"/>
    </x:row>
    <x:row r="7">
      <x:c r="A7" s="18"/>
      <x:c r="B7" s="19"/>
      <x:c r="C7" s="18"/>
      <x:c r="D7" s="18"/>
      <x:c r="E7" s="18"/>
      <x:c r="F7" s="18"/>
      <x:c r="G7" s="18"/>
      <x:c r="H7" s="18"/>
      <x:c r="I7" s="18"/>
      <x:c r="J7" s="18"/>
    </x:row>
    <x:row r="8">
      <x:c r="A8" s="18"/>
      <x:c r="B8" s="19"/>
      <x:c r="C8" s="18"/>
      <x:c r="D8" s="18"/>
      <x:c r="E8" s="18"/>
      <x:c r="F8" s="18"/>
      <x:c r="G8" s="18"/>
      <x:c r="H8" s="18"/>
      <x:c r="I8" s="18"/>
      <x:c r="J8" s="18"/>
    </x:row>
    <x:row r="9">
      <x:c r="A9" s="18"/>
      <x:c r="B9" s="19"/>
      <x:c r="C9" s="18"/>
      <x:c r="D9" s="18"/>
      <x:c r="E9" s="18"/>
      <x:c r="F9" s="18"/>
      <x:c r="G9" s="18"/>
      <x:c r="H9" s="18"/>
      <x:c r="I9" s="18"/>
      <x:c r="J9" s="18"/>
    </x:row>
    <x:row r="10">
      <x:c r="A10" s="18"/>
      <x:c r="B10" s="19"/>
      <x:c r="C10" s="18"/>
      <x:c r="D10" s="18"/>
      <x:c r="E10" s="18"/>
      <x:c r="F10" s="18"/>
      <x:c r="G10" s="18"/>
      <x:c r="H10" s="18"/>
      <x:c r="I10" s="18"/>
      <x:c r="J10" s="18"/>
    </x:row>
    <x:row r="11">
      <x:c r="A11" s="18"/>
      <x:c r="B11" s="19"/>
      <x:c r="C11" s="18"/>
      <x:c r="D11" s="18"/>
      <x:c r="E11" s="18"/>
      <x:c r="F11" s="18"/>
      <x:c r="G11" s="18"/>
      <x:c r="H11" s="18"/>
      <x:c r="I11" s="18"/>
      <x:c r="J11" s="18"/>
    </x:row>
    <x:row r="12">
      <x:c r="A12" s="18"/>
      <x:c r="B12" s="19"/>
      <x:c r="C12" s="18"/>
      <x:c r="D12" s="18"/>
      <x:c r="E12" s="18"/>
      <x:c r="F12" s="18"/>
      <x:c r="G12" s="18"/>
      <x:c r="H12" s="18"/>
      <x:c r="I12" s="18"/>
      <x:c r="J12" s="18"/>
    </x:row>
    <x:row r="13">
      <x:c r="A13" s="18"/>
      <x:c r="B13" s="19"/>
      <x:c r="C13" s="18"/>
      <x:c r="D13" s="18"/>
      <x:c r="E13" s="18"/>
      <x:c r="F13" s="18"/>
      <x:c r="G13" s="18"/>
      <x:c r="H13" s="18"/>
      <x:c r="I13" s="18"/>
      <x:c r="J13" s="18"/>
    </x:row>
    <x:row r="14">
      <x:c r="A14" s="18"/>
      <x:c r="B14" s="19"/>
      <x:c r="C14" s="18"/>
      <x:c r="D14" s="18"/>
      <x:c r="E14" s="18"/>
      <x:c r="F14" s="18"/>
      <x:c r="G14" s="18"/>
      <x:c r="H14" s="18"/>
      <x:c r="I14" s="18"/>
      <x:c r="J14" s="18"/>
    </x:row>
    <x:row r="15">
      <x:c r="A15" s="18"/>
      <x:c r="B15" s="19"/>
      <x:c r="C15" s="18"/>
      <x:c r="D15" s="18"/>
      <x:c r="E15" s="18"/>
      <x:c r="F15" s="18"/>
      <x:c r="G15" s="18"/>
      <x:c r="H15" s="18"/>
      <x:c r="I15" s="18"/>
      <x:c r="J15" s="18"/>
    </x:row>
    <x:row r="16">
      <x:c r="A16" s="18"/>
      <x:c r="B16" s="19"/>
      <x:c r="C16" s="18"/>
      <x:c r="D16" s="18"/>
      <x:c r="E16" s="18"/>
      <x:c r="F16" s="18"/>
      <x:c r="G16" s="18"/>
      <x:c r="H16" s="18"/>
      <x:c r="I16" s="18"/>
      <x:c r="J16" s="18"/>
    </x:row>
    <x:row r="17">
      <x:c r="A17" s="18"/>
      <x:c r="B17" s="19"/>
      <x:c r="C17" s="18"/>
      <x:c r="D17" s="18"/>
      <x:c r="E17" s="18"/>
      <x:c r="F17" s="18"/>
      <x:c r="G17" s="18"/>
      <x:c r="H17" s="18"/>
      <x:c r="I17" s="18"/>
      <x:c r="J17" s="18"/>
    </x:row>
    <x:row r="18">
      <x:c r="A18" s="18"/>
      <x:c r="B18" s="19"/>
      <x:c r="C18" s="18"/>
      <x:c r="D18" s="18"/>
      <x:c r="E18" s="18"/>
      <x:c r="F18" s="18"/>
      <x:c r="G18" s="18"/>
      <x:c r="H18" s="18"/>
      <x:c r="I18" s="18"/>
      <x:c r="J18" s="18"/>
    </x:row>
    <x:row r="19">
      <x:c r="A19" s="18"/>
      <x:c r="B19" s="19"/>
      <x:c r="C19" s="18"/>
      <x:c r="D19" s="18"/>
      <x:c r="E19" s="18"/>
      <x:c r="F19" s="18"/>
      <x:c r="G19" s="18"/>
      <x:c r="H19" s="18"/>
      <x:c r="I19" s="18"/>
      <x:c r="J19" s="18"/>
    </x:row>
    <x:row r="20">
      <x:c r="A20" s="18"/>
      <x:c r="B20" s="19"/>
      <x:c r="C20" s="18"/>
      <x:c r="D20" s="18"/>
      <x:c r="E20" s="18"/>
      <x:c r="F20" s="18"/>
      <x:c r="G20" s="18"/>
      <x:c r="H20" s="18"/>
      <x:c r="I20" s="18"/>
      <x:c r="J20" s="18"/>
    </x:row>
    <x:row r="21">
      <x:c r="A21" s="18"/>
      <x:c r="B21" s="19"/>
      <x:c r="C21" s="18"/>
      <x:c r="D21" s="18"/>
      <x:c r="E21" s="18"/>
      <x:c r="F21" s="18"/>
      <x:c r="G21" s="18"/>
      <x:c r="H21" s="18"/>
      <x:c r="I21" s="18"/>
      <x:c r="J21" s="18"/>
    </x:row>
    <x:row r="22">
      <x:c r="A22" s="18"/>
      <x:c r="B22" s="19"/>
      <x:c r="C22" s="18"/>
      <x:c r="D22" s="18"/>
      <x:c r="E22" s="18"/>
      <x:c r="F22" s="18"/>
      <x:c r="G22" s="18"/>
      <x:c r="H22" s="18"/>
      <x:c r="I22" s="18"/>
      <x:c r="J22" s="18"/>
    </x:row>
    <x:row r="23">
      <x:c r="A23" s="18"/>
      <x:c r="B23" s="19"/>
      <x:c r="C23" s="18"/>
      <x:c r="D23" s="18"/>
      <x:c r="E23" s="18"/>
      <x:c r="F23" s="18"/>
      <x:c r="G23" s="18"/>
      <x:c r="H23" s="18"/>
      <x:c r="I23" s="18"/>
      <x:c r="J23" s="18"/>
    </x:row>
    <x:row r="24">
      <x:c r="A24" s="18"/>
      <x:c r="B24" s="19"/>
      <x:c r="C24" s="18"/>
      <x:c r="D24" s="18"/>
      <x:c r="E24" s="18"/>
      <x:c r="F24" s="18"/>
      <x:c r="G24" s="18"/>
      <x:c r="H24" s="18"/>
      <x:c r="I24" s="18"/>
      <x:c r="J24" s="18"/>
    </x:row>
    <x:row r="25">
      <x:c r="A25" s="18"/>
      <x:c r="B25" s="19"/>
      <x:c r="C25" s="18"/>
      <x:c r="D25" s="18"/>
      <x:c r="E25" s="18"/>
      <x:c r="F25" s="18"/>
      <x:c r="G25" s="18"/>
      <x:c r="H25" s="18"/>
      <x:c r="I25" s="18"/>
      <x:c r="J25" s="18"/>
    </x:row>
    <x:row r="26">
      <x:c r="A26" s="18"/>
      <x:c r="B26" s="19"/>
      <x:c r="C26" s="18"/>
      <x:c r="D26" s="18"/>
      <x:c r="E26" s="18"/>
      <x:c r="F26" s="18"/>
      <x:c r="G26" s="18"/>
      <x:c r="H26" s="18"/>
      <x:c r="I26" s="18"/>
      <x:c r="J26" s="18"/>
    </x:row>
    <x:row r="27">
      <x:c r="A27" s="18"/>
      <x:c r="B27" s="19"/>
      <x:c r="C27" s="18"/>
      <x:c r="D27" s="18"/>
      <x:c r="E27" s="18"/>
      <x:c r="F27" s="18"/>
      <x:c r="G27" s="18"/>
      <x:c r="H27" s="18"/>
      <x:c r="I27" s="18"/>
      <x:c r="J27" s="18"/>
    </x:row>
    <x:row r="28">
      <x:c r="A28" s="18"/>
      <x:c r="B28" s="19"/>
      <x:c r="C28" s="18"/>
      <x:c r="D28" s="18"/>
      <x:c r="E28" s="18"/>
      <x:c r="F28" s="18"/>
      <x:c r="G28" s="18"/>
      <x:c r="H28" s="18"/>
      <x:c r="I28" s="18"/>
      <x:c r="J28" s="18"/>
    </x:row>
    <x:row r="29">
      <x:c r="A29" s="18"/>
      <x:c r="B29" s="19"/>
      <x:c r="C29" s="18"/>
      <x:c r="D29" s="18"/>
      <x:c r="E29" s="18"/>
      <x:c r="F29" s="18"/>
      <x:c r="G29" s="18"/>
      <x:c r="H29" s="18"/>
      <x:c r="I29" s="18"/>
      <x:c r="J29" s="18"/>
    </x:row>
    <x:row r="30">
      <x:c r="A30" s="18"/>
      <x:c r="B30" s="19"/>
      <x:c r="C30" s="18"/>
      <x:c r="D30" s="18"/>
      <x:c r="E30" s="18"/>
      <x:c r="F30" s="18"/>
      <x:c r="G30" s="18"/>
      <x:c r="H30" s="18"/>
      <x:c r="I30" s="18"/>
      <x:c r="J30" s="18"/>
    </x:row>
    <x:row r="31">
      <x:c r="A31" s="18"/>
      <x:c r="B31" s="19"/>
      <x:c r="C31" s="18"/>
      <x:c r="D31" s="18"/>
      <x:c r="E31" s="18"/>
      <x:c r="F31" s="18"/>
      <x:c r="G31" s="18"/>
      <x:c r="H31" s="18"/>
      <x:c r="I31" s="18"/>
      <x:c r="J31" s="18"/>
    </x:row>
    <x:row r="32">
      <x:c r="A32" s="18"/>
      <x:c r="B32" s="19"/>
      <x:c r="C32" s="18"/>
      <x:c r="D32" s="18"/>
      <x:c r="E32" s="18"/>
      <x:c r="F32" s="18"/>
      <x:c r="G32" s="18"/>
      <x:c r="H32" s="18"/>
      <x:c r="I32" s="18"/>
      <x:c r="J32" s="18"/>
    </x:row>
    <x:row r="33">
      <x:c r="A33" s="18"/>
      <x:c r="B33" s="19"/>
      <x:c r="C33" s="18"/>
      <x:c r="D33" s="18"/>
      <x:c r="E33" s="18"/>
      <x:c r="F33" s="18"/>
      <x:c r="G33" s="18"/>
      <x:c r="H33" s="18"/>
      <x:c r="I33" s="18"/>
      <x:c r="J33" s="18"/>
    </x:row>
    <x:row r="34">
      <x:c r="A34" s="18"/>
      <x:c r="B34" s="19"/>
      <x:c r="C34" s="18"/>
      <x:c r="D34" s="18"/>
      <x:c r="E34" s="18"/>
      <x:c r="F34" s="18"/>
      <x:c r="G34" s="18"/>
      <x:c r="H34" s="18"/>
      <x:c r="I34" s="18"/>
      <x:c r="J34" s="18"/>
    </x:row>
  </x:sheetData>
  <x:mergeCells>
    <x:mergeCell ref="A1:J1"/>
    <x:mergeCell ref="A2:J2"/>
  </x:mergeCells>
  <x:dataValidations count="2">
    <x:dataValidation type="list" errorStyle="warning" showInputMessage="1" showErrorMessage="1" errorTitle="Valeur inattendue" error="Cette colonne utilise une liste controlee." promptTitle="Liste controlee" prompt="Choisir une valeur dans la liste." sqref="F5:F34">
      <x:formula1>"Creation,Correction,Mise a jour donnees,Validation,Archivage"</x:formula1>
    </x:dataValidation>
    <x:dataValidation type="list" errorStyle="warning" showInputMessage="1" showErrorMessage="1" errorTitle="Valeur inattendue" error="Cette colonne utilise une liste controlee." promptTitle="Liste controlee" prompt="Choisir une valeur dans la liste." sqref="I5:I34">
      <x:formula1>"A valider,Valide,Rejete"</x:formula1>
    </x:dataValidation>
  </x:dataValidations>
  <x:pageMargins left="0.7" right="0.7" top="0.75" bottom="0.75" header="0.3" footer="0.3"/>
  <x:tableParts count="1">
    <x:tablePart xmlns:r="http://schemas.openxmlformats.org/officeDocument/2006/relationships" r:id="Rfd0cea65267f4ab0"/>
  </x:tableParts>
</x:worksheet>
</file>